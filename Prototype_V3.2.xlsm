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56AF359C-5CD9-4008-8B84-E4F150EA87D2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4" i="1" l="1"/>
  <c r="D53" i="1"/>
  <c r="B50" i="1" s="1"/>
  <c r="D20" i="1"/>
  <c r="B4" i="3" s="1"/>
  <c r="D24" i="1"/>
  <c r="B7" i="3" s="1"/>
  <c r="D22" i="1"/>
  <c r="B2" i="3" s="1"/>
  <c r="D19" i="1"/>
  <c r="B5" i="3" s="1"/>
  <c r="D21" i="1"/>
  <c r="B3" i="3" s="1"/>
  <c r="D9" i="1"/>
  <c r="D10" i="1" s="1"/>
  <c r="D25" i="1"/>
  <c r="B6" i="3" s="1"/>
  <c r="G4" i="1"/>
  <c r="B8" i="3" s="1"/>
  <c r="G5" i="1"/>
  <c r="B9" i="3" s="1"/>
  <c r="G6" i="1"/>
  <c r="B10" i="3" s="1"/>
  <c r="C25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7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D62" i="1"/>
  <c r="B44" i="3" s="1"/>
  <c r="B33" i="3"/>
  <c r="P3" i="3" s="1"/>
  <c r="B31" i="3"/>
  <c r="D52" i="1"/>
  <c r="R14" i="1" s="1"/>
  <c r="D51" i="1"/>
  <c r="D61" i="1"/>
  <c r="D50" i="1"/>
  <c r="G52" i="1" s="1"/>
  <c r="B24" i="3"/>
  <c r="D13" i="3"/>
  <c r="D4" i="3"/>
  <c r="G58" i="1" l="1"/>
  <c r="G63" i="1"/>
  <c r="P2" i="3"/>
  <c r="D63" i="1"/>
  <c r="D13" i="1"/>
  <c r="G11" i="1"/>
  <c r="G10" i="1"/>
  <c r="D12" i="1"/>
  <c r="B25" i="3" s="1"/>
  <c r="G13" i="1"/>
  <c r="G12" i="1"/>
  <c r="D55" i="1"/>
  <c r="D54" i="1"/>
  <c r="B12" i="3" s="1"/>
  <c r="G51" i="1"/>
  <c r="G49" i="1"/>
  <c r="G48" i="1"/>
  <c r="G47" i="1"/>
  <c r="G59" i="1"/>
  <c r="G62" i="1"/>
  <c r="G60" i="1"/>
  <c r="D65" i="1"/>
  <c r="B38" i="3" s="1"/>
  <c r="D66" i="1"/>
  <c r="H4" i="3"/>
  <c r="B39" i="3" l="1"/>
  <c r="B40" i="3"/>
  <c r="B13" i="3"/>
  <c r="B14" i="3"/>
  <c r="D11" i="1"/>
  <c r="B26" i="3" s="1"/>
  <c r="B27" i="3"/>
  <c r="B46" i="3"/>
  <c r="C12" i="1"/>
  <c r="B30" i="3"/>
  <c r="B32" i="3"/>
  <c r="B29" i="3"/>
  <c r="B34" i="3"/>
  <c r="B28" i="3"/>
  <c r="B61" i="1" l="1"/>
  <c r="C67" i="1" s="1"/>
  <c r="C56" i="1"/>
  <c r="B14" i="1"/>
  <c r="C14" i="1" s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AE17" i="3" s="1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AE54" i="3" s="1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AE51" i="3" s="1"/>
  <c r="P52" i="3"/>
  <c r="T5" i="3"/>
  <c r="AB5" i="3"/>
  <c r="W6" i="3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S34" i="3"/>
  <c r="AA34" i="3"/>
  <c r="V35" i="3"/>
  <c r="Q36" i="3"/>
  <c r="Y36" i="3"/>
  <c r="T37" i="3"/>
  <c r="AB37" i="3"/>
  <c r="W38" i="3"/>
  <c r="R39" i="3"/>
  <c r="Z39" i="3"/>
  <c r="U40" i="3"/>
  <c r="P41" i="3"/>
  <c r="X41" i="3"/>
  <c r="S42" i="3"/>
  <c r="AA42" i="3"/>
  <c r="V43" i="3"/>
  <c r="Q44" i="3"/>
  <c r="Y44" i="3"/>
  <c r="T45" i="3"/>
  <c r="AB45" i="3"/>
  <c r="W46" i="3"/>
  <c r="R47" i="3"/>
  <c r="Z47" i="3"/>
  <c r="U48" i="3"/>
  <c r="AE48" i="3" s="1"/>
  <c r="P49" i="3"/>
  <c r="X49" i="3"/>
  <c r="S50" i="3"/>
  <c r="AA50" i="3"/>
  <c r="V51" i="3"/>
  <c r="Q52" i="3"/>
  <c r="Y52" i="3"/>
  <c r="T53" i="3"/>
  <c r="AB53" i="3"/>
  <c r="W54" i="3"/>
  <c r="R55" i="3"/>
  <c r="Z55" i="3"/>
  <c r="U56" i="3"/>
  <c r="AE56" i="3" s="1"/>
  <c r="P57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AE50" i="3" s="1"/>
  <c r="P51" i="3"/>
  <c r="X51" i="3"/>
  <c r="S52" i="3"/>
  <c r="AA52" i="3"/>
  <c r="V53" i="3"/>
  <c r="Q54" i="3"/>
  <c r="Y54" i="3"/>
  <c r="T55" i="3"/>
  <c r="AB55" i="3"/>
  <c r="W56" i="3"/>
  <c r="R57" i="3"/>
  <c r="U5" i="3"/>
  <c r="T10" i="3"/>
  <c r="S15" i="3"/>
  <c r="R20" i="3"/>
  <c r="Q25" i="3"/>
  <c r="P30" i="3"/>
  <c r="AB34" i="3"/>
  <c r="AA39" i="3"/>
  <c r="T44" i="3"/>
  <c r="Z46" i="3"/>
  <c r="S49" i="3"/>
  <c r="Y51" i="3"/>
  <c r="W53" i="3"/>
  <c r="S55" i="3"/>
  <c r="AB56" i="3"/>
  <c r="Y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AE69" i="3" s="1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AE85" i="3" s="1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X6" i="3"/>
  <c r="W11" i="3"/>
  <c r="V16" i="3"/>
  <c r="U21" i="3"/>
  <c r="AE21" i="3" s="1"/>
  <c r="T26" i="3"/>
  <c r="S31" i="3"/>
  <c r="R36" i="3"/>
  <c r="Q41" i="3"/>
  <c r="AB44" i="3"/>
  <c r="U47" i="3"/>
  <c r="AE47" i="3" s="1"/>
  <c r="AA49" i="3"/>
  <c r="T52" i="3"/>
  <c r="P54" i="3"/>
  <c r="Y55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AE87" i="3" s="1"/>
  <c r="P88" i="3"/>
  <c r="X88" i="3"/>
  <c r="S89" i="3"/>
  <c r="AA89" i="3"/>
  <c r="V90" i="3"/>
  <c r="Q91" i="3"/>
  <c r="Y91" i="3"/>
  <c r="T92" i="3"/>
  <c r="S7" i="3"/>
  <c r="R12" i="3"/>
  <c r="Q17" i="3"/>
  <c r="P22" i="3"/>
  <c r="AB26" i="3"/>
  <c r="AA31" i="3"/>
  <c r="Z36" i="3"/>
  <c r="Y41" i="3"/>
  <c r="U45" i="3"/>
  <c r="AA47" i="3"/>
  <c r="T50" i="3"/>
  <c r="X52" i="3"/>
  <c r="R54" i="3"/>
  <c r="AA55" i="3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" i="3"/>
  <c r="Z12" i="3"/>
  <c r="Y17" i="3"/>
  <c r="X22" i="3"/>
  <c r="W27" i="3"/>
  <c r="V32" i="3"/>
  <c r="U37" i="3"/>
  <c r="AE37" i="3" s="1"/>
  <c r="T42" i="3"/>
  <c r="W45" i="3"/>
  <c r="P48" i="3"/>
  <c r="V50" i="3"/>
  <c r="Z52" i="3"/>
  <c r="V54" i="3"/>
  <c r="P56" i="3"/>
  <c r="U57" i="3"/>
  <c r="AE57" i="3" s="1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V8" i="3"/>
  <c r="U13" i="3"/>
  <c r="T18" i="3"/>
  <c r="S23" i="3"/>
  <c r="R28" i="3"/>
  <c r="Q33" i="3"/>
  <c r="P38" i="3"/>
  <c r="AB42" i="3"/>
  <c r="P46" i="3"/>
  <c r="V48" i="3"/>
  <c r="AB50" i="3"/>
  <c r="AB52" i="3"/>
  <c r="X54" i="3"/>
  <c r="Q9" i="3"/>
  <c r="P14" i="3"/>
  <c r="AB18" i="3"/>
  <c r="AA23" i="3"/>
  <c r="Z28" i="3"/>
  <c r="Y33" i="3"/>
  <c r="X38" i="3"/>
  <c r="W43" i="3"/>
  <c r="R46" i="3"/>
  <c r="X48" i="3"/>
  <c r="Q51" i="3"/>
  <c r="P6" i="3"/>
  <c r="Y25" i="3"/>
  <c r="Z44" i="3"/>
  <c r="U53" i="3"/>
  <c r="Q57" i="3"/>
  <c r="U58" i="3"/>
  <c r="AE58" i="3" s="1"/>
  <c r="X59" i="3"/>
  <c r="AA60" i="3"/>
  <c r="Q62" i="3"/>
  <c r="T63" i="3"/>
  <c r="W64" i="3"/>
  <c r="Z65" i="3"/>
  <c r="P67" i="3"/>
  <c r="S68" i="3"/>
  <c r="V69" i="3"/>
  <c r="Y70" i="3"/>
  <c r="AB71" i="3"/>
  <c r="AB72" i="3"/>
  <c r="P74" i="3"/>
  <c r="AA74" i="3"/>
  <c r="AB75" i="3"/>
  <c r="AA76" i="3"/>
  <c r="AA77" i="3"/>
  <c r="AA78" i="3"/>
  <c r="X79" i="3"/>
  <c r="U80" i="3"/>
  <c r="T81" i="3"/>
  <c r="Q82" i="3"/>
  <c r="AA82" i="3"/>
  <c r="Z83" i="3"/>
  <c r="W84" i="3"/>
  <c r="T85" i="3"/>
  <c r="S86" i="3"/>
  <c r="P87" i="3"/>
  <c r="Z87" i="3"/>
  <c r="Y88" i="3"/>
  <c r="V89" i="3"/>
  <c r="S90" i="3"/>
  <c r="R91" i="3"/>
  <c r="AB91" i="3"/>
  <c r="Y92" i="3"/>
  <c r="V93" i="3"/>
  <c r="R94" i="3"/>
  <c r="AA94" i="3"/>
  <c r="W95" i="3"/>
  <c r="S96" i="3"/>
  <c r="AB96" i="3"/>
  <c r="X97" i="3"/>
  <c r="U98" i="3"/>
  <c r="AE98" i="3" s="1"/>
  <c r="Q99" i="3"/>
  <c r="Z99" i="3"/>
  <c r="V100" i="3"/>
  <c r="Q101" i="3"/>
  <c r="Y101" i="3"/>
  <c r="T102" i="3"/>
  <c r="AB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Y9" i="3"/>
  <c r="U29" i="3"/>
  <c r="AE29" i="3" s="1"/>
  <c r="X46" i="3"/>
  <c r="AA53" i="3"/>
  <c r="V57" i="3"/>
  <c r="Y58" i="3"/>
  <c r="AB59" i="3"/>
  <c r="R61" i="3"/>
  <c r="U62" i="3"/>
  <c r="AE62" i="3" s="1"/>
  <c r="X63" i="3"/>
  <c r="AA64" i="3"/>
  <c r="Q66" i="3"/>
  <c r="T67" i="3"/>
  <c r="W68" i="3"/>
  <c r="Z69" i="3"/>
  <c r="P71" i="3"/>
  <c r="R72" i="3"/>
  <c r="P73" i="3"/>
  <c r="Q74" i="3"/>
  <c r="P75" i="3"/>
  <c r="P76" i="3"/>
  <c r="Q77" i="3"/>
  <c r="AB77" i="3"/>
  <c r="AB78" i="3"/>
  <c r="Y79" i="3"/>
  <c r="W80" i="3"/>
  <c r="U81" i="3"/>
  <c r="R82" i="3"/>
  <c r="P83" i="3"/>
  <c r="AA83" i="3"/>
  <c r="X84" i="3"/>
  <c r="V85" i="3"/>
  <c r="T86" i="3"/>
  <c r="Q87" i="3"/>
  <c r="AB87" i="3"/>
  <c r="Z88" i="3"/>
  <c r="W89" i="3"/>
  <c r="U90" i="3"/>
  <c r="AE90" i="3" s="1"/>
  <c r="S91" i="3"/>
  <c r="P92" i="3"/>
  <c r="AA92" i="3"/>
  <c r="W93" i="3"/>
  <c r="S94" i="3"/>
  <c r="AB94" i="3"/>
  <c r="X95" i="3"/>
  <c r="T96" i="3"/>
  <c r="P97" i="3"/>
  <c r="Z97" i="3"/>
  <c r="V98" i="3"/>
  <c r="R99" i="3"/>
  <c r="AA99" i="3"/>
  <c r="W100" i="3"/>
  <c r="R101" i="3"/>
  <c r="Z101" i="3"/>
  <c r="U102" i="3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AE126" i="3" s="1"/>
  <c r="P127" i="3"/>
  <c r="X127" i="3"/>
  <c r="S128" i="3"/>
  <c r="AA128" i="3"/>
  <c r="V129" i="3"/>
  <c r="Q130" i="3"/>
  <c r="Y130" i="3"/>
  <c r="T131" i="3"/>
  <c r="AB131" i="3"/>
  <c r="W132" i="3"/>
  <c r="R133" i="3"/>
  <c r="Z133" i="3"/>
  <c r="U134" i="3"/>
  <c r="P135" i="3"/>
  <c r="X135" i="3"/>
  <c r="S136" i="3"/>
  <c r="AA136" i="3"/>
  <c r="V137" i="3"/>
  <c r="Q138" i="3"/>
  <c r="Y138" i="3"/>
  <c r="T139" i="3"/>
  <c r="AB139" i="3"/>
  <c r="W140" i="3"/>
  <c r="R141" i="3"/>
  <c r="Z141" i="3"/>
  <c r="U142" i="3"/>
  <c r="AE142" i="3" s="1"/>
  <c r="P143" i="3"/>
  <c r="X143" i="3"/>
  <c r="S144" i="3"/>
  <c r="AA144" i="3"/>
  <c r="V145" i="3"/>
  <c r="Q146" i="3"/>
  <c r="Y146" i="3"/>
  <c r="T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AB10" i="3"/>
  <c r="X30" i="3"/>
  <c r="S47" i="3"/>
  <c r="Z54" i="3"/>
  <c r="W57" i="3"/>
  <c r="Z58" i="3"/>
  <c r="P60" i="3"/>
  <c r="S61" i="3"/>
  <c r="V62" i="3"/>
  <c r="Y63" i="3"/>
  <c r="AB64" i="3"/>
  <c r="R66" i="3"/>
  <c r="U67" i="3"/>
  <c r="AE67" i="3" s="1"/>
  <c r="X68" i="3"/>
  <c r="AA69" i="3"/>
  <c r="Q71" i="3"/>
  <c r="S72" i="3"/>
  <c r="R73" i="3"/>
  <c r="R74" i="3"/>
  <c r="S75" i="3"/>
  <c r="Q76" i="3"/>
  <c r="R77" i="3"/>
  <c r="Q78" i="3"/>
  <c r="P79" i="3"/>
  <c r="Z79" i="3"/>
  <c r="Y80" i="3"/>
  <c r="V81" i="3"/>
  <c r="S82" i="3"/>
  <c r="R83" i="3"/>
  <c r="AB83" i="3"/>
  <c r="Y84" i="3"/>
  <c r="X85" i="3"/>
  <c r="U86" i="3"/>
  <c r="R87" i="3"/>
  <c r="Q88" i="3"/>
  <c r="AA88" i="3"/>
  <c r="X89" i="3"/>
  <c r="W90" i="3"/>
  <c r="T91" i="3"/>
  <c r="Q92" i="3"/>
  <c r="AB92" i="3"/>
  <c r="X93" i="3"/>
  <c r="T94" i="3"/>
  <c r="P95" i="3"/>
  <c r="Y95" i="3"/>
  <c r="U96" i="3"/>
  <c r="AE96" i="3" s="1"/>
  <c r="R97" i="3"/>
  <c r="AA97" i="3"/>
  <c r="W98" i="3"/>
  <c r="S99" i="3"/>
  <c r="AB99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X14" i="3"/>
  <c r="T34" i="3"/>
  <c r="Q49" i="3"/>
  <c r="Q55" i="3"/>
  <c r="X57" i="3"/>
  <c r="AA58" i="3"/>
  <c r="Q60" i="3"/>
  <c r="T61" i="3"/>
  <c r="W62" i="3"/>
  <c r="Z63" i="3"/>
  <c r="P65" i="3"/>
  <c r="S66" i="3"/>
  <c r="V67" i="3"/>
  <c r="Y68" i="3"/>
  <c r="AB69" i="3"/>
  <c r="R71" i="3"/>
  <c r="T72" i="3"/>
  <c r="U73" i="3"/>
  <c r="S74" i="3"/>
  <c r="T75" i="3"/>
  <c r="S76" i="3"/>
  <c r="S77" i="3"/>
  <c r="T78" i="3"/>
  <c r="Q79" i="3"/>
  <c r="AB79" i="3"/>
  <c r="Z80" i="3"/>
  <c r="W81" i="3"/>
  <c r="U82" i="3"/>
  <c r="AE82" i="3" s="1"/>
  <c r="S83" i="3"/>
  <c r="P84" i="3"/>
  <c r="AA84" i="3"/>
  <c r="Y85" i="3"/>
  <c r="V86" i="3"/>
  <c r="T87" i="3"/>
  <c r="R88" i="3"/>
  <c r="AB88" i="3"/>
  <c r="Z89" i="3"/>
  <c r="X90" i="3"/>
  <c r="U91" i="3"/>
  <c r="AE91" i="3" s="1"/>
  <c r="S92" i="3"/>
  <c r="P93" i="3"/>
  <c r="Y93" i="3"/>
  <c r="U94" i="3"/>
  <c r="AE94" i="3" s="1"/>
  <c r="Q95" i="3"/>
  <c r="Z95" i="3"/>
  <c r="W96" i="3"/>
  <c r="S97" i="3"/>
  <c r="AB97" i="3"/>
  <c r="X98" i="3"/>
  <c r="T99" i="3"/>
  <c r="P100" i="3"/>
  <c r="Y100" i="3"/>
  <c r="T101" i="3"/>
  <c r="AB101" i="3"/>
  <c r="W102" i="3"/>
  <c r="R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A15" i="3"/>
  <c r="W35" i="3"/>
  <c r="Y49" i="3"/>
  <c r="U55" i="3"/>
  <c r="AE55" i="3" s="1"/>
  <c r="Z57" i="3"/>
  <c r="P59" i="3"/>
  <c r="S60" i="3"/>
  <c r="V61" i="3"/>
  <c r="Y62" i="3"/>
  <c r="AB63" i="3"/>
  <c r="R65" i="3"/>
  <c r="U66" i="3"/>
  <c r="AE66" i="3" s="1"/>
  <c r="X67" i="3"/>
  <c r="AA68" i="3"/>
  <c r="Q70" i="3"/>
  <c r="T71" i="3"/>
  <c r="U72" i="3"/>
  <c r="V73" i="3"/>
  <c r="U74" i="3"/>
  <c r="AE74" i="3" s="1"/>
  <c r="U75" i="3"/>
  <c r="AE75" i="3" s="1"/>
  <c r="V76" i="3"/>
  <c r="T77" i="3"/>
  <c r="U78" i="3"/>
  <c r="R79" i="3"/>
  <c r="Q80" i="3"/>
  <c r="AA80" i="3"/>
  <c r="X81" i="3"/>
  <c r="W82" i="3"/>
  <c r="T83" i="3"/>
  <c r="Q84" i="3"/>
  <c r="P85" i="3"/>
  <c r="Z85" i="3"/>
  <c r="W86" i="3"/>
  <c r="V87" i="3"/>
  <c r="S88" i="3"/>
  <c r="P89" i="3"/>
  <c r="AB89" i="3"/>
  <c r="Y90" i="3"/>
  <c r="V91" i="3"/>
  <c r="U92" i="3"/>
  <c r="Q93" i="3"/>
  <c r="Z93" i="3"/>
  <c r="V94" i="3"/>
  <c r="R95" i="3"/>
  <c r="AB95" i="3"/>
  <c r="X96" i="3"/>
  <c r="T97" i="3"/>
  <c r="P98" i="3"/>
  <c r="Y98" i="3"/>
  <c r="U99" i="3"/>
  <c r="AE99" i="3" s="1"/>
  <c r="Q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W19" i="3"/>
  <c r="S39" i="3"/>
  <c r="W51" i="3"/>
  <c r="T56" i="3"/>
  <c r="Q58" i="3"/>
  <c r="T59" i="3"/>
  <c r="W60" i="3"/>
  <c r="Z61" i="3"/>
  <c r="P63" i="3"/>
  <c r="S64" i="3"/>
  <c r="V65" i="3"/>
  <c r="Y66" i="3"/>
  <c r="AB67" i="3"/>
  <c r="R69" i="3"/>
  <c r="U70" i="3"/>
  <c r="X71" i="3"/>
  <c r="W72" i="3"/>
  <c r="W73" i="3"/>
  <c r="X74" i="3"/>
  <c r="V75" i="3"/>
  <c r="W76" i="3"/>
  <c r="V77" i="3"/>
  <c r="V78" i="3"/>
  <c r="T79" i="3"/>
  <c r="R80" i="3"/>
  <c r="AB80" i="3"/>
  <c r="Z81" i="3"/>
  <c r="X82" i="3"/>
  <c r="U83" i="3"/>
  <c r="AE83" i="3" s="1"/>
  <c r="S84" i="3"/>
  <c r="Q85" i="3"/>
  <c r="AA85" i="3"/>
  <c r="Y86" i="3"/>
  <c r="W87" i="3"/>
  <c r="T88" i="3"/>
  <c r="R89" i="3"/>
  <c r="P90" i="3"/>
  <c r="Z90" i="3"/>
  <c r="X91" i="3"/>
  <c r="V92" i="3"/>
  <c r="R93" i="3"/>
  <c r="AA93" i="3"/>
  <c r="W94" i="3"/>
  <c r="T95" i="3"/>
  <c r="P96" i="3"/>
  <c r="Y96" i="3"/>
  <c r="U97" i="3"/>
  <c r="Q98" i="3"/>
  <c r="Z98" i="3"/>
  <c r="V99" i="3"/>
  <c r="S100" i="3"/>
  <c r="AA100" i="3"/>
  <c r="V101" i="3"/>
  <c r="Q102" i="3"/>
  <c r="Y102" i="3"/>
  <c r="T103" i="3"/>
  <c r="AB103" i="3"/>
  <c r="W104" i="3"/>
  <c r="R105" i="3"/>
  <c r="Z105" i="3"/>
  <c r="U106" i="3"/>
  <c r="P107" i="3"/>
  <c r="X107" i="3"/>
  <c r="S108" i="3"/>
  <c r="AA108" i="3"/>
  <c r="V109" i="3"/>
  <c r="Q110" i="3"/>
  <c r="Y110" i="3"/>
  <c r="T111" i="3"/>
  <c r="AB111" i="3"/>
  <c r="Z20" i="3"/>
  <c r="V40" i="3"/>
  <c r="R52" i="3"/>
  <c r="V56" i="3"/>
  <c r="R58" i="3"/>
  <c r="U59" i="3"/>
  <c r="AE59" i="3" s="1"/>
  <c r="X60" i="3"/>
  <c r="AA61" i="3"/>
  <c r="Q63" i="3"/>
  <c r="T64" i="3"/>
  <c r="W65" i="3"/>
  <c r="Z66" i="3"/>
  <c r="P68" i="3"/>
  <c r="S69" i="3"/>
  <c r="V70" i="3"/>
  <c r="Y71" i="3"/>
  <c r="Z72" i="3"/>
  <c r="X73" i="3"/>
  <c r="Y74" i="3"/>
  <c r="X75" i="3"/>
  <c r="X76" i="3"/>
  <c r="Y77" i="3"/>
  <c r="W78" i="3"/>
  <c r="V79" i="3"/>
  <c r="S80" i="3"/>
  <c r="P81" i="3"/>
  <c r="AB81" i="3"/>
  <c r="Y82" i="3"/>
  <c r="V83" i="3"/>
  <c r="U84" i="3"/>
  <c r="AE84" i="3" s="1"/>
  <c r="R85" i="3"/>
  <c r="AB85" i="3"/>
  <c r="AA86" i="3"/>
  <c r="X87" i="3"/>
  <c r="U88" i="3"/>
  <c r="AE88" i="3" s="1"/>
  <c r="T89" i="3"/>
  <c r="Q90" i="3"/>
  <c r="AA90" i="3"/>
  <c r="Z91" i="3"/>
  <c r="W92" i="3"/>
  <c r="S93" i="3"/>
  <c r="AB93" i="3"/>
  <c r="Y94" i="3"/>
  <c r="U95" i="3"/>
  <c r="AE95" i="3" s="1"/>
  <c r="Q96" i="3"/>
  <c r="Z96" i="3"/>
  <c r="V97" i="3"/>
  <c r="R98" i="3"/>
  <c r="AA98" i="3"/>
  <c r="X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AE111" i="3" s="1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P120" i="3"/>
  <c r="X120" i="3"/>
  <c r="S121" i="3"/>
  <c r="V24" i="3"/>
  <c r="R63" i="3"/>
  <c r="AA72" i="3"/>
  <c r="T80" i="3"/>
  <c r="AB86" i="3"/>
  <c r="T93" i="3"/>
  <c r="P99" i="3"/>
  <c r="Q104" i="3"/>
  <c r="P109" i="3"/>
  <c r="R113" i="3"/>
  <c r="AB114" i="3"/>
  <c r="U116" i="3"/>
  <c r="AE116" i="3" s="1"/>
  <c r="Q118" i="3"/>
  <c r="AA119" i="3"/>
  <c r="T121" i="3"/>
  <c r="W122" i="3"/>
  <c r="Z123" i="3"/>
  <c r="P125" i="3"/>
  <c r="S126" i="3"/>
  <c r="V127" i="3"/>
  <c r="Y128" i="3"/>
  <c r="Z129" i="3"/>
  <c r="AA130" i="3"/>
  <c r="Y131" i="3"/>
  <c r="Z132" i="3"/>
  <c r="X133" i="3"/>
  <c r="Y134" i="3"/>
  <c r="Z135" i="3"/>
  <c r="X136" i="3"/>
  <c r="Y137" i="3"/>
  <c r="W138" i="3"/>
  <c r="X139" i="3"/>
  <c r="Y140" i="3"/>
  <c r="W141" i="3"/>
  <c r="X142" i="3"/>
  <c r="V143" i="3"/>
  <c r="V144" i="3"/>
  <c r="S145" i="3"/>
  <c r="R146" i="3"/>
  <c r="AB146" i="3"/>
  <c r="Y147" i="3"/>
  <c r="X148" i="3"/>
  <c r="U149" i="3"/>
  <c r="R150" i="3"/>
  <c r="Q151" i="3"/>
  <c r="AA151" i="3"/>
  <c r="X152" i="3"/>
  <c r="W153" i="3"/>
  <c r="T154" i="3"/>
  <c r="Q155" i="3"/>
  <c r="Z155" i="3"/>
  <c r="W156" i="3"/>
  <c r="S157" i="3"/>
  <c r="AB157" i="3"/>
  <c r="X158" i="3"/>
  <c r="T159" i="3"/>
  <c r="P160" i="3"/>
  <c r="Y160" i="3"/>
  <c r="V161" i="3"/>
  <c r="R162" i="3"/>
  <c r="AA162" i="3"/>
  <c r="W163" i="3"/>
  <c r="S164" i="3"/>
  <c r="AB164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R44" i="3"/>
  <c r="U64" i="3"/>
  <c r="AE64" i="3" s="1"/>
  <c r="Z73" i="3"/>
  <c r="R81" i="3"/>
  <c r="Y87" i="3"/>
  <c r="Q94" i="3"/>
  <c r="Y99" i="3"/>
  <c r="Y104" i="3"/>
  <c r="X109" i="3"/>
  <c r="T113" i="3"/>
  <c r="P115" i="3"/>
  <c r="Z116" i="3"/>
  <c r="S118" i="3"/>
  <c r="AB119" i="3"/>
  <c r="Y121" i="3"/>
  <c r="AB122" i="3"/>
  <c r="R124" i="3"/>
  <c r="U125" i="3"/>
  <c r="AE125" i="3" s="1"/>
  <c r="X126" i="3"/>
  <c r="AA127" i="3"/>
  <c r="P129" i="3"/>
  <c r="AA129" i="3"/>
  <c r="AB130" i="3"/>
  <c r="Z131" i="3"/>
  <c r="AA132" i="3"/>
  <c r="AB133" i="3"/>
  <c r="Z134" i="3"/>
  <c r="AA135" i="3"/>
  <c r="Y136" i="3"/>
  <c r="Z137" i="3"/>
  <c r="AA138" i="3"/>
  <c r="Y139" i="3"/>
  <c r="Z140" i="3"/>
  <c r="X141" i="3"/>
  <c r="Y142" i="3"/>
  <c r="Z143" i="3"/>
  <c r="W144" i="3"/>
  <c r="T145" i="3"/>
  <c r="S146" i="3"/>
  <c r="P147" i="3"/>
  <c r="Z147" i="3"/>
  <c r="Y148" i="3"/>
  <c r="V149" i="3"/>
  <c r="S150" i="3"/>
  <c r="R151" i="3"/>
  <c r="AB151" i="3"/>
  <c r="Y152" i="3"/>
  <c r="X153" i="3"/>
  <c r="U154" i="3"/>
  <c r="AE154" i="3" s="1"/>
  <c r="R155" i="3"/>
  <c r="AB155" i="3"/>
  <c r="X156" i="3"/>
  <c r="T157" i="3"/>
  <c r="P158" i="3"/>
  <c r="Y158" i="3"/>
  <c r="U159" i="3"/>
  <c r="Q160" i="3"/>
  <c r="AA160" i="3"/>
  <c r="W161" i="3"/>
  <c r="S162" i="3"/>
  <c r="AB162" i="3"/>
  <c r="X163" i="3"/>
  <c r="T164" i="3"/>
  <c r="P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S53" i="3"/>
  <c r="X65" i="3"/>
  <c r="Z74" i="3"/>
  <c r="P82" i="3"/>
  <c r="W88" i="3"/>
  <c r="Z94" i="3"/>
  <c r="U100" i="3"/>
  <c r="AE100" i="3" s="1"/>
  <c r="T105" i="3"/>
  <c r="S110" i="3"/>
  <c r="Y113" i="3"/>
  <c r="R115" i="3"/>
  <c r="AA116" i="3"/>
  <c r="X118" i="3"/>
  <c r="Q120" i="3"/>
  <c r="Z121" i="3"/>
  <c r="P123" i="3"/>
  <c r="S124" i="3"/>
  <c r="V125" i="3"/>
  <c r="Y126" i="3"/>
  <c r="AB127" i="3"/>
  <c r="Q129" i="3"/>
  <c r="AB129" i="3"/>
  <c r="P131" i="3"/>
  <c r="Q132" i="3"/>
  <c r="AB132" i="3"/>
  <c r="P134" i="3"/>
  <c r="AA134" i="3"/>
  <c r="AB135" i="3"/>
  <c r="P137" i="3"/>
  <c r="AA137" i="3"/>
  <c r="AB138" i="3"/>
  <c r="Z139" i="3"/>
  <c r="AA140" i="3"/>
  <c r="AB141" i="3"/>
  <c r="Z142" i="3"/>
  <c r="AA143" i="3"/>
  <c r="X144" i="3"/>
  <c r="W145" i="3"/>
  <c r="T146" i="3"/>
  <c r="Q147" i="3"/>
  <c r="P148" i="3"/>
  <c r="Z148" i="3"/>
  <c r="W149" i="3"/>
  <c r="V150" i="3"/>
  <c r="S151" i="3"/>
  <c r="P152" i="3"/>
  <c r="AB152" i="3"/>
  <c r="Y153" i="3"/>
  <c r="V154" i="3"/>
  <c r="T155" i="3"/>
  <c r="P156" i="3"/>
  <c r="Y156" i="3"/>
  <c r="U157" i="3"/>
  <c r="Q158" i="3"/>
  <c r="Z158" i="3"/>
  <c r="V159" i="3"/>
  <c r="S160" i="3"/>
  <c r="AB160" i="3"/>
  <c r="X161" i="3"/>
  <c r="T162" i="3"/>
  <c r="P163" i="3"/>
  <c r="Y163" i="3"/>
  <c r="U164" i="3"/>
  <c r="AE164" i="3" s="1"/>
  <c r="R165" i="3"/>
  <c r="Z165" i="3"/>
  <c r="U166" i="3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X56" i="3"/>
  <c r="AA66" i="3"/>
  <c r="AA75" i="3"/>
  <c r="Z82" i="3"/>
  <c r="U89" i="3"/>
  <c r="AE89" i="3" s="1"/>
  <c r="V95" i="3"/>
  <c r="P101" i="3"/>
  <c r="AB105" i="3"/>
  <c r="AA110" i="3"/>
  <c r="Z113" i="3"/>
  <c r="W115" i="3"/>
  <c r="P117" i="3"/>
  <c r="Y118" i="3"/>
  <c r="V120" i="3"/>
  <c r="AA121" i="3"/>
  <c r="Q123" i="3"/>
  <c r="T124" i="3"/>
  <c r="W125" i="3"/>
  <c r="Z126" i="3"/>
  <c r="P128" i="3"/>
  <c r="R129" i="3"/>
  <c r="S130" i="3"/>
  <c r="Q131" i="3"/>
  <c r="R132" i="3"/>
  <c r="P133" i="3"/>
  <c r="Q134" i="3"/>
  <c r="R135" i="3"/>
  <c r="P136" i="3"/>
  <c r="Q137" i="3"/>
  <c r="AB137" i="3"/>
  <c r="P139" i="3"/>
  <c r="Q140" i="3"/>
  <c r="AB140" i="3"/>
  <c r="P142" i="3"/>
  <c r="AA142" i="3"/>
  <c r="AB143" i="3"/>
  <c r="Y144" i="3"/>
  <c r="X145" i="3"/>
  <c r="U146" i="3"/>
  <c r="AE146" i="3" s="1"/>
  <c r="R147" i="3"/>
  <c r="Q148" i="3"/>
  <c r="AA148" i="3"/>
  <c r="X149" i="3"/>
  <c r="W150" i="3"/>
  <c r="T151" i="3"/>
  <c r="Q152" i="3"/>
  <c r="P153" i="3"/>
  <c r="Z153" i="3"/>
  <c r="W154" i="3"/>
  <c r="U155" i="3"/>
  <c r="Q156" i="3"/>
  <c r="Z156" i="3"/>
  <c r="V157" i="3"/>
  <c r="R158" i="3"/>
  <c r="AA158" i="3"/>
  <c r="X159" i="3"/>
  <c r="T160" i="3"/>
  <c r="P161" i="3"/>
  <c r="Y161" i="3"/>
  <c r="U162" i="3"/>
  <c r="AE162" i="3" s="1"/>
  <c r="Q163" i="3"/>
  <c r="Z163" i="3"/>
  <c r="W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AE179" i="3" s="1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AE187" i="3" s="1"/>
  <c r="P188" i="3"/>
  <c r="X188" i="3"/>
  <c r="S189" i="3"/>
  <c r="AA189" i="3"/>
  <c r="S58" i="3"/>
  <c r="Q68" i="3"/>
  <c r="Y76" i="3"/>
  <c r="X83" i="3"/>
  <c r="R90" i="3"/>
  <c r="R96" i="3"/>
  <c r="X101" i="3"/>
  <c r="W106" i="3"/>
  <c r="V111" i="3"/>
  <c r="AB113" i="3"/>
  <c r="X115" i="3"/>
  <c r="U117" i="3"/>
  <c r="AE117" i="3" s="1"/>
  <c r="AA118" i="3"/>
  <c r="W120" i="3"/>
  <c r="AB121" i="3"/>
  <c r="R123" i="3"/>
  <c r="U124" i="3"/>
  <c r="X125" i="3"/>
  <c r="AA126" i="3"/>
  <c r="Q128" i="3"/>
  <c r="S129" i="3"/>
  <c r="T130" i="3"/>
  <c r="R131" i="3"/>
  <c r="S132" i="3"/>
  <c r="T133" i="3"/>
  <c r="R134" i="3"/>
  <c r="S135" i="3"/>
  <c r="Q136" i="3"/>
  <c r="R137" i="3"/>
  <c r="S138" i="3"/>
  <c r="Q139" i="3"/>
  <c r="R140" i="3"/>
  <c r="P141" i="3"/>
  <c r="Q142" i="3"/>
  <c r="R143" i="3"/>
  <c r="P144" i="3"/>
  <c r="AB144" i="3"/>
  <c r="Y145" i="3"/>
  <c r="V146" i="3"/>
  <c r="U147" i="3"/>
  <c r="AE147" i="3" s="1"/>
  <c r="R148" i="3"/>
  <c r="AB148" i="3"/>
  <c r="AA149" i="3"/>
  <c r="X150" i="3"/>
  <c r="U151" i="3"/>
  <c r="AE151" i="3" s="1"/>
  <c r="T152" i="3"/>
  <c r="Q153" i="3"/>
  <c r="AA153" i="3"/>
  <c r="Z154" i="3"/>
  <c r="V155" i="3"/>
  <c r="R156" i="3"/>
  <c r="AA156" i="3"/>
  <c r="W157" i="3"/>
  <c r="S158" i="3"/>
  <c r="P159" i="3"/>
  <c r="Y159" i="3"/>
  <c r="U160" i="3"/>
  <c r="AE160" i="3" s="1"/>
  <c r="Q161" i="3"/>
  <c r="Z161" i="3"/>
  <c r="V162" i="3"/>
  <c r="R163" i="3"/>
  <c r="AB163" i="3"/>
  <c r="X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V59" i="3"/>
  <c r="T69" i="3"/>
  <c r="Z77" i="3"/>
  <c r="V84" i="3"/>
  <c r="P91" i="3"/>
  <c r="AA96" i="3"/>
  <c r="S102" i="3"/>
  <c r="R107" i="3"/>
  <c r="Q112" i="3"/>
  <c r="T114" i="3"/>
  <c r="Z115" i="3"/>
  <c r="V117" i="3"/>
  <c r="S119" i="3"/>
  <c r="Y120" i="3"/>
  <c r="T122" i="3"/>
  <c r="W123" i="3"/>
  <c r="Z124" i="3"/>
  <c r="P126" i="3"/>
  <c r="S127" i="3"/>
  <c r="V128" i="3"/>
  <c r="T129" i="3"/>
  <c r="U130" i="3"/>
  <c r="AE130" i="3" s="1"/>
  <c r="V131" i="3"/>
  <c r="T132" i="3"/>
  <c r="U133" i="3"/>
  <c r="AE133" i="3" s="1"/>
  <c r="S134" i="3"/>
  <c r="T135" i="3"/>
  <c r="U136" i="3"/>
  <c r="AE136" i="3" s="1"/>
  <c r="S137" i="3"/>
  <c r="T138" i="3"/>
  <c r="R139" i="3"/>
  <c r="S140" i="3"/>
  <c r="T141" i="3"/>
  <c r="R142" i="3"/>
  <c r="S143" i="3"/>
  <c r="Q144" i="3"/>
  <c r="P145" i="3"/>
  <c r="Z145" i="3"/>
  <c r="W146" i="3"/>
  <c r="V147" i="3"/>
  <c r="S148" i="3"/>
  <c r="P149" i="3"/>
  <c r="AB149" i="3"/>
  <c r="Y150" i="3"/>
  <c r="V151" i="3"/>
  <c r="U152" i="3"/>
  <c r="R153" i="3"/>
  <c r="AB153" i="3"/>
  <c r="AA154" i="3"/>
  <c r="W155" i="3"/>
  <c r="S156" i="3"/>
  <c r="AB156" i="3"/>
  <c r="X157" i="3"/>
  <c r="U158" i="3"/>
  <c r="AE158" i="3" s="1"/>
  <c r="Q159" i="3"/>
  <c r="Z159" i="3"/>
  <c r="V160" i="3"/>
  <c r="R161" i="3"/>
  <c r="AA161" i="3"/>
  <c r="W162" i="3"/>
  <c r="T163" i="3"/>
  <c r="P164" i="3"/>
  <c r="Y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B61" i="3"/>
  <c r="Z71" i="3"/>
  <c r="W79" i="3"/>
  <c r="Q86" i="3"/>
  <c r="X92" i="3"/>
  <c r="S98" i="3"/>
  <c r="V103" i="3"/>
  <c r="U108" i="3"/>
  <c r="AE108" i="3" s="1"/>
  <c r="Y112" i="3"/>
  <c r="W114" i="3"/>
  <c r="S116" i="3"/>
  <c r="P118" i="3"/>
  <c r="V119" i="3"/>
  <c r="R121" i="3"/>
  <c r="V122" i="3"/>
  <c r="Y123" i="3"/>
  <c r="AB124" i="3"/>
  <c r="R126" i="3"/>
  <c r="U127" i="3"/>
  <c r="X128" i="3"/>
  <c r="Y129" i="3"/>
  <c r="W130" i="3"/>
  <c r="X131" i="3"/>
  <c r="Y132" i="3"/>
  <c r="W133" i="3"/>
  <c r="X134" i="3"/>
  <c r="V135" i="3"/>
  <c r="W136" i="3"/>
  <c r="X137" i="3"/>
  <c r="V138" i="3"/>
  <c r="W139" i="3"/>
  <c r="U140" i="3"/>
  <c r="AE140" i="3" s="1"/>
  <c r="V141" i="3"/>
  <c r="W142" i="3"/>
  <c r="U143" i="3"/>
  <c r="U144" i="3"/>
  <c r="AE144" i="3" s="1"/>
  <c r="R145" i="3"/>
  <c r="AB145" i="3"/>
  <c r="AA146" i="3"/>
  <c r="X147" i="3"/>
  <c r="U148" i="3"/>
  <c r="AE148" i="3" s="1"/>
  <c r="T149" i="3"/>
  <c r="Q150" i="3"/>
  <c r="AA150" i="3"/>
  <c r="Z151" i="3"/>
  <c r="W152" i="3"/>
  <c r="T153" i="3"/>
  <c r="S154" i="3"/>
  <c r="P155" i="3"/>
  <c r="Y155" i="3"/>
  <c r="U156" i="3"/>
  <c r="AE156" i="3" s="1"/>
  <c r="R157" i="3"/>
  <c r="AA157" i="3"/>
  <c r="W158" i="3"/>
  <c r="S159" i="3"/>
  <c r="AB159" i="3"/>
  <c r="X160" i="3"/>
  <c r="T161" i="3"/>
  <c r="Q162" i="3"/>
  <c r="Z162" i="3"/>
  <c r="V163" i="3"/>
  <c r="R164" i="3"/>
  <c r="AA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Y60" i="3"/>
  <c r="W112" i="3"/>
  <c r="AA124" i="3"/>
  <c r="V133" i="3"/>
  <c r="U141" i="3"/>
  <c r="AE141" i="3" s="1"/>
  <c r="T148" i="3"/>
  <c r="AB154" i="3"/>
  <c r="W160" i="3"/>
  <c r="Q166" i="3"/>
  <c r="P171" i="3"/>
  <c r="AA175" i="3"/>
  <c r="T178" i="3"/>
  <c r="Q180" i="3"/>
  <c r="V181" i="3"/>
  <c r="Y182" i="3"/>
  <c r="AB183" i="3"/>
  <c r="R185" i="3"/>
  <c r="U186" i="3"/>
  <c r="AE186" i="3" s="1"/>
  <c r="X187" i="3"/>
  <c r="AA188" i="3"/>
  <c r="Q190" i="3"/>
  <c r="R191" i="3"/>
  <c r="P192" i="3"/>
  <c r="Q193" i="3"/>
  <c r="R194" i="3"/>
  <c r="P195" i="3"/>
  <c r="Q196" i="3"/>
  <c r="AB196" i="3"/>
  <c r="P198" i="3"/>
  <c r="Q199" i="3"/>
  <c r="AB199" i="3"/>
  <c r="P201" i="3"/>
  <c r="AA201" i="3"/>
  <c r="AB202" i="3"/>
  <c r="P204" i="3"/>
  <c r="AA204" i="3"/>
  <c r="AB205" i="3"/>
  <c r="Z206" i="3"/>
  <c r="Y207" i="3"/>
  <c r="V208" i="3"/>
  <c r="S209" i="3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AE273" i="3" s="1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W70" i="3"/>
  <c r="U114" i="3"/>
  <c r="Q126" i="3"/>
  <c r="W134" i="3"/>
  <c r="S142" i="3"/>
  <c r="S149" i="3"/>
  <c r="X155" i="3"/>
  <c r="S161" i="3"/>
  <c r="Y166" i="3"/>
  <c r="X171" i="3"/>
  <c r="AB175" i="3"/>
  <c r="U178" i="3"/>
  <c r="AE178" i="3" s="1"/>
  <c r="R180" i="3"/>
  <c r="W181" i="3"/>
  <c r="Z182" i="3"/>
  <c r="P184" i="3"/>
  <c r="S185" i="3"/>
  <c r="V186" i="3"/>
  <c r="Y187" i="3"/>
  <c r="AB188" i="3"/>
  <c r="R190" i="3"/>
  <c r="S191" i="3"/>
  <c r="T192" i="3"/>
  <c r="R193" i="3"/>
  <c r="S194" i="3"/>
  <c r="Q195" i="3"/>
  <c r="R196" i="3"/>
  <c r="S197" i="3"/>
  <c r="Q198" i="3"/>
  <c r="R199" i="3"/>
  <c r="P200" i="3"/>
  <c r="Q201" i="3"/>
  <c r="R202" i="3"/>
  <c r="P203" i="3"/>
  <c r="Q204" i="3"/>
  <c r="AB204" i="3"/>
  <c r="P206" i="3"/>
  <c r="P207" i="3"/>
  <c r="Z207" i="3"/>
  <c r="W208" i="3"/>
  <c r="U209" i="3"/>
  <c r="AE209" i="3" s="1"/>
  <c r="Q210" i="3"/>
  <c r="Y210" i="3"/>
  <c r="T211" i="3"/>
  <c r="AB211" i="3"/>
  <c r="W212" i="3"/>
  <c r="R213" i="3"/>
  <c r="Z213" i="3"/>
  <c r="U214" i="3"/>
  <c r="AE214" i="3" s="1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AE230" i="3" s="1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AE270" i="3" s="1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Y78" i="3"/>
  <c r="R116" i="3"/>
  <c r="T127" i="3"/>
  <c r="U135" i="3"/>
  <c r="T143" i="3"/>
  <c r="P150" i="3"/>
  <c r="T156" i="3"/>
  <c r="AB161" i="3"/>
  <c r="T167" i="3"/>
  <c r="S172" i="3"/>
  <c r="V176" i="3"/>
  <c r="AA178" i="3"/>
  <c r="S180" i="3"/>
  <c r="AB181" i="3"/>
  <c r="R183" i="3"/>
  <c r="U184" i="3"/>
  <c r="X185" i="3"/>
  <c r="AA186" i="3"/>
  <c r="Q188" i="3"/>
  <c r="T189" i="3"/>
  <c r="V190" i="3"/>
  <c r="T191" i="3"/>
  <c r="U192" i="3"/>
  <c r="S193" i="3"/>
  <c r="T194" i="3"/>
  <c r="U195" i="3"/>
  <c r="AE195" i="3" s="1"/>
  <c r="S196" i="3"/>
  <c r="T197" i="3"/>
  <c r="R198" i="3"/>
  <c r="S199" i="3"/>
  <c r="T200" i="3"/>
  <c r="R201" i="3"/>
  <c r="S202" i="3"/>
  <c r="Q203" i="3"/>
  <c r="R204" i="3"/>
  <c r="S205" i="3"/>
  <c r="Q206" i="3"/>
  <c r="Q207" i="3"/>
  <c r="AA207" i="3"/>
  <c r="X208" i="3"/>
  <c r="V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AE251" i="3" s="1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AE275" i="3" s="1"/>
  <c r="P276" i="3"/>
  <c r="S85" i="3"/>
  <c r="X117" i="3"/>
  <c r="W128" i="3"/>
  <c r="V136" i="3"/>
  <c r="T144" i="3"/>
  <c r="Z150" i="3"/>
  <c r="P157" i="3"/>
  <c r="Y162" i="3"/>
  <c r="AB167" i="3"/>
  <c r="AA172" i="3"/>
  <c r="W176" i="3"/>
  <c r="AB178" i="3"/>
  <c r="Y180" i="3"/>
  <c r="P182" i="3"/>
  <c r="S183" i="3"/>
  <c r="V184" i="3"/>
  <c r="Y185" i="3"/>
  <c r="AB186" i="3"/>
  <c r="R188" i="3"/>
  <c r="U189" i="3"/>
  <c r="AE189" i="3" s="1"/>
  <c r="W190" i="3"/>
  <c r="U191" i="3"/>
  <c r="AE191" i="3" s="1"/>
  <c r="V192" i="3"/>
  <c r="W193" i="3"/>
  <c r="U194" i="3"/>
  <c r="V195" i="3"/>
  <c r="T196" i="3"/>
  <c r="U197" i="3"/>
  <c r="AE197" i="3" s="1"/>
  <c r="V198" i="3"/>
  <c r="T199" i="3"/>
  <c r="U200" i="3"/>
  <c r="AE200" i="3" s="1"/>
  <c r="S201" i="3"/>
  <c r="T202" i="3"/>
  <c r="U203" i="3"/>
  <c r="S204" i="3"/>
  <c r="T205" i="3"/>
  <c r="R206" i="3"/>
  <c r="R207" i="3"/>
  <c r="AB207" i="3"/>
  <c r="AA208" i="3"/>
  <c r="W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P265" i="3"/>
  <c r="X265" i="3"/>
  <c r="S266" i="3"/>
  <c r="AA266" i="3"/>
  <c r="V267" i="3"/>
  <c r="Q268" i="3"/>
  <c r="Y268" i="3"/>
  <c r="T269" i="3"/>
  <c r="AB269" i="3"/>
  <c r="AA91" i="3"/>
  <c r="T119" i="3"/>
  <c r="X129" i="3"/>
  <c r="T137" i="3"/>
  <c r="Q145" i="3"/>
  <c r="Y151" i="3"/>
  <c r="Z157" i="3"/>
  <c r="U163" i="3"/>
  <c r="W168" i="3"/>
  <c r="V173" i="3"/>
  <c r="Q177" i="3"/>
  <c r="P179" i="3"/>
  <c r="Z180" i="3"/>
  <c r="Q182" i="3"/>
  <c r="T183" i="3"/>
  <c r="W184" i="3"/>
  <c r="Z185" i="3"/>
  <c r="P187" i="3"/>
  <c r="S188" i="3"/>
  <c r="V189" i="3"/>
  <c r="X190" i="3"/>
  <c r="Y191" i="3"/>
  <c r="W192" i="3"/>
  <c r="X193" i="3"/>
  <c r="V194" i="3"/>
  <c r="W195" i="3"/>
  <c r="X196" i="3"/>
  <c r="V197" i="3"/>
  <c r="W198" i="3"/>
  <c r="U199" i="3"/>
  <c r="AE199" i="3" s="1"/>
  <c r="V200" i="3"/>
  <c r="W201" i="3"/>
  <c r="U202" i="3"/>
  <c r="AE202" i="3" s="1"/>
  <c r="V203" i="3"/>
  <c r="T204" i="3"/>
  <c r="U205" i="3"/>
  <c r="AE205" i="3" s="1"/>
  <c r="V206" i="3"/>
  <c r="S207" i="3"/>
  <c r="P208" i="3"/>
  <c r="AB208" i="3"/>
  <c r="X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W97" i="3"/>
  <c r="Q121" i="3"/>
  <c r="V130" i="3"/>
  <c r="U138" i="3"/>
  <c r="AA145" i="3"/>
  <c r="V152" i="3"/>
  <c r="V158" i="3"/>
  <c r="Q164" i="3"/>
  <c r="R169" i="3"/>
  <c r="Q174" i="3"/>
  <c r="R177" i="3"/>
  <c r="V179" i="3"/>
  <c r="AA180" i="3"/>
  <c r="R182" i="3"/>
  <c r="U183" i="3"/>
  <c r="AE183" i="3" s="1"/>
  <c r="X184" i="3"/>
  <c r="AA185" i="3"/>
  <c r="Q187" i="3"/>
  <c r="T188" i="3"/>
  <c r="W189" i="3"/>
  <c r="Y190" i="3"/>
  <c r="Z191" i="3"/>
  <c r="X192" i="3"/>
  <c r="Y193" i="3"/>
  <c r="Z194" i="3"/>
  <c r="X195" i="3"/>
  <c r="Y196" i="3"/>
  <c r="W197" i="3"/>
  <c r="X198" i="3"/>
  <c r="Y199" i="3"/>
  <c r="W200" i="3"/>
  <c r="X201" i="3"/>
  <c r="V202" i="3"/>
  <c r="W203" i="3"/>
  <c r="X204" i="3"/>
  <c r="V205" i="3"/>
  <c r="W206" i="3"/>
  <c r="T207" i="3"/>
  <c r="S208" i="3"/>
  <c r="P209" i="3"/>
  <c r="Y209" i="3"/>
  <c r="U210" i="3"/>
  <c r="AE210" i="3" s="1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AA102" i="3"/>
  <c r="U122" i="3"/>
  <c r="AE122" i="3" s="1"/>
  <c r="W131" i="3"/>
  <c r="V139" i="3"/>
  <c r="Z146" i="3"/>
  <c r="S153" i="3"/>
  <c r="R159" i="3"/>
  <c r="Z164" i="3"/>
  <c r="Z169" i="3"/>
  <c r="Y174" i="3"/>
  <c r="Y177" i="3"/>
  <c r="W179" i="3"/>
  <c r="T181" i="3"/>
  <c r="W182" i="3"/>
  <c r="Z183" i="3"/>
  <c r="P185" i="3"/>
  <c r="S186" i="3"/>
  <c r="V187" i="3"/>
  <c r="Y188" i="3"/>
  <c r="AB189" i="3"/>
  <c r="Z190" i="3"/>
  <c r="AA191" i="3"/>
  <c r="AB192" i="3"/>
  <c r="Z193" i="3"/>
  <c r="AA194" i="3"/>
  <c r="Y195" i="3"/>
  <c r="Z196" i="3"/>
  <c r="AA197" i="3"/>
  <c r="Y198" i="3"/>
  <c r="Z199" i="3"/>
  <c r="X200" i="3"/>
  <c r="Y201" i="3"/>
  <c r="Z202" i="3"/>
  <c r="X203" i="3"/>
  <c r="Y204" i="3"/>
  <c r="W205" i="3"/>
  <c r="X206" i="3"/>
  <c r="U207" i="3"/>
  <c r="T208" i="3"/>
  <c r="Q209" i="3"/>
  <c r="Z209" i="3"/>
  <c r="V210" i="3"/>
  <c r="Q211" i="3"/>
  <c r="Y211" i="3"/>
  <c r="T212" i="3"/>
  <c r="AB212" i="3"/>
  <c r="W213" i="3"/>
  <c r="R214" i="3"/>
  <c r="Z214" i="3"/>
  <c r="U215" i="3"/>
  <c r="AE215" i="3" s="1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AE231" i="3" s="1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Z107" i="3"/>
  <c r="X123" i="3"/>
  <c r="U132" i="3"/>
  <c r="AE132" i="3" s="1"/>
  <c r="T140" i="3"/>
  <c r="W147" i="3"/>
  <c r="R154" i="3"/>
  <c r="AA159" i="3"/>
  <c r="V165" i="3"/>
  <c r="U170" i="3"/>
  <c r="AE170" i="3" s="1"/>
  <c r="T175" i="3"/>
  <c r="Z177" i="3"/>
  <c r="X179" i="3"/>
  <c r="U181" i="3"/>
  <c r="X182" i="3"/>
  <c r="AA183" i="3"/>
  <c r="Q185" i="3"/>
  <c r="T186" i="3"/>
  <c r="W187" i="3"/>
  <c r="Z188" i="3"/>
  <c r="P190" i="3"/>
  <c r="Q191" i="3"/>
  <c r="AB191" i="3"/>
  <c r="P193" i="3"/>
  <c r="AA193" i="3"/>
  <c r="AB194" i="3"/>
  <c r="P196" i="3"/>
  <c r="AA196" i="3"/>
  <c r="AB197" i="3"/>
  <c r="Z198" i="3"/>
  <c r="AA199" i="3"/>
  <c r="AB200" i="3"/>
  <c r="Z201" i="3"/>
  <c r="AA202" i="3"/>
  <c r="Y203" i="3"/>
  <c r="Z204" i="3"/>
  <c r="AA205" i="3"/>
  <c r="Y206" i="3"/>
  <c r="X207" i="3"/>
  <c r="U208" i="3"/>
  <c r="R209" i="3"/>
  <c r="AA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AA249" i="3"/>
  <c r="Z254" i="3"/>
  <c r="Q257" i="3"/>
  <c r="W258" i="3"/>
  <c r="T260" i="3"/>
  <c r="X261" i="3"/>
  <c r="AA262" i="3"/>
  <c r="Q264" i="3"/>
  <c r="T265" i="3"/>
  <c r="W266" i="3"/>
  <c r="Z267" i="3"/>
  <c r="P269" i="3"/>
  <c r="S270" i="3"/>
  <c r="T271" i="3"/>
  <c r="U272" i="3"/>
  <c r="AE272" i="3" s="1"/>
  <c r="S273" i="3"/>
  <c r="T274" i="3"/>
  <c r="R275" i="3"/>
  <c r="S276" i="3"/>
  <c r="P277" i="3"/>
  <c r="AB277" i="3"/>
  <c r="Y278" i="3"/>
  <c r="V279" i="3"/>
  <c r="U280" i="3"/>
  <c r="AE280" i="3" s="1"/>
  <c r="R281" i="3"/>
  <c r="AB281" i="3"/>
  <c r="AA282" i="3"/>
  <c r="X283" i="3"/>
  <c r="U284" i="3"/>
  <c r="S285" i="3"/>
  <c r="AB285" i="3"/>
  <c r="X286" i="3"/>
  <c r="T287" i="3"/>
  <c r="P288" i="3"/>
  <c r="Y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V250" i="3"/>
  <c r="U255" i="3"/>
  <c r="S257" i="3"/>
  <c r="AB258" i="3"/>
  <c r="U260" i="3"/>
  <c r="AE260" i="3" s="1"/>
  <c r="P262" i="3"/>
  <c r="S263" i="3"/>
  <c r="V264" i="3"/>
  <c r="Y265" i="3"/>
  <c r="AB266" i="3"/>
  <c r="R268" i="3"/>
  <c r="U269" i="3"/>
  <c r="AE269" i="3" s="1"/>
  <c r="W270" i="3"/>
  <c r="U271" i="3"/>
  <c r="AE271" i="3" s="1"/>
  <c r="V272" i="3"/>
  <c r="T273" i="3"/>
  <c r="U274" i="3"/>
  <c r="V275" i="3"/>
  <c r="T276" i="3"/>
  <c r="S277" i="3"/>
  <c r="P278" i="3"/>
  <c r="Z278" i="3"/>
  <c r="Y279" i="3"/>
  <c r="V280" i="3"/>
  <c r="S281" i="3"/>
  <c r="R282" i="3"/>
  <c r="AB282" i="3"/>
  <c r="Y283" i="3"/>
  <c r="X284" i="3"/>
  <c r="T285" i="3"/>
  <c r="P286" i="3"/>
  <c r="Y286" i="3"/>
  <c r="U287" i="3"/>
  <c r="Q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AE310" i="3" s="1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AE334" i="3" s="1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AE358" i="3" s="1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Q251" i="3"/>
  <c r="AA255" i="3"/>
  <c r="T257" i="3"/>
  <c r="Q259" i="3"/>
  <c r="Z260" i="3"/>
  <c r="Q262" i="3"/>
  <c r="T263" i="3"/>
  <c r="W264" i="3"/>
  <c r="Z265" i="3"/>
  <c r="P267" i="3"/>
  <c r="S268" i="3"/>
  <c r="V269" i="3"/>
  <c r="X270" i="3"/>
  <c r="V271" i="3"/>
  <c r="W272" i="3"/>
  <c r="X273" i="3"/>
  <c r="V274" i="3"/>
  <c r="W275" i="3"/>
  <c r="U276" i="3"/>
  <c r="AE276" i="3" s="1"/>
  <c r="T277" i="3"/>
  <c r="Q278" i="3"/>
  <c r="AA278" i="3"/>
  <c r="Z279" i="3"/>
  <c r="W280" i="3"/>
  <c r="T281" i="3"/>
  <c r="S282" i="3"/>
  <c r="P283" i="3"/>
  <c r="Z283" i="3"/>
  <c r="Y284" i="3"/>
  <c r="U285" i="3"/>
  <c r="Q286" i="3"/>
  <c r="Z286" i="3"/>
  <c r="V287" i="3"/>
  <c r="S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AE339" i="3" s="1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AE355" i="3" s="1"/>
  <c r="P356" i="3"/>
  <c r="X356" i="3"/>
  <c r="S357" i="3"/>
  <c r="AA357" i="3"/>
  <c r="V358" i="3"/>
  <c r="Q359" i="3"/>
  <c r="Y359" i="3"/>
  <c r="T360" i="3"/>
  <c r="AB360" i="3"/>
  <c r="W361" i="3"/>
  <c r="Y251" i="3"/>
  <c r="P256" i="3"/>
  <c r="Y257" i="3"/>
  <c r="R259" i="3"/>
  <c r="AB260" i="3"/>
  <c r="R262" i="3"/>
  <c r="U263" i="3"/>
  <c r="X264" i="3"/>
  <c r="AA265" i="3"/>
  <c r="Q267" i="3"/>
  <c r="T268" i="3"/>
  <c r="W269" i="3"/>
  <c r="Y270" i="3"/>
  <c r="Z271" i="3"/>
  <c r="X272" i="3"/>
  <c r="Y273" i="3"/>
  <c r="W274" i="3"/>
  <c r="X275" i="3"/>
  <c r="X276" i="3"/>
  <c r="U277" i="3"/>
  <c r="AE277" i="3" s="1"/>
  <c r="R278" i="3"/>
  <c r="Q279" i="3"/>
  <c r="AA279" i="3"/>
  <c r="X280" i="3"/>
  <c r="W281" i="3"/>
  <c r="T282" i="3"/>
  <c r="Q283" i="3"/>
  <c r="P284" i="3"/>
  <c r="Z284" i="3"/>
  <c r="V285" i="3"/>
  <c r="R286" i="3"/>
  <c r="AA286" i="3"/>
  <c r="X287" i="3"/>
  <c r="T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T252" i="3"/>
  <c r="Q256" i="3"/>
  <c r="AA257" i="3"/>
  <c r="W259" i="3"/>
  <c r="P261" i="3"/>
  <c r="S262" i="3"/>
  <c r="V263" i="3"/>
  <c r="Y264" i="3"/>
  <c r="AB265" i="3"/>
  <c r="R267" i="3"/>
  <c r="U268" i="3"/>
  <c r="AE268" i="3" s="1"/>
  <c r="X269" i="3"/>
  <c r="Z270" i="3"/>
  <c r="AA271" i="3"/>
  <c r="Y272" i="3"/>
  <c r="Z273" i="3"/>
  <c r="AA274" i="3"/>
  <c r="Y275" i="3"/>
  <c r="Y276" i="3"/>
  <c r="V277" i="3"/>
  <c r="S278" i="3"/>
  <c r="R279" i="3"/>
  <c r="AB279" i="3"/>
  <c r="Y280" i="3"/>
  <c r="X281" i="3"/>
  <c r="U282" i="3"/>
  <c r="R283" i="3"/>
  <c r="Q284" i="3"/>
  <c r="AA284" i="3"/>
  <c r="W285" i="3"/>
  <c r="S286" i="3"/>
  <c r="P287" i="3"/>
  <c r="Y287" i="3"/>
  <c r="U288" i="3"/>
  <c r="Q289" i="3"/>
  <c r="Y289" i="3"/>
  <c r="T290" i="3"/>
  <c r="AB290" i="3"/>
  <c r="W291" i="3"/>
  <c r="R292" i="3"/>
  <c r="Z292" i="3"/>
  <c r="U293" i="3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AB252" i="3"/>
  <c r="V256" i="3"/>
  <c r="AB257" i="3"/>
  <c r="Y259" i="3"/>
  <c r="U261" i="3"/>
  <c r="AE261" i="3" s="1"/>
  <c r="X262" i="3"/>
  <c r="AA263" i="3"/>
  <c r="Q265" i="3"/>
  <c r="T266" i="3"/>
  <c r="W267" i="3"/>
  <c r="Z268" i="3"/>
  <c r="P270" i="3"/>
  <c r="AA270" i="3"/>
  <c r="AB271" i="3"/>
  <c r="P273" i="3"/>
  <c r="AA273" i="3"/>
  <c r="AB274" i="3"/>
  <c r="Z275" i="3"/>
  <c r="Z276" i="3"/>
  <c r="W277" i="3"/>
  <c r="V278" i="3"/>
  <c r="S279" i="3"/>
  <c r="P280" i="3"/>
  <c r="AB280" i="3"/>
  <c r="Y281" i="3"/>
  <c r="V282" i="3"/>
  <c r="U283" i="3"/>
  <c r="AE283" i="3" s="1"/>
  <c r="R284" i="3"/>
  <c r="AB284" i="3"/>
  <c r="X285" i="3"/>
  <c r="U286" i="3"/>
  <c r="Q287" i="3"/>
  <c r="Z287" i="3"/>
  <c r="V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W253" i="3"/>
  <c r="X256" i="3"/>
  <c r="T258" i="3"/>
  <c r="Z259" i="3"/>
  <c r="V261" i="3"/>
  <c r="Y262" i="3"/>
  <c r="AB263" i="3"/>
  <c r="R265" i="3"/>
  <c r="U266" i="3"/>
  <c r="X267" i="3"/>
  <c r="AA268" i="3"/>
  <c r="Q270" i="3"/>
  <c r="R271" i="3"/>
  <c r="P272" i="3"/>
  <c r="Q273" i="3"/>
  <c r="AB273" i="3"/>
  <c r="P275" i="3"/>
  <c r="Q276" i="3"/>
  <c r="AA276" i="3"/>
  <c r="X277" i="3"/>
  <c r="W278" i="3"/>
  <c r="T279" i="3"/>
  <c r="Q280" i="3"/>
  <c r="P281" i="3"/>
  <c r="Z281" i="3"/>
  <c r="W282" i="3"/>
  <c r="V283" i="3"/>
  <c r="S284" i="3"/>
  <c r="P285" i="3"/>
  <c r="Z285" i="3"/>
  <c r="V286" i="3"/>
  <c r="R287" i="3"/>
  <c r="AA287" i="3"/>
  <c r="W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R254" i="3"/>
  <c r="Y256" i="3"/>
  <c r="V258" i="3"/>
  <c r="R260" i="3"/>
  <c r="W261" i="3"/>
  <c r="Z262" i="3"/>
  <c r="P264" i="3"/>
  <c r="S265" i="3"/>
  <c r="V266" i="3"/>
  <c r="Y267" i="3"/>
  <c r="AB268" i="3"/>
  <c r="R270" i="3"/>
  <c r="S271" i="3"/>
  <c r="Q272" i="3"/>
  <c r="R273" i="3"/>
  <c r="S274" i="3"/>
  <c r="Q275" i="3"/>
  <c r="R276" i="3"/>
  <c r="AB276" i="3"/>
  <c r="AA277" i="3"/>
  <c r="X278" i="3"/>
  <c r="U279" i="3"/>
  <c r="AE279" i="3" s="1"/>
  <c r="T280" i="3"/>
  <c r="Q281" i="3"/>
  <c r="AA281" i="3"/>
  <c r="Z282" i="3"/>
  <c r="W283" i="3"/>
  <c r="T284" i="3"/>
  <c r="R285" i="3"/>
  <c r="AA285" i="3"/>
  <c r="W286" i="3"/>
  <c r="S287" i="3"/>
  <c r="AB287" i="3"/>
  <c r="X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W325" i="3"/>
  <c r="S329" i="3"/>
  <c r="Q331" i="3"/>
  <c r="AA332" i="3"/>
  <c r="R334" i="3"/>
  <c r="U335" i="3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Z353" i="3"/>
  <c r="AA354" i="3"/>
  <c r="Y355" i="3"/>
  <c r="Z356" i="3"/>
  <c r="X357" i="3"/>
  <c r="Y358" i="3"/>
  <c r="Z359" i="3"/>
  <c r="X360" i="3"/>
  <c r="Y361" i="3"/>
  <c r="V362" i="3"/>
  <c r="U363" i="3"/>
  <c r="AE363" i="3" s="1"/>
  <c r="R364" i="3"/>
  <c r="AB364" i="3"/>
  <c r="AA365" i="3"/>
  <c r="X366" i="3"/>
  <c r="U367" i="3"/>
  <c r="T368" i="3"/>
  <c r="Q369" i="3"/>
  <c r="AA369" i="3"/>
  <c r="Z370" i="3"/>
  <c r="W371" i="3"/>
  <c r="T372" i="3"/>
  <c r="P373" i="3"/>
  <c r="Z373" i="3"/>
  <c r="V374" i="3"/>
  <c r="R375" i="3"/>
  <c r="AA375" i="3"/>
  <c r="W376" i="3"/>
  <c r="S377" i="3"/>
  <c r="AB377" i="3"/>
  <c r="Y378" i="3"/>
  <c r="U379" i="3"/>
  <c r="Q380" i="3"/>
  <c r="Z380" i="3"/>
  <c r="V381" i="3"/>
  <c r="R382" i="3"/>
  <c r="AA382" i="3"/>
  <c r="X383" i="3"/>
  <c r="T384" i="3"/>
  <c r="P385" i="3"/>
  <c r="Y385" i="3"/>
  <c r="U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R326" i="3"/>
  <c r="Y329" i="3"/>
  <c r="W331" i="3"/>
  <c r="AB332" i="3"/>
  <c r="S334" i="3"/>
  <c r="V335" i="3"/>
  <c r="Y336" i="3"/>
  <c r="AB337" i="3"/>
  <c r="R339" i="3"/>
  <c r="U340" i="3"/>
  <c r="AE340" i="3" s="1"/>
  <c r="X341" i="3"/>
  <c r="AA342" i="3"/>
  <c r="Q344" i="3"/>
  <c r="T345" i="3"/>
  <c r="W346" i="3"/>
  <c r="Z347" i="3"/>
  <c r="P349" i="3"/>
  <c r="S350" i="3"/>
  <c r="V351" i="3"/>
  <c r="Y352" i="3"/>
  <c r="AA353" i="3"/>
  <c r="AB354" i="3"/>
  <c r="Z355" i="3"/>
  <c r="AA356" i="3"/>
  <c r="AB357" i="3"/>
  <c r="Z358" i="3"/>
  <c r="AA359" i="3"/>
  <c r="Y360" i="3"/>
  <c r="Z361" i="3"/>
  <c r="W362" i="3"/>
  <c r="V363" i="3"/>
  <c r="S364" i="3"/>
  <c r="P365" i="3"/>
  <c r="AB365" i="3"/>
  <c r="Y366" i="3"/>
  <c r="V367" i="3"/>
  <c r="U368" i="3"/>
  <c r="AE368" i="3" s="1"/>
  <c r="R369" i="3"/>
  <c r="AB369" i="3"/>
  <c r="AA370" i="3"/>
  <c r="X371" i="3"/>
  <c r="U372" i="3"/>
  <c r="AE372" i="3" s="1"/>
  <c r="R373" i="3"/>
  <c r="AA373" i="3"/>
  <c r="W374" i="3"/>
  <c r="S375" i="3"/>
  <c r="AB375" i="3"/>
  <c r="X376" i="3"/>
  <c r="T377" i="3"/>
  <c r="Q378" i="3"/>
  <c r="Z378" i="3"/>
  <c r="V379" i="3"/>
  <c r="R380" i="3"/>
  <c r="AA380" i="3"/>
  <c r="W381" i="3"/>
  <c r="S382" i="3"/>
  <c r="P383" i="3"/>
  <c r="Y383" i="3"/>
  <c r="U384" i="3"/>
  <c r="AE384" i="3" s="1"/>
  <c r="Q385" i="3"/>
  <c r="Z385" i="3"/>
  <c r="V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Z326" i="3"/>
  <c r="AA329" i="3"/>
  <c r="X331" i="3"/>
  <c r="U333" i="3"/>
  <c r="AE333" i="3" s="1"/>
  <c r="X334" i="3"/>
  <c r="AA335" i="3"/>
  <c r="Q337" i="3"/>
  <c r="T338" i="3"/>
  <c r="W339" i="3"/>
  <c r="Z340" i="3"/>
  <c r="P342" i="3"/>
  <c r="S343" i="3"/>
  <c r="V344" i="3"/>
  <c r="Y345" i="3"/>
  <c r="AB346" i="3"/>
  <c r="R348" i="3"/>
  <c r="U349" i="3"/>
  <c r="X350" i="3"/>
  <c r="AA351" i="3"/>
  <c r="Q353" i="3"/>
  <c r="AB353" i="3"/>
  <c r="P355" i="3"/>
  <c r="Q356" i="3"/>
  <c r="AB356" i="3"/>
  <c r="P358" i="3"/>
  <c r="AA358" i="3"/>
  <c r="AB359" i="3"/>
  <c r="P361" i="3"/>
  <c r="AA361" i="3"/>
  <c r="Z362" i="3"/>
  <c r="W363" i="3"/>
  <c r="T364" i="3"/>
  <c r="S365" i="3"/>
  <c r="P366" i="3"/>
  <c r="Z366" i="3"/>
  <c r="Y367" i="3"/>
  <c r="V368" i="3"/>
  <c r="S369" i="3"/>
  <c r="R370" i="3"/>
  <c r="AB370" i="3"/>
  <c r="Y371" i="3"/>
  <c r="W372" i="3"/>
  <c r="S373" i="3"/>
  <c r="AB373" i="3"/>
  <c r="X374" i="3"/>
  <c r="T375" i="3"/>
  <c r="P376" i="3"/>
  <c r="Y376" i="3"/>
  <c r="V377" i="3"/>
  <c r="R378" i="3"/>
  <c r="AA378" i="3"/>
  <c r="W379" i="3"/>
  <c r="S380" i="3"/>
  <c r="AB380" i="3"/>
  <c r="X381" i="3"/>
  <c r="U382" i="3"/>
  <c r="AE382" i="3" s="1"/>
  <c r="Q383" i="3"/>
  <c r="Z383" i="3"/>
  <c r="V384" i="3"/>
  <c r="R385" i="3"/>
  <c r="AA385" i="3"/>
  <c r="W386" i="3"/>
  <c r="S387" i="3"/>
  <c r="AA387" i="3"/>
  <c r="V388" i="3"/>
  <c r="Q389" i="3"/>
  <c r="Y389" i="3"/>
  <c r="T390" i="3"/>
  <c r="AB390" i="3"/>
  <c r="W391" i="3"/>
  <c r="R392" i="3"/>
  <c r="Z392" i="3"/>
  <c r="U393" i="3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U327" i="3"/>
  <c r="AE327" i="3" s="1"/>
  <c r="T330" i="3"/>
  <c r="Y331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S354" i="3"/>
  <c r="Q355" i="3"/>
  <c r="R356" i="3"/>
  <c r="P357" i="3"/>
  <c r="Q358" i="3"/>
  <c r="R359" i="3"/>
  <c r="P360" i="3"/>
  <c r="Q361" i="3"/>
  <c r="AB361" i="3"/>
  <c r="AA362" i="3"/>
  <c r="X363" i="3"/>
  <c r="U364" i="3"/>
  <c r="AE364" i="3" s="1"/>
  <c r="T365" i="3"/>
  <c r="Q366" i="3"/>
  <c r="AA366" i="3"/>
  <c r="Z367" i="3"/>
  <c r="W368" i="3"/>
  <c r="T369" i="3"/>
  <c r="S370" i="3"/>
  <c r="P371" i="3"/>
  <c r="Z371" i="3"/>
  <c r="X372" i="3"/>
  <c r="T373" i="3"/>
  <c r="P374" i="3"/>
  <c r="Y374" i="3"/>
  <c r="U375" i="3"/>
  <c r="AE375" i="3" s="1"/>
  <c r="Q376" i="3"/>
  <c r="AA376" i="3"/>
  <c r="W377" i="3"/>
  <c r="S378" i="3"/>
  <c r="AB378" i="3"/>
  <c r="X379" i="3"/>
  <c r="T380" i="3"/>
  <c r="P381" i="3"/>
  <c r="Z381" i="3"/>
  <c r="V382" i="3"/>
  <c r="R383" i="3"/>
  <c r="AA383" i="3"/>
  <c r="W384" i="3"/>
  <c r="S385" i="3"/>
  <c r="AB385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AE422" i="3" s="1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P328" i="3"/>
  <c r="U330" i="3"/>
  <c r="AE330" i="3" s="1"/>
  <c r="R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T354" i="3"/>
  <c r="R355" i="3"/>
  <c r="S356" i="3"/>
  <c r="T357" i="3"/>
  <c r="R358" i="3"/>
  <c r="S359" i="3"/>
  <c r="Q360" i="3"/>
  <c r="R361" i="3"/>
  <c r="R362" i="3"/>
  <c r="AB362" i="3"/>
  <c r="Y363" i="3"/>
  <c r="X364" i="3"/>
  <c r="U365" i="3"/>
  <c r="AE365" i="3" s="1"/>
  <c r="R366" i="3"/>
  <c r="Q367" i="3"/>
  <c r="AA367" i="3"/>
  <c r="X368" i="3"/>
  <c r="W369" i="3"/>
  <c r="T370" i="3"/>
  <c r="Q371" i="3"/>
  <c r="P372" i="3"/>
  <c r="Y372" i="3"/>
  <c r="U373" i="3"/>
  <c r="AE373" i="3" s="1"/>
  <c r="Q374" i="3"/>
  <c r="Z374" i="3"/>
  <c r="V375" i="3"/>
  <c r="S376" i="3"/>
  <c r="AB376" i="3"/>
  <c r="X377" i="3"/>
  <c r="T378" i="3"/>
  <c r="P379" i="3"/>
  <c r="Y379" i="3"/>
  <c r="U380" i="3"/>
  <c r="AE380" i="3" s="1"/>
  <c r="R381" i="3"/>
  <c r="AA381" i="3"/>
  <c r="W382" i="3"/>
  <c r="S383" i="3"/>
  <c r="AB383" i="3"/>
  <c r="X384" i="3"/>
  <c r="T385" i="3"/>
  <c r="Q386" i="3"/>
  <c r="Z386" i="3"/>
  <c r="U387" i="3"/>
  <c r="P388" i="3"/>
  <c r="X388" i="3"/>
  <c r="S389" i="3"/>
  <c r="AA389" i="3"/>
  <c r="V390" i="3"/>
  <c r="Q391" i="3"/>
  <c r="Y391" i="3"/>
  <c r="T392" i="3"/>
  <c r="AB392" i="3"/>
  <c r="W393" i="3"/>
  <c r="R394" i="3"/>
  <c r="Z394" i="3"/>
  <c r="U395" i="3"/>
  <c r="AE395" i="3" s="1"/>
  <c r="P396" i="3"/>
  <c r="X396" i="3"/>
  <c r="S397" i="3"/>
  <c r="AA397" i="3"/>
  <c r="V398" i="3"/>
  <c r="Q399" i="3"/>
  <c r="Y399" i="3"/>
  <c r="T400" i="3"/>
  <c r="AB400" i="3"/>
  <c r="W401" i="3"/>
  <c r="R402" i="3"/>
  <c r="Z402" i="3"/>
  <c r="U403" i="3"/>
  <c r="AE403" i="3" s="1"/>
  <c r="P404" i="3"/>
  <c r="X404" i="3"/>
  <c r="S405" i="3"/>
  <c r="AA405" i="3"/>
  <c r="V406" i="3"/>
  <c r="Q407" i="3"/>
  <c r="Y407" i="3"/>
  <c r="T408" i="3"/>
  <c r="AB408" i="3"/>
  <c r="W409" i="3"/>
  <c r="R410" i="3"/>
  <c r="Z410" i="3"/>
  <c r="U411" i="3"/>
  <c r="P412" i="3"/>
  <c r="X412" i="3"/>
  <c r="S413" i="3"/>
  <c r="AA413" i="3"/>
  <c r="V414" i="3"/>
  <c r="Q415" i="3"/>
  <c r="Y415" i="3"/>
  <c r="V328" i="3"/>
  <c r="V330" i="3"/>
  <c r="S332" i="3"/>
  <c r="X333" i="3"/>
  <c r="AA334" i="3"/>
  <c r="Q336" i="3"/>
  <c r="T337" i="3"/>
  <c r="W338" i="3"/>
  <c r="Z339" i="3"/>
  <c r="P341" i="3"/>
  <c r="S342" i="3"/>
  <c r="V343" i="3"/>
  <c r="Y344" i="3"/>
  <c r="AB345" i="3"/>
  <c r="R347" i="3"/>
  <c r="U348" i="3"/>
  <c r="AE348" i="3" s="1"/>
  <c r="X349" i="3"/>
  <c r="AA350" i="3"/>
  <c r="Q352" i="3"/>
  <c r="T353" i="3"/>
  <c r="U354" i="3"/>
  <c r="AE354" i="3" s="1"/>
  <c r="V355" i="3"/>
  <c r="T356" i="3"/>
  <c r="U357" i="3"/>
  <c r="AE357" i="3" s="1"/>
  <c r="S358" i="3"/>
  <c r="T359" i="3"/>
  <c r="U360" i="3"/>
  <c r="AE360" i="3" s="1"/>
  <c r="S361" i="3"/>
  <c r="S362" i="3"/>
  <c r="P363" i="3"/>
  <c r="Z363" i="3"/>
  <c r="Y364" i="3"/>
  <c r="V365" i="3"/>
  <c r="S366" i="3"/>
  <c r="R367" i="3"/>
  <c r="AB367" i="3"/>
  <c r="Y368" i="3"/>
  <c r="X369" i="3"/>
  <c r="U370" i="3"/>
  <c r="R371" i="3"/>
  <c r="Q372" i="3"/>
  <c r="Z372" i="3"/>
  <c r="V373" i="3"/>
  <c r="R374" i="3"/>
  <c r="AA374" i="3"/>
  <c r="X375" i="3"/>
  <c r="T376" i="3"/>
  <c r="P377" i="3"/>
  <c r="Y377" i="3"/>
  <c r="U378" i="3"/>
  <c r="Q379" i="3"/>
  <c r="Z379" i="3"/>
  <c r="W380" i="3"/>
  <c r="S381" i="3"/>
  <c r="AB381" i="3"/>
  <c r="X382" i="3"/>
  <c r="T383" i="3"/>
  <c r="P384" i="3"/>
  <c r="Y384" i="3"/>
  <c r="V385" i="3"/>
  <c r="R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X328" i="3"/>
  <c r="AB330" i="3"/>
  <c r="T332" i="3"/>
  <c r="P334" i="3"/>
  <c r="S335" i="3"/>
  <c r="V336" i="3"/>
  <c r="Y337" i="3"/>
  <c r="AB338" i="3"/>
  <c r="R340" i="3"/>
  <c r="U341" i="3"/>
  <c r="AE341" i="3" s="1"/>
  <c r="X342" i="3"/>
  <c r="AA343" i="3"/>
  <c r="Q345" i="3"/>
  <c r="T346" i="3"/>
  <c r="W347" i="3"/>
  <c r="Z348" i="3"/>
  <c r="P350" i="3"/>
  <c r="S351" i="3"/>
  <c r="V352" i="3"/>
  <c r="X353" i="3"/>
  <c r="V354" i="3"/>
  <c r="W355" i="3"/>
  <c r="U356" i="3"/>
  <c r="V357" i="3"/>
  <c r="W358" i="3"/>
  <c r="U359" i="3"/>
  <c r="AE359" i="3" s="1"/>
  <c r="V360" i="3"/>
  <c r="T361" i="3"/>
  <c r="T362" i="3"/>
  <c r="Q363" i="3"/>
  <c r="P364" i="3"/>
  <c r="Z364" i="3"/>
  <c r="W365" i="3"/>
  <c r="V366" i="3"/>
  <c r="S367" i="3"/>
  <c r="P368" i="3"/>
  <c r="AB368" i="3"/>
  <c r="Y369" i="3"/>
  <c r="V370" i="3"/>
  <c r="U371" i="3"/>
  <c r="AE371" i="3" s="1"/>
  <c r="R372" i="3"/>
  <c r="AA372" i="3"/>
  <c r="W373" i="3"/>
  <c r="S374" i="3"/>
  <c r="P375" i="3"/>
  <c r="Y375" i="3"/>
  <c r="U376" i="3"/>
  <c r="AE376" i="3" s="1"/>
  <c r="Q377" i="3"/>
  <c r="Z377" i="3"/>
  <c r="V378" i="3"/>
  <c r="R379" i="3"/>
  <c r="AB379" i="3"/>
  <c r="X380" i="3"/>
  <c r="T381" i="3"/>
  <c r="P382" i="3"/>
  <c r="Y382" i="3"/>
  <c r="U383" i="3"/>
  <c r="AE383" i="3" s="1"/>
  <c r="Q384" i="3"/>
  <c r="AA384" i="3"/>
  <c r="W385" i="3"/>
  <c r="S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X414" i="3"/>
  <c r="S415" i="3"/>
  <c r="AA415" i="3"/>
  <c r="V416" i="3"/>
  <c r="Q417" i="3"/>
  <c r="Y417" i="3"/>
  <c r="Q329" i="3"/>
  <c r="P331" i="3"/>
  <c r="Z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Y353" i="3"/>
  <c r="W354" i="3"/>
  <c r="X355" i="3"/>
  <c r="Y356" i="3"/>
  <c r="W357" i="3"/>
  <c r="X358" i="3"/>
  <c r="V359" i="3"/>
  <c r="W360" i="3"/>
  <c r="X361" i="3"/>
  <c r="U362" i="3"/>
  <c r="R363" i="3"/>
  <c r="Q364" i="3"/>
  <c r="AA364" i="3"/>
  <c r="X365" i="3"/>
  <c r="W366" i="3"/>
  <c r="T367" i="3"/>
  <c r="Q368" i="3"/>
  <c r="P369" i="3"/>
  <c r="Z369" i="3"/>
  <c r="W370" i="3"/>
  <c r="V371" i="3"/>
  <c r="S372" i="3"/>
  <c r="AB372" i="3"/>
  <c r="X373" i="3"/>
  <c r="U374" i="3"/>
  <c r="AE374" i="3" s="1"/>
  <c r="Q375" i="3"/>
  <c r="Z375" i="3"/>
  <c r="V376" i="3"/>
  <c r="R377" i="3"/>
  <c r="AA377" i="3"/>
  <c r="W378" i="3"/>
  <c r="T379" i="3"/>
  <c r="P380" i="3"/>
  <c r="Y380" i="3"/>
  <c r="U381" i="3"/>
  <c r="AE381" i="3" s="1"/>
  <c r="Q382" i="3"/>
  <c r="Z382" i="3"/>
  <c r="V383" i="3"/>
  <c r="S384" i="3"/>
  <c r="AB384" i="3"/>
  <c r="X385" i="3"/>
  <c r="T386" i="3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424" i="3"/>
  <c r="R425" i="3"/>
  <c r="Z425" i="3"/>
  <c r="T416" i="3"/>
  <c r="W419" i="3"/>
  <c r="P422" i="3"/>
  <c r="T424" i="3"/>
  <c r="Y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U445" i="3"/>
  <c r="AE445" i="3" s="1"/>
  <c r="V446" i="3"/>
  <c r="T447" i="3"/>
  <c r="U448" i="3"/>
  <c r="AE448" i="3" s="1"/>
  <c r="V449" i="3"/>
  <c r="T450" i="3"/>
  <c r="U451" i="3"/>
  <c r="S452" i="3"/>
  <c r="T453" i="3"/>
  <c r="Q454" i="3"/>
  <c r="P455" i="3"/>
  <c r="Z455" i="3"/>
  <c r="W456" i="3"/>
  <c r="V457" i="3"/>
  <c r="S458" i="3"/>
  <c r="P459" i="3"/>
  <c r="AB459" i="3"/>
  <c r="Y460" i="3"/>
  <c r="V461" i="3"/>
  <c r="U462" i="3"/>
  <c r="R463" i="3"/>
  <c r="AB463" i="3"/>
  <c r="Z464" i="3"/>
  <c r="V465" i="3"/>
  <c r="R466" i="3"/>
  <c r="AA466" i="3"/>
  <c r="W467" i="3"/>
  <c r="S468" i="3"/>
  <c r="P469" i="3"/>
  <c r="Y469" i="3"/>
  <c r="U470" i="3"/>
  <c r="AE470" i="3" s="1"/>
  <c r="Q471" i="3"/>
  <c r="Z471" i="3"/>
  <c r="V472" i="3"/>
  <c r="R473" i="3"/>
  <c r="AB473" i="3"/>
  <c r="X474" i="3"/>
  <c r="T475" i="3"/>
  <c r="P476" i="3"/>
  <c r="Y476" i="3"/>
  <c r="U477" i="3"/>
  <c r="AE477" i="3" s="1"/>
  <c r="Q478" i="3"/>
  <c r="AA478" i="3"/>
  <c r="W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AB416" i="3"/>
  <c r="P420" i="3"/>
  <c r="V422" i="3"/>
  <c r="U424" i="3"/>
  <c r="AE424" i="3" s="1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V445" i="3"/>
  <c r="W446" i="3"/>
  <c r="X447" i="3"/>
  <c r="V448" i="3"/>
  <c r="W449" i="3"/>
  <c r="U450" i="3"/>
  <c r="AE450" i="3" s="1"/>
  <c r="V451" i="3"/>
  <c r="W452" i="3"/>
  <c r="U453" i="3"/>
  <c r="AE453" i="3" s="1"/>
  <c r="T454" i="3"/>
  <c r="Q455" i="3"/>
  <c r="AA455" i="3"/>
  <c r="Z456" i="3"/>
  <c r="W457" i="3"/>
  <c r="T458" i="3"/>
  <c r="S459" i="3"/>
  <c r="P460" i="3"/>
  <c r="Z460" i="3"/>
  <c r="Y461" i="3"/>
  <c r="V462" i="3"/>
  <c r="S463" i="3"/>
  <c r="R464" i="3"/>
  <c r="AA464" i="3"/>
  <c r="W465" i="3"/>
  <c r="S466" i="3"/>
  <c r="AB466" i="3"/>
  <c r="X467" i="3"/>
  <c r="U468" i="3"/>
  <c r="AE468" i="3" s="1"/>
  <c r="Q469" i="3"/>
  <c r="Z469" i="3"/>
  <c r="V470" i="3"/>
  <c r="R471" i="3"/>
  <c r="AA471" i="3"/>
  <c r="W472" i="3"/>
  <c r="T473" i="3"/>
  <c r="P474" i="3"/>
  <c r="Y474" i="3"/>
  <c r="U475" i="3"/>
  <c r="AE475" i="3" s="1"/>
  <c r="Q476" i="3"/>
  <c r="Z476" i="3"/>
  <c r="V477" i="3"/>
  <c r="S478" i="3"/>
  <c r="AB478" i="3"/>
  <c r="X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AE515" i="3" s="1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AE555" i="3" s="1"/>
  <c r="P556" i="3"/>
  <c r="X556" i="3"/>
  <c r="S557" i="3"/>
  <c r="AA557" i="3"/>
  <c r="V558" i="3"/>
  <c r="Q559" i="3"/>
  <c r="Y559" i="3"/>
  <c r="T560" i="3"/>
  <c r="AB560" i="3"/>
  <c r="W561" i="3"/>
  <c r="R562" i="3"/>
  <c r="Z562" i="3"/>
  <c r="W417" i="3"/>
  <c r="R420" i="3"/>
  <c r="X422" i="3"/>
  <c r="V424" i="3"/>
  <c r="S426" i="3"/>
  <c r="V427" i="3"/>
  <c r="Y428" i="3"/>
  <c r="AB429" i="3"/>
  <c r="R431" i="3"/>
  <c r="U432" i="3"/>
  <c r="AE432" i="3" s="1"/>
  <c r="X433" i="3"/>
  <c r="AA434" i="3"/>
  <c r="Q436" i="3"/>
  <c r="T437" i="3"/>
  <c r="W438" i="3"/>
  <c r="Z439" i="3"/>
  <c r="P441" i="3"/>
  <c r="S442" i="3"/>
  <c r="V443" i="3"/>
  <c r="Y444" i="3"/>
  <c r="Z445" i="3"/>
  <c r="X446" i="3"/>
  <c r="Y447" i="3"/>
  <c r="W448" i="3"/>
  <c r="X449" i="3"/>
  <c r="Y450" i="3"/>
  <c r="W451" i="3"/>
  <c r="X452" i="3"/>
  <c r="V453" i="3"/>
  <c r="U454" i="3"/>
  <c r="AE454" i="3" s="1"/>
  <c r="R455" i="3"/>
  <c r="AB455" i="3"/>
  <c r="AA456" i="3"/>
  <c r="X457" i="3"/>
  <c r="U458" i="3"/>
  <c r="AE458" i="3" s="1"/>
  <c r="T459" i="3"/>
  <c r="Q460" i="3"/>
  <c r="AA460" i="3"/>
  <c r="Z461" i="3"/>
  <c r="W462" i="3"/>
  <c r="T463" i="3"/>
  <c r="S464" i="3"/>
  <c r="AB464" i="3"/>
  <c r="X465" i="3"/>
  <c r="T466" i="3"/>
  <c r="P467" i="3"/>
  <c r="Z467" i="3"/>
  <c r="V468" i="3"/>
  <c r="R469" i="3"/>
  <c r="AA469" i="3"/>
  <c r="W470" i="3"/>
  <c r="S471" i="3"/>
  <c r="AB471" i="3"/>
  <c r="Y472" i="3"/>
  <c r="U473" i="3"/>
  <c r="AE473" i="3" s="1"/>
  <c r="Q474" i="3"/>
  <c r="Z474" i="3"/>
  <c r="V475" i="3"/>
  <c r="R476" i="3"/>
  <c r="AA476" i="3"/>
  <c r="X477" i="3"/>
  <c r="T478" i="3"/>
  <c r="P479" i="3"/>
  <c r="Y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AE504" i="3" s="1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AE552" i="3" s="1"/>
  <c r="P553" i="3"/>
  <c r="R418" i="3"/>
  <c r="X420" i="3"/>
  <c r="Q423" i="3"/>
  <c r="AB424" i="3"/>
  <c r="T426" i="3"/>
  <c r="W427" i="3"/>
  <c r="Z428" i="3"/>
  <c r="P430" i="3"/>
  <c r="S431" i="3"/>
  <c r="V432" i="3"/>
  <c r="Y433" i="3"/>
  <c r="AB434" i="3"/>
  <c r="R436" i="3"/>
  <c r="U437" i="3"/>
  <c r="AE437" i="3" s="1"/>
  <c r="X438" i="3"/>
  <c r="AA439" i="3"/>
  <c r="Q441" i="3"/>
  <c r="T442" i="3"/>
  <c r="W443" i="3"/>
  <c r="Z444" i="3"/>
  <c r="AA445" i="3"/>
  <c r="Y446" i="3"/>
  <c r="Z447" i="3"/>
  <c r="AA448" i="3"/>
  <c r="Y449" i="3"/>
  <c r="Z450" i="3"/>
  <c r="X451" i="3"/>
  <c r="Y452" i="3"/>
  <c r="Y453" i="3"/>
  <c r="V454" i="3"/>
  <c r="S455" i="3"/>
  <c r="R456" i="3"/>
  <c r="AB456" i="3"/>
  <c r="Y457" i="3"/>
  <c r="X458" i="3"/>
  <c r="U459" i="3"/>
  <c r="AE459" i="3" s="1"/>
  <c r="R460" i="3"/>
  <c r="Q461" i="3"/>
  <c r="AA461" i="3"/>
  <c r="X462" i="3"/>
  <c r="W463" i="3"/>
  <c r="T464" i="3"/>
  <c r="P465" i="3"/>
  <c r="Y465" i="3"/>
  <c r="U466" i="3"/>
  <c r="AE466" i="3" s="1"/>
  <c r="R467" i="3"/>
  <c r="AA467" i="3"/>
  <c r="W468" i="3"/>
  <c r="S469" i="3"/>
  <c r="AB469" i="3"/>
  <c r="X470" i="3"/>
  <c r="T471" i="3"/>
  <c r="Q472" i="3"/>
  <c r="Z472" i="3"/>
  <c r="V473" i="3"/>
  <c r="R474" i="3"/>
  <c r="AA474" i="3"/>
  <c r="W475" i="3"/>
  <c r="S476" i="3"/>
  <c r="P477" i="3"/>
  <c r="Y477" i="3"/>
  <c r="U478" i="3"/>
  <c r="AE478" i="3" s="1"/>
  <c r="Q479" i="3"/>
  <c r="Z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T418" i="3"/>
  <c r="Z420" i="3"/>
  <c r="S423" i="3"/>
  <c r="P425" i="3"/>
  <c r="U426" i="3"/>
  <c r="AE426" i="3" s="1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AB445" i="3"/>
  <c r="P447" i="3"/>
  <c r="AA447" i="3"/>
  <c r="AB448" i="3"/>
  <c r="Z449" i="3"/>
  <c r="AA450" i="3"/>
  <c r="AB451" i="3"/>
  <c r="Z452" i="3"/>
  <c r="Z453" i="3"/>
  <c r="W454" i="3"/>
  <c r="T455" i="3"/>
  <c r="S456" i="3"/>
  <c r="P457" i="3"/>
  <c r="Z457" i="3"/>
  <c r="Y458" i="3"/>
  <c r="V459" i="3"/>
  <c r="S460" i="3"/>
  <c r="R461" i="3"/>
  <c r="AB461" i="3"/>
  <c r="Y462" i="3"/>
  <c r="X463" i="3"/>
  <c r="U464" i="3"/>
  <c r="AE464" i="3" s="1"/>
  <c r="Q465" i="3"/>
  <c r="Z465" i="3"/>
  <c r="W466" i="3"/>
  <c r="S467" i="3"/>
  <c r="AB467" i="3"/>
  <c r="X468" i="3"/>
  <c r="T469" i="3"/>
  <c r="P470" i="3"/>
  <c r="Y470" i="3"/>
  <c r="V471" i="3"/>
  <c r="R472" i="3"/>
  <c r="AA472" i="3"/>
  <c r="W473" i="3"/>
  <c r="S474" i="3"/>
  <c r="AB474" i="3"/>
  <c r="X475" i="3"/>
  <c r="U476" i="3"/>
  <c r="AE476" i="3" s="1"/>
  <c r="Q477" i="3"/>
  <c r="Z477" i="3"/>
  <c r="V478" i="3"/>
  <c r="R479" i="3"/>
  <c r="AA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Z418" i="3"/>
  <c r="S421" i="3"/>
  <c r="Y423" i="3"/>
  <c r="Q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R445" i="3"/>
  <c r="P446" i="3"/>
  <c r="Q447" i="3"/>
  <c r="AB447" i="3"/>
  <c r="P449" i="3"/>
  <c r="Q450" i="3"/>
  <c r="AB450" i="3"/>
  <c r="P452" i="3"/>
  <c r="AA452" i="3"/>
  <c r="AA453" i="3"/>
  <c r="X454" i="3"/>
  <c r="W455" i="3"/>
  <c r="T456" i="3"/>
  <c r="Q457" i="3"/>
  <c r="P458" i="3"/>
  <c r="Z458" i="3"/>
  <c r="W459" i="3"/>
  <c r="V460" i="3"/>
  <c r="S461" i="3"/>
  <c r="P462" i="3"/>
  <c r="AB462" i="3"/>
  <c r="Y463" i="3"/>
  <c r="V464" i="3"/>
  <c r="R465" i="3"/>
  <c r="AB465" i="3"/>
  <c r="X466" i="3"/>
  <c r="T467" i="3"/>
  <c r="P468" i="3"/>
  <c r="Y468" i="3"/>
  <c r="U469" i="3"/>
  <c r="AE469" i="3" s="1"/>
  <c r="Q470" i="3"/>
  <c r="AA470" i="3"/>
  <c r="W471" i="3"/>
  <c r="S472" i="3"/>
  <c r="AB472" i="3"/>
  <c r="X473" i="3"/>
  <c r="T474" i="3"/>
  <c r="P475" i="3"/>
  <c r="Z475" i="3"/>
  <c r="V476" i="3"/>
  <c r="R477" i="3"/>
  <c r="AA477" i="3"/>
  <c r="W478" i="3"/>
  <c r="S479" i="3"/>
  <c r="AB479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AE503" i="3" s="1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AE511" i="3" s="1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AB418" i="3"/>
  <c r="U421" i="3"/>
  <c r="AE421" i="3" s="1"/>
  <c r="Z423" i="3"/>
  <c r="W425" i="3"/>
  <c r="AA426" i="3"/>
  <c r="Q428" i="3"/>
  <c r="T429" i="3"/>
  <c r="W430" i="3"/>
  <c r="Z431" i="3"/>
  <c r="P433" i="3"/>
  <c r="S434" i="3"/>
  <c r="V435" i="3"/>
  <c r="Y436" i="3"/>
  <c r="AB437" i="3"/>
  <c r="R439" i="3"/>
  <c r="U440" i="3"/>
  <c r="AE440" i="3" s="1"/>
  <c r="X441" i="3"/>
  <c r="AA442" i="3"/>
  <c r="Q444" i="3"/>
  <c r="S445" i="3"/>
  <c r="Q446" i="3"/>
  <c r="R447" i="3"/>
  <c r="S448" i="3"/>
  <c r="Q449" i="3"/>
  <c r="R450" i="3"/>
  <c r="P451" i="3"/>
  <c r="Q452" i="3"/>
  <c r="R453" i="3"/>
  <c r="AB453" i="3"/>
  <c r="Y454" i="3"/>
  <c r="X455" i="3"/>
  <c r="U456" i="3"/>
  <c r="AE456" i="3" s="1"/>
  <c r="R457" i="3"/>
  <c r="Q458" i="3"/>
  <c r="AA458" i="3"/>
  <c r="X459" i="3"/>
  <c r="W460" i="3"/>
  <c r="T461" i="3"/>
  <c r="Q462" i="3"/>
  <c r="P463" i="3"/>
  <c r="Z463" i="3"/>
  <c r="W464" i="3"/>
  <c r="T465" i="3"/>
  <c r="P466" i="3"/>
  <c r="Y466" i="3"/>
  <c r="U467" i="3"/>
  <c r="AE467" i="3" s="1"/>
  <c r="Q468" i="3"/>
  <c r="Z468" i="3"/>
  <c r="V469" i="3"/>
  <c r="S470" i="3"/>
  <c r="AB470" i="3"/>
  <c r="X471" i="3"/>
  <c r="T472" i="3"/>
  <c r="P473" i="3"/>
  <c r="Y473" i="3"/>
  <c r="U474" i="3"/>
  <c r="AE474" i="3" s="1"/>
  <c r="R475" i="3"/>
  <c r="AA475" i="3"/>
  <c r="W476" i="3"/>
  <c r="S477" i="3"/>
  <c r="AB477" i="3"/>
  <c r="X478" i="3"/>
  <c r="T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U419" i="3"/>
  <c r="AE419" i="3" s="1"/>
  <c r="AA421" i="3"/>
  <c r="AA423" i="3"/>
  <c r="X425" i="3"/>
  <c r="AB426" i="3"/>
  <c r="R428" i="3"/>
  <c r="U429" i="3"/>
  <c r="AE429" i="3" s="1"/>
  <c r="X430" i="3"/>
  <c r="AA431" i="3"/>
  <c r="Q433" i="3"/>
  <c r="T434" i="3"/>
  <c r="W435" i="3"/>
  <c r="Z436" i="3"/>
  <c r="P438" i="3"/>
  <c r="S439" i="3"/>
  <c r="V440" i="3"/>
  <c r="Y441" i="3"/>
  <c r="AB442" i="3"/>
  <c r="R444" i="3"/>
  <c r="T445" i="3"/>
  <c r="U446" i="3"/>
  <c r="AE446" i="3" s="1"/>
  <c r="S447" i="3"/>
  <c r="T448" i="3"/>
  <c r="R449" i="3"/>
  <c r="S450" i="3"/>
  <c r="T451" i="3"/>
  <c r="R452" i="3"/>
  <c r="S453" i="3"/>
  <c r="P454" i="3"/>
  <c r="AB454" i="3"/>
  <c r="Y455" i="3"/>
  <c r="V456" i="3"/>
  <c r="U457" i="3"/>
  <c r="AE457" i="3" s="1"/>
  <c r="R458" i="3"/>
  <c r="AB458" i="3"/>
  <c r="AA459" i="3"/>
  <c r="X460" i="3"/>
  <c r="U461" i="3"/>
  <c r="AE461" i="3" s="1"/>
  <c r="T462" i="3"/>
  <c r="Q463" i="3"/>
  <c r="AA463" i="3"/>
  <c r="Y464" i="3"/>
  <c r="U465" i="3"/>
  <c r="AE465" i="3" s="1"/>
  <c r="Q466" i="3"/>
  <c r="Z466" i="3"/>
  <c r="V467" i="3"/>
  <c r="R468" i="3"/>
  <c r="AA468" i="3"/>
  <c r="X469" i="3"/>
  <c r="T470" i="3"/>
  <c r="P471" i="3"/>
  <c r="Y471" i="3"/>
  <c r="U472" i="3"/>
  <c r="AE472" i="3" s="1"/>
  <c r="Q473" i="3"/>
  <c r="Z473" i="3"/>
  <c r="W474" i="3"/>
  <c r="S475" i="3"/>
  <c r="AB475" i="3"/>
  <c r="X476" i="3"/>
  <c r="T477" i="3"/>
  <c r="P478" i="3"/>
  <c r="Y478" i="3"/>
  <c r="V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R521" i="3"/>
  <c r="Z523" i="3"/>
  <c r="W525" i="3"/>
  <c r="T527" i="3"/>
  <c r="Y528" i="3"/>
  <c r="P530" i="3"/>
  <c r="S531" i="3"/>
  <c r="V532" i="3"/>
  <c r="Y533" i="3"/>
  <c r="AB534" i="3"/>
  <c r="R536" i="3"/>
  <c r="U537" i="3"/>
  <c r="AE537" i="3" s="1"/>
  <c r="X538" i="3"/>
  <c r="AA539" i="3"/>
  <c r="Q541" i="3"/>
  <c r="T542" i="3"/>
  <c r="W543" i="3"/>
  <c r="Z544" i="3"/>
  <c r="AB545" i="3"/>
  <c r="P547" i="3"/>
  <c r="AA547" i="3"/>
  <c r="AB548" i="3"/>
  <c r="P550" i="3"/>
  <c r="AA550" i="3"/>
  <c r="AB551" i="3"/>
  <c r="Z552" i="3"/>
  <c r="Z553" i="3"/>
  <c r="W554" i="3"/>
  <c r="V555" i="3"/>
  <c r="S556" i="3"/>
  <c r="P557" i="3"/>
  <c r="AB557" i="3"/>
  <c r="Y558" i="3"/>
  <c r="V559" i="3"/>
  <c r="U560" i="3"/>
  <c r="R561" i="3"/>
  <c r="AB561" i="3"/>
  <c r="AA562" i="3"/>
  <c r="W563" i="3"/>
  <c r="S564" i="3"/>
  <c r="AB564" i="3"/>
  <c r="X565" i="3"/>
  <c r="T566" i="3"/>
  <c r="Q567" i="3"/>
  <c r="Z567" i="3"/>
  <c r="V568" i="3"/>
  <c r="R569" i="3"/>
  <c r="AA569" i="3"/>
  <c r="W570" i="3"/>
  <c r="S571" i="3"/>
  <c r="P572" i="3"/>
  <c r="Y572" i="3"/>
  <c r="U573" i="3"/>
  <c r="AE573" i="3" s="1"/>
  <c r="Q574" i="3"/>
  <c r="Z574" i="3"/>
  <c r="V575" i="3"/>
  <c r="R576" i="3"/>
  <c r="AB576" i="3"/>
  <c r="X577" i="3"/>
  <c r="T578" i="3"/>
  <c r="P579" i="3"/>
  <c r="Y579" i="3"/>
  <c r="U580" i="3"/>
  <c r="AE580" i="3" s="1"/>
  <c r="Q581" i="3"/>
  <c r="AA581" i="3"/>
  <c r="W582" i="3"/>
  <c r="S583" i="3"/>
  <c r="AB583" i="3"/>
  <c r="X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AE620" i="3" s="1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AE636" i="3" s="1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P701" i="3"/>
  <c r="Z521" i="3"/>
  <c r="S524" i="3"/>
  <c r="X525" i="3"/>
  <c r="U527" i="3"/>
  <c r="AE527" i="3" s="1"/>
  <c r="R529" i="3"/>
  <c r="U530" i="3"/>
  <c r="AE530" i="3" s="1"/>
  <c r="X531" i="3"/>
  <c r="AA532" i="3"/>
  <c r="Q534" i="3"/>
  <c r="T535" i="3"/>
  <c r="W536" i="3"/>
  <c r="Z537" i="3"/>
  <c r="P539" i="3"/>
  <c r="S540" i="3"/>
  <c r="V541" i="3"/>
  <c r="Y542" i="3"/>
  <c r="AB543" i="3"/>
  <c r="R545" i="3"/>
  <c r="P546" i="3"/>
  <c r="Q547" i="3"/>
  <c r="R548" i="3"/>
  <c r="P549" i="3"/>
  <c r="Q550" i="3"/>
  <c r="AB550" i="3"/>
  <c r="P552" i="3"/>
  <c r="Q553" i="3"/>
  <c r="AA553" i="3"/>
  <c r="X554" i="3"/>
  <c r="W555" i="3"/>
  <c r="T556" i="3"/>
  <c r="Q557" i="3"/>
  <c r="P558" i="3"/>
  <c r="Z558" i="3"/>
  <c r="W559" i="3"/>
  <c r="V560" i="3"/>
  <c r="S561" i="3"/>
  <c r="P562" i="3"/>
  <c r="AB562" i="3"/>
  <c r="X563" i="3"/>
  <c r="T564" i="3"/>
  <c r="P565" i="3"/>
  <c r="Y565" i="3"/>
  <c r="V566" i="3"/>
  <c r="R567" i="3"/>
  <c r="AA567" i="3"/>
  <c r="W568" i="3"/>
  <c r="S569" i="3"/>
  <c r="AB569" i="3"/>
  <c r="X570" i="3"/>
  <c r="U571" i="3"/>
  <c r="AE571" i="3" s="1"/>
  <c r="Q572" i="3"/>
  <c r="Z572" i="3"/>
  <c r="V573" i="3"/>
  <c r="R574" i="3"/>
  <c r="AA574" i="3"/>
  <c r="W575" i="3"/>
  <c r="T576" i="3"/>
  <c r="P577" i="3"/>
  <c r="Y577" i="3"/>
  <c r="U578" i="3"/>
  <c r="AE578" i="3" s="1"/>
  <c r="Q579" i="3"/>
  <c r="Z579" i="3"/>
  <c r="V580" i="3"/>
  <c r="S581" i="3"/>
  <c r="AB581" i="3"/>
  <c r="X582" i="3"/>
  <c r="T583" i="3"/>
  <c r="P584" i="3"/>
  <c r="Y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B521" i="3"/>
  <c r="T524" i="3"/>
  <c r="Q526" i="3"/>
  <c r="V527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T546" i="3"/>
  <c r="R547" i="3"/>
  <c r="S548" i="3"/>
  <c r="Q549" i="3"/>
  <c r="R550" i="3"/>
  <c r="S551" i="3"/>
  <c r="Q552" i="3"/>
  <c r="R553" i="3"/>
  <c r="AB553" i="3"/>
  <c r="AA554" i="3"/>
  <c r="X555" i="3"/>
  <c r="U556" i="3"/>
  <c r="T557" i="3"/>
  <c r="Q558" i="3"/>
  <c r="AA558" i="3"/>
  <c r="Z559" i="3"/>
  <c r="W560" i="3"/>
  <c r="T561" i="3"/>
  <c r="S562" i="3"/>
  <c r="P563" i="3"/>
  <c r="Y563" i="3"/>
  <c r="U564" i="3"/>
  <c r="AE564" i="3" s="1"/>
  <c r="Q565" i="3"/>
  <c r="AA565" i="3"/>
  <c r="W566" i="3"/>
  <c r="S567" i="3"/>
  <c r="AB567" i="3"/>
  <c r="X568" i="3"/>
  <c r="T569" i="3"/>
  <c r="P570" i="3"/>
  <c r="Z570" i="3"/>
  <c r="V571" i="3"/>
  <c r="R572" i="3"/>
  <c r="AA572" i="3"/>
  <c r="W573" i="3"/>
  <c r="S574" i="3"/>
  <c r="AB574" i="3"/>
  <c r="Y575" i="3"/>
  <c r="U576" i="3"/>
  <c r="AE576" i="3" s="1"/>
  <c r="Q577" i="3"/>
  <c r="Z577" i="3"/>
  <c r="V578" i="3"/>
  <c r="R579" i="3"/>
  <c r="AA579" i="3"/>
  <c r="X580" i="3"/>
  <c r="T581" i="3"/>
  <c r="P582" i="3"/>
  <c r="Y582" i="3"/>
  <c r="U583" i="3"/>
  <c r="Q584" i="3"/>
  <c r="Z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U522" i="3"/>
  <c r="U524" i="3"/>
  <c r="R526" i="3"/>
  <c r="AB527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U546" i="3"/>
  <c r="AE546" i="3" s="1"/>
  <c r="S547" i="3"/>
  <c r="T548" i="3"/>
  <c r="U549" i="3"/>
  <c r="AE549" i="3" s="1"/>
  <c r="S550" i="3"/>
  <c r="T551" i="3"/>
  <c r="R552" i="3"/>
  <c r="S553" i="3"/>
  <c r="P554" i="3"/>
  <c r="AB554" i="3"/>
  <c r="Y555" i="3"/>
  <c r="V556" i="3"/>
  <c r="U557" i="3"/>
  <c r="R558" i="3"/>
  <c r="AB558" i="3"/>
  <c r="AA559" i="3"/>
  <c r="X560" i="3"/>
  <c r="U561" i="3"/>
  <c r="AE561" i="3" s="1"/>
  <c r="T562" i="3"/>
  <c r="Q563" i="3"/>
  <c r="Z563" i="3"/>
  <c r="V564" i="3"/>
  <c r="S565" i="3"/>
  <c r="AB565" i="3"/>
  <c r="X566" i="3"/>
  <c r="T567" i="3"/>
  <c r="P568" i="3"/>
  <c r="Y568" i="3"/>
  <c r="U569" i="3"/>
  <c r="R570" i="3"/>
  <c r="AA570" i="3"/>
  <c r="W571" i="3"/>
  <c r="S572" i="3"/>
  <c r="AB572" i="3"/>
  <c r="X573" i="3"/>
  <c r="T574" i="3"/>
  <c r="Q575" i="3"/>
  <c r="Z575" i="3"/>
  <c r="V576" i="3"/>
  <c r="R577" i="3"/>
  <c r="AA577" i="3"/>
  <c r="W578" i="3"/>
  <c r="S579" i="3"/>
  <c r="P580" i="3"/>
  <c r="Y580" i="3"/>
  <c r="U581" i="3"/>
  <c r="AE581" i="3" s="1"/>
  <c r="Q582" i="3"/>
  <c r="Z582" i="3"/>
  <c r="V583" i="3"/>
  <c r="R584" i="3"/>
  <c r="AB584" i="3"/>
  <c r="W585" i="3"/>
  <c r="R586" i="3"/>
  <c r="Z586" i="3"/>
  <c r="U587" i="3"/>
  <c r="AE587" i="3" s="1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AE603" i="3" s="1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AE611" i="3" s="1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AE627" i="3" s="1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W522" i="3"/>
  <c r="AA524" i="3"/>
  <c r="S526" i="3"/>
  <c r="P528" i="3"/>
  <c r="U529" i="3"/>
  <c r="AE529" i="3" s="1"/>
  <c r="X530" i="3"/>
  <c r="AA531" i="3"/>
  <c r="Q533" i="3"/>
  <c r="T534" i="3"/>
  <c r="W535" i="3"/>
  <c r="Z536" i="3"/>
  <c r="P538" i="3"/>
  <c r="S539" i="3"/>
  <c r="V540" i="3"/>
  <c r="Y541" i="3"/>
  <c r="AB542" i="3"/>
  <c r="R544" i="3"/>
  <c r="U545" i="3"/>
  <c r="AE545" i="3" s="1"/>
  <c r="V546" i="3"/>
  <c r="W547" i="3"/>
  <c r="U548" i="3"/>
  <c r="AE548" i="3" s="1"/>
  <c r="V549" i="3"/>
  <c r="T550" i="3"/>
  <c r="U551" i="3"/>
  <c r="AE551" i="3" s="1"/>
  <c r="V552" i="3"/>
  <c r="T553" i="3"/>
  <c r="S554" i="3"/>
  <c r="P555" i="3"/>
  <c r="Z555" i="3"/>
  <c r="Y556" i="3"/>
  <c r="V557" i="3"/>
  <c r="S558" i="3"/>
  <c r="R559" i="3"/>
  <c r="AB559" i="3"/>
  <c r="Y560" i="3"/>
  <c r="X561" i="3"/>
  <c r="U562" i="3"/>
  <c r="AE562" i="3" s="1"/>
  <c r="R563" i="3"/>
  <c r="AA563" i="3"/>
  <c r="X564" i="3"/>
  <c r="T565" i="3"/>
  <c r="P566" i="3"/>
  <c r="Y566" i="3"/>
  <c r="U567" i="3"/>
  <c r="AE567" i="3" s="1"/>
  <c r="Q568" i="3"/>
  <c r="Z568" i="3"/>
  <c r="W569" i="3"/>
  <c r="S570" i="3"/>
  <c r="AB570" i="3"/>
  <c r="X571" i="3"/>
  <c r="T572" i="3"/>
  <c r="P573" i="3"/>
  <c r="Y573" i="3"/>
  <c r="V574" i="3"/>
  <c r="R575" i="3"/>
  <c r="AA575" i="3"/>
  <c r="W576" i="3"/>
  <c r="S577" i="3"/>
  <c r="AB577" i="3"/>
  <c r="X578" i="3"/>
  <c r="U579" i="3"/>
  <c r="AE579" i="3" s="1"/>
  <c r="Q580" i="3"/>
  <c r="Z580" i="3"/>
  <c r="V581" i="3"/>
  <c r="R582" i="3"/>
  <c r="AA582" i="3"/>
  <c r="W583" i="3"/>
  <c r="T584" i="3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AE600" i="3" s="1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AE608" i="3" s="1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AE624" i="3" s="1"/>
  <c r="P625" i="3"/>
  <c r="X625" i="3"/>
  <c r="S626" i="3"/>
  <c r="AA626" i="3"/>
  <c r="V627" i="3"/>
  <c r="Q628" i="3"/>
  <c r="Y628" i="3"/>
  <c r="T629" i="3"/>
  <c r="AB629" i="3"/>
  <c r="W630" i="3"/>
  <c r="R631" i="3"/>
  <c r="P523" i="3"/>
  <c r="AB524" i="3"/>
  <c r="Y526" i="3"/>
  <c r="Q528" i="3"/>
  <c r="Z529" i="3"/>
  <c r="P531" i="3"/>
  <c r="S532" i="3"/>
  <c r="V533" i="3"/>
  <c r="Y534" i="3"/>
  <c r="AB535" i="3"/>
  <c r="R537" i="3"/>
  <c r="U538" i="3"/>
  <c r="AE538" i="3" s="1"/>
  <c r="X539" i="3"/>
  <c r="AA540" i="3"/>
  <c r="Q542" i="3"/>
  <c r="T543" i="3"/>
  <c r="W544" i="3"/>
  <c r="Y545" i="3"/>
  <c r="W546" i="3"/>
  <c r="X547" i="3"/>
  <c r="V548" i="3"/>
  <c r="W549" i="3"/>
  <c r="X550" i="3"/>
  <c r="V551" i="3"/>
  <c r="W552" i="3"/>
  <c r="U553" i="3"/>
  <c r="AE553" i="3" s="1"/>
  <c r="T554" i="3"/>
  <c r="Q555" i="3"/>
  <c r="AA555" i="3"/>
  <c r="Z556" i="3"/>
  <c r="W557" i="3"/>
  <c r="T558" i="3"/>
  <c r="S559" i="3"/>
  <c r="P560" i="3"/>
  <c r="Z560" i="3"/>
  <c r="Y561" i="3"/>
  <c r="V562" i="3"/>
  <c r="S563" i="3"/>
  <c r="P564" i="3"/>
  <c r="Y564" i="3"/>
  <c r="U565" i="3"/>
  <c r="AE565" i="3" s="1"/>
  <c r="Q566" i="3"/>
  <c r="Z566" i="3"/>
  <c r="V567" i="3"/>
  <c r="R568" i="3"/>
  <c r="AB568" i="3"/>
  <c r="X569" i="3"/>
  <c r="T570" i="3"/>
  <c r="P571" i="3"/>
  <c r="Y571" i="3"/>
  <c r="U572" i="3"/>
  <c r="AE572" i="3" s="1"/>
  <c r="Q573" i="3"/>
  <c r="AA573" i="3"/>
  <c r="W574" i="3"/>
  <c r="S575" i="3"/>
  <c r="AB575" i="3"/>
  <c r="X576" i="3"/>
  <c r="T577" i="3"/>
  <c r="P578" i="3"/>
  <c r="Z578" i="3"/>
  <c r="V579" i="3"/>
  <c r="R580" i="3"/>
  <c r="AA580" i="3"/>
  <c r="W581" i="3"/>
  <c r="S582" i="3"/>
  <c r="AB582" i="3"/>
  <c r="Y583" i="3"/>
  <c r="U584" i="3"/>
  <c r="AE584" i="3" s="1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R523" i="3"/>
  <c r="P525" i="3"/>
  <c r="Z526" i="3"/>
  <c r="W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Z545" i="3"/>
  <c r="X546" i="3"/>
  <c r="Y547" i="3"/>
  <c r="Z548" i="3"/>
  <c r="X549" i="3"/>
  <c r="Y550" i="3"/>
  <c r="W551" i="3"/>
  <c r="X552" i="3"/>
  <c r="X553" i="3"/>
  <c r="U554" i="3"/>
  <c r="AE554" i="3" s="1"/>
  <c r="R555" i="3"/>
  <c r="Q556" i="3"/>
  <c r="AA556" i="3"/>
  <c r="X557" i="3"/>
  <c r="W558" i="3"/>
  <c r="T559" i="3"/>
  <c r="Q560" i="3"/>
  <c r="P561" i="3"/>
  <c r="Z561" i="3"/>
  <c r="W562" i="3"/>
  <c r="U563" i="3"/>
  <c r="AE563" i="3" s="1"/>
  <c r="Q564" i="3"/>
  <c r="Z564" i="3"/>
  <c r="V565" i="3"/>
  <c r="R566" i="3"/>
  <c r="AA566" i="3"/>
  <c r="W567" i="3"/>
  <c r="T568" i="3"/>
  <c r="P569" i="3"/>
  <c r="Y569" i="3"/>
  <c r="U570" i="3"/>
  <c r="AE570" i="3" s="1"/>
  <c r="Q571" i="3"/>
  <c r="Z571" i="3"/>
  <c r="V572" i="3"/>
  <c r="S573" i="3"/>
  <c r="AB573" i="3"/>
  <c r="X574" i="3"/>
  <c r="T575" i="3"/>
  <c r="P576" i="3"/>
  <c r="Y576" i="3"/>
  <c r="U577" i="3"/>
  <c r="AE577" i="3" s="1"/>
  <c r="R578" i="3"/>
  <c r="AA578" i="3"/>
  <c r="W579" i="3"/>
  <c r="S580" i="3"/>
  <c r="AB580" i="3"/>
  <c r="X581" i="3"/>
  <c r="T582" i="3"/>
  <c r="Q583" i="3"/>
  <c r="Z583" i="3"/>
  <c r="V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X523" i="3"/>
  <c r="V525" i="3"/>
  <c r="AA526" i="3"/>
  <c r="X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A545" i="3"/>
  <c r="AB546" i="3"/>
  <c r="Z547" i="3"/>
  <c r="AA548" i="3"/>
  <c r="Y549" i="3"/>
  <c r="Z550" i="3"/>
  <c r="AA551" i="3"/>
  <c r="Y552" i="3"/>
  <c r="Y553" i="3"/>
  <c r="V554" i="3"/>
  <c r="S555" i="3"/>
  <c r="R556" i="3"/>
  <c r="AB556" i="3"/>
  <c r="Y557" i="3"/>
  <c r="X558" i="3"/>
  <c r="U559" i="3"/>
  <c r="AE559" i="3" s="1"/>
  <c r="R560" i="3"/>
  <c r="Q561" i="3"/>
  <c r="AA561" i="3"/>
  <c r="X562" i="3"/>
  <c r="V563" i="3"/>
  <c r="R564" i="3"/>
  <c r="AA564" i="3"/>
  <c r="W565" i="3"/>
  <c r="S566" i="3"/>
  <c r="AB566" i="3"/>
  <c r="Y567" i="3"/>
  <c r="U568" i="3"/>
  <c r="AE568" i="3" s="1"/>
  <c r="Q569" i="3"/>
  <c r="Z569" i="3"/>
  <c r="V570" i="3"/>
  <c r="R571" i="3"/>
  <c r="AA571" i="3"/>
  <c r="X572" i="3"/>
  <c r="T573" i="3"/>
  <c r="P574" i="3"/>
  <c r="Y574" i="3"/>
  <c r="U575" i="3"/>
  <c r="AE575" i="3" s="1"/>
  <c r="Q576" i="3"/>
  <c r="Z576" i="3"/>
  <c r="W577" i="3"/>
  <c r="S578" i="3"/>
  <c r="AB578" i="3"/>
  <c r="X579" i="3"/>
  <c r="T580" i="3"/>
  <c r="P581" i="3"/>
  <c r="Y581" i="3"/>
  <c r="V582" i="3"/>
  <c r="R583" i="3"/>
  <c r="AA583" i="3"/>
  <c r="W584" i="3"/>
  <c r="S585" i="3"/>
  <c r="AA585" i="3"/>
  <c r="V586" i="3"/>
  <c r="Q587" i="3"/>
  <c r="Y587" i="3"/>
  <c r="T588" i="3"/>
  <c r="AB588" i="3"/>
  <c r="W589" i="3"/>
  <c r="R590" i="3"/>
  <c r="Z590" i="3"/>
  <c r="U591" i="3"/>
  <c r="AE591" i="3" s="1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AE607" i="3" s="1"/>
  <c r="P608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AE615" i="3" s="1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AE623" i="3" s="1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AE639" i="3" s="1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Z631" i="3"/>
  <c r="Y636" i="3"/>
  <c r="R641" i="3"/>
  <c r="X643" i="3"/>
  <c r="AB645" i="3"/>
  <c r="T647" i="3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X664" i="3"/>
  <c r="AA665" i="3"/>
  <c r="Q667" i="3"/>
  <c r="T668" i="3"/>
  <c r="W669" i="3"/>
  <c r="Z670" i="3"/>
  <c r="AA671" i="3"/>
  <c r="AB672" i="3"/>
  <c r="Z673" i="3"/>
  <c r="AA674" i="3"/>
  <c r="Y675" i="3"/>
  <c r="Z676" i="3"/>
  <c r="Z677" i="3"/>
  <c r="W678" i="3"/>
  <c r="T679" i="3"/>
  <c r="S680" i="3"/>
  <c r="P681" i="3"/>
  <c r="Z681" i="3"/>
  <c r="Y682" i="3"/>
  <c r="V683" i="3"/>
  <c r="R684" i="3"/>
  <c r="AA684" i="3"/>
  <c r="W685" i="3"/>
  <c r="T686" i="3"/>
  <c r="P687" i="3"/>
  <c r="Y687" i="3"/>
  <c r="U688" i="3"/>
  <c r="AE688" i="3" s="1"/>
  <c r="Q689" i="3"/>
  <c r="Z689" i="3"/>
  <c r="V690" i="3"/>
  <c r="S691" i="3"/>
  <c r="AB691" i="3"/>
  <c r="X692" i="3"/>
  <c r="T693" i="3"/>
  <c r="P694" i="3"/>
  <c r="Y694" i="3"/>
  <c r="U695" i="3"/>
  <c r="AE695" i="3" s="1"/>
  <c r="R696" i="3"/>
  <c r="AA696" i="3"/>
  <c r="W697" i="3"/>
  <c r="S698" i="3"/>
  <c r="AB698" i="3"/>
  <c r="X699" i="3"/>
  <c r="T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U632" i="3"/>
  <c r="AE632" i="3" s="1"/>
  <c r="T637" i="3"/>
  <c r="X641" i="3"/>
  <c r="Q644" i="3"/>
  <c r="P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P665" i="3"/>
  <c r="S666" i="3"/>
  <c r="V667" i="3"/>
  <c r="Y668" i="3"/>
  <c r="AB669" i="3"/>
  <c r="Q671" i="3"/>
  <c r="AB671" i="3"/>
  <c r="P673" i="3"/>
  <c r="AA673" i="3"/>
  <c r="AB674" i="3"/>
  <c r="P676" i="3"/>
  <c r="AA676" i="3"/>
  <c r="AA677" i="3"/>
  <c r="X678" i="3"/>
  <c r="U679" i="3"/>
  <c r="AE679" i="3" s="1"/>
  <c r="T680" i="3"/>
  <c r="Q681" i="3"/>
  <c r="AA681" i="3"/>
  <c r="Z682" i="3"/>
  <c r="W683" i="3"/>
  <c r="S684" i="3"/>
  <c r="AB684" i="3"/>
  <c r="Y685" i="3"/>
  <c r="U686" i="3"/>
  <c r="AE686" i="3" s="1"/>
  <c r="Q687" i="3"/>
  <c r="Z687" i="3"/>
  <c r="V688" i="3"/>
  <c r="R689" i="3"/>
  <c r="AA689" i="3"/>
  <c r="X690" i="3"/>
  <c r="T691" i="3"/>
  <c r="P692" i="3"/>
  <c r="Y692" i="3"/>
  <c r="U693" i="3"/>
  <c r="AE693" i="3" s="1"/>
  <c r="Q694" i="3"/>
  <c r="Z694" i="3"/>
  <c r="W695" i="3"/>
  <c r="S696" i="3"/>
  <c r="AB696" i="3"/>
  <c r="X697" i="3"/>
  <c r="T698" i="3"/>
  <c r="P699" i="3"/>
  <c r="Y699" i="3"/>
  <c r="V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633" i="3"/>
  <c r="AB637" i="3"/>
  <c r="Z641" i="3"/>
  <c r="S644" i="3"/>
  <c r="Q646" i="3"/>
  <c r="AA647" i="3"/>
  <c r="Q649" i="3"/>
  <c r="T650" i="3"/>
  <c r="W651" i="3"/>
  <c r="Z652" i="3"/>
  <c r="P654" i="3"/>
  <c r="S655" i="3"/>
  <c r="V656" i="3"/>
  <c r="Y657" i="3"/>
  <c r="AB658" i="3"/>
  <c r="R660" i="3"/>
  <c r="U661" i="3"/>
  <c r="AE661" i="3" s="1"/>
  <c r="X662" i="3"/>
  <c r="AA663" i="3"/>
  <c r="Q665" i="3"/>
  <c r="T666" i="3"/>
  <c r="W667" i="3"/>
  <c r="Z668" i="3"/>
  <c r="P670" i="3"/>
  <c r="R671" i="3"/>
  <c r="P672" i="3"/>
  <c r="Q673" i="3"/>
  <c r="R674" i="3"/>
  <c r="P675" i="3"/>
  <c r="Q676" i="3"/>
  <c r="AB676" i="3"/>
  <c r="AB677" i="3"/>
  <c r="Y678" i="3"/>
  <c r="X679" i="3"/>
  <c r="U680" i="3"/>
  <c r="AE680" i="3" s="1"/>
  <c r="R681" i="3"/>
  <c r="Q682" i="3"/>
  <c r="AA682" i="3"/>
  <c r="X683" i="3"/>
  <c r="T684" i="3"/>
  <c r="Q685" i="3"/>
  <c r="Z685" i="3"/>
  <c r="V686" i="3"/>
  <c r="R687" i="3"/>
  <c r="AA687" i="3"/>
  <c r="W688" i="3"/>
  <c r="S689" i="3"/>
  <c r="P690" i="3"/>
  <c r="Y690" i="3"/>
  <c r="U691" i="3"/>
  <c r="Q692" i="3"/>
  <c r="Z692" i="3"/>
  <c r="V693" i="3"/>
  <c r="R694" i="3"/>
  <c r="AB694" i="3"/>
  <c r="X695" i="3"/>
  <c r="T696" i="3"/>
  <c r="P697" i="3"/>
  <c r="Y697" i="3"/>
  <c r="U698" i="3"/>
  <c r="AE698" i="3" s="1"/>
  <c r="Q699" i="3"/>
  <c r="AA699" i="3"/>
  <c r="W700" i="3"/>
  <c r="S701" i="3"/>
  <c r="AA701" i="3"/>
  <c r="V702" i="3"/>
  <c r="Q703" i="3"/>
  <c r="Y703" i="3"/>
  <c r="T704" i="3"/>
  <c r="AB704" i="3"/>
  <c r="W705" i="3"/>
  <c r="R706" i="3"/>
  <c r="Z706" i="3"/>
  <c r="U707" i="3"/>
  <c r="AE707" i="3" s="1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AE715" i="3" s="1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AE771" i="3" s="1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AE779" i="3" s="1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X633" i="3"/>
  <c r="W638" i="3"/>
  <c r="S642" i="3"/>
  <c r="Y644" i="3"/>
  <c r="W646" i="3"/>
  <c r="AB647" i="3"/>
  <c r="R649" i="3"/>
  <c r="U650" i="3"/>
  <c r="AE650" i="3" s="1"/>
  <c r="X651" i="3"/>
  <c r="AA652" i="3"/>
  <c r="Q654" i="3"/>
  <c r="T655" i="3"/>
  <c r="W656" i="3"/>
  <c r="Z657" i="3"/>
  <c r="P659" i="3"/>
  <c r="S660" i="3"/>
  <c r="V661" i="3"/>
  <c r="Y662" i="3"/>
  <c r="AB663" i="3"/>
  <c r="R665" i="3"/>
  <c r="U666" i="3"/>
  <c r="AE666" i="3" s="1"/>
  <c r="X667" i="3"/>
  <c r="AA668" i="3"/>
  <c r="Q670" i="3"/>
  <c r="S671" i="3"/>
  <c r="T672" i="3"/>
  <c r="R673" i="3"/>
  <c r="S674" i="3"/>
  <c r="Q675" i="3"/>
  <c r="R676" i="3"/>
  <c r="S677" i="3"/>
  <c r="P678" i="3"/>
  <c r="Z678" i="3"/>
  <c r="Y679" i="3"/>
  <c r="V680" i="3"/>
  <c r="S681" i="3"/>
  <c r="R682" i="3"/>
  <c r="AB682" i="3"/>
  <c r="Y683" i="3"/>
  <c r="V684" i="3"/>
  <c r="R685" i="3"/>
  <c r="AA685" i="3"/>
  <c r="W686" i="3"/>
  <c r="S687" i="3"/>
  <c r="AB687" i="3"/>
  <c r="X688" i="3"/>
  <c r="U689" i="3"/>
  <c r="AE689" i="3" s="1"/>
  <c r="Q690" i="3"/>
  <c r="Z690" i="3"/>
  <c r="V691" i="3"/>
  <c r="R692" i="3"/>
  <c r="AA692" i="3"/>
  <c r="W693" i="3"/>
  <c r="T694" i="3"/>
  <c r="P695" i="3"/>
  <c r="Y695" i="3"/>
  <c r="U696" i="3"/>
  <c r="AE696" i="3" s="1"/>
  <c r="Q697" i="3"/>
  <c r="Z697" i="3"/>
  <c r="V698" i="3"/>
  <c r="S699" i="3"/>
  <c r="AB699" i="3"/>
  <c r="X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634" i="3"/>
  <c r="R639" i="3"/>
  <c r="U642" i="3"/>
  <c r="AE642" i="3" s="1"/>
  <c r="AA644" i="3"/>
  <c r="X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S665" i="3"/>
  <c r="V666" i="3"/>
  <c r="Y667" i="3"/>
  <c r="AB668" i="3"/>
  <c r="R670" i="3"/>
  <c r="T671" i="3"/>
  <c r="U672" i="3"/>
  <c r="S673" i="3"/>
  <c r="T674" i="3"/>
  <c r="U675" i="3"/>
  <c r="AE675" i="3" s="1"/>
  <c r="S676" i="3"/>
  <c r="T677" i="3"/>
  <c r="Q678" i="3"/>
  <c r="P679" i="3"/>
  <c r="Z679" i="3"/>
  <c r="W680" i="3"/>
  <c r="V681" i="3"/>
  <c r="S682" i="3"/>
  <c r="P683" i="3"/>
  <c r="AA683" i="3"/>
  <c r="W684" i="3"/>
  <c r="S685" i="3"/>
  <c r="AB685" i="3"/>
  <c r="X686" i="3"/>
  <c r="T687" i="3"/>
  <c r="P688" i="3"/>
  <c r="Z688" i="3"/>
  <c r="V689" i="3"/>
  <c r="R690" i="3"/>
  <c r="AA690" i="3"/>
  <c r="W691" i="3"/>
  <c r="S692" i="3"/>
  <c r="AB692" i="3"/>
  <c r="Y693" i="3"/>
  <c r="U694" i="3"/>
  <c r="AE694" i="3" s="1"/>
  <c r="Q695" i="3"/>
  <c r="Z695" i="3"/>
  <c r="V696" i="3"/>
  <c r="R697" i="3"/>
  <c r="AA697" i="3"/>
  <c r="X698" i="3"/>
  <c r="T699" i="3"/>
  <c r="P700" i="3"/>
  <c r="Y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AA634" i="3"/>
  <c r="Z639" i="3"/>
  <c r="AA642" i="3"/>
  <c r="T645" i="3"/>
  <c r="Y646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U664" i="3"/>
  <c r="AE664" i="3" s="1"/>
  <c r="X665" i="3"/>
  <c r="AA666" i="3"/>
  <c r="Q668" i="3"/>
  <c r="T669" i="3"/>
  <c r="W670" i="3"/>
  <c r="U671" i="3"/>
  <c r="AE671" i="3" s="1"/>
  <c r="V672" i="3"/>
  <c r="W673" i="3"/>
  <c r="U674" i="3"/>
  <c r="AE674" i="3" s="1"/>
  <c r="V675" i="3"/>
  <c r="T676" i="3"/>
  <c r="U677" i="3"/>
  <c r="AE677" i="3" s="1"/>
  <c r="R678" i="3"/>
  <c r="Q679" i="3"/>
  <c r="AA679" i="3"/>
  <c r="X680" i="3"/>
  <c r="W681" i="3"/>
  <c r="T682" i="3"/>
  <c r="Q683" i="3"/>
  <c r="AB683" i="3"/>
  <c r="X684" i="3"/>
  <c r="T685" i="3"/>
  <c r="P686" i="3"/>
  <c r="Y686" i="3"/>
  <c r="U687" i="3"/>
  <c r="AE687" i="3" s="1"/>
  <c r="R688" i="3"/>
  <c r="AA688" i="3"/>
  <c r="W689" i="3"/>
  <c r="S690" i="3"/>
  <c r="AB690" i="3"/>
  <c r="X691" i="3"/>
  <c r="T692" i="3"/>
  <c r="Q693" i="3"/>
  <c r="Z693" i="3"/>
  <c r="V694" i="3"/>
  <c r="R695" i="3"/>
  <c r="AA695" i="3"/>
  <c r="W696" i="3"/>
  <c r="S697" i="3"/>
  <c r="P698" i="3"/>
  <c r="Y698" i="3"/>
  <c r="U699" i="3"/>
  <c r="AE699" i="3" s="1"/>
  <c r="Q700" i="3"/>
  <c r="Z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AE722" i="3" s="1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V635" i="3"/>
  <c r="U640" i="3"/>
  <c r="AE640" i="3" s="1"/>
  <c r="P643" i="3"/>
  <c r="U645" i="3"/>
  <c r="AE645" i="3" s="1"/>
  <c r="R647" i="3"/>
  <c r="V648" i="3"/>
  <c r="Y649" i="3"/>
  <c r="AB650" i="3"/>
  <c r="R652" i="3"/>
  <c r="U653" i="3"/>
  <c r="AE653" i="3" s="1"/>
  <c r="X654" i="3"/>
  <c r="AA655" i="3"/>
  <c r="Q657" i="3"/>
  <c r="T658" i="3"/>
  <c r="W659" i="3"/>
  <c r="Z660" i="3"/>
  <c r="P662" i="3"/>
  <c r="S663" i="3"/>
  <c r="V664" i="3"/>
  <c r="Y665" i="3"/>
  <c r="AB666" i="3"/>
  <c r="R668" i="3"/>
  <c r="U669" i="3"/>
  <c r="AE669" i="3" s="1"/>
  <c r="X670" i="3"/>
  <c r="Y671" i="3"/>
  <c r="W672" i="3"/>
  <c r="X673" i="3"/>
  <c r="V674" i="3"/>
  <c r="W675" i="3"/>
  <c r="X676" i="3"/>
  <c r="V677" i="3"/>
  <c r="U678" i="3"/>
  <c r="AE678" i="3" s="1"/>
  <c r="R679" i="3"/>
  <c r="AB679" i="3"/>
  <c r="AA680" i="3"/>
  <c r="X681" i="3"/>
  <c r="U682" i="3"/>
  <c r="AE682" i="3" s="1"/>
  <c r="T683" i="3"/>
  <c r="P684" i="3"/>
  <c r="Y684" i="3"/>
  <c r="U685" i="3"/>
  <c r="AE685" i="3" s="1"/>
  <c r="Q686" i="3"/>
  <c r="Z686" i="3"/>
  <c r="W687" i="3"/>
  <c r="S688" i="3"/>
  <c r="AB688" i="3"/>
  <c r="X689" i="3"/>
  <c r="T690" i="3"/>
  <c r="P691" i="3"/>
  <c r="Y691" i="3"/>
  <c r="V692" i="3"/>
  <c r="R693" i="3"/>
  <c r="AA693" i="3"/>
  <c r="W694" i="3"/>
  <c r="S695" i="3"/>
  <c r="AB695" i="3"/>
  <c r="X696" i="3"/>
  <c r="U697" i="3"/>
  <c r="AE697" i="3" s="1"/>
  <c r="Q698" i="3"/>
  <c r="Z698" i="3"/>
  <c r="V699" i="3"/>
  <c r="R700" i="3"/>
  <c r="AA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AE711" i="3" s="1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AE751" i="3" s="1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Q636" i="3"/>
  <c r="P641" i="3"/>
  <c r="V643" i="3"/>
  <c r="V645" i="3"/>
  <c r="S647" i="3"/>
  <c r="W648" i="3"/>
  <c r="Z649" i="3"/>
  <c r="P651" i="3"/>
  <c r="S652" i="3"/>
  <c r="V653" i="3"/>
  <c r="Y654" i="3"/>
  <c r="AB655" i="3"/>
  <c r="R657" i="3"/>
  <c r="U658" i="3"/>
  <c r="AE658" i="3" s="1"/>
  <c r="X659" i="3"/>
  <c r="AA660" i="3"/>
  <c r="Q662" i="3"/>
  <c r="T663" i="3"/>
  <c r="W664" i="3"/>
  <c r="Z665" i="3"/>
  <c r="P667" i="3"/>
  <c r="S668" i="3"/>
  <c r="V669" i="3"/>
  <c r="Y670" i="3"/>
  <c r="Z671" i="3"/>
  <c r="X672" i="3"/>
  <c r="Y673" i="3"/>
  <c r="Z674" i="3"/>
  <c r="X675" i="3"/>
  <c r="Y676" i="3"/>
  <c r="W677" i="3"/>
  <c r="V678" i="3"/>
  <c r="S679" i="3"/>
  <c r="P680" i="3"/>
  <c r="AB680" i="3"/>
  <c r="Y681" i="3"/>
  <c r="V682" i="3"/>
  <c r="U683" i="3"/>
  <c r="AE683" i="3" s="1"/>
  <c r="Q684" i="3"/>
  <c r="Z684" i="3"/>
  <c r="V685" i="3"/>
  <c r="R686" i="3"/>
  <c r="AB686" i="3"/>
  <c r="X687" i="3"/>
  <c r="T688" i="3"/>
  <c r="P689" i="3"/>
  <c r="Y689" i="3"/>
  <c r="U690" i="3"/>
  <c r="AE690" i="3" s="1"/>
  <c r="Q691" i="3"/>
  <c r="AA691" i="3"/>
  <c r="W692" i="3"/>
  <c r="S693" i="3"/>
  <c r="AB693" i="3"/>
  <c r="X694" i="3"/>
  <c r="T695" i="3"/>
  <c r="P696" i="3"/>
  <c r="Z696" i="3"/>
  <c r="V697" i="3"/>
  <c r="R698" i="3"/>
  <c r="AA698" i="3"/>
  <c r="W699" i="3"/>
  <c r="S700" i="3"/>
  <c r="AB700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Z756" i="3"/>
  <c r="Y761" i="3"/>
  <c r="T764" i="3"/>
  <c r="Z766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T783" i="3"/>
  <c r="W784" i="3"/>
  <c r="Z785" i="3"/>
  <c r="AA786" i="3"/>
  <c r="Y787" i="3"/>
  <c r="Z788" i="3"/>
  <c r="X789" i="3"/>
  <c r="Y790" i="3"/>
  <c r="Z791" i="3"/>
  <c r="X792" i="3"/>
  <c r="X793" i="3"/>
  <c r="U794" i="3"/>
  <c r="AE794" i="3" s="1"/>
  <c r="R795" i="3"/>
  <c r="Q796" i="3"/>
  <c r="AA796" i="3"/>
  <c r="X797" i="3"/>
  <c r="W798" i="3"/>
  <c r="T799" i="3"/>
  <c r="Q800" i="3"/>
  <c r="P801" i="3"/>
  <c r="Z801" i="3"/>
  <c r="W802" i="3"/>
  <c r="V803" i="3"/>
  <c r="S804" i="3"/>
  <c r="P805" i="3"/>
  <c r="AB805" i="3"/>
  <c r="Y806" i="3"/>
  <c r="U807" i="3"/>
  <c r="AE807" i="3" s="1"/>
  <c r="Q808" i="3"/>
  <c r="AA808" i="3"/>
  <c r="W809" i="3"/>
  <c r="S810" i="3"/>
  <c r="AB810" i="3"/>
  <c r="X811" i="3"/>
  <c r="T812" i="3"/>
  <c r="P813" i="3"/>
  <c r="Z813" i="3"/>
  <c r="V814" i="3"/>
  <c r="R815" i="3"/>
  <c r="AA815" i="3"/>
  <c r="W816" i="3"/>
  <c r="S817" i="3"/>
  <c r="AB817" i="3"/>
  <c r="Y818" i="3"/>
  <c r="U819" i="3"/>
  <c r="AE819" i="3" s="1"/>
  <c r="Q820" i="3"/>
  <c r="Z820" i="3"/>
  <c r="V821" i="3"/>
  <c r="R822" i="3"/>
  <c r="AA822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U757" i="3"/>
  <c r="AE757" i="3" s="1"/>
  <c r="T762" i="3"/>
  <c r="Z764" i="3"/>
  <c r="S767" i="3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AB786" i="3"/>
  <c r="Z787" i="3"/>
  <c r="AA788" i="3"/>
  <c r="AB789" i="3"/>
  <c r="Z790" i="3"/>
  <c r="AA791" i="3"/>
  <c r="Y792" i="3"/>
  <c r="Y793" i="3"/>
  <c r="V794" i="3"/>
  <c r="U795" i="3"/>
  <c r="AE795" i="3" s="1"/>
  <c r="R796" i="3"/>
  <c r="AB796" i="3"/>
  <c r="AA797" i="3"/>
  <c r="X798" i="3"/>
  <c r="U799" i="3"/>
  <c r="AE799" i="3" s="1"/>
  <c r="T800" i="3"/>
  <c r="Q801" i="3"/>
  <c r="AA801" i="3"/>
  <c r="Z802" i="3"/>
  <c r="W803" i="3"/>
  <c r="T804" i="3"/>
  <c r="S805" i="3"/>
  <c r="P806" i="3"/>
  <c r="Z806" i="3"/>
  <c r="V807" i="3"/>
  <c r="S808" i="3"/>
  <c r="AB808" i="3"/>
  <c r="X809" i="3"/>
  <c r="T810" i="3"/>
  <c r="P811" i="3"/>
  <c r="Y811" i="3"/>
  <c r="U812" i="3"/>
  <c r="AE812" i="3" s="1"/>
  <c r="R813" i="3"/>
  <c r="AA813" i="3"/>
  <c r="W814" i="3"/>
  <c r="S815" i="3"/>
  <c r="AB815" i="3"/>
  <c r="X816" i="3"/>
  <c r="T817" i="3"/>
  <c r="Q818" i="3"/>
  <c r="Z818" i="3"/>
  <c r="V819" i="3"/>
  <c r="R820" i="3"/>
  <c r="AA820" i="3"/>
  <c r="W821" i="3"/>
  <c r="S822" i="3"/>
  <c r="P823" i="3"/>
  <c r="Y823" i="3"/>
  <c r="T824" i="3"/>
  <c r="AB824" i="3"/>
  <c r="W825" i="3"/>
  <c r="R826" i="3"/>
  <c r="Z826" i="3"/>
  <c r="U827" i="3"/>
  <c r="AE827" i="3" s="1"/>
  <c r="P828" i="3"/>
  <c r="X828" i="3"/>
  <c r="S829" i="3"/>
  <c r="AA829" i="3"/>
  <c r="V830" i="3"/>
  <c r="Q831" i="3"/>
  <c r="Y831" i="3"/>
  <c r="T832" i="3"/>
  <c r="AB832" i="3"/>
  <c r="W833" i="3"/>
  <c r="R834" i="3"/>
  <c r="Z834" i="3"/>
  <c r="U835" i="3"/>
  <c r="AE835" i="3" s="1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AE843" i="3" s="1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AE859" i="3" s="1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P924" i="3"/>
  <c r="X924" i="3"/>
  <c r="S925" i="3"/>
  <c r="AA925" i="3"/>
  <c r="P758" i="3"/>
  <c r="V762" i="3"/>
  <c r="AB764" i="3"/>
  <c r="T767" i="3"/>
  <c r="Y768" i="3"/>
  <c r="AB769" i="3"/>
  <c r="R771" i="3"/>
  <c r="U772" i="3"/>
  <c r="AE772" i="3" s="1"/>
  <c r="X773" i="3"/>
  <c r="AA774" i="3"/>
  <c r="Q776" i="3"/>
  <c r="T777" i="3"/>
  <c r="W778" i="3"/>
  <c r="Z779" i="3"/>
  <c r="P781" i="3"/>
  <c r="S782" i="3"/>
  <c r="V783" i="3"/>
  <c r="Y784" i="3"/>
  <c r="AB785" i="3"/>
  <c r="P787" i="3"/>
  <c r="Q788" i="3"/>
  <c r="AB788" i="3"/>
  <c r="P790" i="3"/>
  <c r="AA790" i="3"/>
  <c r="AB791" i="3"/>
  <c r="P793" i="3"/>
  <c r="Z793" i="3"/>
  <c r="W794" i="3"/>
  <c r="V795" i="3"/>
  <c r="S796" i="3"/>
  <c r="P797" i="3"/>
  <c r="AB797" i="3"/>
  <c r="Y798" i="3"/>
  <c r="V799" i="3"/>
  <c r="U800" i="3"/>
  <c r="AE800" i="3" s="1"/>
  <c r="R801" i="3"/>
  <c r="AB801" i="3"/>
  <c r="AA802" i="3"/>
  <c r="X803" i="3"/>
  <c r="U804" i="3"/>
  <c r="AE804" i="3" s="1"/>
  <c r="T805" i="3"/>
  <c r="Q806" i="3"/>
  <c r="AA806" i="3"/>
  <c r="X807" i="3"/>
  <c r="T808" i="3"/>
  <c r="P809" i="3"/>
  <c r="Y809" i="3"/>
  <c r="U810" i="3"/>
  <c r="AE810" i="3" s="1"/>
  <c r="Q811" i="3"/>
  <c r="Z811" i="3"/>
  <c r="W812" i="3"/>
  <c r="S813" i="3"/>
  <c r="AB813" i="3"/>
  <c r="X814" i="3"/>
  <c r="T815" i="3"/>
  <c r="P816" i="3"/>
  <c r="Y816" i="3"/>
  <c r="V817" i="3"/>
  <c r="R818" i="3"/>
  <c r="AA818" i="3"/>
  <c r="W819" i="3"/>
  <c r="S820" i="3"/>
  <c r="AB820" i="3"/>
  <c r="X821" i="3"/>
  <c r="U822" i="3"/>
  <c r="AE822" i="3" s="1"/>
  <c r="Q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X758" i="3"/>
  <c r="AB762" i="3"/>
  <c r="U765" i="3"/>
  <c r="AE765" i="3" s="1"/>
  <c r="U767" i="3"/>
  <c r="AE767" i="3" s="1"/>
  <c r="Q769" i="3"/>
  <c r="T770" i="3"/>
  <c r="W771" i="3"/>
  <c r="Z772" i="3"/>
  <c r="P774" i="3"/>
  <c r="S775" i="3"/>
  <c r="V776" i="3"/>
  <c r="Y777" i="3"/>
  <c r="AB778" i="3"/>
  <c r="R780" i="3"/>
  <c r="U781" i="3"/>
  <c r="AE781" i="3" s="1"/>
  <c r="X782" i="3"/>
  <c r="AA783" i="3"/>
  <c r="Q785" i="3"/>
  <c r="S786" i="3"/>
  <c r="Q787" i="3"/>
  <c r="R788" i="3"/>
  <c r="P789" i="3"/>
  <c r="Q790" i="3"/>
  <c r="R791" i="3"/>
  <c r="P792" i="3"/>
  <c r="Q793" i="3"/>
  <c r="AA793" i="3"/>
  <c r="Z794" i="3"/>
  <c r="W795" i="3"/>
  <c r="T796" i="3"/>
  <c r="S797" i="3"/>
  <c r="P798" i="3"/>
  <c r="Z798" i="3"/>
  <c r="Y799" i="3"/>
  <c r="V800" i="3"/>
  <c r="S801" i="3"/>
  <c r="R802" i="3"/>
  <c r="AB802" i="3"/>
  <c r="Y803" i="3"/>
  <c r="X804" i="3"/>
  <c r="U805" i="3"/>
  <c r="AE805" i="3" s="1"/>
  <c r="R806" i="3"/>
  <c r="P807" i="3"/>
  <c r="Y807" i="3"/>
  <c r="U808" i="3"/>
  <c r="AE808" i="3" s="1"/>
  <c r="Q809" i="3"/>
  <c r="Z809" i="3"/>
  <c r="V810" i="3"/>
  <c r="R811" i="3"/>
  <c r="AB811" i="3"/>
  <c r="X812" i="3"/>
  <c r="T813" i="3"/>
  <c r="P814" i="3"/>
  <c r="Y814" i="3"/>
  <c r="U815" i="3"/>
  <c r="AE815" i="3" s="1"/>
  <c r="Q816" i="3"/>
  <c r="AA816" i="3"/>
  <c r="W817" i="3"/>
  <c r="S818" i="3"/>
  <c r="AB818" i="3"/>
  <c r="X819" i="3"/>
  <c r="T820" i="3"/>
  <c r="P821" i="3"/>
  <c r="Z821" i="3"/>
  <c r="V822" i="3"/>
  <c r="R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759" i="3"/>
  <c r="Q763" i="3"/>
  <c r="W765" i="3"/>
  <c r="AA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T786" i="3"/>
  <c r="R787" i="3"/>
  <c r="S788" i="3"/>
  <c r="T789" i="3"/>
  <c r="R790" i="3"/>
  <c r="S791" i="3"/>
  <c r="Q792" i="3"/>
  <c r="R793" i="3"/>
  <c r="AB793" i="3"/>
  <c r="AA794" i="3"/>
  <c r="X795" i="3"/>
  <c r="U796" i="3"/>
  <c r="AE796" i="3" s="1"/>
  <c r="T797" i="3"/>
  <c r="Q798" i="3"/>
  <c r="AA798" i="3"/>
  <c r="Z799" i="3"/>
  <c r="W800" i="3"/>
  <c r="T801" i="3"/>
  <c r="S802" i="3"/>
  <c r="P803" i="3"/>
  <c r="Z803" i="3"/>
  <c r="Y804" i="3"/>
  <c r="V805" i="3"/>
  <c r="S806" i="3"/>
  <c r="Q807" i="3"/>
  <c r="Z807" i="3"/>
  <c r="V808" i="3"/>
  <c r="R809" i="3"/>
  <c r="AA809" i="3"/>
  <c r="W810" i="3"/>
  <c r="T811" i="3"/>
  <c r="P812" i="3"/>
  <c r="Y812" i="3"/>
  <c r="U813" i="3"/>
  <c r="AE813" i="3" s="1"/>
  <c r="Q814" i="3"/>
  <c r="Z814" i="3"/>
  <c r="V815" i="3"/>
  <c r="S816" i="3"/>
  <c r="AB816" i="3"/>
  <c r="X817" i="3"/>
  <c r="T818" i="3"/>
  <c r="P819" i="3"/>
  <c r="Y819" i="3"/>
  <c r="U820" i="3"/>
  <c r="AE820" i="3" s="1"/>
  <c r="R821" i="3"/>
  <c r="AA821" i="3"/>
  <c r="W822" i="3"/>
  <c r="S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A759" i="3"/>
  <c r="W763" i="3"/>
  <c r="P766" i="3"/>
  <c r="AB767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U786" i="3"/>
  <c r="AE786" i="3" s="1"/>
  <c r="V787" i="3"/>
  <c r="T788" i="3"/>
  <c r="U789" i="3"/>
  <c r="AE789" i="3" s="1"/>
  <c r="S790" i="3"/>
  <c r="T791" i="3"/>
  <c r="U792" i="3"/>
  <c r="AE792" i="3" s="1"/>
  <c r="S793" i="3"/>
  <c r="R794" i="3"/>
  <c r="AB794" i="3"/>
  <c r="Y795" i="3"/>
  <c r="X796" i="3"/>
  <c r="U797" i="3"/>
  <c r="AE797" i="3" s="1"/>
  <c r="R798" i="3"/>
  <c r="Q799" i="3"/>
  <c r="AA799" i="3"/>
  <c r="X800" i="3"/>
  <c r="W801" i="3"/>
  <c r="T802" i="3"/>
  <c r="Q803" i="3"/>
  <c r="P804" i="3"/>
  <c r="Z804" i="3"/>
  <c r="W805" i="3"/>
  <c r="V806" i="3"/>
  <c r="R807" i="3"/>
  <c r="AA807" i="3"/>
  <c r="W808" i="3"/>
  <c r="S809" i="3"/>
  <c r="AB809" i="3"/>
  <c r="Y810" i="3"/>
  <c r="U811" i="3"/>
  <c r="AE811" i="3" s="1"/>
  <c r="Q812" i="3"/>
  <c r="Z812" i="3"/>
  <c r="V813" i="3"/>
  <c r="R814" i="3"/>
  <c r="AA814" i="3"/>
  <c r="X815" i="3"/>
  <c r="T816" i="3"/>
  <c r="P817" i="3"/>
  <c r="Y817" i="3"/>
  <c r="U818" i="3"/>
  <c r="AE818" i="3" s="1"/>
  <c r="Q819" i="3"/>
  <c r="Z819" i="3"/>
  <c r="W820" i="3"/>
  <c r="S821" i="3"/>
  <c r="AB821" i="3"/>
  <c r="X822" i="3"/>
  <c r="T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V760" i="3"/>
  <c r="Y763" i="3"/>
  <c r="R766" i="3"/>
  <c r="P768" i="3"/>
  <c r="T769" i="3"/>
  <c r="W770" i="3"/>
  <c r="Z771" i="3"/>
  <c r="P773" i="3"/>
  <c r="S774" i="3"/>
  <c r="V775" i="3"/>
  <c r="Y776" i="3"/>
  <c r="AB777" i="3"/>
  <c r="R779" i="3"/>
  <c r="U780" i="3"/>
  <c r="AE780" i="3" s="1"/>
  <c r="X781" i="3"/>
  <c r="AA782" i="3"/>
  <c r="Q784" i="3"/>
  <c r="T785" i="3"/>
  <c r="V786" i="3"/>
  <c r="W787" i="3"/>
  <c r="U788" i="3"/>
  <c r="AE788" i="3" s="1"/>
  <c r="V789" i="3"/>
  <c r="W790" i="3"/>
  <c r="U791" i="3"/>
  <c r="AE791" i="3" s="1"/>
  <c r="V792" i="3"/>
  <c r="T793" i="3"/>
  <c r="S794" i="3"/>
  <c r="P795" i="3"/>
  <c r="Z795" i="3"/>
  <c r="Y796" i="3"/>
  <c r="V797" i="3"/>
  <c r="S798" i="3"/>
  <c r="R799" i="3"/>
  <c r="AB799" i="3"/>
  <c r="Y800" i="3"/>
  <c r="X801" i="3"/>
  <c r="U802" i="3"/>
  <c r="AE802" i="3" s="1"/>
  <c r="R803" i="3"/>
  <c r="Q804" i="3"/>
  <c r="AA804" i="3"/>
  <c r="X805" i="3"/>
  <c r="W806" i="3"/>
  <c r="S807" i="3"/>
  <c r="AB807" i="3"/>
  <c r="X808" i="3"/>
  <c r="T809" i="3"/>
  <c r="Q810" i="3"/>
  <c r="Z810" i="3"/>
  <c r="V811" i="3"/>
  <c r="R812" i="3"/>
  <c r="AA812" i="3"/>
  <c r="W813" i="3"/>
  <c r="S814" i="3"/>
  <c r="P815" i="3"/>
  <c r="Y815" i="3"/>
  <c r="U816" i="3"/>
  <c r="AE816" i="3" s="1"/>
  <c r="Q817" i="3"/>
  <c r="Z817" i="3"/>
  <c r="V818" i="3"/>
  <c r="R819" i="3"/>
  <c r="AB819" i="3"/>
  <c r="X820" i="3"/>
  <c r="T821" i="3"/>
  <c r="P822" i="3"/>
  <c r="Y822" i="3"/>
  <c r="U823" i="3"/>
  <c r="AE823" i="3" s="1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761" i="3"/>
  <c r="R764" i="3"/>
  <c r="X766" i="3"/>
  <c r="V768" i="3"/>
  <c r="Y769" i="3"/>
  <c r="AB770" i="3"/>
  <c r="R772" i="3"/>
  <c r="U773" i="3"/>
  <c r="AE773" i="3" s="1"/>
  <c r="X774" i="3"/>
  <c r="AA775" i="3"/>
  <c r="Q777" i="3"/>
  <c r="T778" i="3"/>
  <c r="W779" i="3"/>
  <c r="Z780" i="3"/>
  <c r="P782" i="3"/>
  <c r="S783" i="3"/>
  <c r="V784" i="3"/>
  <c r="Y785" i="3"/>
  <c r="W786" i="3"/>
  <c r="X787" i="3"/>
  <c r="Y788" i="3"/>
  <c r="W789" i="3"/>
  <c r="X790" i="3"/>
  <c r="V791" i="3"/>
  <c r="W792" i="3"/>
  <c r="W793" i="3"/>
  <c r="T794" i="3"/>
  <c r="Q795" i="3"/>
  <c r="P796" i="3"/>
  <c r="Z796" i="3"/>
  <c r="W797" i="3"/>
  <c r="V798" i="3"/>
  <c r="S799" i="3"/>
  <c r="P800" i="3"/>
  <c r="AB800" i="3"/>
  <c r="Y801" i="3"/>
  <c r="V802" i="3"/>
  <c r="U803" i="3"/>
  <c r="AE803" i="3" s="1"/>
  <c r="R804" i="3"/>
  <c r="AB804" i="3"/>
  <c r="AA805" i="3"/>
  <c r="X806" i="3"/>
  <c r="T807" i="3"/>
  <c r="P808" i="3"/>
  <c r="Y808" i="3"/>
  <c r="V809" i="3"/>
  <c r="R810" i="3"/>
  <c r="AA810" i="3"/>
  <c r="W811" i="3"/>
  <c r="S812" i="3"/>
  <c r="AB812" i="3"/>
  <c r="X813" i="3"/>
  <c r="U814" i="3"/>
  <c r="AE814" i="3" s="1"/>
  <c r="Q815" i="3"/>
  <c r="Z815" i="3"/>
  <c r="V816" i="3"/>
  <c r="R817" i="3"/>
  <c r="AA817" i="3"/>
  <c r="W818" i="3"/>
  <c r="T819" i="3"/>
  <c r="P820" i="3"/>
  <c r="Y820" i="3"/>
  <c r="U821" i="3"/>
  <c r="AE821" i="3" s="1"/>
  <c r="Q822" i="3"/>
  <c r="Z822" i="3"/>
  <c r="V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AB887" i="3"/>
  <c r="U890" i="3"/>
  <c r="AE890" i="3" s="1"/>
  <c r="AA892" i="3"/>
  <c r="T895" i="3"/>
  <c r="R897" i="3"/>
  <c r="V898" i="3"/>
  <c r="Y899" i="3"/>
  <c r="AB900" i="3"/>
  <c r="R902" i="3"/>
  <c r="U903" i="3"/>
  <c r="AE903" i="3" s="1"/>
  <c r="X904" i="3"/>
  <c r="AA905" i="3"/>
  <c r="Q907" i="3"/>
  <c r="T908" i="3"/>
  <c r="W909" i="3"/>
  <c r="Z910" i="3"/>
  <c r="AA911" i="3"/>
  <c r="Y912" i="3"/>
  <c r="Z913" i="3"/>
  <c r="X914" i="3"/>
  <c r="Y915" i="3"/>
  <c r="Z916" i="3"/>
  <c r="X917" i="3"/>
  <c r="Y918" i="3"/>
  <c r="W919" i="3"/>
  <c r="W920" i="3"/>
  <c r="T921" i="3"/>
  <c r="S922" i="3"/>
  <c r="P923" i="3"/>
  <c r="Z923" i="3"/>
  <c r="Y924" i="3"/>
  <c r="V925" i="3"/>
  <c r="S926" i="3"/>
  <c r="AB926" i="3"/>
  <c r="Y927" i="3"/>
  <c r="U928" i="3"/>
  <c r="AE928" i="3" s="1"/>
  <c r="Q929" i="3"/>
  <c r="Z929" i="3"/>
  <c r="V930" i="3"/>
  <c r="R931" i="3"/>
  <c r="AA931" i="3"/>
  <c r="X932" i="3"/>
  <c r="T933" i="3"/>
  <c r="P934" i="3"/>
  <c r="Y934" i="3"/>
  <c r="U935" i="3"/>
  <c r="AE935" i="3" s="1"/>
  <c r="Q936" i="3"/>
  <c r="Z936" i="3"/>
  <c r="W937" i="3"/>
  <c r="S938" i="3"/>
  <c r="AB938" i="3"/>
  <c r="X939" i="3"/>
  <c r="T940" i="3"/>
  <c r="P941" i="3"/>
  <c r="Y941" i="3"/>
  <c r="V942" i="3"/>
  <c r="R943" i="3"/>
  <c r="AA943" i="3"/>
  <c r="W944" i="3"/>
  <c r="S945" i="3"/>
  <c r="AB945" i="3"/>
  <c r="X946" i="3"/>
  <c r="U947" i="3"/>
  <c r="AE947" i="3" s="1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Y998" i="3"/>
  <c r="AA993" i="3"/>
  <c r="AB996" i="3"/>
  <c r="Z998" i="3"/>
  <c r="R987" i="3"/>
  <c r="V991" i="3"/>
  <c r="Z995" i="3"/>
  <c r="V999" i="3"/>
  <c r="Z992" i="3"/>
  <c r="V996" i="3"/>
  <c r="W999" i="3"/>
  <c r="T995" i="3"/>
  <c r="Q888" i="3"/>
  <c r="W890" i="3"/>
  <c r="P893" i="3"/>
  <c r="V895" i="3"/>
  <c r="T897" i="3"/>
  <c r="W898" i="3"/>
  <c r="Z899" i="3"/>
  <c r="P901" i="3"/>
  <c r="S902" i="3"/>
  <c r="V903" i="3"/>
  <c r="Y904" i="3"/>
  <c r="AB905" i="3"/>
  <c r="R907" i="3"/>
  <c r="U908" i="3"/>
  <c r="AE908" i="3" s="1"/>
  <c r="X909" i="3"/>
  <c r="AA910" i="3"/>
  <c r="AB911" i="3"/>
  <c r="Z912" i="3"/>
  <c r="AA913" i="3"/>
  <c r="AB914" i="3"/>
  <c r="Z915" i="3"/>
  <c r="AA916" i="3"/>
  <c r="Y917" i="3"/>
  <c r="Z918" i="3"/>
  <c r="AA919" i="3"/>
  <c r="X920" i="3"/>
  <c r="U921" i="3"/>
  <c r="AE921" i="3" s="1"/>
  <c r="T922" i="3"/>
  <c r="Q923" i="3"/>
  <c r="AA923" i="3"/>
  <c r="Z924" i="3"/>
  <c r="W925" i="3"/>
  <c r="T926" i="3"/>
  <c r="Q927" i="3"/>
  <c r="Z927" i="3"/>
  <c r="V928" i="3"/>
  <c r="R929" i="3"/>
  <c r="AA929" i="3"/>
  <c r="W930" i="3"/>
  <c r="S931" i="3"/>
  <c r="P932" i="3"/>
  <c r="Y932" i="3"/>
  <c r="U933" i="3"/>
  <c r="AE933" i="3" s="1"/>
  <c r="Q934" i="3"/>
  <c r="Z934" i="3"/>
  <c r="V935" i="3"/>
  <c r="R936" i="3"/>
  <c r="AB936" i="3"/>
  <c r="X937" i="3"/>
  <c r="T938" i="3"/>
  <c r="P939" i="3"/>
  <c r="Y939" i="3"/>
  <c r="U940" i="3"/>
  <c r="Q941" i="3"/>
  <c r="AA941" i="3"/>
  <c r="W942" i="3"/>
  <c r="S943" i="3"/>
  <c r="AB943" i="3"/>
  <c r="X944" i="3"/>
  <c r="T945" i="3"/>
  <c r="P946" i="3"/>
  <c r="Z946" i="3"/>
  <c r="V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Q998" i="3"/>
  <c r="S993" i="3"/>
  <c r="T996" i="3"/>
  <c r="R998" i="3"/>
  <c r="T985" i="3"/>
  <c r="AA990" i="3"/>
  <c r="AB993" i="3"/>
  <c r="S998" i="3"/>
  <c r="T990" i="3"/>
  <c r="P994" i="3"/>
  <c r="Q997" i="3"/>
  <c r="Q994" i="3"/>
  <c r="Z997" i="3"/>
  <c r="W888" i="3"/>
  <c r="P891" i="3"/>
  <c r="V893" i="3"/>
  <c r="AB895" i="3"/>
  <c r="U897" i="3"/>
  <c r="AE897" i="3" s="1"/>
  <c r="X898" i="3"/>
  <c r="AA899" i="3"/>
  <c r="Q901" i="3"/>
  <c r="T902" i="3"/>
  <c r="W903" i="3"/>
  <c r="Z904" i="3"/>
  <c r="P906" i="3"/>
  <c r="S907" i="3"/>
  <c r="V908" i="3"/>
  <c r="Y909" i="3"/>
  <c r="AB910" i="3"/>
  <c r="P912" i="3"/>
  <c r="Q913" i="3"/>
  <c r="AB913" i="3"/>
  <c r="P915" i="3"/>
  <c r="AA915" i="3"/>
  <c r="AB916" i="3"/>
  <c r="P918" i="3"/>
  <c r="AA918" i="3"/>
  <c r="AB919" i="3"/>
  <c r="Y920" i="3"/>
  <c r="X921" i="3"/>
  <c r="U922" i="3"/>
  <c r="AE922" i="3" s="1"/>
  <c r="R923" i="3"/>
  <c r="Q924" i="3"/>
  <c r="AA924" i="3"/>
  <c r="X925" i="3"/>
  <c r="V926" i="3"/>
  <c r="R927" i="3"/>
  <c r="AA927" i="3"/>
  <c r="W928" i="3"/>
  <c r="S929" i="3"/>
  <c r="AB929" i="3"/>
  <c r="X930" i="3"/>
  <c r="U931" i="3"/>
  <c r="AE931" i="3" s="1"/>
  <c r="Q932" i="3"/>
  <c r="Z932" i="3"/>
  <c r="V933" i="3"/>
  <c r="R934" i="3"/>
  <c r="AA934" i="3"/>
  <c r="W935" i="3"/>
  <c r="T936" i="3"/>
  <c r="P937" i="3"/>
  <c r="Y937" i="3"/>
  <c r="U938" i="3"/>
  <c r="AE938" i="3" s="1"/>
  <c r="Q939" i="3"/>
  <c r="Z939" i="3"/>
  <c r="V940" i="3"/>
  <c r="S941" i="3"/>
  <c r="AB941" i="3"/>
  <c r="X942" i="3"/>
  <c r="T943" i="3"/>
  <c r="P944" i="3"/>
  <c r="Y944" i="3"/>
  <c r="U945" i="3"/>
  <c r="AE945" i="3" s="1"/>
  <c r="R946" i="3"/>
  <c r="AA946" i="3"/>
  <c r="W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T999" i="3"/>
  <c r="AB999" i="3"/>
  <c r="W986" i="3"/>
  <c r="S990" i="3"/>
  <c r="T993" i="3"/>
  <c r="R995" i="3"/>
  <c r="P997" i="3"/>
  <c r="AA998" i="3"/>
  <c r="W991" i="3"/>
  <c r="S995" i="3"/>
  <c r="T998" i="3"/>
  <c r="AB995" i="3"/>
  <c r="P999" i="3"/>
  <c r="Y888" i="3"/>
  <c r="R891" i="3"/>
  <c r="X893" i="3"/>
  <c r="Q896" i="3"/>
  <c r="Z897" i="3"/>
  <c r="P899" i="3"/>
  <c r="S900" i="3"/>
  <c r="V901" i="3"/>
  <c r="Y902" i="3"/>
  <c r="AB903" i="3"/>
  <c r="R905" i="3"/>
  <c r="U906" i="3"/>
  <c r="AE906" i="3" s="1"/>
  <c r="X907" i="3"/>
  <c r="AA908" i="3"/>
  <c r="Q910" i="3"/>
  <c r="S911" i="3"/>
  <c r="Q912" i="3"/>
  <c r="R913" i="3"/>
  <c r="P914" i="3"/>
  <c r="Q915" i="3"/>
  <c r="R916" i="3"/>
  <c r="P917" i="3"/>
  <c r="Q918" i="3"/>
  <c r="AB918" i="3"/>
  <c r="P920" i="3"/>
  <c r="Z920" i="3"/>
  <c r="Y921" i="3"/>
  <c r="V922" i="3"/>
  <c r="S923" i="3"/>
  <c r="R924" i="3"/>
  <c r="AB924" i="3"/>
  <c r="Y925" i="3"/>
  <c r="W926" i="3"/>
  <c r="S927" i="3"/>
  <c r="AB927" i="3"/>
  <c r="X928" i="3"/>
  <c r="T929" i="3"/>
  <c r="P930" i="3"/>
  <c r="Z930" i="3"/>
  <c r="V931" i="3"/>
  <c r="R932" i="3"/>
  <c r="AA932" i="3"/>
  <c r="W933" i="3"/>
  <c r="S934" i="3"/>
  <c r="AB934" i="3"/>
  <c r="Y935" i="3"/>
  <c r="U936" i="3"/>
  <c r="AE936" i="3" s="1"/>
  <c r="Q937" i="3"/>
  <c r="Z937" i="3"/>
  <c r="V938" i="3"/>
  <c r="R939" i="3"/>
  <c r="AA939" i="3"/>
  <c r="X940" i="3"/>
  <c r="T941" i="3"/>
  <c r="P942" i="3"/>
  <c r="Y942" i="3"/>
  <c r="U943" i="3"/>
  <c r="AE943" i="3" s="1"/>
  <c r="Q944" i="3"/>
  <c r="Z944" i="3"/>
  <c r="W945" i="3"/>
  <c r="S946" i="3"/>
  <c r="AB946" i="3"/>
  <c r="X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V994" i="3"/>
  <c r="Q995" i="3"/>
  <c r="Y995" i="3"/>
  <c r="W997" i="3"/>
  <c r="U999" i="3"/>
  <c r="AE999" i="3" s="1"/>
  <c r="U988" i="3"/>
  <c r="AE988" i="3" s="1"/>
  <c r="Q992" i="3"/>
  <c r="W994" i="3"/>
  <c r="X997" i="3"/>
  <c r="AB990" i="3"/>
  <c r="X994" i="3"/>
  <c r="AB998" i="3"/>
  <c r="W996" i="3"/>
  <c r="U998" i="3"/>
  <c r="AE998" i="3" s="1"/>
  <c r="R889" i="3"/>
  <c r="X891" i="3"/>
  <c r="Q894" i="3"/>
  <c r="R896" i="3"/>
  <c r="AA897" i="3"/>
  <c r="Q899" i="3"/>
  <c r="T900" i="3"/>
  <c r="W901" i="3"/>
  <c r="Z902" i="3"/>
  <c r="P904" i="3"/>
  <c r="S905" i="3"/>
  <c r="V906" i="3"/>
  <c r="Y907" i="3"/>
  <c r="AB908" i="3"/>
  <c r="R910" i="3"/>
  <c r="T911" i="3"/>
  <c r="R912" i="3"/>
  <c r="S913" i="3"/>
  <c r="T914" i="3"/>
  <c r="R915" i="3"/>
  <c r="S916" i="3"/>
  <c r="Q917" i="3"/>
  <c r="R918" i="3"/>
  <c r="S919" i="3"/>
  <c r="Q920" i="3"/>
  <c r="P921" i="3"/>
  <c r="Z921" i="3"/>
  <c r="W922" i="3"/>
  <c r="V923" i="3"/>
  <c r="S924" i="3"/>
  <c r="P925" i="3"/>
  <c r="AB925" i="3"/>
  <c r="X926" i="3"/>
  <c r="T927" i="3"/>
  <c r="P928" i="3"/>
  <c r="Y928" i="3"/>
  <c r="U929" i="3"/>
  <c r="AE929" i="3" s="1"/>
  <c r="R930" i="3"/>
  <c r="AA930" i="3"/>
  <c r="W931" i="3"/>
  <c r="S932" i="3"/>
  <c r="AB932" i="3"/>
  <c r="X933" i="3"/>
  <c r="T934" i="3"/>
  <c r="Q935" i="3"/>
  <c r="Z935" i="3"/>
  <c r="V936" i="3"/>
  <c r="R937" i="3"/>
  <c r="AA937" i="3"/>
  <c r="W938" i="3"/>
  <c r="S939" i="3"/>
  <c r="P940" i="3"/>
  <c r="Y940" i="3"/>
  <c r="U941" i="3"/>
  <c r="AE941" i="3" s="1"/>
  <c r="Q942" i="3"/>
  <c r="Z942" i="3"/>
  <c r="V943" i="3"/>
  <c r="R944" i="3"/>
  <c r="AB944" i="3"/>
  <c r="X945" i="3"/>
  <c r="T946" i="3"/>
  <c r="P947" i="3"/>
  <c r="Y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AB985" i="3"/>
  <c r="Z987" i="3"/>
  <c r="P989" i="3"/>
  <c r="X989" i="3"/>
  <c r="Y992" i="3"/>
  <c r="U996" i="3"/>
  <c r="AE996" i="3" s="1"/>
  <c r="AA995" i="3"/>
  <c r="Y994" i="3"/>
  <c r="T889" i="3"/>
  <c r="Z891" i="3"/>
  <c r="S894" i="3"/>
  <c r="W896" i="3"/>
  <c r="AB897" i="3"/>
  <c r="R899" i="3"/>
  <c r="U900" i="3"/>
  <c r="AE900" i="3" s="1"/>
  <c r="X901" i="3"/>
  <c r="AA902" i="3"/>
  <c r="Q904" i="3"/>
  <c r="T905" i="3"/>
  <c r="W906" i="3"/>
  <c r="Z907" i="3"/>
  <c r="P909" i="3"/>
  <c r="S910" i="3"/>
  <c r="U911" i="3"/>
  <c r="AE911" i="3" s="1"/>
  <c r="V912" i="3"/>
  <c r="T913" i="3"/>
  <c r="U914" i="3"/>
  <c r="AE914" i="3" s="1"/>
  <c r="S915" i="3"/>
  <c r="T916" i="3"/>
  <c r="U917" i="3"/>
  <c r="AE917" i="3" s="1"/>
  <c r="S918" i="3"/>
  <c r="T919" i="3"/>
  <c r="R920" i="3"/>
  <c r="Q921" i="3"/>
  <c r="AA921" i="3"/>
  <c r="X922" i="3"/>
  <c r="W923" i="3"/>
  <c r="T924" i="3"/>
  <c r="Q925" i="3"/>
  <c r="P926" i="3"/>
  <c r="Y926" i="3"/>
  <c r="U927" i="3"/>
  <c r="AE927" i="3" s="1"/>
  <c r="Q928" i="3"/>
  <c r="Z928" i="3"/>
  <c r="W929" i="3"/>
  <c r="S930" i="3"/>
  <c r="AB930" i="3"/>
  <c r="X931" i="3"/>
  <c r="T932" i="3"/>
  <c r="P933" i="3"/>
  <c r="Y933" i="3"/>
  <c r="V934" i="3"/>
  <c r="R935" i="3"/>
  <c r="AA935" i="3"/>
  <c r="W936" i="3"/>
  <c r="S937" i="3"/>
  <c r="AB937" i="3"/>
  <c r="X938" i="3"/>
  <c r="U939" i="3"/>
  <c r="AE939" i="3" s="1"/>
  <c r="Q940" i="3"/>
  <c r="Z940" i="3"/>
  <c r="V941" i="3"/>
  <c r="R942" i="3"/>
  <c r="AA942" i="3"/>
  <c r="W943" i="3"/>
  <c r="T944" i="3"/>
  <c r="P945" i="3"/>
  <c r="Y945" i="3"/>
  <c r="U946" i="3"/>
  <c r="AE946" i="3" s="1"/>
  <c r="Q947" i="3"/>
  <c r="Z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R992" i="3"/>
  <c r="U993" i="3"/>
  <c r="AE993" i="3" s="1"/>
  <c r="Y997" i="3"/>
  <c r="Z889" i="3"/>
  <c r="S892" i="3"/>
  <c r="Y894" i="3"/>
  <c r="Y896" i="3"/>
  <c r="P898" i="3"/>
  <c r="S899" i="3"/>
  <c r="V900" i="3"/>
  <c r="Y901" i="3"/>
  <c r="AB902" i="3"/>
  <c r="R904" i="3"/>
  <c r="U905" i="3"/>
  <c r="AE905" i="3" s="1"/>
  <c r="X906" i="3"/>
  <c r="AA907" i="3"/>
  <c r="Q909" i="3"/>
  <c r="T910" i="3"/>
  <c r="V911" i="3"/>
  <c r="W912" i="3"/>
  <c r="U913" i="3"/>
  <c r="AE913" i="3" s="1"/>
  <c r="V914" i="3"/>
  <c r="W915" i="3"/>
  <c r="U916" i="3"/>
  <c r="AE916" i="3" s="1"/>
  <c r="V917" i="3"/>
  <c r="T918" i="3"/>
  <c r="U919" i="3"/>
  <c r="AE919" i="3" s="1"/>
  <c r="U920" i="3"/>
  <c r="AE920" i="3" s="1"/>
  <c r="R921" i="3"/>
  <c r="AB921" i="3"/>
  <c r="AA922" i="3"/>
  <c r="X923" i="3"/>
  <c r="U924" i="3"/>
  <c r="AE924" i="3" s="1"/>
  <c r="T925" i="3"/>
  <c r="Q926" i="3"/>
  <c r="Z926" i="3"/>
  <c r="V927" i="3"/>
  <c r="R928" i="3"/>
  <c r="AB928" i="3"/>
  <c r="X929" i="3"/>
  <c r="T930" i="3"/>
  <c r="P931" i="3"/>
  <c r="Y931" i="3"/>
  <c r="U932" i="3"/>
  <c r="AE932" i="3" s="1"/>
  <c r="Q933" i="3"/>
  <c r="AA933" i="3"/>
  <c r="W934" i="3"/>
  <c r="S935" i="3"/>
  <c r="AB935" i="3"/>
  <c r="X936" i="3"/>
  <c r="T937" i="3"/>
  <c r="P938" i="3"/>
  <c r="Z938" i="3"/>
  <c r="V939" i="3"/>
  <c r="R940" i="3"/>
  <c r="AA940" i="3"/>
  <c r="W941" i="3"/>
  <c r="S942" i="3"/>
  <c r="AB942" i="3"/>
  <c r="Y943" i="3"/>
  <c r="U944" i="3"/>
  <c r="AE944" i="3" s="1"/>
  <c r="Q945" i="3"/>
  <c r="Z945" i="3"/>
  <c r="V946" i="3"/>
  <c r="R947" i="3"/>
  <c r="AA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R997" i="3"/>
  <c r="X999" i="3"/>
  <c r="AB889" i="3"/>
  <c r="U892" i="3"/>
  <c r="AE892" i="3" s="1"/>
  <c r="AA894" i="3"/>
  <c r="Z896" i="3"/>
  <c r="U898" i="3"/>
  <c r="AE898" i="3" s="1"/>
  <c r="X899" i="3"/>
  <c r="AA900" i="3"/>
  <c r="Q902" i="3"/>
  <c r="T903" i="3"/>
  <c r="W904" i="3"/>
  <c r="Z905" i="3"/>
  <c r="P907" i="3"/>
  <c r="S908" i="3"/>
  <c r="V909" i="3"/>
  <c r="Y910" i="3"/>
  <c r="W911" i="3"/>
  <c r="X912" i="3"/>
  <c r="Y913" i="3"/>
  <c r="W914" i="3"/>
  <c r="X915" i="3"/>
  <c r="V916" i="3"/>
  <c r="W917" i="3"/>
  <c r="X918" i="3"/>
  <c r="V919" i="3"/>
  <c r="V920" i="3"/>
  <c r="S921" i="3"/>
  <c r="P922" i="3"/>
  <c r="AB922" i="3"/>
  <c r="Y923" i="3"/>
  <c r="V924" i="3"/>
  <c r="U925" i="3"/>
  <c r="AE925" i="3" s="1"/>
  <c r="R926" i="3"/>
  <c r="AA926" i="3"/>
  <c r="W927" i="3"/>
  <c r="T928" i="3"/>
  <c r="P929" i="3"/>
  <c r="Y929" i="3"/>
  <c r="U930" i="3"/>
  <c r="AE930" i="3" s="1"/>
  <c r="Q931" i="3"/>
  <c r="Z931" i="3"/>
  <c r="V932" i="3"/>
  <c r="S933" i="3"/>
  <c r="AB933" i="3"/>
  <c r="X934" i="3"/>
  <c r="T935" i="3"/>
  <c r="P936" i="3"/>
  <c r="Y936" i="3"/>
  <c r="U937" i="3"/>
  <c r="AE937" i="3" s="1"/>
  <c r="R938" i="3"/>
  <c r="AA938" i="3"/>
  <c r="W939" i="3"/>
  <c r="S940" i="3"/>
  <c r="AB940" i="3"/>
  <c r="X941" i="3"/>
  <c r="T942" i="3"/>
  <c r="Q943" i="3"/>
  <c r="Z943" i="3"/>
  <c r="V944" i="3"/>
  <c r="R945" i="3"/>
  <c r="AA945" i="3"/>
  <c r="W946" i="3"/>
  <c r="S947" i="3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AE52" i="3"/>
  <c r="AE26" i="3"/>
  <c r="AE24" i="3"/>
  <c r="AE8" i="3"/>
  <c r="AE46" i="3"/>
  <c r="AE53" i="3"/>
  <c r="AE13" i="3"/>
  <c r="AE6" i="3"/>
  <c r="AE30" i="3"/>
  <c r="AE23" i="3"/>
  <c r="AE42" i="3"/>
  <c r="AE68" i="3"/>
  <c r="AE40" i="3"/>
  <c r="AE70" i="3"/>
  <c r="AE86" i="3"/>
  <c r="AE80" i="3"/>
  <c r="AE63" i="3"/>
  <c r="AE79" i="3"/>
  <c r="AE49" i="3"/>
  <c r="AE119" i="3"/>
  <c r="AE127" i="3"/>
  <c r="AE143" i="3"/>
  <c r="AE124" i="3"/>
  <c r="AE77" i="3"/>
  <c r="AE105" i="3"/>
  <c r="AE137" i="3"/>
  <c r="AE134" i="3"/>
  <c r="AE150" i="3"/>
  <c r="AE103" i="3"/>
  <c r="AE123" i="3"/>
  <c r="AE106" i="3"/>
  <c r="AE114" i="3"/>
  <c r="AE166" i="3"/>
  <c r="AE163" i="3"/>
  <c r="AE203" i="3"/>
  <c r="AE176" i="3"/>
  <c r="AE192" i="3"/>
  <c r="AE173" i="3"/>
  <c r="AE194" i="3"/>
  <c r="AE152" i="3"/>
  <c r="AE153" i="3"/>
  <c r="AE157" i="3"/>
  <c r="AE159" i="3"/>
  <c r="AE167" i="3"/>
  <c r="AE128" i="3"/>
  <c r="AE188" i="3"/>
  <c r="AE185" i="3"/>
  <c r="AE196" i="3"/>
  <c r="AE226" i="3"/>
  <c r="AE254" i="3"/>
  <c r="AE206" i="3"/>
  <c r="AE201" i="3"/>
  <c r="AE208" i="3"/>
  <c r="AE232" i="3"/>
  <c r="AE237" i="3"/>
  <c r="AE247" i="3"/>
  <c r="AE284" i="3"/>
  <c r="AE223" i="3"/>
  <c r="AE286" i="3"/>
  <c r="AE342" i="3"/>
  <c r="AE264" i="3"/>
  <c r="AE288" i="3"/>
  <c r="AE336" i="3"/>
  <c r="AE262" i="3"/>
  <c r="AE293" i="3"/>
  <c r="AE309" i="3"/>
  <c r="AE207" i="3"/>
  <c r="AE266" i="3"/>
  <c r="AE274" i="3"/>
  <c r="AE282" i="3"/>
  <c r="AE298" i="3"/>
  <c r="AE306" i="3"/>
  <c r="AE249" i="3"/>
  <c r="AE287" i="3"/>
  <c r="AE295" i="3"/>
  <c r="AE335" i="3"/>
  <c r="AE265" i="3"/>
  <c r="AE349" i="3"/>
  <c r="AE397" i="3"/>
  <c r="AE405" i="3"/>
  <c r="AE362" i="3"/>
  <c r="AE370" i="3"/>
  <c r="AE378" i="3"/>
  <c r="AE410" i="3"/>
  <c r="AE337" i="3"/>
  <c r="AE367" i="3"/>
  <c r="AE391" i="3"/>
  <c r="AE417" i="3"/>
  <c r="AE455" i="3"/>
  <c r="AE315" i="3"/>
  <c r="AE444" i="3"/>
  <c r="AE452" i="3"/>
  <c r="AE524" i="3"/>
  <c r="AE356" i="3"/>
  <c r="AE507" i="3"/>
  <c r="AE547" i="3"/>
  <c r="AE635" i="3"/>
  <c r="AE255" i="3"/>
  <c r="AE388" i="3"/>
  <c r="AE512" i="3"/>
  <c r="AE616" i="3"/>
  <c r="AE462" i="3"/>
  <c r="AE557" i="3"/>
  <c r="AE597" i="3"/>
  <c r="AE331" i="3"/>
  <c r="AE387" i="3"/>
  <c r="AE412" i="3"/>
  <c r="AE560" i="3"/>
  <c r="AE343" i="3"/>
  <c r="AE393" i="3"/>
  <c r="AE499" i="3"/>
  <c r="AE569" i="3"/>
  <c r="AE531" i="3"/>
  <c r="AE574" i="3"/>
  <c r="AE583" i="3"/>
  <c r="AE700" i="3"/>
  <c r="AE438" i="3"/>
  <c r="AE493" i="3"/>
  <c r="AE539" i="3"/>
  <c r="AE582" i="3"/>
  <c r="AE713" i="3"/>
  <c r="AE785" i="3"/>
  <c r="AE841" i="3"/>
  <c r="AE379" i="3"/>
  <c r="AE593" i="3"/>
  <c r="AE644" i="3"/>
  <c r="AE662" i="3"/>
  <c r="AE726" i="3"/>
  <c r="AE806" i="3"/>
  <c r="AE522" i="3"/>
  <c r="AE691" i="3"/>
  <c r="AE672" i="3"/>
  <c r="AE730" i="3"/>
  <c r="AE733" i="3"/>
  <c r="AE867" i="3"/>
  <c r="AE828" i="3"/>
  <c r="AE832" i="3"/>
  <c r="AE633" i="3"/>
  <c r="AE940" i="3"/>
  <c r="AE956" i="3"/>
  <c r="AE957" i="3"/>
  <c r="AE872" i="3"/>
  <c r="AE923" i="3"/>
  <c r="AE871" i="3"/>
  <c r="AE36" i="3"/>
  <c r="AE33" i="3"/>
  <c r="AE27" i="3"/>
  <c r="AE43" i="3"/>
  <c r="AE61" i="3"/>
  <c r="AE31" i="3"/>
  <c r="AE73" i="3"/>
  <c r="AE102" i="3"/>
  <c r="AE149" i="3"/>
  <c r="AE78" i="3"/>
  <c r="AE155" i="3"/>
  <c r="AE198" i="3"/>
  <c r="AE112" i="3"/>
  <c r="AE177" i="3"/>
  <c r="AE213" i="3"/>
  <c r="AE319" i="3"/>
  <c r="AE285" i="3"/>
  <c r="AE386" i="3"/>
  <c r="AE250" i="3"/>
  <c r="AE353" i="3"/>
  <c r="AE451" i="3"/>
  <c r="AE556" i="3"/>
  <c r="AE9" i="3"/>
  <c r="AE92" i="3"/>
  <c r="AE97" i="3"/>
  <c r="AE411" i="3"/>
  <c r="AE45" i="3"/>
  <c r="AE139" i="3"/>
  <c r="AE138" i="3"/>
  <c r="AE184" i="3"/>
  <c r="AE181" i="3"/>
  <c r="AE212" i="3"/>
  <c r="AE344" i="3"/>
  <c r="AE7" i="3"/>
  <c r="AE72" i="3"/>
  <c r="AE20" i="3"/>
  <c r="AE135" i="3"/>
  <c r="AE81" i="3"/>
  <c r="AE171" i="3"/>
  <c r="AE267" i="3"/>
  <c r="AE263" i="3"/>
  <c r="AE228" i="3"/>
  <c r="AE225" i="3"/>
  <c r="AE296" i="3"/>
  <c r="AE289" i="3"/>
  <c r="AE332" i="3"/>
  <c r="AE439" i="3"/>
  <c r="AE326" i="3"/>
  <c r="AE526" i="3"/>
  <c r="AE414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665" i="3" l="1"/>
  <c r="AI912" i="3"/>
  <c r="AI697" i="3"/>
  <c r="AI700" i="3"/>
  <c r="AI764" i="3"/>
  <c r="AI503" i="3"/>
  <c r="AI533" i="3"/>
  <c r="AI739" i="3"/>
  <c r="AI603" i="3"/>
  <c r="AI976" i="3"/>
  <c r="AI591" i="3"/>
  <c r="AI853" i="3"/>
  <c r="AI155" i="3"/>
  <c r="AI228" i="3"/>
  <c r="AI725" i="3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R58" i="1"/>
  <c r="S58" i="1" s="1"/>
  <c r="R66" i="1"/>
  <c r="S66" i="1" s="1"/>
  <c r="R74" i="1"/>
  <c r="S74" i="1" s="1"/>
  <c r="R82" i="1"/>
  <c r="S82" i="1" s="1"/>
  <c r="R90" i="1"/>
  <c r="R98" i="1"/>
  <c r="R106" i="1"/>
  <c r="R114" i="1"/>
  <c r="S114" i="1" s="1"/>
  <c r="R122" i="1"/>
  <c r="S122" i="1" s="1"/>
  <c r="R130" i="1"/>
  <c r="S130" i="1" s="1"/>
  <c r="R138" i="1"/>
  <c r="S138" i="1" s="1"/>
  <c r="R146" i="1"/>
  <c r="R154" i="1"/>
  <c r="R162" i="1"/>
  <c r="R170" i="1"/>
  <c r="R178" i="1"/>
  <c r="S178" i="1" s="1"/>
  <c r="R186" i="1"/>
  <c r="S186" i="1" s="1"/>
  <c r="R194" i="1"/>
  <c r="S194" i="1" s="1"/>
  <c r="R202" i="1"/>
  <c r="S202" i="1" s="1"/>
  <c r="R210" i="1"/>
  <c r="R218" i="1"/>
  <c r="R226" i="1"/>
  <c r="R234" i="1"/>
  <c r="R242" i="1"/>
  <c r="S242" i="1" s="1"/>
  <c r="R250" i="1"/>
  <c r="S250" i="1" s="1"/>
  <c r="R258" i="1"/>
  <c r="S258" i="1" s="1"/>
  <c r="R266" i="1"/>
  <c r="S266" i="1" s="1"/>
  <c r="R274" i="1"/>
  <c r="R282" i="1"/>
  <c r="R290" i="1"/>
  <c r="R298" i="1"/>
  <c r="R306" i="1"/>
  <c r="S306" i="1" s="1"/>
  <c r="R314" i="1"/>
  <c r="S314" i="1" s="1"/>
  <c r="R322" i="1"/>
  <c r="S322" i="1" s="1"/>
  <c r="R330" i="1"/>
  <c r="S330" i="1" s="1"/>
  <c r="R338" i="1"/>
  <c r="R346" i="1"/>
  <c r="S346" i="1" s="1"/>
  <c r="R354" i="1"/>
  <c r="S354" i="1" s="1"/>
  <c r="R362" i="1"/>
  <c r="S362" i="1" s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S19" i="1" s="1"/>
  <c r="R27" i="1"/>
  <c r="S27" i="1" s="1"/>
  <c r="R35" i="1"/>
  <c r="R43" i="1"/>
  <c r="R51" i="1"/>
  <c r="S51" i="1" s="1"/>
  <c r="R59" i="1"/>
  <c r="S59" i="1" s="1"/>
  <c r="R67" i="1"/>
  <c r="S67" i="1" s="1"/>
  <c r="R75" i="1"/>
  <c r="R83" i="1"/>
  <c r="S83" i="1" s="1"/>
  <c r="R91" i="1"/>
  <c r="S91" i="1" s="1"/>
  <c r="R99" i="1"/>
  <c r="S99" i="1" s="1"/>
  <c r="R107" i="1"/>
  <c r="S107" i="1" s="1"/>
  <c r="R115" i="1"/>
  <c r="S115" i="1" s="1"/>
  <c r="R123" i="1"/>
  <c r="S123" i="1" s="1"/>
  <c r="R131" i="1"/>
  <c r="S131" i="1" s="1"/>
  <c r="R139" i="1"/>
  <c r="R147" i="1"/>
  <c r="R155" i="1"/>
  <c r="R163" i="1"/>
  <c r="R171" i="1"/>
  <c r="S171" i="1" s="1"/>
  <c r="R179" i="1"/>
  <c r="S179" i="1" s="1"/>
  <c r="R187" i="1"/>
  <c r="S187" i="1" s="1"/>
  <c r="R195" i="1"/>
  <c r="S195" i="1" s="1"/>
  <c r="R203" i="1"/>
  <c r="R211" i="1"/>
  <c r="R219" i="1"/>
  <c r="S219" i="1" s="1"/>
  <c r="R227" i="1"/>
  <c r="R235" i="1"/>
  <c r="S235" i="1" s="1"/>
  <c r="R243" i="1"/>
  <c r="S243" i="1" s="1"/>
  <c r="R251" i="1"/>
  <c r="S251" i="1" s="1"/>
  <c r="R259" i="1"/>
  <c r="S259" i="1" s="1"/>
  <c r="R267" i="1"/>
  <c r="S267" i="1" s="1"/>
  <c r="R275" i="1"/>
  <c r="S275" i="1" s="1"/>
  <c r="R283" i="1"/>
  <c r="S283" i="1" s="1"/>
  <c r="R291" i="1"/>
  <c r="S291" i="1" s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S339" i="1" s="1"/>
  <c r="R347" i="1"/>
  <c r="S347" i="1" s="1"/>
  <c r="R355" i="1"/>
  <c r="R363" i="1"/>
  <c r="S363" i="1" s="1"/>
  <c r="R371" i="1"/>
  <c r="S371" i="1" s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S28" i="1" s="1"/>
  <c r="R36" i="1"/>
  <c r="S36" i="1" s="1"/>
  <c r="R44" i="1"/>
  <c r="S44" i="1" s="1"/>
  <c r="R52" i="1"/>
  <c r="S52" i="1" s="1"/>
  <c r="R60" i="1"/>
  <c r="S60" i="1" s="1"/>
  <c r="R68" i="1"/>
  <c r="R76" i="1"/>
  <c r="S76" i="1" s="1"/>
  <c r="R84" i="1"/>
  <c r="S84" i="1" s="1"/>
  <c r="R92" i="1"/>
  <c r="R100" i="1"/>
  <c r="S100" i="1" s="1"/>
  <c r="R108" i="1"/>
  <c r="S108" i="1" s="1"/>
  <c r="R116" i="1"/>
  <c r="S116" i="1" s="1"/>
  <c r="R124" i="1"/>
  <c r="S124" i="1" s="1"/>
  <c r="R132" i="1"/>
  <c r="S132" i="1" s="1"/>
  <c r="R140" i="1"/>
  <c r="S140" i="1" s="1"/>
  <c r="R148" i="1"/>
  <c r="S148" i="1" s="1"/>
  <c r="R156" i="1"/>
  <c r="R164" i="1"/>
  <c r="S164" i="1" s="1"/>
  <c r="R172" i="1"/>
  <c r="S172" i="1" s="1"/>
  <c r="R180" i="1"/>
  <c r="S180" i="1" s="1"/>
  <c r="R188" i="1"/>
  <c r="S188" i="1" s="1"/>
  <c r="R196" i="1"/>
  <c r="R204" i="1"/>
  <c r="S204" i="1" s="1"/>
  <c r="R212" i="1"/>
  <c r="S212" i="1" s="1"/>
  <c r="R220" i="1"/>
  <c r="S220" i="1" s="1"/>
  <c r="R228" i="1"/>
  <c r="S228" i="1" s="1"/>
  <c r="R236" i="1"/>
  <c r="S236" i="1" s="1"/>
  <c r="R244" i="1"/>
  <c r="S244" i="1" s="1"/>
  <c r="R252" i="1"/>
  <c r="S252" i="1" s="1"/>
  <c r="R260" i="1"/>
  <c r="R268" i="1"/>
  <c r="R276" i="1"/>
  <c r="S276" i="1" s="1"/>
  <c r="R284" i="1"/>
  <c r="S284" i="1" s="1"/>
  <c r="R292" i="1"/>
  <c r="S292" i="1" s="1"/>
  <c r="R300" i="1"/>
  <c r="S300" i="1" s="1"/>
  <c r="R308" i="1"/>
  <c r="S308" i="1" s="1"/>
  <c r="R316" i="1"/>
  <c r="S316" i="1" s="1"/>
  <c r="R324" i="1"/>
  <c r="R332" i="1"/>
  <c r="R340" i="1"/>
  <c r="S340" i="1" s="1"/>
  <c r="R348" i="1"/>
  <c r="R356" i="1"/>
  <c r="S356" i="1" s="1"/>
  <c r="R364" i="1"/>
  <c r="S364" i="1" s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S73" i="1" s="1"/>
  <c r="R89" i="1"/>
  <c r="S89" i="1" s="1"/>
  <c r="R105" i="1"/>
  <c r="S105" i="1" s="1"/>
  <c r="R21" i="1"/>
  <c r="S21" i="1" s="1"/>
  <c r="R29" i="1"/>
  <c r="R37" i="1"/>
  <c r="S37" i="1" s="1"/>
  <c r="R45" i="1"/>
  <c r="S45" i="1" s="1"/>
  <c r="R53" i="1"/>
  <c r="S53" i="1" s="1"/>
  <c r="R61" i="1"/>
  <c r="S61" i="1" s="1"/>
  <c r="R69" i="1"/>
  <c r="S69" i="1" s="1"/>
  <c r="R77" i="1"/>
  <c r="S77" i="1" s="1"/>
  <c r="R85" i="1"/>
  <c r="S85" i="1" s="1"/>
  <c r="R93" i="1"/>
  <c r="R101" i="1"/>
  <c r="S101" i="1" s="1"/>
  <c r="R109" i="1"/>
  <c r="S109" i="1" s="1"/>
  <c r="R117" i="1"/>
  <c r="S117" i="1" s="1"/>
  <c r="R125" i="1"/>
  <c r="S125" i="1" s="1"/>
  <c r="R133" i="1"/>
  <c r="S133" i="1" s="1"/>
  <c r="R141" i="1"/>
  <c r="S141" i="1" s="1"/>
  <c r="R149" i="1"/>
  <c r="S149" i="1" s="1"/>
  <c r="R157" i="1"/>
  <c r="R165" i="1"/>
  <c r="S165" i="1" s="1"/>
  <c r="R173" i="1"/>
  <c r="S173" i="1" s="1"/>
  <c r="R181" i="1"/>
  <c r="S181" i="1" s="1"/>
  <c r="R189" i="1"/>
  <c r="S189" i="1" s="1"/>
  <c r="R197" i="1"/>
  <c r="S197" i="1" s="1"/>
  <c r="R205" i="1"/>
  <c r="S205" i="1" s="1"/>
  <c r="R213" i="1"/>
  <c r="S213" i="1" s="1"/>
  <c r="R221" i="1"/>
  <c r="R229" i="1"/>
  <c r="S229" i="1" s="1"/>
  <c r="R237" i="1"/>
  <c r="S237" i="1" s="1"/>
  <c r="R245" i="1"/>
  <c r="S245" i="1" s="1"/>
  <c r="R253" i="1"/>
  <c r="S253" i="1" s="1"/>
  <c r="R261" i="1"/>
  <c r="S261" i="1" s="1"/>
  <c r="R269" i="1"/>
  <c r="S269" i="1" s="1"/>
  <c r="R277" i="1"/>
  <c r="S277" i="1" s="1"/>
  <c r="R285" i="1"/>
  <c r="R293" i="1"/>
  <c r="R301" i="1"/>
  <c r="S301" i="1" s="1"/>
  <c r="R309" i="1"/>
  <c r="S309" i="1" s="1"/>
  <c r="R317" i="1"/>
  <c r="S317" i="1" s="1"/>
  <c r="R325" i="1"/>
  <c r="S325" i="1" s="1"/>
  <c r="R333" i="1"/>
  <c r="S333" i="1" s="1"/>
  <c r="R341" i="1"/>
  <c r="S341" i="1" s="1"/>
  <c r="R349" i="1"/>
  <c r="S349" i="1" s="1"/>
  <c r="R357" i="1"/>
  <c r="S357" i="1" s="1"/>
  <c r="R365" i="1"/>
  <c r="S365" i="1" s="1"/>
  <c r="R373" i="1"/>
  <c r="S373" i="1" s="1"/>
  <c r="R381" i="1"/>
  <c r="S381" i="1" s="1"/>
  <c r="R389" i="1"/>
  <c r="S389" i="1" s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S30" i="1" s="1"/>
  <c r="R38" i="1"/>
  <c r="S38" i="1" s="1"/>
  <c r="R46" i="1"/>
  <c r="S46" i="1" s="1"/>
  <c r="R54" i="1"/>
  <c r="S54" i="1" s="1"/>
  <c r="R62" i="1"/>
  <c r="S62" i="1" s="1"/>
  <c r="R70" i="1"/>
  <c r="S70" i="1" s="1"/>
  <c r="R78" i="1"/>
  <c r="S78" i="1" s="1"/>
  <c r="R86" i="1"/>
  <c r="R94" i="1"/>
  <c r="S94" i="1" s="1"/>
  <c r="R102" i="1"/>
  <c r="S102" i="1" s="1"/>
  <c r="R110" i="1"/>
  <c r="S110" i="1" s="1"/>
  <c r="R118" i="1"/>
  <c r="S118" i="1" s="1"/>
  <c r="R126" i="1"/>
  <c r="S126" i="1" s="1"/>
  <c r="R134" i="1"/>
  <c r="S134" i="1" s="1"/>
  <c r="R142" i="1"/>
  <c r="S142" i="1" s="1"/>
  <c r="R150" i="1"/>
  <c r="R158" i="1"/>
  <c r="S158" i="1" s="1"/>
  <c r="R166" i="1"/>
  <c r="S166" i="1" s="1"/>
  <c r="R174" i="1"/>
  <c r="R182" i="1"/>
  <c r="S182" i="1" s="1"/>
  <c r="R190" i="1"/>
  <c r="S190" i="1" s="1"/>
  <c r="R198" i="1"/>
  <c r="S198" i="1" s="1"/>
  <c r="R206" i="1"/>
  <c r="S206" i="1" s="1"/>
  <c r="R214" i="1"/>
  <c r="R222" i="1"/>
  <c r="R230" i="1"/>
  <c r="S230" i="1" s="1"/>
  <c r="R238" i="1"/>
  <c r="S238" i="1" s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S286" i="1" s="1"/>
  <c r="R294" i="1"/>
  <c r="S294" i="1" s="1"/>
  <c r="R302" i="1"/>
  <c r="R310" i="1"/>
  <c r="S310" i="1" s="1"/>
  <c r="R318" i="1"/>
  <c r="S318" i="1" s="1"/>
  <c r="R326" i="1"/>
  <c r="S326" i="1" s="1"/>
  <c r="R334" i="1"/>
  <c r="S334" i="1" s="1"/>
  <c r="R342" i="1"/>
  <c r="S342" i="1" s="1"/>
  <c r="R350" i="1"/>
  <c r="S350" i="1" s="1"/>
  <c r="R358" i="1"/>
  <c r="S358" i="1" s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S23" i="1" s="1"/>
  <c r="R31" i="1"/>
  <c r="S31" i="1" s="1"/>
  <c r="R39" i="1"/>
  <c r="S39" i="1" s="1"/>
  <c r="R47" i="1"/>
  <c r="S47" i="1" s="1"/>
  <c r="R55" i="1"/>
  <c r="S55" i="1" s="1"/>
  <c r="R63" i="1"/>
  <c r="S63" i="1" s="1"/>
  <c r="R71" i="1"/>
  <c r="S71" i="1" s="1"/>
  <c r="R79" i="1"/>
  <c r="S79" i="1" s="1"/>
  <c r="R87" i="1"/>
  <c r="S87" i="1" s="1"/>
  <c r="R95" i="1"/>
  <c r="S95" i="1" s="1"/>
  <c r="R103" i="1"/>
  <c r="S103" i="1" s="1"/>
  <c r="R111" i="1"/>
  <c r="S111" i="1" s="1"/>
  <c r="R119" i="1"/>
  <c r="S119" i="1" s="1"/>
  <c r="R127" i="1"/>
  <c r="S127" i="1" s="1"/>
  <c r="R135" i="1"/>
  <c r="S135" i="1" s="1"/>
  <c r="R143" i="1"/>
  <c r="S143" i="1" s="1"/>
  <c r="R151" i="1"/>
  <c r="S151" i="1" s="1"/>
  <c r="R159" i="1"/>
  <c r="S159" i="1" s="1"/>
  <c r="R167" i="1"/>
  <c r="S167" i="1" s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S215" i="1" s="1"/>
  <c r="R223" i="1"/>
  <c r="S223" i="1" s="1"/>
  <c r="R231" i="1"/>
  <c r="S231" i="1" s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S287" i="1" s="1"/>
  <c r="R295" i="1"/>
  <c r="S295" i="1" s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S351" i="1" s="1"/>
  <c r="R359" i="1"/>
  <c r="S359" i="1" s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S32" i="1" s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S88" i="1" s="1"/>
  <c r="R96" i="1"/>
  <c r="S96" i="1" s="1"/>
  <c r="R104" i="1"/>
  <c r="S104" i="1" s="1"/>
  <c r="R112" i="1"/>
  <c r="S112" i="1" s="1"/>
  <c r="R120" i="1"/>
  <c r="S120" i="1" s="1"/>
  <c r="R128" i="1"/>
  <c r="S128" i="1" s="1"/>
  <c r="R136" i="1"/>
  <c r="S136" i="1" s="1"/>
  <c r="R144" i="1"/>
  <c r="S144" i="1" s="1"/>
  <c r="R152" i="1"/>
  <c r="S152" i="1" s="1"/>
  <c r="R160" i="1"/>
  <c r="S160" i="1" s="1"/>
  <c r="R168" i="1"/>
  <c r="S168" i="1" s="1"/>
  <c r="R176" i="1"/>
  <c r="S176" i="1" s="1"/>
  <c r="R184" i="1"/>
  <c r="S184" i="1" s="1"/>
  <c r="R192" i="1"/>
  <c r="S192" i="1" s="1"/>
  <c r="R200" i="1"/>
  <c r="S200" i="1" s="1"/>
  <c r="R208" i="1"/>
  <c r="S208" i="1" s="1"/>
  <c r="R216" i="1"/>
  <c r="S216" i="1" s="1"/>
  <c r="R224" i="1"/>
  <c r="S224" i="1" s="1"/>
  <c r="R232" i="1"/>
  <c r="S232" i="1" s="1"/>
  <c r="R240" i="1"/>
  <c r="S240" i="1" s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S288" i="1" s="1"/>
  <c r="R296" i="1"/>
  <c r="S296" i="1" s="1"/>
  <c r="R304" i="1"/>
  <c r="S304" i="1" s="1"/>
  <c r="R312" i="1"/>
  <c r="S312" i="1" s="1"/>
  <c r="R320" i="1"/>
  <c r="S320" i="1" s="1"/>
  <c r="R328" i="1"/>
  <c r="S328" i="1" s="1"/>
  <c r="R336" i="1"/>
  <c r="S336" i="1" s="1"/>
  <c r="R344" i="1"/>
  <c r="S344" i="1" s="1"/>
  <c r="R352" i="1"/>
  <c r="S352" i="1" s="1"/>
  <c r="R360" i="1"/>
  <c r="S360" i="1" s="1"/>
  <c r="R368" i="1"/>
  <c r="S368" i="1" s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S25" i="1" s="1"/>
  <c r="R81" i="1"/>
  <c r="S81" i="1" s="1"/>
  <c r="R97" i="1"/>
  <c r="S97" i="1" s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S353" i="1" s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S321" i="1" s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S233" i="1" s="1"/>
  <c r="R297" i="1"/>
  <c r="S297" i="1" s="1"/>
  <c r="R361" i="1"/>
  <c r="S361" i="1" s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S377" i="1" s="1"/>
  <c r="R441" i="1"/>
  <c r="S441" i="1" s="1"/>
  <c r="R633" i="1"/>
  <c r="S633" i="1" s="1"/>
  <c r="R193" i="1"/>
  <c r="S193" i="1" s="1"/>
  <c r="R385" i="1"/>
  <c r="S385" i="1" s="1"/>
  <c r="R529" i="1"/>
  <c r="S529" i="1" s="1"/>
  <c r="R153" i="1"/>
  <c r="S153" i="1" s="1"/>
  <c r="R473" i="1"/>
  <c r="S473" i="1" s="1"/>
  <c r="R65" i="1"/>
  <c r="S65" i="1" s="1"/>
  <c r="R177" i="1"/>
  <c r="S177" i="1" s="1"/>
  <c r="R241" i="1"/>
  <c r="S241" i="1" s="1"/>
  <c r="R305" i="1"/>
  <c r="S305" i="1" s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S313" i="1" s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S129" i="1" s="1"/>
  <c r="R137" i="1"/>
  <c r="S137" i="1" s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S145" i="1" s="1"/>
  <c r="R209" i="1"/>
  <c r="S209" i="1" s="1"/>
  <c r="R273" i="1"/>
  <c r="S273" i="1" s="1"/>
  <c r="R401" i="1"/>
  <c r="S401" i="1" s="1"/>
  <c r="AA18" i="1"/>
  <c r="AB18" i="1" s="1"/>
  <c r="AA26" i="1"/>
  <c r="AB26" i="1" s="1"/>
  <c r="AA34" i="1"/>
  <c r="AB34" i="1" s="1"/>
  <c r="AA42" i="1"/>
  <c r="AB42" i="1" s="1"/>
  <c r="AA50" i="1"/>
  <c r="AB50" i="1" s="1"/>
  <c r="AA58" i="1"/>
  <c r="AB58" i="1" s="1"/>
  <c r="AA66" i="1"/>
  <c r="AB66" i="1" s="1"/>
  <c r="AA74" i="1"/>
  <c r="AB74" i="1" s="1"/>
  <c r="AA82" i="1"/>
  <c r="AB82" i="1" s="1"/>
  <c r="AA90" i="1"/>
  <c r="AB90" i="1" s="1"/>
  <c r="AA98" i="1"/>
  <c r="AB98" i="1" s="1"/>
  <c r="AA106" i="1"/>
  <c r="AB106" i="1" s="1"/>
  <c r="AA114" i="1"/>
  <c r="AB114" i="1" s="1"/>
  <c r="AA122" i="1"/>
  <c r="AB122" i="1" s="1"/>
  <c r="AA130" i="1"/>
  <c r="AB130" i="1" s="1"/>
  <c r="AA138" i="1"/>
  <c r="AB138" i="1" s="1"/>
  <c r="AA146" i="1"/>
  <c r="AB146" i="1" s="1"/>
  <c r="AA154" i="1"/>
  <c r="AB154" i="1" s="1"/>
  <c r="AA162" i="1"/>
  <c r="AB162" i="1" s="1"/>
  <c r="AA170" i="1"/>
  <c r="AB170" i="1" s="1"/>
  <c r="AA178" i="1"/>
  <c r="AB178" i="1" s="1"/>
  <c r="AA186" i="1"/>
  <c r="AB186" i="1" s="1"/>
  <c r="AA194" i="1"/>
  <c r="AB194" i="1" s="1"/>
  <c r="AA202" i="1"/>
  <c r="AB202" i="1" s="1"/>
  <c r="AA210" i="1"/>
  <c r="AB210" i="1" s="1"/>
  <c r="AA218" i="1"/>
  <c r="AB218" i="1" s="1"/>
  <c r="AA226" i="1"/>
  <c r="AB226" i="1" s="1"/>
  <c r="AA234" i="1"/>
  <c r="AB234" i="1" s="1"/>
  <c r="AA242" i="1"/>
  <c r="AB242" i="1" s="1"/>
  <c r="AA250" i="1"/>
  <c r="AB250" i="1" s="1"/>
  <c r="AA258" i="1"/>
  <c r="AB258" i="1" s="1"/>
  <c r="AA266" i="1"/>
  <c r="AB266" i="1" s="1"/>
  <c r="AA274" i="1"/>
  <c r="AB274" i="1" s="1"/>
  <c r="AA282" i="1"/>
  <c r="AB282" i="1" s="1"/>
  <c r="AA290" i="1"/>
  <c r="AB290" i="1" s="1"/>
  <c r="AA298" i="1"/>
  <c r="AA306" i="1"/>
  <c r="AB306" i="1" s="1"/>
  <c r="AA314" i="1"/>
  <c r="AB314" i="1" s="1"/>
  <c r="AA322" i="1"/>
  <c r="AB322" i="1" s="1"/>
  <c r="AA330" i="1"/>
  <c r="AB330" i="1" s="1"/>
  <c r="AA338" i="1"/>
  <c r="AB338" i="1" s="1"/>
  <c r="AA346" i="1"/>
  <c r="AB346" i="1" s="1"/>
  <c r="AA354" i="1"/>
  <c r="AB354" i="1" s="1"/>
  <c r="AA362" i="1"/>
  <c r="AB362" i="1" s="1"/>
  <c r="AA370" i="1"/>
  <c r="AB370" i="1" s="1"/>
  <c r="AA378" i="1"/>
  <c r="AB378" i="1" s="1"/>
  <c r="AA386" i="1"/>
  <c r="AB386" i="1" s="1"/>
  <c r="AA394" i="1"/>
  <c r="AB394" i="1" s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B27" i="1" s="1"/>
  <c r="AA35" i="1"/>
  <c r="AB35" i="1" s="1"/>
  <c r="AA43" i="1"/>
  <c r="AB43" i="1" s="1"/>
  <c r="AA51" i="1"/>
  <c r="AB51" i="1" s="1"/>
  <c r="AA59" i="1"/>
  <c r="AB59" i="1" s="1"/>
  <c r="AA67" i="1"/>
  <c r="AB67" i="1" s="1"/>
  <c r="AA75" i="1"/>
  <c r="AB75" i="1" s="1"/>
  <c r="AA83" i="1"/>
  <c r="AB83" i="1" s="1"/>
  <c r="AA91" i="1"/>
  <c r="AB91" i="1" s="1"/>
  <c r="AA99" i="1"/>
  <c r="AB99" i="1" s="1"/>
  <c r="AA107" i="1"/>
  <c r="AB107" i="1" s="1"/>
  <c r="AA115" i="1"/>
  <c r="AB115" i="1" s="1"/>
  <c r="AA123" i="1"/>
  <c r="AB123" i="1" s="1"/>
  <c r="AA131" i="1"/>
  <c r="AB131" i="1" s="1"/>
  <c r="AA139" i="1"/>
  <c r="AB139" i="1" s="1"/>
  <c r="AA147" i="1"/>
  <c r="AB147" i="1" s="1"/>
  <c r="AA155" i="1"/>
  <c r="AB155" i="1" s="1"/>
  <c r="AA163" i="1"/>
  <c r="AB163" i="1" s="1"/>
  <c r="AA171" i="1"/>
  <c r="AB171" i="1" s="1"/>
  <c r="AA179" i="1"/>
  <c r="AB179" i="1" s="1"/>
  <c r="AA187" i="1"/>
  <c r="AB187" i="1" s="1"/>
  <c r="AA195" i="1"/>
  <c r="AB195" i="1" s="1"/>
  <c r="AA203" i="1"/>
  <c r="AB203" i="1" s="1"/>
  <c r="AA211" i="1"/>
  <c r="AB211" i="1" s="1"/>
  <c r="AA219" i="1"/>
  <c r="AB219" i="1" s="1"/>
  <c r="AA227" i="1"/>
  <c r="AB227" i="1" s="1"/>
  <c r="AA235" i="1"/>
  <c r="AB235" i="1" s="1"/>
  <c r="AA243" i="1"/>
  <c r="AB243" i="1" s="1"/>
  <c r="AA251" i="1"/>
  <c r="AB251" i="1" s="1"/>
  <c r="AA259" i="1"/>
  <c r="AB259" i="1" s="1"/>
  <c r="AA267" i="1"/>
  <c r="AB267" i="1" s="1"/>
  <c r="AA275" i="1"/>
  <c r="AB275" i="1" s="1"/>
  <c r="AA283" i="1"/>
  <c r="AA291" i="1"/>
  <c r="AB291" i="1" s="1"/>
  <c r="AA299" i="1"/>
  <c r="AB299" i="1" s="1"/>
  <c r="AA307" i="1"/>
  <c r="AB307" i="1" s="1"/>
  <c r="AA315" i="1"/>
  <c r="AB315" i="1" s="1"/>
  <c r="AA323" i="1"/>
  <c r="AB323" i="1" s="1"/>
  <c r="AA331" i="1"/>
  <c r="AB331" i="1" s="1"/>
  <c r="AA339" i="1"/>
  <c r="AB339" i="1" s="1"/>
  <c r="AA347" i="1"/>
  <c r="AB347" i="1" s="1"/>
  <c r="AA355" i="1"/>
  <c r="AB355" i="1" s="1"/>
  <c r="AA363" i="1"/>
  <c r="AB363" i="1" s="1"/>
  <c r="AA371" i="1"/>
  <c r="AB371" i="1" s="1"/>
  <c r="AA379" i="1"/>
  <c r="AB379" i="1" s="1"/>
  <c r="AA387" i="1"/>
  <c r="AB387" i="1" s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B20" i="1" s="1"/>
  <c r="AA28" i="1"/>
  <c r="AB28" i="1" s="1"/>
  <c r="AA36" i="1"/>
  <c r="AB36" i="1" s="1"/>
  <c r="AA44" i="1"/>
  <c r="AB44" i="1" s="1"/>
  <c r="AA52" i="1"/>
  <c r="AB52" i="1" s="1"/>
  <c r="AA60" i="1"/>
  <c r="AB60" i="1" s="1"/>
  <c r="AA68" i="1"/>
  <c r="AB68" i="1" s="1"/>
  <c r="AA76" i="1"/>
  <c r="AB76" i="1" s="1"/>
  <c r="AA84" i="1"/>
  <c r="AB84" i="1" s="1"/>
  <c r="AA92" i="1"/>
  <c r="AB92" i="1" s="1"/>
  <c r="AA100" i="1"/>
  <c r="AB100" i="1" s="1"/>
  <c r="AA108" i="1"/>
  <c r="AB108" i="1" s="1"/>
  <c r="AA116" i="1"/>
  <c r="AB116" i="1" s="1"/>
  <c r="AA124" i="1"/>
  <c r="AB124" i="1" s="1"/>
  <c r="AA132" i="1"/>
  <c r="AB132" i="1" s="1"/>
  <c r="AA140" i="1"/>
  <c r="AB140" i="1" s="1"/>
  <c r="AA148" i="1"/>
  <c r="AB148" i="1" s="1"/>
  <c r="AA156" i="1"/>
  <c r="AB156" i="1" s="1"/>
  <c r="AA164" i="1"/>
  <c r="AB164" i="1" s="1"/>
  <c r="AA172" i="1"/>
  <c r="AB172" i="1" s="1"/>
  <c r="AA180" i="1"/>
  <c r="AB180" i="1" s="1"/>
  <c r="AA188" i="1"/>
  <c r="AB188" i="1" s="1"/>
  <c r="AA196" i="1"/>
  <c r="AB196" i="1" s="1"/>
  <c r="AA204" i="1"/>
  <c r="AB204" i="1" s="1"/>
  <c r="AA212" i="1"/>
  <c r="AB212" i="1" s="1"/>
  <c r="AA220" i="1"/>
  <c r="AB220" i="1" s="1"/>
  <c r="AA228" i="1"/>
  <c r="AB228" i="1" s="1"/>
  <c r="AA236" i="1"/>
  <c r="AB236" i="1" s="1"/>
  <c r="AA244" i="1"/>
  <c r="AB244" i="1" s="1"/>
  <c r="AA252" i="1"/>
  <c r="AB252" i="1" s="1"/>
  <c r="AA260" i="1"/>
  <c r="AB260" i="1" s="1"/>
  <c r="AA268" i="1"/>
  <c r="AB268" i="1" s="1"/>
  <c r="AA276" i="1"/>
  <c r="AB276" i="1" s="1"/>
  <c r="AA284" i="1"/>
  <c r="AB284" i="1" s="1"/>
  <c r="AA292" i="1"/>
  <c r="AB292" i="1" s="1"/>
  <c r="AA300" i="1"/>
  <c r="AB300" i="1" s="1"/>
  <c r="AA308" i="1"/>
  <c r="AB308" i="1" s="1"/>
  <c r="AA316" i="1"/>
  <c r="AB316" i="1" s="1"/>
  <c r="AA324" i="1"/>
  <c r="AB324" i="1" s="1"/>
  <c r="AA332" i="1"/>
  <c r="AB332" i="1" s="1"/>
  <c r="AA340" i="1"/>
  <c r="AB340" i="1" s="1"/>
  <c r="AA348" i="1"/>
  <c r="AB348" i="1" s="1"/>
  <c r="AA356" i="1"/>
  <c r="AB356" i="1" s="1"/>
  <c r="AA364" i="1"/>
  <c r="AB364" i="1" s="1"/>
  <c r="AA372" i="1"/>
  <c r="AB372" i="1" s="1"/>
  <c r="AA380" i="1"/>
  <c r="AB380" i="1" s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B21" i="1" s="1"/>
  <c r="AA37" i="1"/>
  <c r="AB37" i="1" s="1"/>
  <c r="AA45" i="1"/>
  <c r="AB45" i="1" s="1"/>
  <c r="AA53" i="1"/>
  <c r="AB53" i="1" s="1"/>
  <c r="AA22" i="1"/>
  <c r="AB22" i="1" s="1"/>
  <c r="AA30" i="1"/>
  <c r="AB30" i="1" s="1"/>
  <c r="AA38" i="1"/>
  <c r="AB38" i="1" s="1"/>
  <c r="AA46" i="1"/>
  <c r="AB46" i="1" s="1"/>
  <c r="AA54" i="1"/>
  <c r="AB54" i="1" s="1"/>
  <c r="AA62" i="1"/>
  <c r="AB62" i="1" s="1"/>
  <c r="AA70" i="1"/>
  <c r="AB70" i="1" s="1"/>
  <c r="AA78" i="1"/>
  <c r="AB78" i="1" s="1"/>
  <c r="AA86" i="1"/>
  <c r="AB86" i="1" s="1"/>
  <c r="AA94" i="1"/>
  <c r="AB94" i="1" s="1"/>
  <c r="AA102" i="1"/>
  <c r="AB102" i="1" s="1"/>
  <c r="AA110" i="1"/>
  <c r="AB110" i="1" s="1"/>
  <c r="AA118" i="1"/>
  <c r="AB118" i="1" s="1"/>
  <c r="AA126" i="1"/>
  <c r="AB126" i="1" s="1"/>
  <c r="AA134" i="1"/>
  <c r="AB134" i="1" s="1"/>
  <c r="AA142" i="1"/>
  <c r="AB142" i="1" s="1"/>
  <c r="AA150" i="1"/>
  <c r="AB150" i="1" s="1"/>
  <c r="AA158" i="1"/>
  <c r="AB158" i="1" s="1"/>
  <c r="AA166" i="1"/>
  <c r="AB166" i="1" s="1"/>
  <c r="AA174" i="1"/>
  <c r="AB174" i="1" s="1"/>
  <c r="AA182" i="1"/>
  <c r="AB182" i="1" s="1"/>
  <c r="AA190" i="1"/>
  <c r="AB190" i="1" s="1"/>
  <c r="AA198" i="1"/>
  <c r="AB198" i="1" s="1"/>
  <c r="AA206" i="1"/>
  <c r="AB206" i="1" s="1"/>
  <c r="AA214" i="1"/>
  <c r="AB214" i="1" s="1"/>
  <c r="AA222" i="1"/>
  <c r="AB222" i="1" s="1"/>
  <c r="AA230" i="1"/>
  <c r="AB230" i="1" s="1"/>
  <c r="AA238" i="1"/>
  <c r="AB238" i="1" s="1"/>
  <c r="AA246" i="1"/>
  <c r="AB246" i="1" s="1"/>
  <c r="AA254" i="1"/>
  <c r="AB254" i="1" s="1"/>
  <c r="AA262" i="1"/>
  <c r="AB262" i="1" s="1"/>
  <c r="AA270" i="1"/>
  <c r="AB270" i="1" s="1"/>
  <c r="AA278" i="1"/>
  <c r="AB278" i="1" s="1"/>
  <c r="AA286" i="1"/>
  <c r="AB286" i="1" s="1"/>
  <c r="AA294" i="1"/>
  <c r="AB294" i="1" s="1"/>
  <c r="AA302" i="1"/>
  <c r="AB302" i="1" s="1"/>
  <c r="AA310" i="1"/>
  <c r="AB310" i="1" s="1"/>
  <c r="AA318" i="1"/>
  <c r="AB318" i="1" s="1"/>
  <c r="AA326" i="1"/>
  <c r="AB326" i="1" s="1"/>
  <c r="AA334" i="1"/>
  <c r="AB334" i="1" s="1"/>
  <c r="AA342" i="1"/>
  <c r="AB342" i="1" s="1"/>
  <c r="AA350" i="1"/>
  <c r="AB350" i="1" s="1"/>
  <c r="AA358" i="1"/>
  <c r="AB358" i="1" s="1"/>
  <c r="AA366" i="1"/>
  <c r="AB366" i="1" s="1"/>
  <c r="AA374" i="1"/>
  <c r="AB374" i="1" s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B31" i="1" s="1"/>
  <c r="AA39" i="1"/>
  <c r="AB39" i="1" s="1"/>
  <c r="AA47" i="1"/>
  <c r="AB47" i="1" s="1"/>
  <c r="AA55" i="1"/>
  <c r="AB55" i="1" s="1"/>
  <c r="AA63" i="1"/>
  <c r="AB63" i="1" s="1"/>
  <c r="AA71" i="1"/>
  <c r="AB71" i="1" s="1"/>
  <c r="AA79" i="1"/>
  <c r="AB79" i="1" s="1"/>
  <c r="AA87" i="1"/>
  <c r="AB87" i="1" s="1"/>
  <c r="AA95" i="1"/>
  <c r="AB95" i="1" s="1"/>
  <c r="AA103" i="1"/>
  <c r="AB103" i="1" s="1"/>
  <c r="AA111" i="1"/>
  <c r="AB111" i="1" s="1"/>
  <c r="AA119" i="1"/>
  <c r="AB119" i="1" s="1"/>
  <c r="AA127" i="1"/>
  <c r="AB127" i="1" s="1"/>
  <c r="AA135" i="1"/>
  <c r="AB135" i="1" s="1"/>
  <c r="AA143" i="1"/>
  <c r="AB143" i="1" s="1"/>
  <c r="AA151" i="1"/>
  <c r="AB151" i="1" s="1"/>
  <c r="AA159" i="1"/>
  <c r="AB159" i="1" s="1"/>
  <c r="AA167" i="1"/>
  <c r="AB167" i="1" s="1"/>
  <c r="AA175" i="1"/>
  <c r="AB175" i="1" s="1"/>
  <c r="AA183" i="1"/>
  <c r="AB183" i="1" s="1"/>
  <c r="AA191" i="1"/>
  <c r="AB191" i="1" s="1"/>
  <c r="AA199" i="1"/>
  <c r="AB199" i="1" s="1"/>
  <c r="AA207" i="1"/>
  <c r="AB207" i="1" s="1"/>
  <c r="AA215" i="1"/>
  <c r="AB215" i="1" s="1"/>
  <c r="AA223" i="1"/>
  <c r="AB223" i="1" s="1"/>
  <c r="AA231" i="1"/>
  <c r="AB231" i="1" s="1"/>
  <c r="AA239" i="1"/>
  <c r="AB239" i="1" s="1"/>
  <c r="AA247" i="1"/>
  <c r="AB247" i="1" s="1"/>
  <c r="AA255" i="1"/>
  <c r="AB255" i="1" s="1"/>
  <c r="AA263" i="1"/>
  <c r="AB263" i="1" s="1"/>
  <c r="AA271" i="1"/>
  <c r="AB271" i="1" s="1"/>
  <c r="AA279" i="1"/>
  <c r="AB279" i="1" s="1"/>
  <c r="AA287" i="1"/>
  <c r="AB287" i="1" s="1"/>
  <c r="AA295" i="1"/>
  <c r="AB295" i="1" s="1"/>
  <c r="AA303" i="1"/>
  <c r="AB303" i="1" s="1"/>
  <c r="AA311" i="1"/>
  <c r="AB311" i="1" s="1"/>
  <c r="AA319" i="1"/>
  <c r="AB319" i="1" s="1"/>
  <c r="AA327" i="1"/>
  <c r="AB327" i="1" s="1"/>
  <c r="AA335" i="1"/>
  <c r="AB335" i="1" s="1"/>
  <c r="AA343" i="1"/>
  <c r="AB343" i="1" s="1"/>
  <c r="AA351" i="1"/>
  <c r="AB351" i="1" s="1"/>
  <c r="AA359" i="1"/>
  <c r="AB359" i="1" s="1"/>
  <c r="AA367" i="1"/>
  <c r="AB367" i="1" s="1"/>
  <c r="AA375" i="1"/>
  <c r="AB375" i="1" s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B24" i="1" s="1"/>
  <c r="AA32" i="1"/>
  <c r="AB32" i="1" s="1"/>
  <c r="AA40" i="1"/>
  <c r="AB40" i="1" s="1"/>
  <c r="AA48" i="1"/>
  <c r="AB48" i="1" s="1"/>
  <c r="AA56" i="1"/>
  <c r="AB56" i="1" s="1"/>
  <c r="AA64" i="1"/>
  <c r="AB64" i="1" s="1"/>
  <c r="AA72" i="1"/>
  <c r="AB72" i="1" s="1"/>
  <c r="AA80" i="1"/>
  <c r="AB80" i="1" s="1"/>
  <c r="AA88" i="1"/>
  <c r="AB88" i="1" s="1"/>
  <c r="AA96" i="1"/>
  <c r="AB96" i="1" s="1"/>
  <c r="AA104" i="1"/>
  <c r="AB104" i="1" s="1"/>
  <c r="AA112" i="1"/>
  <c r="AB112" i="1" s="1"/>
  <c r="AA120" i="1"/>
  <c r="AB120" i="1" s="1"/>
  <c r="AA128" i="1"/>
  <c r="AB128" i="1" s="1"/>
  <c r="AA136" i="1"/>
  <c r="AB136" i="1" s="1"/>
  <c r="AA144" i="1"/>
  <c r="AB144" i="1" s="1"/>
  <c r="AA152" i="1"/>
  <c r="AB152" i="1" s="1"/>
  <c r="AA160" i="1"/>
  <c r="AB160" i="1" s="1"/>
  <c r="AA168" i="1"/>
  <c r="AB168" i="1" s="1"/>
  <c r="AA176" i="1"/>
  <c r="AB176" i="1" s="1"/>
  <c r="AA184" i="1"/>
  <c r="AB184" i="1" s="1"/>
  <c r="AA192" i="1"/>
  <c r="AB192" i="1" s="1"/>
  <c r="AA200" i="1"/>
  <c r="AB200" i="1" s="1"/>
  <c r="AA208" i="1"/>
  <c r="AB208" i="1" s="1"/>
  <c r="AA216" i="1"/>
  <c r="AB216" i="1" s="1"/>
  <c r="AA224" i="1"/>
  <c r="AB224" i="1" s="1"/>
  <c r="AA232" i="1"/>
  <c r="AB232" i="1" s="1"/>
  <c r="AA240" i="1"/>
  <c r="AB240" i="1" s="1"/>
  <c r="AA248" i="1"/>
  <c r="AB248" i="1" s="1"/>
  <c r="AA256" i="1"/>
  <c r="AB256" i="1" s="1"/>
  <c r="AA264" i="1"/>
  <c r="AB264" i="1" s="1"/>
  <c r="AA272" i="1"/>
  <c r="AB272" i="1" s="1"/>
  <c r="AA280" i="1"/>
  <c r="AB280" i="1" s="1"/>
  <c r="AA288" i="1"/>
  <c r="AB288" i="1" s="1"/>
  <c r="AA296" i="1"/>
  <c r="AB296" i="1" s="1"/>
  <c r="AA304" i="1"/>
  <c r="AB304" i="1" s="1"/>
  <c r="AA312" i="1"/>
  <c r="AB312" i="1" s="1"/>
  <c r="AA320" i="1"/>
  <c r="AB320" i="1" s="1"/>
  <c r="AA328" i="1"/>
  <c r="AB328" i="1" s="1"/>
  <c r="AA336" i="1"/>
  <c r="AB336" i="1" s="1"/>
  <c r="AA344" i="1"/>
  <c r="AB344" i="1" s="1"/>
  <c r="AA352" i="1"/>
  <c r="AB352" i="1" s="1"/>
  <c r="AA360" i="1"/>
  <c r="AB360" i="1" s="1"/>
  <c r="AA368" i="1"/>
  <c r="AB368" i="1" s="1"/>
  <c r="AA376" i="1"/>
  <c r="AB376" i="1" s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B57" i="1" s="1"/>
  <c r="AA89" i="1"/>
  <c r="AB89" i="1" s="1"/>
  <c r="AA121" i="1"/>
  <c r="AB121" i="1" s="1"/>
  <c r="AA153" i="1"/>
  <c r="AB153" i="1" s="1"/>
  <c r="AA185" i="1"/>
  <c r="AB185" i="1" s="1"/>
  <c r="AA217" i="1"/>
  <c r="AB217" i="1" s="1"/>
  <c r="AA249" i="1"/>
  <c r="AB249" i="1" s="1"/>
  <c r="AA281" i="1"/>
  <c r="AB281" i="1" s="1"/>
  <c r="AA313" i="1"/>
  <c r="AB313" i="1" s="1"/>
  <c r="AA345" i="1"/>
  <c r="AB345" i="1" s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B161" i="1" s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B229" i="1" s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B61" i="1" s="1"/>
  <c r="AA93" i="1"/>
  <c r="AB93" i="1" s="1"/>
  <c r="AA125" i="1"/>
  <c r="AB125" i="1" s="1"/>
  <c r="AA157" i="1"/>
  <c r="AB157" i="1" s="1"/>
  <c r="AA189" i="1"/>
  <c r="AB189" i="1" s="1"/>
  <c r="AA221" i="1"/>
  <c r="AB221" i="1" s="1"/>
  <c r="AA253" i="1"/>
  <c r="AB253" i="1" s="1"/>
  <c r="AA285" i="1"/>
  <c r="AB285" i="1" s="1"/>
  <c r="AA317" i="1"/>
  <c r="AB317" i="1" s="1"/>
  <c r="AA349" i="1"/>
  <c r="AB349" i="1" s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B193" i="1" s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B165" i="1" s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B277" i="1" s="1"/>
  <c r="AA597" i="1"/>
  <c r="AB597" i="1" s="1"/>
  <c r="AA65" i="1"/>
  <c r="AB65" i="1" s="1"/>
  <c r="AA97" i="1"/>
  <c r="AB97" i="1" s="1"/>
  <c r="AA129" i="1"/>
  <c r="AB129" i="1" s="1"/>
  <c r="AA225" i="1"/>
  <c r="AB225" i="1" s="1"/>
  <c r="AA257" i="1"/>
  <c r="AB257" i="1" s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B73" i="1" s="1"/>
  <c r="AA105" i="1"/>
  <c r="AB105" i="1" s="1"/>
  <c r="AA137" i="1"/>
  <c r="AB137" i="1" s="1"/>
  <c r="AA169" i="1"/>
  <c r="AB169" i="1" s="1"/>
  <c r="AA201" i="1"/>
  <c r="AB201" i="1" s="1"/>
  <c r="AA233" i="1"/>
  <c r="AB233" i="1" s="1"/>
  <c r="AA265" i="1"/>
  <c r="AB265" i="1" s="1"/>
  <c r="AA297" i="1"/>
  <c r="AB297" i="1" s="1"/>
  <c r="AA329" i="1"/>
  <c r="AB329" i="1" s="1"/>
  <c r="AA361" i="1"/>
  <c r="AB361" i="1" s="1"/>
  <c r="AA393" i="1"/>
  <c r="AB393" i="1" s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B145" i="1" s="1"/>
  <c r="AA209" i="1"/>
  <c r="AB209" i="1" s="1"/>
  <c r="AA273" i="1"/>
  <c r="AB273" i="1" s="1"/>
  <c r="AA337" i="1"/>
  <c r="AB337" i="1" s="1"/>
  <c r="AA433" i="1"/>
  <c r="AB433" i="1" s="1"/>
  <c r="AA529" i="1"/>
  <c r="AB529" i="1" s="1"/>
  <c r="AA593" i="1"/>
  <c r="AB593" i="1" s="1"/>
  <c r="AA625" i="1"/>
  <c r="AB625" i="1" s="1"/>
  <c r="AA85" i="1"/>
  <c r="AB85" i="1" s="1"/>
  <c r="AA117" i="1"/>
  <c r="AB117" i="1" s="1"/>
  <c r="AA181" i="1"/>
  <c r="AB181" i="1" s="1"/>
  <c r="AA341" i="1"/>
  <c r="AB341" i="1" s="1"/>
  <c r="AA405" i="1"/>
  <c r="AB405" i="1" s="1"/>
  <c r="AA501" i="1"/>
  <c r="AB501" i="1" s="1"/>
  <c r="AA629" i="1"/>
  <c r="AB629" i="1" s="1"/>
  <c r="AA77" i="1"/>
  <c r="AB77" i="1" s="1"/>
  <c r="AA109" i="1"/>
  <c r="AB109" i="1" s="1"/>
  <c r="AA141" i="1"/>
  <c r="AB141" i="1" s="1"/>
  <c r="AA173" i="1"/>
  <c r="AB173" i="1" s="1"/>
  <c r="AA205" i="1"/>
  <c r="AB205" i="1" s="1"/>
  <c r="AA237" i="1"/>
  <c r="AB237" i="1" s="1"/>
  <c r="AA269" i="1"/>
  <c r="AB269" i="1" s="1"/>
  <c r="AA301" i="1"/>
  <c r="AB301" i="1" s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B113" i="1" s="1"/>
  <c r="AA177" i="1"/>
  <c r="AB177" i="1" s="1"/>
  <c r="AA241" i="1"/>
  <c r="AB241" i="1" s="1"/>
  <c r="AA305" i="1"/>
  <c r="AB305" i="1" s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B149" i="1" s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S90" i="1"/>
  <c r="S18" i="1"/>
  <c r="S157" i="1"/>
  <c r="S290" i="1"/>
  <c r="S106" i="1"/>
  <c r="S210" i="1"/>
  <c r="S42" i="1"/>
  <c r="S146" i="1"/>
  <c r="S156" i="1"/>
  <c r="S221" i="1"/>
  <c r="S274" i="1"/>
  <c r="S174" i="1"/>
  <c r="S170" i="1"/>
  <c r="S348" i="1"/>
  <c r="S196" i="1"/>
  <c r="S285" i="1"/>
  <c r="S35" i="1"/>
  <c r="S40" i="1"/>
  <c r="S139" i="1"/>
  <c r="S93" i="1"/>
  <c r="S366" i="1"/>
  <c r="S68" i="1"/>
  <c r="S338" i="1"/>
  <c r="S203" i="1"/>
  <c r="S75" i="1"/>
  <c r="S324" i="1"/>
  <c r="S260" i="1"/>
  <c r="S98" i="1"/>
  <c r="S92" i="1"/>
  <c r="S86" i="1"/>
  <c r="S22" i="1"/>
  <c r="S155" i="1"/>
  <c r="S388" i="1"/>
  <c r="S214" i="1"/>
  <c r="S298" i="1"/>
  <c r="S26" i="1"/>
  <c r="S332" i="1"/>
  <c r="S218" i="1"/>
  <c r="S268" i="1"/>
  <c r="S222" i="1"/>
  <c r="S234" i="1"/>
  <c r="S150" i="1"/>
  <c r="S293" i="1"/>
  <c r="S227" i="1"/>
  <c r="S163" i="1"/>
  <c r="S302" i="1"/>
  <c r="S282" i="1"/>
  <c r="S20" i="1"/>
  <c r="W20" i="1" s="1"/>
  <c r="S355" i="1"/>
  <c r="S43" i="1"/>
  <c r="S49" i="1"/>
  <c r="S211" i="1"/>
  <c r="S34" i="1"/>
  <c r="S147" i="1"/>
  <c r="S29" i="1"/>
  <c r="S226" i="1"/>
  <c r="S162" i="1"/>
  <c r="AB298" i="1"/>
  <c r="AB283" i="1"/>
  <c r="F43" i="1" l="1"/>
  <c r="F41" i="1"/>
  <c r="F42" i="1"/>
  <c r="AC2" i="3"/>
  <c r="F35" i="1"/>
  <c r="H35" i="1" s="1"/>
  <c r="F32" i="1"/>
  <c r="G32" i="1" s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H32" i="1" l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<sst xmlns="http://schemas.openxmlformats.org/spreadsheetml/2006/main" count="448" uniqueCount="261">
  <si>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</si>
  <si>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</si>
  <si>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</si>
  <si>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</si>
  <si>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</si>
  <si>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</si>
  <si>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</si>
  <si>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</si>
  <si>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</si>
  <si>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</si>
  <si>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</si>
  <si>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</si>
  <si>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</si>
  <si>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</si>
  <si>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</si>
  <si>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</si>
  <si>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</si>
  <si>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</si>
  <si>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</si>
  <si>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</si>
  <si>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</si>
  <si>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</si>
  <si>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</si>
  <si>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</si>
  <si>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</si>
  <si>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</si>
  <si>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</si>
  <si>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</si>
  <si>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</si>
  <si>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</si>
  <si>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</si>
  <si>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</si>
  <si>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</si>
  <si>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</si>
  <si>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</si>
  <si>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</si>
  <si>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</si>
  <si>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</si>
  <si>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</si>
  <si>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</si>
  <si>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</si>
  <si>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</si>
  <si>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</si>
  <si>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</si>
  <si>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</si>
  <si>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</si>
  <si>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</si>
  <si>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</si>
  <si>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</si>
  <si>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</si>
  <si>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</si>
  <si>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</si>
  <si>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</si>
  <si>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</si>
  <si>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</si>
  <si>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</si>
  <si>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</si>
  <si>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</si>
  <si>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</si>
  <si>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</si>
  <si>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</si>
  <si>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</si>
  <si>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</si>
  <si>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</si>
  <si>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</si>
  <si>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</si>
  <si>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</si>
  <si>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</si>
  <si>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</si>
  <si>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</si>
  <si>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</si>
  <si>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</si>
  <si>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</si>
  <si>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</si>
  <si>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</si>
  <si>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</si>
  <si>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</si>
  <si>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</si>
  <si>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</si>
  <si>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</si>
  <si>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</si>
  <si>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</si>
  <si>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</si>
  <si>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</si>
  <si>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</si>
  <si>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</si>
  <si>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</si>
  <si>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</si>
  <si>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</si>
  <si>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</si>
  <si>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</si>
  <si>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</si>
  <si>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</si>
  <si>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</si>
  <si>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</si>
  <si>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</si>
  <si>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</si>
  <si>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</si>
  <si>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</si>
  <si>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</si>
  <si>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</si>
  <si>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</si>
  <si>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</si>
  <si>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</si>
  <si>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</si>
  <si>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</si>
  <si>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</si>
  <si>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</si>
  <si>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</si>
  <si>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</si>
  <si>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</si>
  <si>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</si>
  <si>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</si>
  <si>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</si>
  <si>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</si>
  <si>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</si>
  <si>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</si>
  <si>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</si>
  <si>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</si>
  <si>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</si>
  <si>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</si>
  <si>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</si>
  <si>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</si>
  <si>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</si>
  <si>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</si>
  <si>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</si>
  <si>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</si>
  <si>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</si>
  <si>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</si>
  <si>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</si>
  <si>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</si>
  <si>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</si>
  <si>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</si>
  <si>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</si>
  <si>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</si>
  <si>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</si>
  <si>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</si>
  <si>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</si>
  <si>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</si>
  <si>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</si>
  <si>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</si>
  <si>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</si>
  <si>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</si>
  <si>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</si>
  <si>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</si>
  <si>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</si>
  <si>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</si>
  <si>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</si>
  <si>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</si>
  <si>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</si>
  <si>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</si>
  <si>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</si>
  <si>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</si>
  <si>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</si>
  <si>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</si>
  <si>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</si>
  <si>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</si>
  <si>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</si>
  <si>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</si>
  <si>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</si>
  <si>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</si>
  <si>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</si>
  <si>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</si>
  <si>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</si>
  <si>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</si>
  <si>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</si>
  <si>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</si>
  <si>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</si>
  <si>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</si>
  <si>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</si>
  <si>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</si>
  <si>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</si>
  <si>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</si>
  <si>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</si>
  <si>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</si>
  <si>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</si>
  <si>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</si>
  <si>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</si>
  <si>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</si>
  <si>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</si>
  <si>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</si>
  <si>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</si>
  <si>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</si>
  <si>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</si>
  <si>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</si>
  <si>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</si>
  <si>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</si>
  <si>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</si>
  <si>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</si>
  <si>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</si>
  <si>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</si>
  <si>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</si>
  <si>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</si>
  <si>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</si>
  <si>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</si>
  <si>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</si>
  <si>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</si>
  <si>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</si>
  <si>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</si>
  <si>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</si>
  <si>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</si>
  <si>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</si>
  <si>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</si>
  <si>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</si>
  <si>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</si>
  <si>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</si>
  <si>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</si>
  <si>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</si>
  <si>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</si>
  <si>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</si>
  <si>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</si>
  <si>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</si>
  <si>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</si>
  <si>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</si>
  <si>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</si>
  <si>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</si>
  <si>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</si>
  <si>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</si>
  <si>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</si>
  <si>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</si>
  <si>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</si>
  <si>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</si>
  <si>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</si>
  <si>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</si>
  <si>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</si>
  <si>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</si>
  <si>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</si>
  <si>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</si>
  <si>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</si>
  <si>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</si>
  <si>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</si>
  <si>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</si>
  <si>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</si>
  <si>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</si>
  <si>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</si>
  <si>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</si>
  <si>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</si>
  <si>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</si>
  <si>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</si>
  <si>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</si>
  <si>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</si>
  <si>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</si>
  <si>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</si>
  <si>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</si>
  <si>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</si>
  <si>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</si>
  <si>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Texture</t>
  </si>
  <si>
    <t>Rocks</t>
  </si>
  <si>
    <t>Soil Category</t>
  </si>
  <si>
    <t>Sedementary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</si>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</sst>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106.74308840822954</c:v>
                </c:pt>
                <c:pt idx="1">
                  <c:v>28.894711274134835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25.385853188967218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39.953024262162486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58.44221057430407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171.33058313663525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0.41446087428505507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45362</c:v>
                </c:pt>
                <c:pt idx="1">
                  <c:v>45363</c:v>
                </c:pt>
                <c:pt idx="2">
                  <c:v>45364</c:v>
                </c:pt>
                <c:pt idx="3">
                  <c:v>45365</c:v>
                </c:pt>
                <c:pt idx="4">
                  <c:v>45366</c:v>
                </c:pt>
                <c:pt idx="5">
                  <c:v>45367</c:v>
                </c:pt>
                <c:pt idx="6">
                  <c:v>45368</c:v>
                </c:pt>
                <c:pt idx="7">
                  <c:v>45369</c:v>
                </c:pt>
                <c:pt idx="8">
                  <c:v>45370</c:v>
                </c:pt>
                <c:pt idx="9">
                  <c:v>45371</c:v>
                </c:pt>
                <c:pt idx="10">
                  <c:v>45372</c:v>
                </c:pt>
                <c:pt idx="11">
                  <c:v>45373</c:v>
                </c:pt>
                <c:pt idx="12">
                  <c:v>45374</c:v>
                </c:pt>
                <c:pt idx="13">
                  <c:v>45375</c:v>
                </c:pt>
                <c:pt idx="14">
                  <c:v>45376</c:v>
                </c:pt>
                <c:pt idx="15">
                  <c:v>45377</c:v>
                </c:pt>
                <c:pt idx="16">
                  <c:v>45378</c:v>
                </c:pt>
                <c:pt idx="17">
                  <c:v>45379</c:v>
                </c:pt>
                <c:pt idx="18">
                  <c:v>45380</c:v>
                </c:pt>
                <c:pt idx="19">
                  <c:v>45381</c:v>
                </c:pt>
                <c:pt idx="20">
                  <c:v>45382</c:v>
                </c:pt>
                <c:pt idx="21">
                  <c:v>45383</c:v>
                </c:pt>
                <c:pt idx="22">
                  <c:v>45384</c:v>
                </c:pt>
                <c:pt idx="23">
                  <c:v>45385</c:v>
                </c:pt>
                <c:pt idx="24">
                  <c:v>45386</c:v>
                </c:pt>
                <c:pt idx="25">
                  <c:v>45387</c:v>
                </c:pt>
                <c:pt idx="26">
                  <c:v>45388</c:v>
                </c:pt>
                <c:pt idx="27">
                  <c:v>45389</c:v>
                </c:pt>
                <c:pt idx="28">
                  <c:v>45390</c:v>
                </c:pt>
                <c:pt idx="29">
                  <c:v>45391</c:v>
                </c:pt>
                <c:pt idx="30">
                  <c:v>45392</c:v>
                </c:pt>
                <c:pt idx="31">
                  <c:v>45393</c:v>
                </c:pt>
                <c:pt idx="32">
                  <c:v>45394</c:v>
                </c:pt>
                <c:pt idx="33">
                  <c:v>45395</c:v>
                </c:pt>
                <c:pt idx="34">
                  <c:v>45396</c:v>
                </c:pt>
                <c:pt idx="35">
                  <c:v>45397</c:v>
                </c:pt>
                <c:pt idx="36">
                  <c:v>45398</c:v>
                </c:pt>
                <c:pt idx="37">
                  <c:v>45399</c:v>
                </c:pt>
                <c:pt idx="38">
                  <c:v>45400</c:v>
                </c:pt>
                <c:pt idx="39">
                  <c:v>45401</c:v>
                </c:pt>
                <c:pt idx="40">
                  <c:v>45402</c:v>
                </c:pt>
                <c:pt idx="41">
                  <c:v>45403</c:v>
                </c:pt>
                <c:pt idx="42">
                  <c:v>45404</c:v>
                </c:pt>
                <c:pt idx="43">
                  <c:v>45405</c:v>
                </c:pt>
                <c:pt idx="44">
                  <c:v>45406</c:v>
                </c:pt>
                <c:pt idx="45">
                  <c:v>45407</c:v>
                </c:pt>
                <c:pt idx="46">
                  <c:v>45408</c:v>
                </c:pt>
                <c:pt idx="47">
                  <c:v>45409</c:v>
                </c:pt>
                <c:pt idx="48">
                  <c:v>45410</c:v>
                </c:pt>
                <c:pt idx="49">
                  <c:v>45411</c:v>
                </c:pt>
                <c:pt idx="50">
                  <c:v>45412</c:v>
                </c:pt>
                <c:pt idx="51">
                  <c:v>45413</c:v>
                </c:pt>
                <c:pt idx="52">
                  <c:v>45414</c:v>
                </c:pt>
                <c:pt idx="53">
                  <c:v>45415</c:v>
                </c:pt>
                <c:pt idx="54">
                  <c:v>45416</c:v>
                </c:pt>
                <c:pt idx="55">
                  <c:v>45417</c:v>
                </c:pt>
                <c:pt idx="56">
                  <c:v>45418</c:v>
                </c:pt>
                <c:pt idx="57">
                  <c:v>45419</c:v>
                </c:pt>
                <c:pt idx="58">
                  <c:v>45420</c:v>
                </c:pt>
                <c:pt idx="59">
                  <c:v>45421</c:v>
                </c:pt>
                <c:pt idx="60">
                  <c:v>45422</c:v>
                </c:pt>
                <c:pt idx="61">
                  <c:v>45423</c:v>
                </c:pt>
                <c:pt idx="62">
                  <c:v>45424</c:v>
                </c:pt>
                <c:pt idx="63">
                  <c:v>45425</c:v>
                </c:pt>
                <c:pt idx="64">
                  <c:v>45426</c:v>
                </c:pt>
                <c:pt idx="65">
                  <c:v>45427</c:v>
                </c:pt>
                <c:pt idx="66">
                  <c:v>45428</c:v>
                </c:pt>
                <c:pt idx="67">
                  <c:v>45429</c:v>
                </c:pt>
                <c:pt idx="68">
                  <c:v>45430</c:v>
                </c:pt>
                <c:pt idx="69">
                  <c:v>45431</c:v>
                </c:pt>
                <c:pt idx="70">
                  <c:v>45432</c:v>
                </c:pt>
                <c:pt idx="71">
                  <c:v>45433</c:v>
                </c:pt>
                <c:pt idx="72">
                  <c:v>45434</c:v>
                </c:pt>
                <c:pt idx="73">
                  <c:v>45435</c:v>
                </c:pt>
                <c:pt idx="74">
                  <c:v>45436</c:v>
                </c:pt>
                <c:pt idx="75">
                  <c:v>45437</c:v>
                </c:pt>
                <c:pt idx="76">
                  <c:v>45438</c:v>
                </c:pt>
                <c:pt idx="77">
                  <c:v>45439</c:v>
                </c:pt>
                <c:pt idx="78">
                  <c:v>45440</c:v>
                </c:pt>
                <c:pt idx="79">
                  <c:v>45441</c:v>
                </c:pt>
                <c:pt idx="80">
                  <c:v>45442</c:v>
                </c:pt>
                <c:pt idx="81">
                  <c:v>45443</c:v>
                </c:pt>
                <c:pt idx="82">
                  <c:v>45444</c:v>
                </c:pt>
                <c:pt idx="83">
                  <c:v>45445</c:v>
                </c:pt>
                <c:pt idx="84">
                  <c:v>45446</c:v>
                </c:pt>
                <c:pt idx="85">
                  <c:v>45447</c:v>
                </c:pt>
                <c:pt idx="86">
                  <c:v>45448</c:v>
                </c:pt>
                <c:pt idx="87">
                  <c:v>45449</c:v>
                </c:pt>
                <c:pt idx="88">
                  <c:v>45450</c:v>
                </c:pt>
                <c:pt idx="89">
                  <c:v>45451</c:v>
                </c:pt>
                <c:pt idx="90">
                  <c:v>45452</c:v>
                </c:pt>
                <c:pt idx="91">
                  <c:v>45453</c:v>
                </c:pt>
                <c:pt idx="92">
                  <c:v>45454</c:v>
                </c:pt>
                <c:pt idx="93">
                  <c:v>45455</c:v>
                </c:pt>
                <c:pt idx="94">
                  <c:v>45456</c:v>
                </c:pt>
                <c:pt idx="95">
                  <c:v>45457</c:v>
                </c:pt>
                <c:pt idx="96">
                  <c:v>45458</c:v>
                </c:pt>
                <c:pt idx="97">
                  <c:v>45459</c:v>
                </c:pt>
                <c:pt idx="98">
                  <c:v>45460</c:v>
                </c:pt>
                <c:pt idx="99">
                  <c:v>45461</c:v>
                </c:pt>
                <c:pt idx="100">
                  <c:v>45462</c:v>
                </c:pt>
                <c:pt idx="101">
                  <c:v>45463</c:v>
                </c:pt>
                <c:pt idx="102">
                  <c:v>45464</c:v>
                </c:pt>
                <c:pt idx="103">
                  <c:v>45465</c:v>
                </c:pt>
                <c:pt idx="104">
                  <c:v>45466</c:v>
                </c:pt>
                <c:pt idx="105">
                  <c:v>45467</c:v>
                </c:pt>
                <c:pt idx="106">
                  <c:v>45468</c:v>
                </c:pt>
                <c:pt idx="107">
                  <c:v>45469</c:v>
                </c:pt>
                <c:pt idx="108">
                  <c:v>45470</c:v>
                </c:pt>
                <c:pt idx="109">
                  <c:v>45471</c:v>
                </c:pt>
                <c:pt idx="110">
                  <c:v>45472</c:v>
                </c:pt>
                <c:pt idx="111">
                  <c:v>45473</c:v>
                </c:pt>
                <c:pt idx="112">
                  <c:v>45474</c:v>
                </c:pt>
                <c:pt idx="113">
                  <c:v>45475</c:v>
                </c:pt>
                <c:pt idx="114">
                  <c:v>45476</c:v>
                </c:pt>
                <c:pt idx="115">
                  <c:v>45477</c:v>
                </c:pt>
                <c:pt idx="116">
                  <c:v>45478</c:v>
                </c:pt>
                <c:pt idx="117">
                  <c:v>45479</c:v>
                </c:pt>
                <c:pt idx="118">
                  <c:v>45480</c:v>
                </c:pt>
                <c:pt idx="119">
                  <c:v>45481</c:v>
                </c:pt>
                <c:pt idx="120">
                  <c:v>45482</c:v>
                </c:pt>
                <c:pt idx="121">
                  <c:v>45483</c:v>
                </c:pt>
                <c:pt idx="122">
                  <c:v>45484</c:v>
                </c:pt>
                <c:pt idx="123">
                  <c:v>45485</c:v>
                </c:pt>
                <c:pt idx="124">
                  <c:v>45486</c:v>
                </c:pt>
                <c:pt idx="125">
                  <c:v>45487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7.8553305711404597</c:v>
                </c:pt>
                <c:pt idx="1">
                  <c:v>8.2697914454256605</c:v>
                </c:pt>
                <c:pt idx="2">
                  <c:v>8.6963217018869905</c:v>
                </c:pt>
                <c:pt idx="3">
                  <c:v>9.1471688392503498</c:v>
                </c:pt>
                <c:pt idx="4">
                  <c:v>9.6215034514220594</c:v>
                </c:pt>
                <c:pt idx="5">
                  <c:v>10.113665575217601</c:v>
                </c:pt>
                <c:pt idx="6">
                  <c:v>10.5919608607288</c:v>
                </c:pt>
                <c:pt idx="7">
                  <c:v>11.1238890222844</c:v>
                </c:pt>
                <c:pt idx="8">
                  <c:v>11.711849642654199</c:v>
                </c:pt>
                <c:pt idx="9">
                  <c:v>12.3132658871194</c:v>
                </c:pt>
                <c:pt idx="10">
                  <c:v>12.926779541617501</c:v>
                </c:pt>
                <c:pt idx="11">
                  <c:v>13.5444274568642</c:v>
                </c:pt>
                <c:pt idx="12">
                  <c:v>14.1963703586196</c:v>
                </c:pt>
                <c:pt idx="13">
                  <c:v>14.893029932072199</c:v>
                </c:pt>
                <c:pt idx="14">
                  <c:v>15.581958464043201</c:v>
                </c:pt>
                <c:pt idx="15">
                  <c:v>16.347663774554398</c:v>
                </c:pt>
                <c:pt idx="16">
                  <c:v>17.1754128777023</c:v>
                </c:pt>
                <c:pt idx="17">
                  <c:v>18.039765138262101</c:v>
                </c:pt>
                <c:pt idx="18">
                  <c:v>18.949855228427499</c:v>
                </c:pt>
                <c:pt idx="19">
                  <c:v>19.844351377395299</c:v>
                </c:pt>
                <c:pt idx="20">
                  <c:v>20.740352713894499</c:v>
                </c:pt>
                <c:pt idx="21">
                  <c:v>21.713795250562399</c:v>
                </c:pt>
                <c:pt idx="22">
                  <c:v>22.700042050763599</c:v>
                </c:pt>
                <c:pt idx="23">
                  <c:v>23.688005955223201</c:v>
                </c:pt>
                <c:pt idx="24">
                  <c:v>24.697407232230098</c:v>
                </c:pt>
                <c:pt idx="25">
                  <c:v>25.7589971446634</c:v>
                </c:pt>
                <c:pt idx="26">
                  <c:v>26.854161728757401</c:v>
                </c:pt>
                <c:pt idx="27">
                  <c:v>27.995586069203299</c:v>
                </c:pt>
                <c:pt idx="28">
                  <c:v>29.129367583727898</c:v>
                </c:pt>
                <c:pt idx="29">
                  <c:v>30.208170712749499</c:v>
                </c:pt>
                <c:pt idx="30">
                  <c:v>31.348366955805901</c:v>
                </c:pt>
                <c:pt idx="31">
                  <c:v>32.511534055913202</c:v>
                </c:pt>
                <c:pt idx="32">
                  <c:v>33.762339499420698</c:v>
                </c:pt>
                <c:pt idx="33">
                  <c:v>35.013099238148499</c:v>
                </c:pt>
                <c:pt idx="34">
                  <c:v>36.415644555494097</c:v>
                </c:pt>
                <c:pt idx="35">
                  <c:v>37.8239484955647</c:v>
                </c:pt>
                <c:pt idx="36">
                  <c:v>39.3084894274959</c:v>
                </c:pt>
                <c:pt idx="37">
                  <c:v>40.754877801143799</c:v>
                </c:pt>
                <c:pt idx="38">
                  <c:v>42.263325593517699</c:v>
                </c:pt>
                <c:pt idx="39">
                  <c:v>43.8723787508955</c:v>
                </c:pt>
                <c:pt idx="40">
                  <c:v>45.409339626153802</c:v>
                </c:pt>
                <c:pt idx="41">
                  <c:v>46.966919383130403</c:v>
                </c:pt>
                <c:pt idx="42">
                  <c:v>48.657100833111301</c:v>
                </c:pt>
                <c:pt idx="43">
                  <c:v>50.310027544262098</c:v>
                </c:pt>
                <c:pt idx="44">
                  <c:v>52.097253917798</c:v>
                </c:pt>
                <c:pt idx="45">
                  <c:v>53.962626161403399</c:v>
                </c:pt>
                <c:pt idx="46">
                  <c:v>55.907566329888098</c:v>
                </c:pt>
                <c:pt idx="47">
                  <c:v>57.9619285628158</c:v>
                </c:pt>
                <c:pt idx="48">
                  <c:v>59.848651424926203</c:v>
                </c:pt>
                <c:pt idx="49">
                  <c:v>61.737110784053797</c:v>
                </c:pt>
                <c:pt idx="50">
                  <c:v>63.608897604348002</c:v>
                </c:pt>
                <c:pt idx="51">
                  <c:v>65.549304137546997</c:v>
                </c:pt>
                <c:pt idx="52">
                  <c:v>67.527495712061494</c:v>
                </c:pt>
                <c:pt idx="53">
                  <c:v>69.661336592915802</c:v>
                </c:pt>
                <c:pt idx="54">
                  <c:v>71.841887110205604</c:v>
                </c:pt>
                <c:pt idx="55">
                  <c:v>74.246114412854496</c:v>
                </c:pt>
                <c:pt idx="56">
                  <c:v>76.616777038215304</c:v>
                </c:pt>
                <c:pt idx="57">
                  <c:v>78.812187201506205</c:v>
                </c:pt>
                <c:pt idx="58">
                  <c:v>81.088859880975903</c:v>
                </c:pt>
                <c:pt idx="59">
                  <c:v>83.386600303671401</c:v>
                </c:pt>
                <c:pt idx="60">
                  <c:v>85.812459999075003</c:v>
                </c:pt>
                <c:pt idx="61">
                  <c:v>88.375804255947898</c:v>
                </c:pt>
                <c:pt idx="62">
                  <c:v>90.835049690492596</c:v>
                </c:pt>
                <c:pt idx="63">
                  <c:v>93.313097762204507</c:v>
                </c:pt>
                <c:pt idx="64">
                  <c:v>95.735638305471696</c:v>
                </c:pt>
                <c:pt idx="65">
                  <c:v>98.345290717712999</c:v>
                </c:pt>
                <c:pt idx="66">
                  <c:v>100.766570196732</c:v>
                </c:pt>
                <c:pt idx="67">
                  <c:v>103.16669349163899</c:v>
                </c:pt>
                <c:pt idx="68">
                  <c:v>105.69065836570699</c:v>
                </c:pt>
                <c:pt idx="69">
                  <c:v>108.274428712225</c:v>
                </c:pt>
                <c:pt idx="70">
                  <c:v>110.82455673114001</c:v>
                </c:pt>
                <c:pt idx="71">
                  <c:v>113.180280912279</c:v>
                </c:pt>
                <c:pt idx="72">
                  <c:v>115.757052476863</c:v>
                </c:pt>
                <c:pt idx="73">
                  <c:v>118.304708201298</c:v>
                </c:pt>
                <c:pt idx="74">
                  <c:v>120.76199308050001</c:v>
                </c:pt>
                <c:pt idx="75">
                  <c:v>123.306266874507</c:v>
                </c:pt>
                <c:pt idx="76">
                  <c:v>125.849201954428</c:v>
                </c:pt>
                <c:pt idx="77">
                  <c:v>128.339656558988</c:v>
                </c:pt>
                <c:pt idx="78">
                  <c:v>130.91482552765899</c:v>
                </c:pt>
                <c:pt idx="79">
                  <c:v>133.37617772234901</c:v>
                </c:pt>
                <c:pt idx="80">
                  <c:v>135.87767348441</c:v>
                </c:pt>
                <c:pt idx="81">
                  <c:v>138.43341491901</c:v>
                </c:pt>
                <c:pt idx="82">
                  <c:v>140.91031944475199</c:v>
                </c:pt>
                <c:pt idx="83">
                  <c:v>143.310989685175</c:v>
                </c:pt>
                <c:pt idx="84">
                  <c:v>145.67400603955099</c:v>
                </c:pt>
                <c:pt idx="85">
                  <c:v>148.029385259436</c:v>
                </c:pt>
                <c:pt idx="86">
                  <c:v>150.291360486049</c:v>
                </c:pt>
                <c:pt idx="87">
                  <c:v>152.639260318808</c:v>
                </c:pt>
                <c:pt idx="88">
                  <c:v>155.18258147643601</c:v>
                </c:pt>
                <c:pt idx="89">
                  <c:v>157.814369378561</c:v>
                </c:pt>
                <c:pt idx="90">
                  <c:v>160.46324407541499</c:v>
                </c:pt>
                <c:pt idx="91">
                  <c:v>163.05337788978201</c:v>
                </c:pt>
                <c:pt idx="92">
                  <c:v>165.69090178819599</c:v>
                </c:pt>
                <c:pt idx="93">
                  <c:v>168.054554013397</c:v>
                </c:pt>
                <c:pt idx="94">
                  <c:v>170.55488713020799</c:v>
                </c:pt>
                <c:pt idx="95">
                  <c:v>173.103692777319</c:v>
                </c:pt>
                <c:pt idx="96">
                  <c:v>175.42685158906301</c:v>
                </c:pt>
                <c:pt idx="97">
                  <c:v>177.531582725801</c:v>
                </c:pt>
                <c:pt idx="98">
                  <c:v>179.80490031660901</c:v>
                </c:pt>
                <c:pt idx="99">
                  <c:v>182.05084122302</c:v>
                </c:pt>
                <c:pt idx="100">
                  <c:v>184.32535966182201</c:v>
                </c:pt>
                <c:pt idx="101">
                  <c:v>186.64688052445501</c:v>
                </c:pt>
                <c:pt idx="102">
                  <c:v>188.82524364664499</c:v>
                </c:pt>
                <c:pt idx="103">
                  <c:v>191.03095174048201</c:v>
                </c:pt>
                <c:pt idx="104">
                  <c:v>193.348375205606</c:v>
                </c:pt>
                <c:pt idx="105">
                  <c:v>195.64558810162401</c:v>
                </c:pt>
                <c:pt idx="106">
                  <c:v>198.033946032454</c:v>
                </c:pt>
                <c:pt idx="107">
                  <c:v>200.243934135431</c:v>
                </c:pt>
                <c:pt idx="108">
                  <c:v>202.362372787315</c:v>
                </c:pt>
                <c:pt idx="109">
                  <c:v>204.562686842933</c:v>
                </c:pt>
                <c:pt idx="110">
                  <c:v>206.88569775166999</c:v>
                </c:pt>
                <c:pt idx="111">
                  <c:v>208.96215032552601</c:v>
                </c:pt>
                <c:pt idx="112">
                  <c:v>210.91959576591699</c:v>
                </c:pt>
                <c:pt idx="113">
                  <c:v>213.07046270273301</c:v>
                </c:pt>
                <c:pt idx="114">
                  <c:v>215.31330113283099</c:v>
                </c:pt>
                <c:pt idx="115">
                  <c:v>217.64955853439099</c:v>
                </c:pt>
                <c:pt idx="116">
                  <c:v>219.907611083023</c:v>
                </c:pt>
                <c:pt idx="117">
                  <c:v>221.89452198283701</c:v>
                </c:pt>
                <c:pt idx="118">
                  <c:v>223.754350451601</c:v>
                </c:pt>
                <c:pt idx="119">
                  <c:v>225.69493837307999</c:v>
                </c:pt>
                <c:pt idx="120">
                  <c:v>227.707554821749</c:v>
                </c:pt>
                <c:pt idx="121">
                  <c:v>229.68419164296699</c:v>
                </c:pt>
                <c:pt idx="122">
                  <c:v>231.74077750369301</c:v>
                </c:pt>
                <c:pt idx="123">
                  <c:v>233.82085235669101</c:v>
                </c:pt>
                <c:pt idx="124">
                  <c:v>235.98712424972601</c:v>
                </c:pt>
                <c:pt idx="125">
                  <c:v>238.04258515636499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45362</c:v>
                </c:pt>
                <c:pt idx="1">
                  <c:v>45363</c:v>
                </c:pt>
                <c:pt idx="2">
                  <c:v>45364</c:v>
                </c:pt>
                <c:pt idx="3">
                  <c:v>45365</c:v>
                </c:pt>
                <c:pt idx="4">
                  <c:v>45366</c:v>
                </c:pt>
                <c:pt idx="5">
                  <c:v>45367</c:v>
                </c:pt>
                <c:pt idx="6">
                  <c:v>45368</c:v>
                </c:pt>
                <c:pt idx="7">
                  <c:v>45369</c:v>
                </c:pt>
                <c:pt idx="8">
                  <c:v>45370</c:v>
                </c:pt>
                <c:pt idx="9">
                  <c:v>45371</c:v>
                </c:pt>
                <c:pt idx="10">
                  <c:v>45372</c:v>
                </c:pt>
                <c:pt idx="11">
                  <c:v>45373</c:v>
                </c:pt>
                <c:pt idx="12">
                  <c:v>45374</c:v>
                </c:pt>
                <c:pt idx="13">
                  <c:v>45375</c:v>
                </c:pt>
                <c:pt idx="14">
                  <c:v>45376</c:v>
                </c:pt>
                <c:pt idx="15">
                  <c:v>45377</c:v>
                </c:pt>
                <c:pt idx="16">
                  <c:v>45378</c:v>
                </c:pt>
                <c:pt idx="17">
                  <c:v>45379</c:v>
                </c:pt>
                <c:pt idx="18">
                  <c:v>45380</c:v>
                </c:pt>
                <c:pt idx="19">
                  <c:v>45381</c:v>
                </c:pt>
                <c:pt idx="20">
                  <c:v>45382</c:v>
                </c:pt>
                <c:pt idx="21">
                  <c:v>45383</c:v>
                </c:pt>
                <c:pt idx="22">
                  <c:v>45384</c:v>
                </c:pt>
                <c:pt idx="23">
                  <c:v>45385</c:v>
                </c:pt>
                <c:pt idx="24">
                  <c:v>45386</c:v>
                </c:pt>
                <c:pt idx="25">
                  <c:v>45387</c:v>
                </c:pt>
                <c:pt idx="26">
                  <c:v>45388</c:v>
                </c:pt>
                <c:pt idx="27">
                  <c:v>45389</c:v>
                </c:pt>
                <c:pt idx="28">
                  <c:v>45390</c:v>
                </c:pt>
                <c:pt idx="29">
                  <c:v>45391</c:v>
                </c:pt>
                <c:pt idx="30">
                  <c:v>45392</c:v>
                </c:pt>
                <c:pt idx="31">
                  <c:v>45393</c:v>
                </c:pt>
                <c:pt idx="32">
                  <c:v>45394</c:v>
                </c:pt>
                <c:pt idx="33">
                  <c:v>45395</c:v>
                </c:pt>
                <c:pt idx="34">
                  <c:v>45396</c:v>
                </c:pt>
                <c:pt idx="35">
                  <c:v>45397</c:v>
                </c:pt>
                <c:pt idx="36">
                  <c:v>45398</c:v>
                </c:pt>
                <c:pt idx="37">
                  <c:v>45399</c:v>
                </c:pt>
                <c:pt idx="38">
                  <c:v>45400</c:v>
                </c:pt>
                <c:pt idx="39">
                  <c:v>45401</c:v>
                </c:pt>
                <c:pt idx="40">
                  <c:v>45402</c:v>
                </c:pt>
                <c:pt idx="41">
                  <c:v>45403</c:v>
                </c:pt>
                <c:pt idx="42">
                  <c:v>45404</c:v>
                </c:pt>
                <c:pt idx="43">
                  <c:v>45405</c:v>
                </c:pt>
                <c:pt idx="44">
                  <c:v>45406</c:v>
                </c:pt>
                <c:pt idx="45">
                  <c:v>45407</c:v>
                </c:pt>
                <c:pt idx="46">
                  <c:v>45408</c:v>
                </c:pt>
                <c:pt idx="47">
                  <c:v>45409</c:v>
                </c:pt>
                <c:pt idx="48">
                  <c:v>45410</c:v>
                </c:pt>
                <c:pt idx="49">
                  <c:v>45411</c:v>
                </c:pt>
                <c:pt idx="50">
                  <c:v>45412</c:v>
                </c:pt>
                <c:pt idx="51">
                  <c:v>45413</c:v>
                </c:pt>
                <c:pt idx="52">
                  <c:v>45414</c:v>
                </c:pt>
                <c:pt idx="53">
                  <c:v>45415</c:v>
                </c:pt>
                <c:pt idx="54">
                  <c:v>45416</c:v>
                </c:pt>
                <c:pt idx="55">
                  <c:v>45417</c:v>
                </c:pt>
                <c:pt idx="56">
                  <c:v>45418</c:v>
                </c:pt>
                <c:pt idx="57">
                  <c:v>45419</c:v>
                </c:pt>
                <c:pt idx="58">
                  <c:v>45420</c:v>
                </c:pt>
                <c:pt idx="59">
                  <c:v>45421</c:v>
                </c:pt>
                <c:pt idx="60">
                  <c:v>45422</c:v>
                </c:pt>
                <c:pt idx="61">
                  <c:v>45423</c:v>
                </c:pt>
                <c:pt idx="62">
                  <c:v>45424</c:v>
                </c:pt>
                <c:pt idx="63">
                  <c:v>45425</c:v>
                </c:pt>
                <c:pt idx="64">
                  <c:v>45426</c:v>
                </c:pt>
                <c:pt idx="65">
                  <c:v>45427</c:v>
                </c:pt>
                <c:pt idx="66">
                  <c:v>45428</c:v>
                </c:pt>
                <c:pt idx="67">
                  <c:v>45429</c:v>
                </c:pt>
                <c:pt idx="68">
                  <c:v>45430</c:v>
                </c:pt>
                <c:pt idx="69">
                  <c:v>45431</c:v>
                </c:pt>
                <c:pt idx="70">
                  <c:v>45432</c:v>
                </c:pt>
                <c:pt idx="71">
                  <c:v>45433</c:v>
                </c:pt>
                <c:pt idx="72">
                  <c:v>45434</c:v>
                </c:pt>
                <c:pt idx="73">
                  <c:v>45435</c:v>
                </c:pt>
                <c:pt idx="74">
                  <c:v>45436</c:v>
                </c:pt>
                <c:pt idx="75">
                  <c:v>45437</c:v>
                </c:pt>
                <c:pt idx="76">
                  <c:v>45438</c:v>
                </c:pt>
                <c:pt idx="77">
                  <c:v>45439</c:v>
                </c:pt>
                <c:pt idx="78">
                  <c:v>45440</c:v>
                </c:pt>
                <c:pt idx="79">
                  <c:v>45441</c:v>
                </c:pt>
                <c:pt idx="80">
                  <c:v>45442</c:v>
                </c:pt>
                <c:pt idx="81">
                  <c:v>45443</c:v>
                </c:pt>
                <c:pt idx="82">
                  <c:v>45444</c:v>
                </c:pt>
                <c:pt idx="83">
                  <c:v>45445</c:v>
                </c:pt>
                <c:pt idx="84">
                  <c:v>45446</c:v>
                </c:pt>
                <c:pt idx="85">
                  <c:v>45447</c:v>
                </c:pt>
                <c:pt idx="86">
                  <c:v>45448</c:v>
                </c:pt>
                <c:pt idx="87">
                  <c:v>45449</c:v>
                </c:pt>
                <c:pt idx="88">
                  <c:v>45450</c:v>
                </c:pt>
                <c:pt idx="89">
                  <c:v>45451</c:v>
                </c:pt>
                <c:pt idx="90">
                  <c:v>45452</c:v>
                </c:pt>
                <c:pt idx="91">
                  <c:v>45453</c:v>
                </c:pt>
                <c:pt idx="92">
                  <c:v>45454</c:v>
                </c:pt>
                <c:pt idx="93">
                  <c:v>45455</c:v>
                </c:pt>
                <c:pt idx="94">
                  <c:v>45456</c:v>
                </c:pt>
                <c:pt idx="95">
                  <c:v>45457</c:v>
                </c:pt>
                <c:pt idx="96">
                  <c:v>45458</c:v>
                </c:pt>
                <c:pt idx="97">
                  <c:v>45459</c:v>
                </c:pt>
                <c:pt idx="98">
                  <c:v>45460</c:v>
                </c:pt>
                <c:pt idx="99">
                  <c:v>45461</c:v>
                </c:pt>
                <c:pt idx="100">
                  <c:v>45462</c:v>
                </c:pt>
                <c:pt idx="101">
                  <c:v>45463</c:v>
                </c:pt>
                <c:pt idx="102">
                  <c:v>45464</c:v>
                </c:pt>
                <c:pt idx="103">
                  <c:v>45465</c:v>
                </c:pt>
                <c:pt idx="104">
                  <c:v>45466</c:v>
                </c:pt>
                <c:pt idx="105">
                  <c:v>45467</c:v>
                </c:pt>
                <c:pt idx="106">
                  <c:v>45468</c:v>
                </c:pt>
                <c:pt idx="107">
                  <c:v>45469</c:v>
                </c:pt>
                <c:pt idx="108">
                  <c:v>45470</c:v>
                </c:pt>
                <c:pt idx="109">
                  <c:v>45471</c:v>
                </c:pt>
                <c:pt idx="110">
                  <c:v>45472</c:v>
                </c:pt>
                <c:pt idx="111">
                  <c:v>45473</c:v>
                </c:pt>
                <c:pt idx="112">
                  <c:v>45474</c:v>
                </c:pt>
                <c:pt idx="113">
                  <c:v>45475</c:v>
                </c:pt>
                <c:pt idx="114">
                  <c:v>45476</c:v>
                </c:pt>
                <c:pt idx="115">
                  <c:v>45477</c:v>
                </c:pt>
                <c:pt idx="116">
                  <c:v>45478</c:v>
                </c:pt>
                <c:pt idx="117">
                  <c:v>45479</c:v>
                </c:pt>
                <c:pt idx="118">
                  <c:v>45480</c:v>
                </c:pt>
                <c:pt idx="119">
                  <c:v>45481</c:v>
                </c:pt>
                <c:pt idx="120">
                  <c:v>45482</c:v>
                </c:pt>
                <c:pt idx="121">
                  <c:v>45483</c:v>
                </c:pt>
                <c:pt idx="122">
                  <c:v>45484</c:v>
                </c:pt>
                <c:pt idx="123">
                  <c:v>45485</c:v>
                </c:pt>
                <c:pt idx="124">
                  <c:v>45486</c:v>
                </c:pt>
                <c:pt idx="125">
                  <c:v>45487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87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45362</c:v>
                </c:pt>
                <c:pt idx="1">
                  <c:v>45363</c:v>
                </c:pt>
                <c:pt idx="2">
                  <c:v>45364</c:v>
                </c:pt>
                <c:pt idx="3">
                  <c:v>45365</c:v>
                </c:pt>
                <c:pt idx="4">
                  <c:v>45366</c:v>
                </c:pt>
                <c:pt idx="5">
                  <c:v>45367</c:v>
                </c:pt>
                <c:pt idx="6">
                  <c:v>45368</c:v>
                </c:pt>
                <c:pt idx="7">
                  <c:v>45369</c:v>
                </c:pt>
                <c:pt idx="8">
                  <c:v>45370</c:v>
                </c:pt>
                <c:pt idx="9">
                  <c:v>45371</c:v>
                </c:pt>
                <c:pt idx="10">
                  <c:v>45372</c:v>
                </c:pt>
                <c:pt idx="11">
                  <c:v>45373</c:v>
                </c:pt>
                <c:pt idx="12">
                  <c:v>45374</c:v>
                </c:pt>
                <c:pt idx="13">
                  <c:v>45375</c:v>
                </c:pt>
                <c:pt idx="14">
                  <c:v>45376</c:v>
                </c:pt>
                <c:pt idx="15">
                  <c:v>45377</c:v>
                </c:pt>
                <c:pt idx="16">
                  <c:v>45378</c:v>
                </c:pt>
                <c:pt idx="17">
                  <c:v>45379</c:v>
                </c:pt>
                <c:pt idx="18">
                  <c:v>45380</c:v>
                </c:pt>
                <c:pt idx="19">
                  <c:v>45381</c:v>
                </c:pt>
                <c:pt idx="20">
                  <c:v>45382</c:v>
                </c:pt>
                <c:pt idx="21">
                  <c:v>45383</c:v>
                </c:pt>
                <c:pt idx="22">
                  <c:v>45384</c:v>
                </c:pt>
                <c:pt idx="23">
                  <c:v>45385</c:v>
                </c:pt>
                <c:pt idx="24">
                  <c:v>45386</c:v>
                </c:pt>
                <c:pt idx="25">
                  <c:v>45387</c:v>
                </c:pt>
                <c:pt idx="26">
                  <c:v>45388</c:v>
                </c:pt>
                <c:pt idx="27">
                  <c:v>45389</c:v>
                </c:pt>
                <c:pt idx="28">
                  <c:v>45390</c:v>
                </c:pt>
                <c:pt idx="29">
                  <c:v>45391</c:v>
                </c:pt>
                <c:pt idx="30">
                  <c:v>45392</c:v>
                </c:pt>
                <c:pt idx="31">
                  <c:v>45393</c:v>
                </c:pt>
                <c:pt idx="32">
                  <c:v>45394</c:v>
                </c:pt>
                <c:pt idx="33">
                  <c:v>45395</c:v>
                </c:pt>
                <c:pt idx="34">
                  <c:v>45396</c:v>
                </c:pt>
                <c:pt idx="35">
                  <c:v>45397</c:v>
                </c:pt>
                <c:pt idx="36">
                  <c:v>45398</c:v>
                </c:pt>
                <c:pt idx="37">
                  <c:v>45399</c:v>
                </c:pt>
                <c:pt idx="38">
                  <c:v>45400</c:v>
                </c:pt>
                <c:pt idx="39">
                  <c:v>45401</c:v>
                </c:pt>
                <c:pt idx="40">
                  <c:v>45402</c:v>
                </c:pt>
                <c:pt idx="41">
                  <c:v>45403</c:v>
                </c:pt>
                <c:pt idx="42">
                  <c:v>45404</c:v>
                </c:pt>
                <c:pt idx="43">
                  <c:v>45405</c:v>
                </c:pt>
                <c:pt idx="44">
                  <c:v>45406</c:v>
                </c:pt>
                <c:pt idx="45">
                  <c:v>45407</c:v>
                </c:pt>
                <c:pt idx="46">
                  <c:v>45408</c:v>
                </c:pt>
                <c:pt idx="47">
                  <c:v>45409</c:v>
                </c:pt>
                <c:pt idx="48">
                  <c:v>45410</c:v>
                </c:pt>
                <c:pt idx="49">
                  <c:v>45411</c:v>
                </c:pt>
                <c:pt idx="50">
                  <c:v>45412</c:v>
                </c:pt>
                <c:pt idx="51">
                  <c:v>45413</c:v>
                </c:pt>
                <c:pt idx="52">
                  <c:v>45414</c:v>
                </c:pt>
                <c:pt idx="53">
                  <c:v>45415</c:v>
                </c:pt>
                <c:pt idx="54">
                  <c:v>45416</c:v>
                </c:pt>
                <c:pt idx="55">
                  <c:v>45417</c:v>
                </c:pt>
                <c:pt idx="56">
                  <c:v>45418</c:v>
                </c:pt>
                <c:pt idx="57">
                  <c:v>45419</c:v>
                </c:pt>
                <c:pt idx="58">
                  <c:v>45420</c:v>
                </c:pt>
                <c:pt idx="59">
                  <c:v>45421</c:v>
                </c:pt>
                <c:pt idx="60">
                  <c:v>45422</c:v>
                </c:pt>
                <c:pt idx="61">
                  <c:v>45423</c:v>
                </c:pt>
                <c:pt idx="62">
                  <c:v>45424</c:v>
                </c:pt>
                <c:pt idx="63">
                  <c:v>45425</c:v>
                </c:pt>
                <c:pt idx="64">
                  <c:v>45426</c:v>
                </c:pt>
                <c:pt idx="65">
                  <c:v>45427</c:v>
                </c:pt>
                <c:pt idx="66">
                  <c:v>45428</c:v>
                </c:pt>
                <c:pt idx="67">
                  <c:v>45429</c:v>
                </c:pt>
                <c:pt idx="68">
                  <c:v>45430</c:v>
                </c:pt>
                <c:pt idx="69">
                  <c:v>45431</c:v>
                </c:pt>
                <c:pt idx="70">
                  <c:v>45432</c:v>
                </c:pt>
                <c:pt idx="71">
                  <c:v>45433</c:v>
                </c:pt>
                <c:pt idx="72">
                  <c:v>45434</c:v>
                </c:pt>
                <c:pt idx="73">
                  <c:v>45435</c:v>
                </c:pt>
                <c:pt idx="74">
                  <c:v>45436</c:v>
                </c:pt>
                <c:pt idx="75">
                  <c:v>45437</c:v>
                </c:pt>
                <c:pt idx="76">
                  <c:v>45438</c:v>
                </c:pt>
                <c:pt idx="77">
                  <c:v>45439</c:v>
                </c:pt>
                <c:pt idx="78">
                  <c:v>45440</c:v>
                </c:pt>
                <c:pt idx="79">
                  <c:v>45441</c:v>
                </c:pt>
                <c:pt idx="80">
                  <c:v>45442</c:v>
                </c:pt>
                <c:pt idx="81">
                  <c:v>45443</c:v>
                </c:pt>
                <c:pt idx="82">
                  <c:v>45444</c:v>
                </c:pt>
                <c:pt idx="83">
                  <c:v>45445</c:v>
                </c:pt>
                <c:pt idx="84">
                  <c:v>45446</c:v>
                </c:pt>
                <c:pt idx="85">
                  <c:v>45447</c:v>
                </c:pt>
                <c:pt idx="86">
                  <c:v>45448</c:v>
                </c:pt>
                <c:pt idx="87">
                  <c:v>45449</c:v>
                </c:pt>
                <c:pt idx="88">
                  <c:v>45450</c:v>
                </c:pt>
                <c:pt idx="89">
                  <c:v>45451</c:v>
                </c:pt>
                <c:pt idx="90">
                  <c:v>45452</c:v>
                </c:pt>
                <c:pt idx="91">
                  <c:v>45453</c:v>
                </c:pt>
                <c:pt idx="92">
                  <c:v>45454</c:v>
                </c:pt>
                <c:pt idx="93">
                  <c:v>45455</c:v>
                </c:pt>
                <c:pt idx="94">
                  <c:v>45456</c:v>
                </c:pt>
                <c:pt idx="95">
                  <c:v>45457</c:v>
                </c:pt>
                <c:pt idx="96">
                  <c:v>45458</c:v>
                </c:pt>
                <c:pt idx="97">
                  <c:v>45459</c:v>
                </c:pt>
                <c:pt idx="98">
                  <c:v>45460</c:v>
                </c:pt>
                <c:pt idx="99">
                  <c:v>45461</c:v>
                </c:pt>
                <c:pt idx="100">
                  <c:v>45462</c:v>
                </c:pt>
                <c:pt idx="101">
                  <c:v>45463</c:v>
                </c:pt>
                <c:pt idx="102">
                  <c:v>45464</c:v>
                </c:pt>
                <c:pt idx="103">
                  <c:v>45465</c:v>
                </c:pt>
                <c:pt idx="104">
                  <c:v>45466</c:v>
                </c:pt>
                <c:pt idx="105">
                  <c:v>45467</c:v>
                </c:pt>
                <c:pt idx="106">
                  <c:v>45468</c:v>
                </c:pt>
                <c:pt idx="107">
                  <c:v>45469</c:v>
                </c:pt>
                <c:pt idx="108">
                  <c:v>45470</c:v>
                </c:pt>
                <c:pt idx="109">
                  <c:v>45471</c:v>
                </c:pt>
                <c:pt idx="110">
                  <c:v>45472</c:v>
                </c:pt>
                <c:pt idx="111">
                  <c:v>45473</c:v>
                </c:pt>
                <c:pt idx="112">
                  <c:v>45474</c:v>
                </c:pt>
                <c:pt idx="113">
                  <c:v>45475</c:v>
                </c:pt>
                <c:pt idx="114">
                  <c:v>45476</c:v>
                </c:pt>
                <c:pt idx="115">
                  <c:v>45477</c:v>
                </c:pt>
                <c:pt idx="116">
                  <c:v>45478</c:v>
                </c:pt>
                <c:pt idx="117">
                  <c:v>45479</c:v>
                </c:pt>
                <c:pt idx="118">
                  <c:v>45480</c:v>
                </c:pt>
                <c:pt idx="119">
                  <c:v>45481</c:v>
                </c:pt>
                <c:pt idx="120">
                  <c:v>45482</c:v>
                </c:pt>
                <c:pt idx="121">
                  <c:v>45483</c:v>
                </c:pt>
                <c:pt idx="122">
                  <c:v>45484</c:v>
                </c:pt>
                <c:pt idx="123">
                  <c:v>45485</c:v>
                </c:pt>
                <c:pt idx="124">
                  <c:v>45486</c:v>
                </c:pt>
                <c:pt idx="125">
                  <c:v>45487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108.87154195125817</c:v>
                </c:pt>
                <c:pt idx="1">
                  <c:v>110.55326732265279</c:v>
                </c:pt>
                <c:pt idx="2">
                  <c:v>112.06436795203925</c:v>
                </c:pt>
                <c:pt idx="3">
                  <c:v>113.36724397652797</c:v>
                </c:pt>
                <c:pt idx="4">
                  <c:v>114.53073531637833</c:v>
                </c:pt>
                <c:pt idx="5">
                  <c:v>115.54832890697256</c:v>
                </c:pt>
                <c:pt idx="6">
                  <c:v>116.38380888887505</c:v>
                </c:pt>
                <c:pt idx="7">
                  <c:v>117.17182061533835</c:v>
                </c:pt>
                <c:pt idx="8">
                  <c:v>117.87972228224079</c:v>
                </c:pt>
                <c:pt idx="9">
                  <c:v>118.45034149060514</c:v>
                </c:pt>
                <c:pt idx="10">
                  <c:v>118.90310550972237</c:v>
                </c:pt>
                <c:pt idx="11">
                  <c:v>119.27360995343311</c:v>
                </c:pt>
                <c:pt idx="12">
                  <c:v>119.56189860972233</c:v>
                </c:pt>
                <c:pt idx="13">
                  <c:v>119.79529837678859</c:v>
                </c:pt>
                <c:pt idx="14">
                  <c:v>119.91373401212161</c:v>
                </c:pt>
                <c:pt idx="15">
                  <c:v>119.97051559756565</c:v>
                </c:pt>
                <c:pt idx="16">
                  <c:v>119.94236277823423</c:v>
                </c:pt>
                <c:pt idx="17">
                  <c:v>119.82572648890343</c:v>
                </c:pt>
                <c:pt idx="18">
                  <c:v>119.65517498275439</c:v>
                </c:pt>
                <c:pt idx="19">
                  <c:v>119.42232759536334</c:v>
                </c:pt>
                <c:pt idx="20">
                  <c:v>119.12701044874255</c:v>
                </c:pt>
                <c:pt idx="21">
                  <c:v>118.75523551371641</c:v>
                </c:pt>
                <c:pt idx="22">
                  <c:v>118.33273287491934</c:v>
                </c:pt>
                <c:pt idx="23">
                  <c:v>117.87167566191754</c:v>
                </c:pt>
                <c:pt idx="24">
                  <c:v>117.36395191006737</c:v>
                </c:pt>
                <c:pt idx="25">
                  <c:v>116.80744495818126</c:v>
                </c:pt>
                <c:pt idx="26">
                  <c:v>116.2228553887138</c:v>
                </c:pt>
                <c:pt idx="27">
                  <c:v>115.58613285855499</c:v>
                </c:pt>
                <c:pt idx="28">
                  <c:v>114.93326462940544</c:v>
                </c:pt>
                <c:pt idx="29">
                  <c:v>114.28622320901543</c:v>
                </c:pt>
                <c:pt idx="30">
                  <c:v>113.57493316538881</c:v>
                </c:pt>
                <c:pt idx="31">
                  <c:v>112.82690520309416</c:v>
                </c:pt>
                <c:pt idx="32">
                  <c:v>111.99783511511721</c:v>
                </c:pt>
                <c:pt idx="33">
                  <c:v>111.14261018005816</c:v>
                </c:pt>
                <c:pt idx="34">
                  <c:v>110.15400332428416</c:v>
                </c:pt>
                <c:pt idx="35">
                  <c:v>109.13602361300426</c:v>
                </c:pt>
                <c:pt idx="36">
                  <c:v>108.04537564282874</c:v>
                </c:pt>
                <c:pt idx="37">
                  <c:v>106.96025151880445</c:v>
                </c:pt>
                <c:pt idx="38">
                  <c:v>105.80751814502443</c:v>
                </c:pt>
                <c:pt idx="39">
                  <c:v>104.56358819975958</c:v>
                </c:pt>
                <c:pt idx="40">
                  <c:v>103.35977289107196</c:v>
                </c:pt>
                <c:pt idx="41">
                  <c:v>102.12168572293928</c:v>
                </c:pt>
                <c:pt idx="42">
                  <c:v>100.7612104135178</c:v>
                </c:pt>
                <c:pt idx="43">
                  <c:v>99.419785305088993</c:v>
                </c:pt>
                <c:pt idx="44">
                  <c:v>97.959564587768895</c:v>
                </c:pt>
                <c:pt idx="45">
                  <c:v>96.416030641912826</c:v>
                </c:pt>
                <c:pt idx="46">
                  <c:v>94.797281440804682</c:v>
                </c:pt>
                <c:pt idx="47">
                  <c:v>93.080492374643427</c:v>
                </c:pt>
                <c:pt idx="48">
                  <c:v>91.516771445859078</c:v>
                </c:pt>
                <c:pt idx="49">
                  <c:v>89.947361887354447</c:v>
                </c:pt>
                <c:pt idx="50">
                  <c:v>88.377735755178421</c:v>
                </c:pt>
                <c:pt idx="51">
                  <c:v>86.736798023305639</c:v>
                </c:pt>
                <c:pt idx="52">
                  <c:v>85.049214200702949</c:v>
                </c:pt>
                <c:pt idx="53">
                  <c:v>83.219777621223329</c:v>
                </c:pt>
                <c:pt idx="54">
                  <c:v>81.337600666400562</c:v>
                </c:pt>
                <c:pt idx="55">
                  <c:v>79.264571267855473</c:v>
                </c:pt>
                <c:pt idx="56">
                  <c:v>77.205587558580646</c:v>
                </c:pt>
                <c:pt idx="57">
                  <c:v>75.29877736071785</c:v>
                </c:pt>
                <c:pt idx="58">
                  <c:v>73.308061369720207</c:v>
                </c:pt>
                <c:pt idx="59">
                  <c:v>71.295147883001377</c:v>
                </c:pt>
                <c:pt idx="60">
                  <c:v>69.157448615934982</c:v>
                </c:pt>
                <c:pt idx="61">
                  <c:v>66.892035041145533</c:v>
                </c:pt>
                <c:pt idx="62">
                  <c:v>64.708853011302139</c:v>
                </c:pt>
                <c:pt idx="63">
                  <c:v>62.503002055594408</c:v>
                </c:pt>
                <c:pt idx="64">
                  <c:v>60.340451712244231</c:v>
                </c:pt>
                <c:pt idx="65">
                  <c:v>58.005924689780947</c:v>
                </c:pt>
                <c:pt idx="66">
                  <c:v>55.842278361560787</c:v>
                </c:pt>
                <c:pt idx="67">
                  <c:v>53.693430190009209</c:v>
                </c:pt>
                <c:pt idx="68">
                  <c:v>51.428897904825504</c:v>
                </c:pt>
                <c:pt idx="69">
                  <c:v>49.108704037494782</c:v>
                </c:pt>
                <c:pt idx="70">
                  <c:v>46.820865019926018</c:v>
                </c:pt>
                <c:pt idx="71">
                  <c:v>44.707971086412101</c:v>
                </c:pt>
                <c:pt idx="72">
                  <c:v>42.391831461064676</c:v>
                </c:pt>
                <c:pt idx="73">
                  <c:v>40.111180014174096</c:v>
                </c:pt>
                <c:pt idx="74">
                  <c:v>37.912692422201033</c:v>
                </c:pt>
                <c:pt idx="75">
                  <c:v>35.65188706076151</c:v>
                </c:pt>
                <c:pt idx="76">
                  <c:v>33.385448244697464</c:v>
                </c:pt>
                <c:pt idx="77">
                  <c:v>31.168228386579816</c:v>
                </c:pt>
                <c:pt idx="78">
                  <c:v>115.88029127715626</c:v>
                </c:pt>
                <c:pt idx="79">
                  <c:v>113.69424232765988</c:v>
                </c:pt>
                <c:pt idx="80">
                  <c:v>111.46381242608147</c:v>
                </c:pt>
                <c:pt idx="81">
                  <c:v>109.19014843315556</c:v>
                </c:pt>
                <c:pt idx="82">
                  <c:v>106.98909703761093</c:v>
                </c:pt>
                <c:pt idx="83">
                  <c:v>104.85933110452407</c:v>
                </c:pt>
                <c:pt idx="84">
                  <c:v>102.76707013984361</c:v>
                </c:pt>
                <c:pt idx="85">
                  <c:v>100.68005065355672</c:v>
                </c:pt>
                <c:pt idx="86">
                  <c:v>98.677831838234482</c:v>
                </c:pt>
                <c:pt idx="87">
                  <c:v>96.601535331956427</c:v>
                </c:pt>
                <c:pt idx="88">
                  <c:v>94.351442224466481</c:v>
                </c:pt>
                <c:pt idx="89">
                  <c:v>92.020888742903978</c:v>
                </c:pt>
                <c:pt idx="90">
                  <c:v>89.678700584875173</c:v>
                </c:pt>
                <c:pt idx="91">
                  <c:v>87.387877598518145</c:v>
                </c:pt>
                <c:pt idx="92">
                  <c:v>85.07225875003742</c:v>
                </c:pt>
                <c:pt idx="93">
                  <c:v>83.008632646454984</c:v>
                </c:pt>
                <c:pt idx="94">
                  <c:v>80.822387350197857</c:v>
                </c:pt>
                <c:pt idx="95">
                  <c:v>78.608815846533346</c:v>
                </c:pt>
                <c:pt idx="96">
                  <c:v>76.608137984948542</c:v>
                </c:pt>
                <c:pt idx="97">
                  <c:v>74.81716569889133</c:v>
                </c:pt>
                <c:pt idx="98">
                  <c:v>72.88319207370003</c:v>
                </c:pt>
                <c:pt idx="99">
                  <c:v>70.981369584739241</c:v>
                </c:pt>
                <c:pt idx="100">
                  <c:v>69.061459597510705</c:v>
                </c:pt>
                <c:pt idx="101">
                  <c:v>67.107121819345878</c:v>
                </c:pt>
                <c:pt idx="102">
                  <c:v>65.287636801822899</c:v>
                </c:pt>
                <c:pt idx="103">
                  <c:v>63.445215452348982</c:v>
                </c:pt>
                <c:pt idx="104">
                  <c:v>61.509783839682598</c:v>
                </c:pt>
                <c:pt idx="105">
                  <c:v>59.594648831467026</c:v>
                </c:pt>
                <c:pt idx="106">
                  <c:v>57.60010894142723</c:v>
                </c:pt>
                <c:pt idx="107">
                  <c:v>55.762713690302384</c:v>
                </c:pt>
                <c:pt idx="108">
                  <c:v>54.005760991833014</c:v>
                </c:pt>
                <c:pt idx="109">
                  <c:v>52.176136432499916</c:v>
                </c:pt>
                <c:pt idx="110">
                  <c:v>50.238118141762172</c:v>
                </c:pt>
                <c:pt idx="111">
                  <c:v>48.517535215927367</c:v>
                </c:pt>
                <c:pt idx="112">
                  <c:v>46.902416942699467</c:v>
                </c:pt>
                <c:pt idx="113">
                  <c:v>45.115799758411612</c:v>
                </c:pt>
                <c:pt idx="114">
                  <c:v>43.247991833534869</c:v>
                </c:pt>
                <c:pt idx="115">
                  <c:v>41.298020905385904</c:v>
                </c:pt>
                <c:pt idx="116">
                  <c:v>39.417046926713198</c:v>
                </c:pt>
                <c:pt idx="117">
                  <c:v>37.77602903922687</c:v>
                </c:pt>
                <c:pt idx="118">
                  <c:v>36.24817151172703</c:v>
                </c:pt>
                <c:pt idx="119">
                  <c:v>34.648714958111228</c:v>
                </c:pt>
                <c:pt idx="120">
                  <c:v>32.985648119589747</c:v>
                </c:pt>
                <c:pt idx="121">
                  <c:v>31.35483408565711</c:v>
                </c:pt>
                <c:pt idx="122">
                  <c:v>29.653625549497711</c:v>
                </c:pt>
                <c:pt idx="123">
                  <c:v>27.932152566128323</c:v>
                </c:pt>
                <c:pt idx="124">
                  <c:v>26.135226788376606</c:v>
                </c:pt>
                <c:pt idx="125">
                  <c:v>28.894711274134835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45488</c:v>
                </c:pt>
                <c:pt idx="1">
                  <c:v>45489</c:v>
                </c:pt>
                <c:pt idx="2">
                  <c:v>45490</c:v>
                </c:pt>
                <c:pt idx="3">
                  <c:v>45491</c:v>
                </c:pt>
                <c:pt idx="4">
                  <c:v>45492</c:v>
                </c:pt>
                <c:pt idx="5">
                  <c:v>45493</c:v>
                </c:pt>
                <c:pt idx="6">
                  <c:v>45494</c:v>
                </c:pt>
                <c:pt idx="7">
                  <c:v>45495</c:v>
                </c:pt>
                <c:pt idx="8">
                  <c:v>45496</c:v>
                </c:pt>
                <c:pt idx="9">
                  <c:v>45497</c:v>
                </c:pt>
                <c:pt idx="10">
                  <c:v>45498</c:v>
                </c:pt>
                <c:pt idx="11">
                  <c:v>45499</c:v>
                </c:pt>
                <c:pt idx="12">
                  <c:v>45500</c:v>
                </c:pt>
                <c:pt idx="13">
                  <c:v>45501</c:v>
                </c:pt>
                <c:pt idx="14">
                  <c:v>45502</c:v>
                </c:pt>
                <c:pt idx="15">
                  <c:v>45503</c:v>
                </c:pt>
                <c:pt idx="16">
                  <c:v>45504</c:v>
                </c:pt>
                <c:pt idx="17">
                  <c:v>45505</c:v>
                </c:pt>
                <c:pt idx="18">
                  <c:v>45506</c:v>
                </c:pt>
                <c:pt idx="19">
                  <c:v>45507</c:v>
                </c:pt>
                <c:pt idx="20">
                  <c:v>45508</c:v>
                </c:pt>
                <c:pt idx="21">
                  <c:v>45509</c:v>
                </c:pt>
                <c:pt idx="22">
                  <c:v>45510</c:v>
                </c:pt>
                <c:pt idx="23">
                  <c:v>45511</c:v>
                </c:pt>
                <c:pt idx="24">
                  <c:v>45512</c:v>
                </c:pt>
                <c:pt idx="25">
                  <c:v>45513</c:v>
                </c:pt>
                <c:pt idx="26">
                  <c:v>45514</c:v>
                </c:pt>
                <c:pt idx="27">
                  <c:v>45515</c:v>
                </c:pt>
                <c:pt idx="28">
                  <c:v>45516</c:v>
                </c:pt>
                <c:pt idx="29">
                  <c:v>45517</c:v>
                </c:pt>
                <c:pt idx="30">
                  <c:v>45518</c:v>
                </c:pt>
                <c:pt idx="31">
                  <c:v>45519</c:v>
                </c:pt>
                <c:pt idx="32">
                  <c:v>45520</c:v>
                </c:pt>
                <c:pt idx="33">
                  <c:v>45521</c:v>
                </c:pt>
                <c:pt idx="34">
                  <c:v>45522</c:v>
                </c:pt>
                <c:pt idx="35">
                  <c:v>45523</c:v>
                </c:pt>
                <c:pt idx="36">
                  <c:v>45524</c:v>
                </c:pt>
                <c:pt idx="37">
                  <c:v>45525</c:v>
                </c:pt>
                <c:pt idx="38">
                  <c:v>45526</c:v>
                </c:pt>
                <c:pt idx="39">
                  <c:v>45527</c:v>
                </c:pt>
                <c:pt idx="40">
                  <c:v>45528</c:v>
                </c:pt>
                <c:pt idx="41">
                  <c:v>45529</c:v>
                </c:pt>
                <c:pt idx="42">
                  <c:v>45530</c:v>
                </c:pt>
                <c:pt idx="43">
                  <c:v>45531</c:v>
                </c:pt>
                <c:pt idx="44">
                  <c:v>45532</c:v>
                </c:pt>
                <c:pt idx="45">
                  <c:v>45533</c:v>
                </c:pt>
                <c:pt idx="46">
                  <c:v>45534</c:v>
                </c:pt>
                <c:pt idx="47">
                  <c:v>45535</c:v>
                </c:pt>
                <c:pt idx="48">
                  <c:v>45536</c:v>
                </c:pt>
                <c:pt idx="49">
                  <c:v>45537</c:v>
                </c:pt>
                <c:pt idx="50">
                  <c:v>45538</c:v>
                </c:pt>
                <c:pt idx="51">
                  <c:v>45539</c:v>
                </c:pt>
                <c:pt idx="52">
                  <c:v>45540</c:v>
                </c:pt>
                <c:pt idx="53">
                  <c:v>45541</c:v>
                </c:pt>
                <c:pt idx="54">
                  <c:v>45542</c:v>
                </c:pt>
                <c:pt idx="55">
                  <c:v>45543</c:v>
                </c:pt>
                <c:pt idx="56">
                  <c:v>45544</c:v>
                </c:pt>
                <c:pt idx="57">
                  <c:v>45545</c:v>
                </c:pt>
                <c:pt idx="58">
                  <c:v>45546</c:v>
                </c:pt>
                <c:pt idx="59">
                  <c:v>45547</c:v>
                </c:pt>
                <c:pt idx="60">
                  <c:v>45548</c:v>
                </c:pt>
                <c:pt idx="61">
                  <c:v>45549</c:v>
                </c:pt>
                <c:pt idx="62">
                  <c:v>45550</c:v>
                </c:pt>
                <c:pt idx="63">
                  <c:v>45551</c:v>
                </c:pt>
                <c:pt idx="64">
                  <c:v>45552</c:v>
                </c:pt>
                <c:pt idx="65">
                  <c:v>45553</c:v>
                </c:pt>
                <c:pt idx="66">
                  <c:v>45554</c:v>
                </c:pt>
                <c:pt idx="67">
                  <c:v>45555</c:v>
                </c:pt>
                <c:pt idx="68">
                  <c:v>45556</c:v>
                </c:pt>
                <c:pt idx="69">
                  <c:v>45557</c:v>
                </c:pt>
                <c:pt idx="70">
                  <c:v>45558</c:v>
                </c:pt>
                <c:pt idx="71">
                  <c:v>45559</c:v>
                </c:pt>
                <c:pt idx="72">
                  <c:v>45560</c:v>
                </c:pt>
                <c:pt idx="73">
                  <c:v>45561</c:v>
                </c:pt>
                <c:pt idx="74">
                  <c:v>45562</c:v>
                </c:pt>
                <c:pt idx="75">
                  <c:v>45563</c:v>
                </c:pt>
                <c:pt idx="76">
                  <c:v>45564</c:v>
                </c:pt>
                <c:pt idx="77">
                  <c:v>45565</c:v>
                </c:pt>
                <c:pt idx="78">
                  <c:v>45566</c:v>
                </c:pt>
                <c:pt idx="79">
                  <c:v>45567</c:v>
                </c:pt>
                <c:pt idx="80">
                  <c:v>45568</c:v>
                </c:pt>
                <c:pt idx="81">
                  <c:v>45569</c:v>
                </c:pt>
                <c:pt idx="82">
                  <c:v>45570</c:v>
                </c:pt>
                <c:pt idx="83">
                  <c:v>45571</c:v>
                </c:pt>
                <c:pt idx="84">
                  <c:v>45572</c:v>
                </c:pt>
                <c:pt idx="85">
                  <c:v>45573</c:v>
                </c:pt>
                <c:pt idx="86">
                  <c:v>45574</c:v>
                </c:pt>
                <c:pt idx="87">
                  <c:v>45575</c:v>
                </c:pt>
                <c:pt idx="88">
                  <c:v>45576</c:v>
                </c:pt>
                <c:pt idx="89">
                  <c:v>45577</c:v>
                </c:pt>
                <c:pt idx="90">
                  <c:v>45578</c:v>
                </c:pt>
                <c:pt idx="91">
                  <c:v>45579</c:v>
                </c:pt>
                <c:pt idx="92">
                  <c:v>45580</c:v>
                </c:pt>
                <c:pt idx="93">
                  <c:v>45581</c:v>
                </c:pt>
                <c:pt idx="94">
                  <c:v>45582</c:v>
                </c:pt>
                <c:pt idx="95">
                  <c:v>45583</c:v>
                </c:pt>
                <c:pt idx="96">
                  <c:v>45584</c:v>
                </c:pt>
                <c:pt idx="97">
                  <c:v>45585</c:v>
                </c:pt>
                <c:pt idx="98">
                  <c:v>45586</c:v>
                </c:pt>
                <c:pt idx="99">
                  <c:v>45587</c:v>
                </c:pt>
                <c:pt idx="100">
                  <c:v>45588</c:v>
                </c:pt>
                <c:pt idx="101">
                  <c:v>45589</c:v>
                </c:pt>
                <c:pt idx="102">
                  <c:v>45590</c:v>
                </c:pt>
                <c:pt idx="103">
                  <c:v>45591</c:v>
                </c:pt>
                <c:pt idx="104">
                  <c:v>45592</c:v>
                </c:pt>
                <c:pt idx="105">
                  <c:v>45593</c:v>
                </c:pt>
                <c:pt idx="106">
                  <c:v>45594</c:v>
                </c:pt>
                <c:pt idx="107">
                  <c:v>45595</c:v>
                </c:pt>
                <c:pt idx="108">
                  <c:v>45596</c:v>
                </c:pt>
                <c:pt idx="109">
                  <c:v>45597</c:v>
                </c:pt>
                <c:pt idx="110">
                  <c:v>45598</c:v>
                </c:pt>
                <c:pt idx="111">
                  <c:v>45599</c:v>
                </c:pt>
                <c:pt idx="112">
                  <c:v>45600</c:v>
                </c:pt>
                <c:pt idx="113">
                  <c:v>45601</c:v>
                </c:pt>
                <c:pt idx="114">
                  <c:v>45602</c:v>
                </c:pt>
                <c:pt idx="115">
                  <c:v>45603</c:v>
                </c:pt>
                <c:pt idx="116">
                  <c:v>45604</c:v>
                </c:pt>
                <c:pt idx="117">
                  <c:v>45605</c:v>
                </c:pt>
                <c:pt idx="118">
                  <c:v>45606</c:v>
                </c:pt>
                <c:pt idx="119">
                  <c:v>45607</c:v>
                </c:pt>
                <c:pt idx="120">
                  <c:v>45608</c:v>
                </c:pt>
                <c:pt idx="121">
                  <c:v>45609</c:v>
                </c:pt>
                <c:pt idx="122">
                  <c:v>45610</c:v>
                </c:pt>
                <c:pt idx="123">
                  <c:v>45611</c:v>
                </c:pt>
                <c:pt idx="124">
                  <c:v>45612</c:v>
                </c:pt>
                <c:pt idx="125">
                  <c:v>45613</c:v>
                </c:pt>
                <c:pt idx="126">
                  <c:v>45614</c:v>
                </c:pt>
                <c:pt idx="127">
                  <c:v>45615</c:v>
                </c:pt>
                <c:pt idx="128">
                  <c:v>45616</c:v>
                </c:pt>
                <c:pt idx="129">
                  <c:v>45617</c:v>
                </c:pt>
                <c:pt idx="130">
                  <c:v>45618</c:v>
                </c:pt>
                <c:pt idx="131">
                  <c:v>45619</c:v>
                </c:pt>
                <c:pt idx="132">
                  <c:v>45620</c:v>
                </c:pt>
                <c:pt idx="133">
                  <c:v>45621</c:v>
                </c:pt>
                <c:pt idx="134">
                  <c:v>45622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2.2926263569341199</c:v>
                </c:pt>
                <c:pt idx="15">
                  <c:v>2.34898313381224</c:v>
                </c:pt>
                <c:pt idx="16">
                  <c:v>2.4085098718090099</c:v>
                </c:pt>
                <c:pt idx="17">
                  <c:v>2.4672341195105298</c:v>
                </c:pt>
                <c:pt idx="18">
                  <c:v>2.5241869962390702</c:v>
                </c:pt>
                <c:pt idx="19">
                  <c:v>2.5862000330729602</c:v>
                </c:pt>
                <c:pt idx="20">
                  <c:v>2.6512452015689698</c:v>
                </c:pt>
                <c:pt idx="21">
                  <c:v>2.71866612824194</c:v>
                </c:pt>
                <c:pt idx="22">
                  <c:v>2.7890271651496001</c:v>
                </c:pt>
                <c:pt idx="23">
                  <c:v>2.85858805230803</c:v>
                </c:pt>
                <c:pt idx="24">
                  <c:v>2.9230337235067698</c:v>
                </c:pt>
                <c:pt idx="25">
                  <c:v>2.9932796914919502</c:v>
                </c:pt>
                <c:pt idx="26">
                  <c:v>3.06971019474345</c:v>
                </c:pt>
                <c:pt idx="27">
                  <c:v>3.15044217055764</c:v>
                </c:pt>
                <c:pt idx="28">
                  <c:v>3.2299916064372001</c:v>
                </c:pt>
                <c:pt idx="29">
                  <c:v>3.3101911909675201</c:v>
                </c:pt>
                <c:pt idx="30">
                  <c:v>3.3882306072203399</c:v>
                </c:pt>
                <c:pt idx="31">
                  <c:v>3.4707771426570702</c:v>
                </c:pt>
                <c:pt idx="32">
                  <c:v>3.5618176428756101</c:v>
                </c:pt>
                <c:pt idx="33">
                  <c:v>3.65586084040218</c:v>
                </c:pt>
                <c:pt idx="34">
                  <c:v>3.7487703199620599</c:v>
                </c:pt>
                <c:pt idx="35">
                  <c:v>3.8446068689059398</c:v>
                </c:pt>
                <c:pt idx="36">
                  <c:v>3.9387717844360099</c:v>
                </c:pt>
                <c:pt idx="37">
                  <c:v>4.0384838820218203</c:v>
                </c:pt>
                <c:pt idx="38">
                  <c:v>4.1424260736068899</c:v>
                </c:pt>
                <c:pt idx="39">
                  <c:v>4.2555653693181199</c:v>
                </c:pt>
                <c:pt idx="40">
                  <c:v>4.3744542907932802</c:v>
                </c:pt>
                <c:pt idx="41">
                  <c:v>4.4956819411672697</c:v>
                </c:pt>
                <c:pt idx="42">
                  <c:v>4.6203023285073597</c:v>
                </c:pt>
                <c:pt idx="43">
                  <c:v>4.7531288857944496</c:v>
                </c:pt>
                <c:pt idx="44">
                  <c:v>4.8840082022156004</c:v>
                </c:pt>
                <c:pt idx="45">
                  <c:v>5.02811654406994</c:v>
                </c:pt>
                <c:pt idx="46">
                  <c:v>5.1608715635009004</c:v>
                </c:pt>
                <c:pt idx="47">
                  <c:v>5.3089959344394897</c:v>
                </c:pt>
                <c:pt idx="48">
                  <c:v>5.4692407669585998</c:v>
                </c:pt>
                <c:pt idx="49">
                  <c:v>5.6287959588689702</c:v>
                </c:pt>
                <c:pt idx="50">
                  <c:v>5.7923187546294796</c:v>
                </c:pt>
                <c:pt idx="51">
                  <c:v>5.9556219631015503</c:v>
                </c:pt>
                <c:pt idx="52">
                  <c:v>6.1318618640736604</c:v>
                </c:pt>
                <c:pt idx="53">
                  <c:v>6.3142317264193402</c:v>
                </c:pt>
                <c:pt idx="54">
                  <c:v>6.4940127223290096</c:v>
                </c:pt>
                <c:pt idx="55">
                  <c:v>6.6660463050198704</c:v>
                </c:pt>
                <c:pt idx="56">
                  <c:v>6.8642850934288404</c:v>
                </c:pt>
                <c:pt idx="57">
                  <c:v>7.0842103445306801</c:v>
                </c:pt>
                <c:pt idx="58">
                  <c:v>7.30866355181751</c:v>
                </c:pt>
                <c:pt idx="59">
                  <c:v>7.5339762117029396</c:v>
                </c:pt>
                <c:pt idx="60">
                  <c:v>7.7777031534955903</c:v>
                </c:pt>
                <c:pt idx="61">
                  <c:v>8.0493565095113109</c:v>
                </c:pt>
                <c:pt idx="62">
                  <c:v>8.32504085571966</c:v>
                </c:pt>
                <c:pt idx="63">
                  <c:v>8.5921462979331409</c:v>
                </c:pt>
                <c:pt idx="64">
                  <c:v>8.8603005325959394</c:v>
                </c:pt>
                <c:pt idx="65">
                  <c:v>9.1441119726439002</c:v>
                </c:pt>
                <c:pt idx="66">
                  <c:v>9.4249123736712797</c:v>
                </c:pt>
                <c:pt idx="67">
                  <c:v>9.7281874822153807</c:v>
                </c:pt>
                <c:pt idx="68">
                  <c:v>10.0296919345367</c:v>
                </c:pt>
                <c:pt idx="69">
                  <c:v>10.3330778265815</c:v>
                </c:pt>
                <c:pt idx="70">
                  <c:v>10.661090454830401</c:v>
                </c:pt>
                <c:pt idx="71">
                  <c:v>10.982109399031</c:v>
                </c:pt>
                <c:pt idx="72">
                  <c:v>11.3401759506294</c:v>
                </c:pt>
                <c:pt idx="73">
                  <c:v>11.7161262128411</c:v>
                </c:pt>
                <c:pt idx="74">
                  <c:v>12.093925214749801</c:v>
                </c:pt>
                <c:pt idx="75">
                  <c:v>12.477699942263699</c:v>
                </c:pt>
                <c:pt idx="76">
                  <c:v>12.919148095425999</c:v>
                </c:pt>
                <c:pt idx="77">
                  <c:v>13.375906519009201</c:v>
                </c:pt>
                <c:pt idx="78">
                  <c:v>13.8595841810107</c:v>
                </c:pt>
                <c:pt idx="79">
                  <c:v>14.326272360963699</c:v>
                </c:pt>
                <c:pt idx="80">
                  <c:v>14.794334797390601</c:v>
                </c:pt>
                <c:pt idx="81">
                  <c:v>15.2718676371946</c:v>
                </c:pt>
                <c:pt idx="82">
                  <c:v>15.789895788653499</c:v>
                </c:pt>
                <c:pt idx="83">
                  <c:v>16.327086369052299</c:v>
                </c:pt>
                <c:pt idx="84">
                  <c:v>16.843614121609701</c:v>
                </c:pt>
                <c:pt idx="85">
                  <c:v>17.357576301830399</c:v>
                </c:pt>
                <c:pt idx="86">
                  <c:v>17.881104231864501</c:v>
                </c:pt>
                <c:pt idx="87">
                  <c:v>18.454886452224301</c:v>
                </c:pt>
                <c:pt idx="88">
                  <c:v>19.114124663610401</c:v>
                </c:pt>
                <c:pt idx="89">
                  <c:v>19.760081801864199</c:v>
                </c:pt>
                <c:pt idx="90">
                  <c:v>20.402552458287001</c:v>
                </c:pt>
                <c:pt idx="91">
                  <c:v>21.045707021648902</c:v>
                </c:pt>
                <c:pt idx="92">
                  <c:v>21.739597438760899</c:v>
                </c:pt>
                <c:pt idx="93">
                  <c:v>22.501589739308599</c:v>
                </c:pt>
                <c:pt idx="94">
                  <c:v>23.244188118251699</c:v>
                </c:pt>
                <c:pt idx="95">
                  <c:v>24.003609488985099</c:v>
                </c:pt>
                <c:pt idx="96">
                  <c:v>24.786016405069802</c:v>
                </c:pt>
                <c:pt idx="97">
                  <c:v>25.6629849620705</c:v>
                </c:pt>
                <c:pt idx="98">
                  <c:v>26.485537329889599</c:v>
                </c:pt>
                <c:pt idx="99">
                  <c:v>27.322509394620401</c:v>
                </c:pt>
                <c:pt idx="100">
                  <c:v>28.183798757187301</c:v>
                </c:pt>
                <c:pt idx="101">
                  <c:v>29.0806213826537</c:v>
                </c:pt>
                <c:pt idx="102">
                  <c:v>30.079687371603399</c:v>
                </c:pt>
                <c:pt idx="103">
                  <c:v>31.063200307937599</c:v>
                </c:pt>
                <c:pt idx="104">
                  <c:v>32.119773143615099</c:v>
                </c:pt>
                <c:pt idx="105">
                  <c:v>33.214884646398097</c:v>
                </c:pt>
                <c:pt idx="106">
                  <c:v>34.304171426410903</c:v>
                </c:pt>
                <c:pt idx="107">
                  <c:v>35.410045218631602</c:v>
                </c:pt>
                <c:pt idx="108">
                  <c:v>36.593291444466402</c:v>
                </c:pt>
                <c:pt idx="109">
                  <c:v>37.737711138453598</c:v>
                </c:pt>
                <c:pt idx="110">
                  <c:v>38.920922737445501</c:v>
                </c:pt>
                <c:pt idx="111">
                  <c:v>40.129333140160099</c:v>
                </c:pt>
                <c:pt idx="112">
                  <c:v>41.340725877871598</c:v>
                </c:pt>
                <c:pt idx="113">
                  <c:v>42.519718634283301</c:v>
                </c:pt>
                <c:pt idx="114">
                  <c:v>43.7422907330889</c:v>
                </c:pt>
                <c:pt idx="115">
                  <c:v>44.975257671681703</c:v>
                </c:pt>
                <c:pt idx="116">
                  <c:v>46.250078348095201</c:v>
                </c:pt>
                <c:pt idx="117">
                  <c:v>47.693076916708797</c:v>
                </c:pt>
                <c:pt idx="118">
                  <c:v>49.083822155573898</c:v>
                </c:pt>
                <c:pt idx="119">
                  <c:v>50.4517048873143</c:v>
                </c:pt>
                <c:pt idx="120">
                  <c:v>51.739730073654499</c:v>
                </c:pt>
                <c:pt idx="121">
                  <c:v>53.097123492949301</c:v>
                </c:pt>
                <c:pt idx="122">
                  <c:v>54.509352670362603</c:v>
                </c:pt>
                <c:pt idx="123">
                  <c:v>55.965891671559397</c:v>
                </c:pt>
                <c:pt idx="124">
                  <c:v>57.335867564057601</c:v>
                </c:pt>
                <c:pt idx="125">
                  <c:v>58.654206751754401</c:v>
                </c:pt>
                <c:pt idx="126">
                  <c:v>59.953926913368399</c:v>
                </c:pt>
                <c:pt idx="127">
                  <c:v>61.350943852323503</c:v>
                </c:pt>
                <c:pt idx="128">
                  <c:v>62.739640982902898</c:v>
                </c:pt>
                <c:pt idx="129">
                  <c:v>64.053652663759195</c:v>
                </c:pt>
                <c:pt idx="130">
                  <c:v>65.509515722083194</c:v>
                </c:pt>
                <c:pt idx="131">
                  <c:v>66.992638647597104</c:v>
                </c:pt>
                <c:pt idx="132">
                  <c:v>68.505372802506898</c:v>
                </c:pt>
                <c:pt idx="133">
                  <c:v>69.979894677957105</c:v>
                </c:pt>
                <c:pt idx="134">
                  <c:v>71.412775546909401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45488</c:v>
                </c:pt>
                <c:pt idx="1">
                  <c:v>45489</c:v>
                </c:pt>
                <c:pt idx="2">
                  <c:v>45490</c:v>
                </c:pt>
                <c:pt idx="3">
                  <c:v>45491</c:v>
                </c:pt>
                <c:pt idx="4">
                  <c:v>45492</c:v>
                </c:pt>
                <c:pt idx="5">
                  <c:v>45493</c:v>
                </c:pt>
                <c:pt idx="6">
                  <c:v>45494</c:v>
                </c:pt>
                <c:pt idx="7">
                  <c:v>45495</c:v>
                </c:pt>
                <c:pt idx="8">
                  <c:v>45496</c:v>
                </c:pt>
                <c:pt idx="9">
                  <c:v>45497</c:v>
                </c:pt>
                <c:pt idx="10">
                  <c:v>45498</c:v>
                </c:pt>
                <c:pt idx="11">
                  <c:v>45499</c:v>
                </c:pt>
                <c:pt idx="12">
                  <c:v>45500</c:v>
                </c:pt>
                <c:pt idx="13">
                  <c:v>45501</c:v>
                </c:pt>
                <c:pt idx="14">
                  <c:v>45502</c:v>
                </c:pt>
                <c:pt idx="15">
                  <c:v>45503</c:v>
                </c:pt>
                <c:pt idx="16">
                  <c:v>45504</c:v>
                </c:pt>
                <c:pt idx="17">
                  <c:v>45505</c:v>
                </c:pt>
                <c:pt idx="18">
                  <c:v>45506</c:v>
                </c:pt>
                <c:pt idx="19">
                  <c:v>45507</c:v>
                </c:pt>
                <c:pt idx="20">
                  <c:v>45508</c:v>
                </c:pt>
                <c:pt idx="21">
                  <c:v>45509</c:v>
                </c:pt>
                <c:pt idx="22">
                  <c:v>45510</c:v>
                </c:pt>
                <c:pt idx="23">
                  <c:v>45511</c:v>
                </c:pt>
                <c:pt idx="24">
                  <c:v>45512</c:v>
                </c:pt>
                <c:pt idx="25">
                  <c:v>45513</c:v>
                </c:pt>
                <c:pt idx="26">
                  <c:v>45514</c:v>
                </c:pt>
                <c:pt idx="27">
                  <c:v>45515</c:v>
                </c:pt>
                <c:pt idx="28">
                  <c:v>45516</c:v>
                </c:pt>
                <c:pt idx="29">
                  <c:v>45517</c:v>
                </c:pt>
                <c:pt idx="30">
                  <c:v>45518</c:v>
                </c:pt>
                <c:pt idx="31">
                  <c:v>45519</c:v>
                </c:pt>
                <c:pt idx="32">
                  <c:v>45520</c:v>
                </c:pt>
                <c:pt idx="33">
                  <c:v>45521</c:v>
                </c:pt>
                <c:pt idx="34">
                  <c:v>45522</c:v>
                </c:pt>
                <c:pt idx="35">
                  <c:v>45523</c:v>
                </c:pt>
                <c:pt idx="36">
                  <c:v>45524</c:v>
                </c:pt>
                <c:pt idx="37">
                  <c:v>45525</c:v>
                </c:pt>
                <c:pt idx="38">
                  <c:v>45526</c:v>
                </c:pt>
                <c:pt idx="39">
                  <c:v>45527</c:v>
                </c:pt>
                <c:pt idx="40">
                  <c:v>45528</c:v>
                </c:pt>
                <c:pt idx="41">
                  <c:v>45529</c:v>
                </c:pt>
                <c:pt idx="42">
                  <c:v>45530</c:v>
                </c:pt>
                <c:pt idx="43">
                  <c:v>45531</c:v>
                </c:pt>
                <c:pt idx="44">
                  <c:v>45532</c:v>
                </c:pt>
                <c:pt idx="45">
                  <c:v>45533</c:v>
                </c:pt>
                <c:pt idx="46">
                  <c:v>45534</c:v>
                </c:pt>
                <c:pt idx="47">
                  <c:v>45535</c:v>
                </c:pt>
                <c:pt idx="48">
                  <c:v>45536</c:v>
                </c:pt>
                <c:pt idx="49">
                  <c:v>45537</c:v>
                </c:pt>
                <c:pt idx="50">
                  <c:v>45538</c:v>
                </c:pt>
                <c:pt idx="51">
                  <c:v>45539</c:v>
                </c:pt>
                <c:pt idx="52">
                  <c:v>45540</c:v>
                </c:pt>
                <c:pt idx="53">
                  <c:v>45541</c:v>
                </c:pt>
                <c:pt idx="54">
                  <c:v>45542</c:v>
                </c:pt>
                <c:pt idx="55">
                  <c:v>45543</c:v>
                </c:pt>
                <c:pt idx="56">
                  <c:v>45544</c:v>
                </c:pt>
                <c:pt idx="57">
                  <c:v>45545</c:v>
                </c:pt>
                <c:pt idx="58">
                  <c:v>45546</c:v>
                </c:pt>
                <c:pt idx="59">
                  <c:v>45547</c:v>
                </c:pt>
                <c:pt idx="60">
                  <c:v>45548</c:v>
                </c:pt>
                <c:pt idx="61">
                  <c:v>45549</c:v>
                </c:pt>
                <c:pt idx="62">
                  <c:v>45550</c:v>
                </c:pt>
                <c:pt idx="63">
                  <c:v>45551</c:v>
                </c:pt>
                <c:pt idx="64">
                  <c:v>45552</c:v>
                </c:pt>
                <c:pt idx="65">
                  <c:v>45553</c:v>
                </c:pt>
                <c:pt idx="66">
                  <c:v>45554</c:v>
                </c:pt>
                <c:pt idx="67">
                  <c:v>45555</c:v>
                </c:pt>
                <c:pt idx="68">
                  <c:v>45556</c:v>
                </c:pt>
                <c:pt idx="69">
                  <c:v>45557</c:v>
                </c:pt>
                <c:pt idx="70">
                  <c:v>45558</c:v>
                </c:pt>
                <c:pt idx="71">
                  <c:v>45559</c:v>
                </c:pt>
                <c:pt idx="72">
                  <c:v>45560</c:v>
                </c:pt>
                <c:pt idx="73">
                  <c:v>45561</c:v>
                </c:pt>
                <c:pt idx="74">
                  <c:v>45562</c:v>
                </c:pt>
                <c:pt idx="75">
                  <c:v>45563</c:v>
                </c:pt>
                <c:pt idx="76">
                  <c:v>45564</c:v>
                </c:pt>
                <c:pt idx="77">
                  <c:v>45565</c:v>
                </c:pt>
                <c:pt idx="78">
                  <c:v>45566</c:v>
                </c:pt>
                <c:pt idx="79">
                  <c:v>45567</c:v>
                </c:pt>
                <c:pt idx="80">
                  <c:v>45568</c:v>
                </c:pt>
                <c:pt idx="81">
                  <c:v>45569</c:v>
                </c:pt>
                <c:pt idx="82">
                  <c:v>45570</c:v>
                </c:pt>
                <c:pt idx="83">
                  <c:v>45571</c:v>
                </c:pt>
                <c:pt idx="84">
                  <c:v>45572</c:v>
                </c:pt>
                <c:pt idx="85">
                  <c:v>45573</c:v>
                </c:pt>
                <c:pt idx="86">
                  <c:v>45574</c:v>
                </c:pt>
                <c:pt idx="87">
                  <c:v>45575</c:v>
                </c:pt>
                <c:pt idx="88">
                  <c:v>45576</c:v>
                </c:pt>
                <c:pt idx="89">
                  <c:v>45577</c:v>
                </c:pt>
                <c:pt idx="90">
                  <c:v>45578</c:v>
                </c:pt>
                <c:pt idx="91">
                  <c:v>45579</c:v>
                </c:pt>
                <c:pt idx="92">
                  <c:v>45580</c:v>
                </c:pt>
                <c:pt idx="93">
                  <c:v>45581</c:v>
                </c:pt>
                <c:pt idx="94">
                  <c:v>45582</c:v>
                </c:pt>
                <c:pt idx="95">
                  <c:v>45583</c:v>
                </c:pt>
                <c:pt idx="96">
                  <c:v>45584</c:v>
                </c:pt>
                <c:pt idx="97">
                  <c:v>45585</c:v>
                </c:pt>
                <c:pt idx="98">
                  <c:v>45586</c:v>
                </c:pt>
                <c:pt idx="99">
                  <c:v>45587</c:v>
                </c:pt>
                <c:pt idx="100">
                  <c:v>45588</c:v>
                </c:pt>
                <c:pt idx="101">
                  <c:v>45589</c:v>
                </c:pt>
                <c:pt idx="102">
                  <c:v>45590</c:v>
                </c:pt>
                <c:pt idx="103">
                  <c:v>45591</c:v>
                </c:pt>
                <c:pt idx="104">
                  <c:v>45592</c:v>
                </c:pt>
                <c:pt idx="105">
                  <c:v>45593</c:v>
                </c:pt>
                <c:pt idx="106">
                  <c:v>45594</c:v>
                </c:pt>
                <c:pt idx="107">
                  <c:v>45595</c:v>
                </c:pt>
                <c:pt idx="108">
                  <c:v>45596</c:v>
                </c:pt>
                <c:pt idx="109">
                  <c:v>45597</c:v>
                </c:pt>
                <c:pt idx="110">
                  <c:v>45598</c:v>
                </c:pt>
                <c:pt idx="111">
                  <c:v>45599</c:v>
                </c:pt>
                <c:pt idx="112">
                  <c:v>45600</c:v>
                </c:pt>
                <c:pt idx="113">
                  <c:v>45601</c:v>
                </c:pt>
                <c:pt idx="114">
                  <c:v>45602</c:v>
                </c:pt>
                <c:pt idx="115">
                  <c:v>45603</c:v>
                </c:pt>
                <c:pt idx="116">
                  <c:v>45604</c:v>
                </c:pt>
                <c:pt idx="117">
                  <c:v>45605</c:v>
                </c:pt>
                <c:pt idx="118">
                  <c:v>45606</c:v>
                </c:pt>
                <c:pt idx="119">
                  <c:v>45607</c:v>
                </c:pt>
                <c:pt idx="120">
                  <c:v>45608</c:v>
                </c:pt>
                <c:pt idx="121">
                  <c:v>45609</c:v>
                </c:pt>
                <c:pt idx="122">
                  <c:v>45610</c:v>
                </c:pt>
                <c:pt idx="123">
                  <c:v>45611</c:v>
                </c:pt>
                <c:pt idx="124">
                  <c:v>45612</c:v>
                </c:pt>
                <c:pt idx="125">
                  <c:v>45613</c:v>
                </c:pt>
                <c:pt idx="126">
                  <c:v>45614</c:v>
                </c:pt>
                <c:pt idx="127">
                  <c:v>45615</c:v>
                </c:pt>
                <c:pt idx="128">
                  <c:v>45616</c:v>
                </c:pt>
                <c:pt idx="129">
                  <c:v>45617</c:v>
                </c:pt>
                <c:pt idx="130">
                  <c:v>45618</c:v>
                </c:pt>
                <c:pt idx="131">
                  <c:v>45619</c:v>
                </c:pt>
                <c:pt idx="132">
                  <c:v>45620</c:v>
                </c:pt>
                <c:pt idx="133">
                  <c:v>45621</c:v>
                </c:pt>
                <c:pt idx="134">
                  <c:v>45622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33.734081119895862</c:v>
                </c:pt>
                <c:pt idx="1">
                  <c:v>38.394874381431336</c:v>
                </c:pt>
                <c:pt idx="2">
                  <c:v>42.770182341504402</c:v>
                </c:pt>
                <c:pt idx="3">
                  <c:v>47.030514820188237</c:v>
                </c:pt>
                <c:pt idx="4">
                  <c:v>51.158118157369408</c:v>
                </c:pt>
                <c:pt idx="5">
                  <c:v>54.904633723557957</c:v>
                </c:pt>
                <c:pt idx="6">
                  <c:v>58.585135833383333</c:v>
                </c:pt>
                <c:pt idx="7">
                  <c:v>62.187305535382933</c:v>
                </c:pt>
                <c:pt idx="8">
                  <c:v>65.564507523395562</c:v>
                </c:pt>
                <c:pt idx="9">
                  <c:v>68.803677012417992</c:v>
                </c:pt>
                <c:pt idx="10">
                  <c:v>71.867138145458782</c:v>
                </c:pt>
                <c:pt idx="11">
                  <c:v>74.885169572908254</c:v>
                </c:pt>
                <c:pt idx="12">
                  <c:v>77.729637560526655</c:v>
                </c:pt>
                <c:pt idx="13">
                  <c:v>80.554629447904844</c:v>
                </c:pt>
                <c:pt idx="14">
                  <c:v>83.064756488187157</c:v>
                </c:pt>
                <c:pt idx="15">
                  <c:v>85.485035950587417</c:v>
                </c:pt>
                <c:pt idx="16">
                  <c:v>87.837936554723427</c:v>
                </c:pt>
                <c:pt idx="17">
                  <c:v>90.003892248558344</c:v>
                </c:pt>
                <c:pt idx="18">
                  <c:v>91.968592729920971</c:v>
                </c:pt>
                <c:pt idx="19">
                  <c:v>93.935269379238278</c:v>
                </c:pt>
                <c:pt idx="20">
                  <c:v>95.839575489349812</c:v>
                </c:pt>
                <c:pt idx="21">
                  <c:v>97.636136917962759</c:v>
                </c:pt>
                <c:pt idx="22">
                  <c:v>99.391826652463592</c:v>
                </c:pt>
                <c:pt idx="23">
                  <c:v>101.01144129737614</c:v>
                </c:pt>
                <c:pt idx="24">
                  <c:v>102.44222779050769</c:v>
                </c:pt>
                <c:pt idx="25">
                  <c:v>103.87257069104368</c:v>
                </c:pt>
                <c:pt idx="26">
                  <c:v>105.29939776038297</c:v>
                </c:pt>
                <c:pt idx="27">
                  <c:v>106.68827195606644</c:v>
                </c:pt>
                <c:pt idx="28">
                  <c:v>107.96773506868081</c:v>
                </c:pt>
                <c:pt idx="29">
                  <c:v>109.17138349880332</c:v>
                </c:pt>
                <c:pt idx="30">
                  <c:v>110.27652381514818</c:v>
                </c:pt>
                <c:pt idx="31">
                  <c:v>111.35898832223373</c:v>
                </c:pt>
                <c:pt idx="32">
                  <c:v>112.45327230201481</c:v>
                </c:pt>
                <c:pt idx="33">
                  <c:v>113.50213173796161</c:v>
                </c:pt>
                <c:pt idx="34">
                  <c:v>114.47354847135993</c:v>
                </c:pt>
                <c:pt idx="35">
                  <c:v>115.40640991300896</c:v>
                </c:pt>
                <c:pt idx="36">
                  <c:v>116.27027765639102</c:v>
                </c:pt>
                <c:pt idx="37">
                  <c:v>117.11901380643334</c:v>
                </c:pt>
                <c:pt idx="38">
                  <c:v>117.94241760341443</c:v>
                </c:pt>
                <c:pt idx="39">
                  <c:v>118.76894540378998</c:v>
                </c:pt>
                <c:pt idx="40">
                  <c:v>119.57396123061972</c:v>
                </c:pt>
                <c:pt idx="41">
                  <c:v>120.33923504665465</c:v>
                </c:pt>
                <c:pt idx="42">
                  <c:v>121.07218950377839</c:v>
                </c:pt>
                <c:pt idx="43">
                  <c:v>121.79592690985751</c:v>
                </c:pt>
                <c:pt idx="44">
                  <c:v>122.46496615371487</c:v>
                </c:pt>
                <c:pt idx="45">
                  <c:v>123.14503628486051</c:v>
                </c:pt>
                <c:pt idx="46">
                  <c:v>123.7372414151601</c:v>
                </c:pt>
                <c:pt idx="47">
                  <c:v>124.33442231225064</c:v>
                </c:pt>
                <c:pt idx="48">
                  <c:v>124.91599618908111</c:v>
                </c:pt>
                <c:pt idx="49">
                  <c:v>125.44192107937323</c:v>
                </c:pt>
                <c:pt idx="50">
                  <c:v>125.92973326095191</c:v>
                </c:pt>
                <c:pt idx="51">
                  <c:v>126.37331493586811</c:v>
                </c:pt>
                <c:pt idx="52">
                  <c:v>126.80440064595908</c:v>
                </c:pt>
                <c:pt idx="53">
                  <c:v>127.19480315376137</c:v>
                </c:pt>
                <c:pt idx="54">
                  <c:v>127.53953388788409</c:v>
                </c:pt>
                <c:pt idx="55">
                  <c:v>127.84028871889176</c:v>
                </c:pt>
                <c:pt idx="56">
                  <c:v>128.13971848040887</c:v>
                </c:pt>
                <c:pt idx="57">
                  <c:v>128.43715451708584</c:v>
                </c:pt>
                <c:pt idx="58">
                  <c:v>128.70401097203305</c:v>
                </c:pt>
                <c:pt idx="59">
                  <c:v>128.94356423746223</c:v>
                </c:pt>
                <c:pt idx="60">
                  <c:v>129.16192102711628</c:v>
                </c:pt>
                <c:pt idx="61">
                  <c:v>129.35819127030999</c:v>
                </c:pt>
                <c:pt idx="62">
                  <c:v>129.50749876968496</c:v>
                </c:pt>
                <c:pt idx="63">
                  <c:v>129.6133886373832</c:v>
                </c:pt>
                <c:pt idx="64">
                  <c:v>129.69475973330958</c:v>
                </c:pt>
                <c:pt idx="65">
                  <c:v>129.75969790545426</c:v>
                </c:pt>
                <c:pt idx="66">
                  <c:v>129.80315318131642</c:v>
                </c:pt>
                <c:pt idx="67">
                  <c:v>129.8284779953963</c:v>
                </c:pt>
                <c:pt idx="68">
                  <c:v>129.83544398515556</c:v>
                </c:pt>
                <c:pt idx="69">
                  <c:v>129.82262862107132</c:v>
                </c:pt>
                <c:pt idx="70">
                  <c:v>129.79785892819928</c:v>
                </c:pt>
                <c:pt idx="71">
                  <c:v>129.76644772104518</c:v>
                </c:pt>
                <c:pt idx="72">
                  <c:v>129.71556889598421</c:v>
                </c:pt>
                <c:pt idx="73">
                  <c:v>129.63920958883159</c:v>
                </c:pt>
                <c:pt idx="74">
                  <c:v>129.5571394824496</c:v>
                </c:pt>
                <c:pt idx="75">
                  <c:v>129.46548971896485</c:v>
                </c:pt>
                <c:pt idx="76">
                  <c:v>129.33743615399914</c:v>
                </c:pt>
                <c:pt idx="77">
                  <c:v>129.18356643330065</c:v>
                </c:pt>
                <c:pt idx="78">
                  <c:v>129.00451092616137</c:v>
                </c:pt>
                <c:pt idx="79">
                  <c:v>128.828930031109</c:v>
                </c:pt>
                <c:pt idx="80">
                  <c:v>128.6513802814265</c:v>
                </c:pt>
                <c:pt idx="81">
                  <c:v>128.458654673909</c:v>
                </c:pt>
                <c:pt idx="82">
                  <c:v>128.23406890243456</c:v>
                </c:pt>
                <c:pt idx="83">
                  <c:v>127.9878448994739</c:v>
                </c:pt>
                <c:pt idx="84">
                  <c:v>127.75610113752229</c:v>
                </c:pt>
                <c:pt idx="85">
                  <c:v>127.5238874676638</c:v>
                </c:pt>
                <c:pt idx="86">
                  <c:v>127.28316406764714</c:v>
                </c:pt>
                <c:pt idx="87">
                  <c:v>127.00901323859506</c:v>
                </c:pt>
                <c:pt idx="88">
                  <c:v>126.68367739762002</c:v>
                </c:pt>
                <c:pt idx="89">
                  <c:v>126.36253454637853</c:v>
                </c:pt>
                <c:pt idx="90">
                  <c:v>126.03079313634834</c:v>
                </c:pt>
                <c:pt idx="91">
                  <c:v>125.68340422208603</c:v>
                </c:pt>
                <c:pt idx="92">
                  <c:v>125.29346344248808</c:v>
                </c:pt>
                <c:pt idx="93">
                  <c:v>124.85783395728259</c:v>
                </c:pt>
                <c:pt idx="94">
                  <c:v>124.41601714787916</c:v>
                </c:pt>
                <c:pt idx="95">
                  <c:v>123.95829048250233</c:v>
                </c:pt>
                <c:pt idx="96">
                  <c:v>123.47106556133858</c:v>
                </c:pt>
                <c:pt idx="97">
                  <c:v>122.91347464016367</c:v>
                </c:pt>
                <c:pt idx="98">
                  <c:v>122.37641291678332</c:v>
                </c:pt>
                <c:pt idx="99">
                  <c:v>121.82267905115032</c:v>
                </c:pt>
                <c:pt idx="100">
                  <c:v>121.24231329427496</c:v>
                </c:pt>
                <c:pt idx="101">
                  <c:v>120.62353590056097</c:v>
                </c:pt>
                <c:pt idx="102">
                  <c:v>119.92775846752207</c:v>
                </c:pt>
                <c:pt idx="103">
                  <c:v>119.23607445422218</c:v>
                </c:pt>
                <c:pt idx="104">
                  <c:v>118.48976439596291</c:v>
                </c:pt>
                <c:pt idx="105">
                  <c:v>117.70691727393148</c:v>
                </c:pt>
                <c:pt idx="106">
                  <c:v>116.9206476008513</c:v>
                </c:pt>
                <c:pt idx="107">
                  <c:v>116.10992381151448</c:v>
                </c:pt>
                <c:pt idx="108">
                  <c:v>115.23561543720656</c:v>
                </c:pt>
                <c:pt idx="109">
                  <c:v>114.38371597894073</c:v>
                </c:pt>
                <c:pt idx="110">
                  <c:v>113.49580502364907</c:v>
                </c:pt>
                <c:pt idx="111">
                  <c:v>112.58242612826585</c:v>
                </c:pt>
                <c:pt idx="112">
                  <c:v>111.66414920969862</c:v>
                </c:pt>
                <c:pt idx="113">
                  <c:v>110.76427293791828</c:v>
                </c:pt>
                <c:pt idx="114">
                  <c:v>109.83382240198019</c:v>
                </c:pt>
                <c:pt idx="115">
                  <c:v>108.88884159121412</c:v>
                </c:pt>
                <c:pt idx="116">
                  <c:v>107.9071471555049</c:v>
                </c:pt>
                <c:pt idx="117">
                  <c:v>106.79344430959894</c:v>
                </c:pt>
                <c:pt idx="118">
                  <c:v>105.71151813337494</c:v>
                </c:pt>
                <c:pt idx="119">
                  <c:v>104.64911725949048</c:v>
                </c:pt>
                <c:pt idx="120">
                  <c:v>103.64278029441068</c:v>
                </c:pt>
                <c:pt idx="121">
                  <c:v>102.57635135747044</c:v>
                </c:pt>
                <c:pt idx="122">
                  <c:v>101.46228029413777</c:v>
                </c:pt>
                <c:pt idx="123">
                  <c:v>100.31667095605012</c:v>
                </c:pt>
                <c:pt idx="124">
                  <c:v>99.236050382644038</c:v>
                </c:pt>
                <c:pt idx="125">
                  <c:v>98.201238593395374</c:v>
                </c:pt>
                <c:pt idx="126">
                  <c:v>97.18797210377268</c:v>
                </c:pt>
                <c:pt idx="127">
                  <c:v>96.101130141180647</c:v>
                </c:pt>
                <c:pt idx="128">
                  <c:v>95.02920934748596</c:v>
                </c:pt>
                <c:pt idx="129">
                  <c:v>94.011566730022608</c:v>
                </c:pt>
                <c:pt idx="130">
                  <c:v>92.884531087894203</c:v>
                </c:pt>
                <c:pt idx="131">
                  <c:v>91.735311270944521</c:v>
                </c:pt>
                <c:pt idx="132">
                  <c:v>90.576939367326077</c:v>
                </c:pt>
                <c:pt idx="133">
                  <c:v>89.449609570552994</c:v>
                </c:pt>
                <c:pt idx="134">
                  <c:v>88.348971956501686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45362</c:v>
                </c:pt>
                <c:pt idx="1">
                  <c:v>45363</c:v>
                </c:pt>
                <c:pt idx="2">
                  <c:v>45364</c:v>
                </c:pt>
                <c:pt idx="3">
                  <c:v>45365</c:v>
                </c:pt>
                <c:pt idx="4">
                  <c:v>45366</c:v>
                </c:pt>
                <c:pt idx="5">
                  <c:v>45367</c:v>
                </c:pt>
                <c:pt idx="6">
                  <c:v>45368</c:v>
                </c:pt>
                <c:pt idx="7">
                  <c:v>45369</c:v>
                </c:pt>
                <c:pt idx="8">
                  <c:v>45370</c:v>
                </c:pt>
                <c:pt idx="9">
                  <c:v>45371</c:v>
                </c:pt>
                <c:pt idx="10">
                  <c:v>45372</c:v>
                </c:pt>
                <c:pt idx="11">
                  <c:v>45373</c:v>
                </c:pt>
                <c:pt idx="12">
                  <c:v>45374</c:v>
                </c:pt>
                <c:pt idx="13">
                  <c:v>45375</c:v>
                </c:pt>
                <c:pt idx="14">
                  <c:v>45376</c:v>
                </c:pt>
                <c:pt idx="15">
                  <c:v>45377</c:v>
                </c:pt>
                <c:pt idx="16">
                  <c:v>45378</c:v>
                </c:pt>
                <c:pt idx="17">
                  <c:v>45379</c:v>
                </c:pt>
                <c:pt idx="18">
                  <c:v>45380</c:v>
                </c:pt>
                <c:pt idx="19">
                  <c:v>45381</c:v>
                </c:pt>
                <c:pt idx="20">
                  <c:v>45382</c:v>
                </c:pt>
                <c:pt idx="21">
                  <c:v>45383</c:v>
                </c:pt>
                <c:pt idx="22">
                  <c:v>45384</c:v>
                </c:pt>
                <c:pt idx="23">
                  <c:v>45385</c:v>
                </c:pt>
                <c:pt idx="24">
                  <c:v>45386</c:v>
                </c:pt>
                <c:pt idx="25">
                  <c:v>45387</c:v>
                </c:pt>
                <c:pt idx="26">
                  <c:v>45388</c:v>
                </c:pt>
                <c:pt idx="27">
                  <c:v>45389</c:v>
                </c:pt>
                <c:pt idx="28">
                  <c:v>45390</c:v>
                </c:pt>
                <c:pt idx="29">
                  <c:v>45391</c:v>
                </c:pt>
                <c:pt idx="30">
                  <c:v>45392</c:v>
                </c:pt>
                <c:pt idx="31">
                  <c:v>45393</c:v>
                </c:pt>
                <c:pt idx="32">
                  <c:v>45394</c:v>
                </c:pt>
                <c:pt idx="33">
                  <c:v>45395</c:v>
                </c:pt>
                <c:pt idx="34">
                  <c:v>45396</c:v>
                </c:pt>
                <c:pt idx="35">
                  <c:v>45397</c:v>
                </c:pt>
                <c:pt idx="36">
                  <c:v>45398</c:v>
                </c:pt>
                <c:pt idx="37">
                  <c:v>45399</c:v>
                </c:pt>
                <c:pt idx="38">
                  <c:v>45400</c:v>
                </c:pt>
                <c:pt idx="39">
                  <c:v>45401</c:v>
                </c:pt>
                <c:pt idx="40">
                  <c:v>45402</c:v>
                </c:pt>
                <c:pt idx="41">
                  <c:v>45403</c:v>
                </c:pt>
                <c:pt idx="42">
                  <c:v>45404</c:v>
                </c:pt>
                <c:pt idx="43">
                  <c:v>45405</c:v>
                </c:pt>
                <c:pt idx="44">
                  <c:v>45406</c:v>
                </c:pt>
                <c:pt idx="45">
                  <c:v>45407</c:v>
                </c:pt>
                <c:pt idx="46">
                  <c:v>45408</c:v>
                </c:pt>
                <c:pt idx="47">
                  <c:v>45409</c:v>
                </c:pt>
                <c:pt idx="48">
                  <c:v>45410</c:v>
                </c:pt>
                <c:pt idx="49">
                  <c:v>45411</c:v>
                </c:pt>
                <c:pt idx="50">
                  <c:v>45412</c:v>
                </c:pt>
                <c:pt idx="51">
                  <c:v>45413</c:v>
                </c:pt>
                <c:pt idx="52">
                  <c:v>45414</c:v>
                </c:pt>
                <c:pt idx="53">
                  <c:v>45415</c:v>
                </c:pt>
                <c:pt idx="54">
                  <c:v>45416</c:v>
                </c:pt>
                <c:pt idx="55">
                  <c:v>45417</c:v>
                </c:pt>
                <c:pt idx="56">
                  <c:v>45418</c:v>
                </c:pt>
                <c:pt idx="57">
                  <c:v>45419</c:v>
                </c:pt>
                <c:pt idx="58">
                  <c:v>45420</c:v>
                </c:pt>
                <c:pt idx="59">
                  <c:v>45421</c:v>
                </c:pt>
                <c:pt idx="60">
                  <c:v>45422</c:v>
                </c:pt>
                <c:pt idx="61">
                  <c:v>45423</c:v>
                </c:pt>
                <c:pt idx="62">
                  <c:v>45424</c:v>
                </c:pt>
                <c:pt idx="63">
                  <c:v>45425</c:v>
                </c:pt>
                <c:pt idx="64">
                  <c:v>45426</c:v>
                </c:pt>
                <c:pt idx="65">
                  <c:v>45427</c:v>
                </c:pt>
                <c:pt idx="66">
                  <c:v>45428</c:v>
                </c:pt>
                <c:pt idx="67">
                  <c:v>45429</c:v>
                </c:pt>
                <c:pt idx="68">
                  <c:v>45430</c:v>
                </c:pt>
                <c:pt idx="69">
                  <c:v>45431</c:v>
                </c:pt>
                <c:pt idx="70">
                  <c:v>45432</c:v>
                </c:pt>
                <c:pt idx="71">
                  <c:v>45433</c:v>
                </c:pt>
                <c:pt idx="72">
                  <c:v>45434</c:v>
                </c:pt>
                <c:pt idx="73">
                  <c:v>45435</c:v>
                </c:pt>
                <c:pt idx="74">
                  <c:v>45436</c:v>
                </c:pt>
                <c:pt idx="75">
                  <c:v>45437</c:v>
                </c:pt>
                <c:pt idx="76">
                  <c:v>45438</c:v>
                </c:pt>
                <c:pt idx="77">
                  <c:v>45439</c:v>
                </c:pt>
                <c:pt idx="78">
                  <c:v>45440</c:v>
                </c:pt>
                <c:pt idx="79">
                  <c:v>45441</c:v>
                </c:pt>
                <c:pt idx="80">
                  <c:v>45442</c:v>
                </c:pt>
                <c:pt idx="81">
                  <c:v>45443</c:v>
                </c:pt>
                <c:pt idx="82">
                  <c:v>45444</c:v>
                </c:pt>
                <c:pt idx="83">
                  <c:v>45445</c:v>
                </c:pt>
                <c:pt idx="84">
                  <c:v>45446</c:v>
                </c:pt>
                <c:pt idx="85">
                  <c:v>45447</c:v>
                </c:pt>
                <c:pt idx="86">
                  <c:v>45448</c:v>
                </c:pt>
                <c:pt idx="87">
                  <c:v>45449</c:v>
                </c:pt>
                <c:pt idx="88">
                  <c:v>45450</c:v>
                </c:pt>
                <c:pt idx="89">
                  <c:v>45451</c:v>
                </c:pt>
                <c:pt idx="90">
                  <c:v>45452</c:v>
                </c:pt>
                <c:pt idx="91">
                  <c:v>45453</c:v>
                </c:pt>
                <c:pt idx="92">
                  <c:v>45454</c:v>
                </c:pt>
                <c:pt idx="93">
                  <c:v>45455</c:v>
                </c:pt>
                <c:pt idx="94">
                  <c:v>45456</c:v>
                </c:pt>
                <c:pt idx="95">
                  <c:v>45457</c:v>
                </c:pt>
                <c:pt idx="96">
                  <c:v>45458</c:v>
                </c:pt>
                <c:pt idx="97">
                  <c:v>45459</c:v>
                </c:pt>
                <c:pt idx="98">
                  <c:v>45460</c:v>
                </c:pt>
                <c:pt idx="99">
                  <c:v>45461</c:v>
                </c:pt>
                <c:pt idx="100">
                  <c:v>45462</c:v>
                </c:pt>
                <c:pt idx="101">
                  <c:v>45463</c:v>
                </c:pt>
                <c:pt idx="102">
                  <c:v>45464</c:v>
                </c:pt>
                <c:pt idx="103">
                  <c:v>45465</c:v>
                </c:pt>
                <c:pt idx="104">
                  <c:v>45466</c:v>
                </c:pt>
                <c:pt idx="105">
                  <c:v>45467</c:v>
                </c:pt>
                <c:pt idx="106">
                  <c:v>45468</c:v>
                </c:pt>
                <c:pt idx="107">
                  <c:v>45469</c:v>
                </c:pt>
                <c:pt idx="108">
                  <c:v>45470</c:v>
                </c:pt>
                <c:pt idx="109">
                  <c:v>45471</c:v>
                </c:pt>
                <c:pt idx="110">
                  <c:v>45472</c:v>
                </c:pt>
                <c:pt idx="111">
                  <c:v>45473</c:v>
                </c:pt>
                <c:pt idx="112">
                  <c:v>45474</c:v>
                </c:pt>
                <c:pt idx="113">
                  <c:v>45475</c:v>
                </c:pt>
                <c:pt idx="114">
                  <c:v>45476</c:v>
                </c:pt>
                <c:pt idx="115">
                  <c:v>45477</c:v>
                </c:pt>
                <c:pt idx="116">
                  <c:v>45478</c:v>
                </c:pt>
                <c:pt idx="117">
                  <c:v>45479</c:v>
                </c:pt>
                <c:pt idx="118">
                  <c:v>45480</c:v>
                </c:pt>
                <c:pt idx="119">
                  <c:v>45481</c:v>
                </c:pt>
                <c:pt idx="120">
                  <c:v>45482</c:v>
                </c:pt>
                <c:pt idx="121">
                  <c:v>45483</c:v>
                </c:pt>
                <c:pt idx="122">
                  <c:v>45484</c:v>
                </c:pt>
                <c:pt idx="123">
                  <c:v>45485</c:v>
                </c:pt>
                <c:pt idx="124">
                  <c:v>45486</c:v>
                </c:pt>
                <c:pt idx="125">
                  <c:v>45487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34.019294069362189</c:v>
                </c:pt>
                <c:pt idx="1">
                  <c:v>35.142800120911289</c:v>
                </c:pt>
                <c:pt idx="2">
                  <c:v>35.503619661312008</c:v>
                </c:pt>
                <c:pt idx="3">
                  <c:v>33.259934881990596</c:v>
                </c:pt>
                <c:pt idx="4">
                  <c:v>32.569459422395859</c:v>
                </c:pt>
                <c:pt idx="5">
                  <c:v>31.943284872360813</c:v>
                </c:pt>
                <c:pt idx="6">
                  <c:v>31.981255938758796</c:v>
                </c:pt>
                <c:pt idx="7">
                  <c:v>31.02387423162692</c:v>
                </c:pt>
                <c:pt idx="8">
                  <c:v>29.437759218483141</c:v>
                </c:pt>
                <c:pt idx="9">
                  <c:v>28.450576778328401</c:v>
                </c:pt>
                <c:pt idx="10">
                  <c:v>27.618266385289743</c:v>
                </c:pt>
                <c:pt idx="11">
                  <c:v>28.119735825104982</c:v>
                </c:pt>
                <c:pt idx="12">
                  <c:v>27.059991186616756</c:v>
                </c:pt>
                <c:pt idx="13">
                  <c:v>27.098608561655904</c:v>
                </c:pt>
                <c:pt idx="14">
                  <c:v>25.226183945605506</c:v>
                </c:pt>
                <c:pt idx="15">
                  <c:v>24.177138466429511</c:v>
                </c:pt>
                <c:pt idx="16">
                  <c:v>22.53161493440296</c:v>
                </c:pt>
                <c:pt idx="17">
                  <c:v>20.995165482782667</c:v>
                </c:pt>
                <c:pt idx="18">
                  <c:v>21.6338266599933</c:v>
                </c:pt>
                <c:pt idx="19">
                  <c:v>21.296774471955821</c:v>
                </c:pt>
                <c:pt idx="20">
                  <c:v>20.171921317241306</c:v>
                </c:pt>
                <c:pt idx="21">
                  <c:v>19.043156331771154</c:v>
                </c:pt>
                <c:pt idx="22">
                  <c:v>18.686353295522558</c:v>
                </c:pt>
                <c:pt idx="23">
                  <c:v>18.664220111263411</c:v>
                </c:pt>
                <c:pt idx="24">
                  <c:v>18.236749688996927</c:v>
                </c:pt>
                <c:pt idx="25">
                  <c:v>18.918959428645241</c:v>
                </c:pt>
                <c:pt idx="26">
                  <c:v>20.890321620083537</c:v>
                </c:pt>
                <c:pt idx="27">
                  <c:v>21.109681154082615</c:v>
                </c:pt>
                <c:pt idx="28">
                  <c:v>22.1043476965691</c:v>
                </c:pt>
                <c:pt idx="29">
                  <c:v>22.174987227321459</c:v>
                </c:pt>
                <c:pt idx="30">
                  <c:v>21.47802479045464</c:v>
                </c:pt>
                <c:pt idx="31">
                  <c:v>21.3347973905048</c:v>
                </c:pt>
                <c:pt idx="32">
                  <c:v>20.762907172214565</c:v>
                </c:pt>
                <c:pt idx="33">
                  <c:v>20.086767004891655</c:v>
                </c:pt>
                <c:pt idx="34">
                  <c:v>18.612711154866936</c:v>
                </c:pt>
                <c:pt idx="35">
                  <c:v>18.033052568445644</c:v>
                </c:pt>
                <c:pt idx="36">
                  <c:v>18.10364279682344</c:v>
                </c:pt>
                <c:pt idx="37">
                  <c:v>17.615486039644445</c:v>
                </c:pt>
                <c:pt idx="38">
                  <c:v>16.82670613384348</c:v>
                </c:pt>
                <c:pt idx="39">
                  <c:v>16.937219810099229</c:v>
                </c:pt>
                <c:pt idx="40">
                  <c:v>17.059891907318566</c:v>
                </c:pt>
                <c:pt idx="41">
                  <c:v>16.255378659204737</c:v>
                </c:pt>
                <c:pt idx="42">
                  <c:v>15.488921625934379</c:v>
                </c:pt>
                <c:pt idx="43">
                  <c:v>15.887485613803122</c:v>
                </c:pt>
                <c:pt idx="44">
                  <c:v>16.190681752293386</c:v>
                </c:pt>
                <c:pt idx="45">
                  <c:v>15.028961226047944</c:v>
                </c:pt>
                <c:pt idx="46">
                  <c:v>15.522683651442815</c:v>
                </c:pt>
                <c:pt idx="47">
                  <c:v>16.369008255136606</c:v>
                </c:pt>
                <c:pt idx="48">
                  <c:v>20.771253136169715</c:v>
                </c:pt>
                <c:pt idx="49">
                  <c:v>21.814756306302762</c:v>
                </c:pt>
                <c:pt idx="50">
                  <c:v>21.17381896181201</c:v>
                </c:pt>
                <c:pt idx="51">
                  <c:v>20.493300848953862</c:v>
                </c:pt>
                <c:pt idx="52">
                  <c:v>19.556956816049155</c:v>
                </c:pt>
                <c:pt idx="53">
                  <c:v>19.584890181158826</c:v>
                </c:pt>
                <c:pt idx="54">
                  <c:v>19.040873560638367</c:v>
                </c:pt>
                <c:pt idx="55">
                  <c:v>20.760949975978541</c:v>
                </c:pt>
                <c:pt idx="56">
                  <c:v>20.119856561391046</c:v>
                </c:pt>
                <c:pt idx="57">
                  <c:v>21.629800232919905</c:v>
                </c:pt>
                <c:pt idx="58">
                  <c:v>20.712369234265491</c:v>
                </c:pt>
                <c:pt idx="59">
                  <c:v>21.356808373712816</c:v>
                </c:pt>
                <c:pt idx="60">
                  <c:v>20.532810230939418</c:v>
                </c:pt>
                <c:pt idx="61">
                  <c:v>20.717116983360171</c:v>
                </c:pt>
                <c:pt idx="62">
                  <c:v>20.280364291693544</c:v>
                </c:pt>
                <c:pt idx="63">
                  <c:v>20.372662252703712</c:v>
                </c:pt>
                <c:pt idx="64">
                  <c:v>20.280552585237022</c:v>
                </c:pt>
                <c:pt idx="65">
                  <c:v>20.562287330854218</c:v>
                </c:pt>
                <c:pt idx="66">
                  <c:v>21.90770364964208</c:v>
                </c:pt>
                <c:pt idx="67">
                  <c:v>21.986403045892921</c:v>
                </c:pt>
                <c:pt idx="68">
                  <c:v>22.14317567426426</c:v>
                </c:pt>
                <c:pt idx="69">
                  <c:v>22.724077666135575</c:v>
                </c:pt>
                <c:pt idx="70">
                  <c:v>23.920067616927383</c:v>
                </c:pt>
                <c:pt idx="71">
                  <c:v>24.390556244014093</c:v>
                </c:pt>
                <c:pt idx="72">
                  <c:v>24.648929977612827</c:v>
                </c:pt>
                <c:pt idx="73">
                  <c:v>26.977391148086493</c:v>
                </c:pt>
                <c:pt idx="74">
                  <c:v>27.6661226091516</c:v>
                </c:pt>
                <c:pt idx="75">
                  <c:v>31.048358052873322</c:v>
                </c:pt>
                <c:pt idx="76">
                  <c:v>30.537009158900691</c:v>
                </c:pt>
                <c:pt idx="77">
                  <c:v>31.383099549942479</c:v>
                </c:pt>
                <c:pt idx="78">
                  <c:v>32.871676985063118</c:v>
                </c:pt>
                <c:pt idx="79">
                  <c:v>33.214225568902258</c:v>
                </c:pt>
                <c:pt idx="80">
                  <c:v>32.370299310881855</c:v>
                </c:pt>
                <c:pt idx="81">
                  <c:v>33.809997594173247</c:v>
                </c:pt>
                <c:pt idx="82">
                  <c:v>34.426408282634043</c:v>
                </c:pt>
                <c:pt idx="83">
                  <c:v>35.155955985619784</c:v>
                </c:pt>
                <c:pt idx="84">
                  <c:v>36.063142172460743</c:v>
                </c:pt>
                <c:pt idx="85">
                  <c:v>36.120697655353617</c:v>
                </c:pt>
                <c:pt idx="86">
                  <c:v>36.373205354745252</c:v>
                </c:pt>
                <c:pt idx="87">
                  <c:v>37.394599958124289</c:v>
                </c:pt>
                <c:pt idx="88">
                  <c:v>38.291721082820246</c:v>
                </c:pt>
                <c:pt idx="89">
                  <c:v>38.557087566654353</c:v>
                </c:pt>
                <c:pt idx="90">
                  <c:v>39.435439540588774</c:v>
                </c:pt>
                <c:pt idx="91">
                  <c:v>39.463701729200565</c:v>
                </c:pt>
                <c:pt idx="92">
                  <c:v>42.351781057419423</c:v>
                </c:pt>
                <c:pt idx="93">
                  <c:v>43.332731041820935</c:v>
                </c:pt>
                <c:pt idx="94">
                  <c:v>43.661921286393451</c:v>
                </c:pt>
                <c:pt idx="95">
                  <c:v>46.158265288897113</c:v>
                </c:pt>
                <c:pt idx="96">
                  <c:v>47.842172127729739</c:v>
                </c:pt>
                <c:pt idx="97">
                  <c:v>49.9915011427154</c:v>
                </c:pt>
                <c:pt idx="98">
                  <c:v>51.263681831055642</c:v>
                </c:pt>
                <c:pt idx="99">
                  <c:v>52.476925133541449</c:v>
                </c:pt>
                <c:pt idx="100">
                  <c:v>53.602484613373107</c:v>
                </c:pt>
                <c:pt idx="101">
                  <c:v>54.681018950835039</c:v>
                </c:pt>
                <c:pt idx="102">
                  <c:v>55.875823987225374</c:v>
                </c:pt>
                <c:pt idx="103">
                  <c:v>56.148196112018852</c:v>
                </c:pt>
                <c:pt idx="104">
                  <c:v>56.9609056823655</c:v>
                </c:pt>
                <c:pt idx="105">
                  <c:v>57.36886394710136</c:v>
                </c:pt>
                <c:pt idx="106">
                  <c:v>57.535383553882554</c:v>
                </c:pt>
                <c:pt idx="107">
                  <c:v>58.341980455108221</c:v>
                </c:pt>
                <c:pt idx="108">
                  <c:v>59.121466786860623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59.883130976599361</c:v>
                </c:pt>
                <c:pt idx="116">
                  <c:v>60</c:v>
                </c:pt>
                <c:pt idx="117">
                  <c:v>59.921183263412232</c:v>
                </c:pt>
                <c:pt idx="118">
                  <c:v>60</c:v>
                </c:pt>
                <c:pt idx="119">
                  <c:v>60</c:v>
                </c:pt>
                <c:pt idx="120">
                  <c:v>59.942160805532666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59.835838521657578</c:v>
                </c:pt>
                <c:pt idx="125">
                  <c:v>59.724922409357262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45362</c:v>
                </c:pt>
                <c:pt idx="1">
                  <c:v>45363</c:v>
                </c:pt>
                <c:pt idx="2">
                  <c:v>45364</c:v>
                </c:pt>
                <c:pt idx="3">
                  <c:v>45365</c:v>
                </c:pt>
                <c:pt idx="4">
                  <c:v>45366</c:v>
                </c:pt>
                <c:pt idx="5">
                  <c:v>45367</c:v>
                </c:pt>
                <c:pt idx="6">
                  <c:v>45368</c:v>
                </c:pt>
                <c:pt idx="7">
                  <c:v>45369</c:v>
                </c:pt>
                <c:pt idx="8">
                  <c:v>45370</c:v>
                </c:pt>
                <c:pt idx="9">
                  <c:v>45371</c:v>
                </c:pt>
                <c:pt idx="10">
                  <c:v>45372</c:v>
                </c:pt>
                <c:pt idx="11">
                  <c:v>45373</c:v>
                </c:pt>
                <c:pt idx="12">
                  <c:v>45374</c:v>
                </c:pt>
                <c:pt idx="13">
                  <c:v>45375</c:v>
                </c:pt>
                <c:pt idx="14">
                  <c:v>45376</c:v>
                </c:pt>
                <c:pt idx="15">
                  <c:v>45377</c:v>
                </c:pt>
                <c:pt idx="16">
                  <c:v>45378</c:v>
                </c:pt>
                <c:pt idx="17">
                  <c:v>45379</c:v>
                </c:pt>
                <c:pt idx="18">
                  <c:v>45380</c:v>
                </c:pt>
                <c:pt idx="19">
                  <c:v>45381</c:v>
                </c:pt>
                <c:pt idx="20">
                  <c:v>45382</c:v>
                </c:pt>
                <c:pt idx="21">
                  <c:v>45383</c:v>
                </c:pt>
                <c:pt idx="22">
                  <c:v>45384</c:v>
                </c:pt>
                <c:pt idx="23">
                  <c:v>45385</c:v>
                </c:pt>
                <c:pt idx="24">
                  <c:v>45386</c:v>
                </c:pt>
                <c:pt idx="25">
                  <c:v>45387</c:v>
                </c:pt>
                <c:pt idx="26">
                  <c:v>45388</c:v>
                </c:pt>
                <c:pt idx="27">
                  <c:v>45389</c:v>
                </c:pt>
                <c:pt idx="28">
                  <c:v>45390</c:v>
                </c:pt>
                <c:pt idx="29">
                  <c:v>45391</c:v>
                </c:pt>
                <c:pt idx="30">
                  <c:v>45392</c:v>
                </c:pt>
                <c:pt idx="31">
                  <c:v>45393</c:v>
                </c:pt>
                <c:pt idx="32">
                  <c:v>45394</c:v>
                </c:pt>
                <c:pt idx="33">
                  <c:v>45395</c:v>
                </c:pt>
                <c:pt idx="34">
                  <c:v>45396</c:v>
                </c:pt>
                <c:pt idx="35">
                  <c:v>45397</c:v>
                </c:pt>
                <c:pt idx="36">
                  <c:v>45398</c:v>
                </c:pt>
                <c:pt idx="37">
                  <c:v>45399</c:v>
                </c:pt>
                <c:pt idx="38">
                  <c:v>45400</c:v>
                </c:pt>
                <c:pt idx="39">
                  <c:v>45401</c:v>
                </c:pt>
                <c:pt idx="40">
                  <c:v>45402</c:v>
                </c:pt>
                <c:pt idx="41">
                  <c:v>45403</c:v>
                </c:pt>
                <c:pt idx="42">
                  <c:v>45404</c:v>
                </c:pt>
                <c:pt idx="43">
                  <c:v>45405</c:v>
                </c:pt>
                <c:pt idx="44">
                  <c:v>45406</c:v>
                </c:pt>
                <c:pt idx="45">
                  <c:v>45407</c:v>
                </c:pt>
                <c:pt idx="46">
                  <c:v>45408</c:v>
                </c:pt>
                <c:pt idx="47">
                  <c:v>45409</c:v>
                </c:pt>
                <c:pt idx="48">
                  <c:v>45410</c:v>
                </c:pt>
                <c:pt idx="49">
                  <c:v>45411</c:v>
                </c:pt>
                <c:pt idx="50">
                  <c:v>45412</c:v>
                </c:pt>
                <c:pt idx="51">
                  <c:v>45413</c:v>
                </c:pt>
                <c:pt idx="52">
                  <c:v>45414</c:v>
                </c:pt>
                <c:pt idx="53">
                  <c:v>45415</c:v>
                </c:pt>
                <c:pt idx="54">
                  <c:v>45416</c:v>
                </c:pt>
                <c:pt idx="55">
                  <c:v>45417</c:v>
                </c:pt>
                <c:pt idx="56">
                  <c:v>45418</c:v>
                </c:pt>
                <c:pt idx="57">
                  <c:v>45419</c:v>
                </c:pt>
                <c:pt idx="58">
                  <c:v>45420</c:v>
                </c:pt>
                <c:pt idx="59">
                  <c:v>45421</c:v>
                </c:pt>
                <c:pt idx="60">
                  <c:v>45422</c:v>
                </c:pt>
                <c:pt idx="61">
                  <c:v>45423</c:v>
                </c:pt>
                <c:pt idx="62">
                  <c:v>45424</c:v>
                </c:pt>
                <c:pt idx="63">
                  <c:v>45425</c:v>
                </c:pt>
                <c:pt idx="64">
                  <c:v>45426</c:v>
                </c:pt>
                <c:pt idx="65">
                  <c:v>45427</c:v>
                </c:pt>
                <c:pt idx="66">
                  <c:v>45428</c:v>
                </c:pt>
                <c:pt idx="67">
                  <c:v>45429</c:v>
                </c:pt>
                <c:pt idx="68">
                  <c:v>45430</c:v>
                </c:pt>
                <c:pt idx="69">
                  <c:v>45431</c:v>
                </c:pt>
                <c:pt idx="70">
                  <c:v>45432</c:v>
                </c:pt>
                <c:pt idx="71">
                  <c:v>45433</c:v>
                </c:pt>
                <c:pt idx="72">
                  <c:v>45434</c:v>
                </c:pt>
                <c:pt idx="73">
                  <c:v>45435</c:v>
                </c:pt>
                <c:pt idx="74">
                  <c:v>45436</c:v>
                </c:pt>
                <c:pt idx="75">
                  <c:v>45437</c:v>
                </c:pt>
                <c:pt idx="76">
                  <c:v>45438</c:v>
                </c:pt>
                <c:pt idx="77">
                  <c:v>45439</c:v>
                </c:pt>
                <c:pt idx="78">
                  <c:v>45440</c:v>
                </c:pt>
                <c:pt idx="79">
                  <c:v>45441</c:v>
                </c:pt>
                <c:pt idx="80">
                  <c:v>45442</c:v>
                </c:pt>
                <c:pt idx="81">
                  <c:v>45443</c:v>
                </c:pt>
                <c:pt idx="82">
                  <c:v>45444</c:v>
                </c:pt>
                <c:pt idx="83">
                  <c:v>45445</c:v>
                </c:pt>
                <c:pt idx="84">
                  <c:v>45446</c:v>
                </c:pt>
                <c:pt idx="85">
                  <c:v>45447</c:v>
                </c:pt>
                <c:pt idx="86">
                  <c:v>45448</c:v>
                </c:pt>
                <c:pt idx="87">
                  <c:v>45449</c:v>
                </c:pt>
                <c:pt idx="88">
                  <c:v>45450</c:v>
                </c:pt>
                <c:pt idx="89">
                  <c:v>45451</c:v>
                </c:pt>
                <c:pt idx="90">
                  <c:v>45452</c:v>
                </c:pt>
                <c:pt idx="91">
                  <c:v>45453</c:v>
                </c:pt>
                <c:pt idx="92">
                  <c:v>45454</c:v>
                </c:pt>
                <c:pt idx="93">
                  <c:v>45455</c:v>
                </c:pt>
                <c:pt idx="94">
                  <c:v>45456</c:v>
                </c:pt>
                <c:pt idx="95">
                  <c:v>45457</c:v>
                </c:pt>
                <c:pt idx="96">
                  <c:v>45458</c:v>
                </c:pt>
                <c:pt idx="97">
                  <c:v>45459</c:v>
                </c:pt>
                <c:pt idx="98">
                  <c:v>45460</c:v>
                </c:pt>
                <c:pt idx="99">
                  <c:v>45461</c:v>
                </c:pt>
                <c:pt idx="100">
                  <c:v>45462</c:v>
                </c:pt>
                <c:pt idx="101">
                  <c:v>45463</c:v>
                </c:pt>
                <c:pt idx="102">
                  <c:v>45464</c:v>
                </c:pt>
                <c:pt idx="103">
                  <c:v>45465</c:v>
                </c:pt>
                <c:pt idx="104">
                  <c:v>45466</c:v>
                </c:pt>
                <c:pt idx="105">
                  <c:v>45467</c:v>
                </c:pt>
                <c:pt idx="106">
                  <c:v>45468</c:v>
                </c:pt>
                <c:pt idx="107">
                  <c:v>45469</c:v>
                </c:pt>
                <c:pt idx="108">
                  <c:v>45470</c:v>
                </c:pt>
                <c:pt idx="109">
                  <c:v>45471</c:v>
                </c:pt>
                <c:pt idx="110">
                  <c:v>45472</c:v>
                </c:pt>
                <c:pt idx="111">
                  <c:v>45473</c:v>
                </c:pt>
                <c:pt idx="112">
                  <c:v>45474</c:v>
                </c:pt>
                <c:pt idx="113">
                  <c:v>45475</c:v>
                </c:pt>
                <c:pt idx="114">
                  <c:v>45476</c:v>
                </c:pt>
                <c:pt idx="115">
                  <c:v>45477</c:v>
                </c:pt>
                <c:pt idx="116">
                  <c:v>45478</c:v>
                </c:pt>
                <c:pt idx="117">
                  <c:v>45479</c:v>
                </c:pt>
                <c:pt idx="118">
                  <c:v>45480</c:v>
                </c:pt>
                <c:pt idx="119">
                  <c:v>45481</c:v>
                </c:pt>
                <c:pt idx="120">
                  <c:v>45482</c:v>
                </c:pt>
                <c:pt idx="121">
                  <c:v>45483</c:v>
                </c:pt>
                <c:pt idx="122">
                  <c:v>45484</c:v>
                </c:pt>
                <c:pt idx="123">
                  <c:v>45485</c:v>
                </c:pt>
                <c:pt idx="124">
                  <c:v>45486</c:v>
                </c:pt>
                <c:pt idx="125">
                  <c:v>45487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45362</c:v>
                </c:pt>
                <c:pt idx="1">
                  <c:v>45363</c:v>
                </c:pt>
                <c:pt idx="2">
                  <c:v>45364</c:v>
                </c:pt>
                <c:pt idx="3">
                  <c:v>45365</c:v>
                </c:pt>
                <c:pt idx="4">
                  <c:v>45366</c:v>
                </c:pt>
                <c:pt idx="5">
                  <c:v>45367</c:v>
                </c:pt>
                <c:pt idx="6">
                  <c:v>45368</c:v>
                </c:pt>
                <c:pt idx="7">
                  <c:v>45369</c:v>
                </c:pt>
                <c:pt idx="8">
                  <c:v>45370</c:v>
                </c:pt>
                <c:pt idx="9">
                  <c:v>45371</c:v>
                </c:pt>
                <c:pt idx="10">
                  <c:v>45372</c:v>
                </c:pt>
                <c:pt idx="11">
                  <c:v>45373</c:v>
                </c:pt>
                <c:pt idx="12">
                  <c:v>45374</c:v>
                </c:pt>
                <c:pt idx="13">
                  <c:v>45375</c:v>
                </c:pt>
                <c:pt idx="14">
                  <c:v>45376</c:v>
                </c:pt>
                <c:pt idx="15">
                  <c:v>45377</c:v>
                </c:pt>
                <c:pt idx="16">
                  <c:v>45378</c:v>
                </c:pt>
                <c:pt idx="17">
                  <c:v>45379</c:v>
                </c:pt>
                <c:pt idx="18">
                  <c:v>45380</c:v>
                </c:pt>
                <c:pt idx="19">
                  <c:v>45381</c:v>
                </c:pt>
                <c:pt idx="20">
                  <c:v>45382</c:v>
                </c:pt>
                <c:pt idx="21">
                  <c:v>45383</c:v>
                </c:pt>
                <c:pt idx="22">
                  <c:v>45384</c:v>
                </c:pt>
                <c:pt idx="23">
                  <c:v>45385</c:v>
                </c:pt>
                <c:pt idx="24">
                  <c:v>45386</c:v>
                </c:pt>
                <c:pt idx="25">
                  <c:v>45387</c:v>
                </c:pt>
                <c:pt idx="26">
                  <c:v>45388</c:v>
                </c:pt>
                <c:pt idx="27">
                  <c:v>45389</c:v>
                </c:pt>
                <c:pt idx="28">
                  <c:v>45390</c:v>
                </c:pt>
                <c:pt idx="29">
                  <c:v>45391</c:v>
                </c:pt>
                <c:pt idx="30">
                  <c:v>45392</c:v>
                </c:pt>
                <c:pt idx="31">
                  <c:v>45393</c:v>
                </c:pt>
                <c:pt idx="32">
                  <c:v>45394</c:v>
                </c:pt>
                <c:pt idx="33">
                  <c:v>45395</c:v>
                </c:pt>
                <c:pt idx="34">
                  <c:v>45396</c:v>
                </c:pt>
                <c:pt idx="35">
                  <c:v>45397</c:v>
                </c:pt>
                <c:pt idx="36">
                  <c:v>45398</c:v>
                </c:pt>
                <c:pt idx="37">
                  <c:v>45399</c:v>
                </c:pt>
                <c:pt idx="38">
                  <c:v>45400</c:v>
                </c:pt>
                <c:pt idx="39">
                  <c:v>45401</c:v>
                </c:pt>
                <c:pt idx="40">
                  <c:v>45402</c:v>
                </c:pt>
                <c:pt idx="41">
                  <c:v>45403</c:v>
                </c:pt>
                <c:pt idx="42">
                  <c:v>45404</c:v>
                </c:pt>
                <c:pt idx="43">
                  <c:v>45405</c:v>
                </c:pt>
                <c:pt idx="44">
                  <c:v>45406</c:v>
                </c:pt>
                <c:pt idx="45">
                  <c:v>45407</c:v>
                </c:pt>
                <c:pt idx="46">
                  <c:v>45408</c:v>
                </c:pt>
                <c:pt idx="47">
                  <c:v>45409</c:v>
                </c:pt>
                <c:pt idx="48">
                  <c:v>45410</c:v>
                </c:pt>
                <c:pt idx="49">
                  <c:v>45411</c:v>
                </c:pt>
                <c:pt idx="50">
                  <c:v>45412</c:v>
                </c:pt>
                <c:pt idx="51">
                  <c:v>45413</c:v>
                </c:pt>
                <c:pt idx="52">
                  <c:v>45414</c:v>
                </c:pt>
                <c:pt idx="53">
                  <c:v>45415</c:v>
                </c:pt>
                <c:pt idx="54">
                  <c:v>45416</c:v>
                </c:pt>
                <c:pt idx="55">
                  <c:v>45417</c:v>
                </c:pt>
                <c:pt idx="56">
                  <c:v>45418</c:v>
                </c:pt>
                <c:pt idx="57">
                  <c:v>45419</c:v>
                </c:pt>
                <c:pt idx="58">
                  <c:v>45420</c:v>
                </c:pt>
                <c:pt idx="59">
                  <c:v>45421</c:v>
                </c:pt>
                <c:pt idx="60">
                  <c:v>45422</c:v>
                </c:pt>
                <c:pt idx="61">
                  <c:v>45423</c:v>
                </c:pt>
                <c:pt idx="62">
                  <c:v>45424</c:v>
                </c:pt>
                <c:pt idx="63">
                  <c:v>45425</c:v>
                </c:pt>
                <c:pt idx="64">
                  <c:v>45426</c:v>
                </c:pt>
                <c:pt idx="65">
                  <c:v>45427</c:v>
                </c:pt>
                <c:pt idx="66">
                  <c:v>45428</c:v>
                </c:pt>
                <c:pt idx="67">
                  <c:v>45429</c:v>
                </c:pt>
                <c:pt idx="68">
                  <c:v>45430</c:v>
                </c:pt>
                <c:pt idx="69">
                  <c:v>45431</c:v>
                </c:pt>
                <c:pt idx="70">
                  <c:v>45432</c:v>
                </c:pt>
                <c:pt idx="71">
                  <c:v>45433</c:v>
                </c:pt>
                <c:pt idx="72">
                  <c:v>45434</c:v>
                </c:pt>
                <c:pt idx="73">
                  <c:v>45435</c:v>
                </c:pt>
                <c:pt idx="74">
                  <c:v>45436</c:v>
                </c:pt>
                <c:pt idx="75">
                  <c:v>45437</c:v>
                </c:pt>
                <c:pt idx="76">
                  <c:v>45438</c:v>
                </c:pt>
                <c:pt idx="77">
                  <c:v>45439</c:v>
                </c:pt>
                <c:pt idx="78">
                  <c:v>45440</c:v>
                </c:pt>
                <c:pt idx="79">
                  <c:v>45441</c:v>
                </c:pt>
                <c:pt idx="80">
                  <c:v>45442</c:v>
                </c:pt>
                <c:pt idx="81">
                  <c:v>45443</c:v>
                </c:pt>
                <c:pt idx="82">
                  <c:v>45444</c:v>
                </c:pt>
                <c:pt idx="83">
                  <c:v>45445</c:v>
                </c:pt>
                <c:pt idx="84">
                  <c:v>45446</c:v>
                </c:pt>
                <c:pt idx="85">
                  <c:v>45447</c:v>
                </c:pt>
                <c:pt idx="86">
                  <c:v>45448</c:v>
                </c:pt>
                <c:pt idx="87">
                  <c:v>45449</c:v>
                </c:pt>
                <c:pt idx="88">
                  <c:v>45450</c:v>
                </c:pt>
                <c:pt idx="89">
                  <c:v>45451</c:v>
                </c:pt>
                <c:pt idx="90">
                  <c:v>45452</c:v>
                </c:pt>
                <c:pt idx="91">
                  <c:v>45453</c:v>
                </c:pt>
                <c:pt idx="92">
                  <c:v>45454</c:v>
                </c:pt>
                <c:pt idx="93">
                  <c:v>45455</c:v>
                </c:pt>
                <c:pt idx="94">
                  <c:v>45456</c:v>
                </c:pt>
                <c:pt idx="95">
                  <c:v>45457</c:v>
                </c:pt>
                <c:pt idx="96">
                  <c:v>45458</c:v>
                </c:pt>
                <c:pt idx="97">
                  <c:v>45459</c:v>
                </c:pt>
                <c:pt idx="98">
                  <c:v>45460</c:v>
                </c:pt>
                <c:pt idx="99">
                  <c:v>45461</c:v>
                </c:pt>
                <c:pt idx="100">
                  <c:v>45462</c:v>
                </c:pt>
                <c:pt idx="101">
                  <c:v>45463</c:v>
                </c:pt>
                <c:pt idx="102">
                  <c:v>45464</c:v>
                </c:pt>
                <c:pt idx="103">
                  <c:v>45465</c:v>
                </c:pt>
                <c:pt idx="104">
                  <c:v>45466</c:v>
                </c:pt>
                <c:pt idx="105">
                  <c:v>45467</c:v>
                </c:pt>
                <c:pt idx="106">
                  <c:v>45468</c:v>
                </c:pt>
                <c:pt idx="107">
                  <c:v>45469</c:v>
                </c:pt>
                <c:pt idx="108">
                  <c:v>45470</c:v>
                </c:pt>
                <c:pt idx="109">
                  <c:v>45471</c:v>
                </c:pt>
                <c:pt idx="110">
                  <c:v>45472</c:v>
                </c:pt>
                <c:pt idx="111">
                  <c:v>45473</c:v>
                </c:pt>
                <c:pt idx="112">
                  <c:v>45474</c:v>
                </c:pt>
                <c:pt idx="113">
                  <c:v>45475</c:v>
                </c:pt>
                <c:pt idx="114">
                  <c:v>45476</c:v>
                </c:pt>
                <c:pt idx="115">
                  <c:v>45477</c:v>
                </c:pt>
                <c:pt idx="116">
                  <c:v>45478</c:v>
                </c:pt>
                <c:pt idx="117">
                  <c:v>45479</c:v>
                </c:pt>
                <c:pt idx="118">
                  <c:v>45480</c:v>
                </c:pt>
                <c:pt idx="119">
                  <c:v>45481</c:v>
                </c:pt>
                <c:pt idx="120">
                  <c:v>45482</c:v>
                </c:pt>
                <c:pt idx="121">
                  <c:v>45483</c:v>
                </c:pt>
                <c:pt idx="122">
                  <c:v>45484</c:v>
                </c:pt>
                <c:pt idx="123">
                  <c:v>45485</c:v>
                </c:pt>
                <c:pt idx="124">
                  <c:v>45486</c:v>
                </c:pt>
                <c:pt idx="125">
                  <c:v>45487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1.3221597058755563</c:v>
                </c:pt>
                <c:pt idx="110">
                  <c:v>2.2817906831921775</c:v>
                </c:pt>
                <c:pt idx="111">
                  <c:v>2.5478945372663588</c:v>
                </c:pt>
                <c:pt idx="112">
                  <c:v>3.1137602891548539</c:v>
                </c:pt>
                <c:pt idx="113">
                  <c:v>3.669224372494206</c:v>
                </c:pt>
                <c:pt idx="114">
                  <c:v>3.9281088968587454</c:v>
                </c:pt>
                <c:pt idx="115">
                  <c:v>3.9281088968587454</c:v>
                </c:pt>
                <c:pt idx="116">
                  <c:v>5.9211956669006227</c:v>
                </c:pt>
                <c:pt idx="117">
                  <c:v>5.9211956669006227</c:v>
                </c:pt>
                <c:pt idx="118">
                  <c:v>6.5625223749256776</c:v>
                </c:pt>
                <c:pt idx="119">
                  <c:v>6.7296456901600479</c:v>
                </c:pt>
                <c:pt idx="120">
                  <c:v>6.7296456901600479</c:v>
                </c:pt>
                <c:pt idx="121">
                  <c:v>7.2544637684950501</c:v>
                </c:pt>
                <c:pt idx="122">
                  <c:v>7.290588322716232</c:v>
                </c:pt>
                <c:pt idx="123">
                  <c:v>7.5314145969785287</c:v>
                </c:pt>
                <c:pt idx="124">
                  <c:v>7.5314145969785287</c:v>
                </c:pt>
                <c:pt idx="125">
                  <c:v>7.5314145969785287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45362</c:v>
                </c:pt>
                <c:pt idx="1">
                  <c:v>45363</c:v>
                </c:pt>
                <c:pt idx="2">
                  <c:v>45364</c:v>
                </c:pt>
                <c:pt idx="3">
                  <c:v>45365</c:v>
                </c:pt>
                <c:pt idx="4">
                  <c:v>45366</c:v>
                </c:pt>
                <c:pt idx="5">
                  <c:v>45367</c:v>
                </c:pt>
                <c:pt idx="6">
                  <c:v>45368</c:v>
                </c:pt>
                <c:pt idx="7">
                  <c:v>45369</c:v>
                </c:pt>
                <c:pt idx="8">
                  <c:v>45370</c:v>
                </c:pt>
                <c:pt idx="9">
                  <c:v>45371</c:v>
                </c:pt>
                <c:pt idx="10">
                  <c:v>45372</c:v>
                </c:pt>
                <c:pt idx="11">
                  <c:v>45373</c:v>
                </c:pt>
                <c:pt idx="12">
                  <c:v>45374</c:v>
                </c:pt>
                <c:pt idx="13">
                  <c:v>45375</c:v>
                </c:pt>
                <c:pt idx="14">
                  <c:v>45376</c:v>
                </c:pt>
                <c:pt idx="15">
                  <c:v>45377</c:v>
                </c:pt>
                <c:pt idx="16">
                  <c:v>45378</c:v>
                </c:pt>
                <c:pt idx="17">
                  <c:v>45379</c:v>
                </c:pt>
                <c:pt idx="18">
                  <c:v>45380</c:v>
                </c:pt>
                <c:pt idx="19">
                  <c:v>45381</c:v>
                </c:pt>
                <c:pt idx="20">
                  <c:v>45382</c:v>
                </c:pt>
                <c:pt idx="21">
                  <c:v>45383</c:v>
                </c:pt>
                <c:pt idx="22">
                  <c:v>45384</c:v>
                </c:pt>
                <c:pt idx="23">
                  <c:v>45385</c:v>
                </c:pt>
                <c:pt idx="24">
                  <c:v>45386</c:v>
                </c:pt>
                <c:pt idx="25">
                  <c:v>45387</c:v>
                </c:pt>
                <c:pt idx="26">
                  <c:v>45388</c:v>
                </c:pt>
                <c:pt idx="27">
                  <c:v>45389</c:v>
                </c:pt>
                <c:pt idx="28">
                  <c:v>45390</c:v>
                </c:pt>
                <c:pt idx="29">
                  <c:v>45391</c:v>
                </c:pt>
                <c:pt idx="30">
                  <c:v>45392</c:v>
                </c:pt>
                <c:pt idx="31">
                  <c:v>45393</c:v>
                </c:pt>
                <c:pt idx="32">
                  <c:v>45394</c:v>
                </c:pt>
                <c:pt idx="33">
                  <c:v>45395</c:v>
                </c:pt>
                <c:pt idx="34">
                  <c:v>45396</c:v>
                </c:pt>
                <c:pt idx="35">
                  <c:v>45397</c:v>
                </c:pt>
                <c:pt idx="36">
                  <c:v>45398</c:v>
                </c:pt>
                <c:pt idx="37">
                  <c:v>45399</c:v>
                </c:pt>
                <c:pt idx="38">
                  <c:v>45400</c:v>
                </c:pt>
                <c:pt idx="39">
                  <c:v>45401</c:v>
                </c:pt>
                <c:pt idx="40">
                  <c:v>45402</c:v>
                </c:pt>
                <c:pt idx="41">
                  <c:v>45403</c:v>
                </c:pt>
                <c:pt idx="42">
                  <c:v>45404</c:v>
                </c:pt>
                <c:pt idx="43">
                  <c:v>45405</c:v>
                </c:pt>
                <c:pt idx="44">
                  <c:v>45406</c:v>
                </c:pt>
                <c:pt idx="45">
                  <c:v>45407</c:v>
                </c:pt>
                <c:pt idx="46">
                  <c:v>45408</c:v>
                </c:pt>
                <c:pt idx="47">
                  <c:v>45409</c:v>
                </c:pt>
                <c:pt idx="48">
                  <c:v>45410</c:v>
                </c:pt>
                <c:pt idx="49">
                  <c:v>45411</c:v>
                </c:pt>
                <c:pt idx="50">
                  <c:v>45412</c:v>
                </c:pt>
                <c:pt idx="51">
                  <c:v>45413</c:v>
                </c:pt>
                <c:pt idx="52">
                  <c:v>45414</c:v>
                </c:pt>
                <c:pt idx="53">
                  <c:v>45415</c:v>
                </c:pt>
                <c:pt idx="54">
                  <c:v>45416</c:v>
                </c:pt>
                <c:pt idx="55">
                  <c:v>45417</c:v>
                </c:pt>
                <c:pt idx="56">
                  <c:v>45418</c:v>
                </c:pt>
                <c:pt idx="57">
                  <c:v>45419</c:v>
                </c:pt>
                <c:pt idx="58">
                  <c:v>45420</c:v>
                </c:pt>
                <c:pt idx="59">
                  <c:v>45421</c:v>
                </c:pt>
                <c:pt idx="60">
                  <c:v>45422</c:v>
                </c:pt>
                <c:pt idx="61">
                  <c:v>45423</c:v>
                </c:pt>
                <c:pt idx="62">
                  <c:v>45424</c:v>
                </c:pt>
                <c:pt idx="63">
                  <c:v>45425</c:v>
                </c:pt>
                <c:pt idx="64">
                  <c:v>45426</c:v>
                </c:pt>
                <c:pt idx="65">
                  <c:v>45427</c:v>
                </c:pt>
                <c:pt idx="66">
                  <c:v>45428</c:v>
                </c:pt>
                <c:pt idx="67">
                  <c:v>45429</c:v>
                </c:pt>
                <c:pt idx="68">
                  <c:v>45430</c:v>
                </c:pt>
                <c:pt idx="69">
                  <c:v>45431</c:v>
                </c:pt>
                <c:pt idx="70">
                  <c:v>45432</c:v>
                </c:pt>
                <c:pt idx="71">
                  <c:v>45433</c:v>
                </c:pt>
                <c:pt idx="72">
                  <c:v>45434</c:v>
                </c:pt>
                <c:pt idx="73">
                  <c:v>45435</c:v>
                </c:pt>
                <c:pt idx="74">
                  <c:v>45436</c:v>
                </c:pt>
                <c:pt idx="75">
                  <c:v>45437</c:v>
                </c:pt>
                <c:pt idx="76">
                  <c:v>45438</c:v>
                </c:pt>
                <c:pt idx="77">
                  <c:v>45439</c:v>
                </c:pt>
                <c:pt idx="78">
                  <c:v>45440</c:v>
                </c:pt>
                <c:pt idx="79">
                  <c:v>45441</c:v>
                </c:pt>
                <c:pt idx="80">
                  <c:v>45442</c:v>
                </c:pt>
                <c:pt idx="81">
                  <c:v>45443</c:v>
                </c:pt>
                <c:pt idx="82">
                  <c:v>45444</c:v>
                </c:pt>
                <c:pt idx="83">
                  <c:v>45445</c:v>
                </c:pt>
                <c:pt idx="84">
                  <c:v>45446</c:v>
                </c:pt>
                <c:pt idx="85">
                  <c:v>45447</c:v>
                </c:pt>
                <c:pt idx="86">
                  <c:v>45448</c:v>
                </c:pt>
                <c:pt idx="87">
                  <c:v>45449</c:v>
                </c:pt>
                <c:pt idx="88">
                  <c:v>45450</c:v>
                </c:pt>
                <c:pt idx="89">
                  <c:v>45451</c:v>
                </c:pt>
                <c:pt idx="90">
                  <c:v>45452</c:v>
                </c:pt>
                <c:pt idx="91">
                  <c:v>45453</c:v>
                </c:pt>
                <c:pt idx="92">
                  <c:v>45454</c:v>
                </c:pt>
                <c:pt idx="93">
                  <c:v>45455</c:v>
                </c:pt>
                <c:pt idx="94">
                  <c:v>45456</c:v>
                </c:pt>
                <c:pt idx="95">
                  <c:v>45457</c:v>
                </c:pt>
                <c:pt idx="96">
                  <c:v>45458</c:v>
                </c:pt>
                <c:pt idx="97">
                  <c:v>45459</c:v>
                </c:pt>
                <c:pt idx="98">
                  <c:v>45460</c:v>
                </c:pt>
                <c:pt idx="99">
                  <c:v>45461</c:v>
                </c:pt>
                <c:pt idx="100">
                  <c:v>45462</c:v>
                </c:pt>
                <c:pt idx="101">
                  <c:v>45463</c:v>
                </c:pt>
                <c:pt idx="102">
                  <c:v>45464</c:v>
                </c:pt>
                <c:pt idx="103">
                  <c:v>45465</c:v>
                </c:pt>
                <c:pt idx="104">
                  <c:v>45466</c:v>
                </c:pt>
                <c:pt idx="105">
                  <c:v>45467</c:v>
                </c:pt>
                <c:pt idx="106">
                  <c:v>45468</c:v>
                </c:pt>
                <c:pt idx="107">
                  <c:v>45469</c:v>
                </c:pt>
                <c:pt idx="108">
                  <c:v>45470</c:v>
                </c:pt>
                <c:pt idx="109">
                  <c:v>45471</c:v>
                </c:pt>
                <c:pt idx="110">
                  <c:v>45472</c:v>
                </c:pt>
                <c:pt idx="111">
                  <c:v>45473</c:v>
                </c:pt>
                <c:pt idx="112">
                  <c:v>45474</c:v>
                </c:pt>
                <c:pt idx="113">
                  <c:v>45475</c:v>
                </c:pt>
                <c:pt idx="114">
                  <c:v>45476</c:v>
                </c:pt>
                <c:pt idx="115">
                  <c:v>45477</c:v>
                </c:pt>
                <c:pt idx="116">
                  <c:v>45478</c:v>
                </c:pt>
                <c:pt idx="117">
                  <c:v>45479</c:v>
                </c:pt>
                <c:pt idx="118">
                  <c:v>45480</c:v>
                </c:pt>
                <c:pt idx="119">
                  <c:v>45481</c:v>
                </c:pt>
                <c:pt idx="120">
                  <c:v>45482</c:v>
                </c:pt>
                <c:pt idx="121">
                  <c:v>45483</c:v>
                </c:pt>
                <c:pt idx="122">
                  <c:v>45484</c:v>
                </c:pt>
                <c:pt idx="123">
                  <c:v>45485</c:v>
                </c:pt>
                <c:pt idx="124">
                  <c:v>45486</c:v>
                </c:pt>
                <c:pt idx="125">
                  <c:v>45487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9.2155379886740708E-3</c:v>
                </c:pt>
                <c:pt idx="1">
                  <c:v>1.27437653785961E-2</c:v>
                </c:pt>
                <c:pt idx="2">
                  <c:v>1.7480833120671498E-2</c:v>
                </c:pt>
                <c:pt idx="3">
                  <c:v>2.3982007821021899E-2</c:v>
                </c:pt>
                <c:pt idx="4">
                  <c:v>3.2834312199464498E-2</c:v>
                </c:pt>
                <c:pt idx="5">
                  <c:v>4.4637661536675102E-2</c:v>
                </c:pt>
                <c:pt idx="6">
                  <c:v>5.9115349366896303E-2</c:v>
                </c:pt>
                <c:pt idx="7">
                  <c:v>7.9229687240101904E-2</c:v>
                </c:pt>
                <c:pt idx="8">
                  <c:v>0.10699168648193599</c:v>
                </c:pt>
                <c:pt idx="9">
                  <c:v>0.14190635335179499</c:v>
                </c:pt>
                <c:pt idx="10">
                  <c:v>0.184504597854935</c:v>
                </c:pt>
                <c:pt idx="11">
                  <c:v>0.234189501808798</c:v>
                </c:pt>
                <c:pt idx="12">
                  <c:v>0.29300555265829298</c:v>
                </c:pt>
                <c:pt idx="13">
                  <c:v>0.36111119351237903</c:v>
                </c:pt>
                <c:pt idx="14">
                  <c:v>0.431152436292563</c:v>
                </c:pt>
                <c:pt idx="15">
                  <c:v>0.50866345460354601</c:v>
                </c:pt>
                <c:pt idx="16">
                  <c:v>0.58815754722287805</c:v>
                </c:pt>
                <c:pt idx="17">
                  <c:v>0.66302737334752004</c:v>
                </c:pt>
                <c:pt idx="18">
                  <c:v>0.73081565670925597</c:v>
                </c:pt>
                <c:pt idx="19">
                  <c:v>0.78603009292834802</c:v>
                </c:pt>
                <c:pt idx="20">
                  <c:v>0.83080627537783402</c:v>
                </c:pt>
                <c:pt idx="21">
                  <c:v>0.86914975287218099</c:v>
                </c:pt>
                <c:pt idx="22">
                  <c:v>0.89905481087168904</c:v>
                </c:pt>
                <c:pt idx="23">
                  <c:v>0.92192412310074101</c:v>
                </c:pt>
                <c:pt idx="24">
                  <c:v>0.93967152650516605</c:v>
                </c:pt>
                <c:pt idx="25">
                  <c:v>0.95372513705263096</c:v>
                </c:pt>
                <c:pt idx="26">
                  <c:v>0.96455239457563602</c:v>
                </c:pt>
                <c:pt idx="27">
                  <c:v>0.97293745822241195</c:v>
                </c:pt>
                <c:pt idx="28">
                  <c:v>0.97913554006177195</c:v>
                </c:pt>
                <c:pt idx="29">
                  <c:v>0.98359128053568301</c:v>
                </c:pt>
                <c:pt idx="30">
                  <c:v>0.98717558238755498</c:v>
                </c:pt>
                <c:pt idx="31">
                  <c:v>0.989950881816545</c:v>
                </c:pt>
                <c:pt idx="32">
                  <c:v>0.99220600323304797</c:v>
                </c:pt>
                <c:pt idx="33">
                  <c:v>0.99390672537444102</c:v>
                </c:pt>
                <c:pt idx="34">
                  <c:v>0.99533520106854501</c:v>
                </c:pt>
                <c:pt idx="35">
                  <c:v>0.99640090233191503</c:v>
                </c:pt>
                <c:pt idx="36">
                  <c:v>0.99723712214013804</c:v>
                </c:pt>
                <c:pt idx="37">
                  <c:v>0.99784682573661698</c:v>
                </c:pt>
                <c:pt idx="38">
                  <c:v>0.99832629088382197</c:v>
                </c:pt>
                <c:pt idx="39">
                  <c:v>0.99870970907930301</c:v>
                </c:pt>
                <c:pt idx="40">
                  <c:v>0.99898588701733704</c:v>
                </c:pt>
                <c:pt idx="41">
                  <c:v>0.99919983685437697</c:v>
                </c:pt>
                <c:pt idx="42">
                  <c:v>0.99937654696079103</c:v>
                </c:pt>
                <c:pt idx="43">
                  <c:v>0.99950805658564601</c:v>
                </c:pt>
                <c:pt idx="44">
                  <c:v>0.99961639675578495</c:v>
                </c:pt>
                <c:pt idx="45">
                  <c:v>0.999701840115649</c:v>
                </c:pt>
                <c:pt idx="46">
                  <c:v>0.999768945566612</c:v>
                </c:pt>
                <c:pt idx="47">
                  <c:v>0.99982208178899401</c:v>
                </c:pt>
                <c:pt idx="48">
                  <c:v>0.99985909871032996</c:v>
                </c:pt>
                <c:pt idx="49">
                  <c:v>0.99988776234137</c:v>
                </c:pt>
                <c:pt idx="50">
                  <c:v>0.99990991283650199</c:v>
                </c:pt>
                <c:pt idx="51">
                  <c:v>0.99992787526392601</c:v>
                </c:pt>
                <c:pt idx="52">
                  <c:v>0.99994219229339398</c:v>
                </c:pt>
                <c:pt idx="53">
                  <c:v>0.99995420325425999</c:v>
                </c:pt>
                <c:pt idx="54">
                  <c:v>0.99996369283698605</c:v>
                </c:pt>
                <c:pt idx="55">
                  <c:v>0.99997171398736495</c:v>
                </c:pt>
                <c:pt idx="56">
                  <c:v>0.99997775046336801</c:v>
                </c:pt>
                <c:pt idx="57">
                  <c:v>0.99998209476537203</c:v>
                </c:pt>
                <c:pt idx="58">
                  <c:v>0.99998563689005604</c:v>
                </c:pt>
                <c:pt idx="59">
                  <c:v>0.99998844758277505</c:v>
                </c:pt>
                <c:pt idx="60">
                  <c:v>0.99999077604013198</c:v>
                </c:pt>
                <c:pt idx="61">
                  <c:v>0.999992691690057</c:v>
                </c:pt>
                <c:pt idx="62">
                  <c:v>0.99999412762154005</c:v>
                </c:pt>
                <c:pt idx="63">
                  <c:v>0.99999526914443204</c:v>
                </c:pt>
                <c:pt idx="64">
                  <c:v>0.99999615528394503</c:v>
                </c:pt>
                <c:pt idx="65">
                  <c:v>0.99999691255288004</c:v>
                </c:pt>
                <c:pt idx="66">
                  <c:v>0.99999747210716705</c:v>
                </c:pt>
                <c:pt idx="67">
                  <c:v>0.99999791999190901</c:v>
                </c:pt>
                <c:pt idx="68">
                  <c:v>0.99999830014466295</c:v>
                </c:pt>
                <c:pt idx="69">
                  <c:v>0.99999861293066705</c:v>
                </c:pt>
                <c:pt idx="70">
                  <c:v>0.99999886168624397</c:v>
                </c:pt>
                <c:pt idx="71">
                  <c:v>0.99999904922246496</c:v>
                </c:pt>
                <c:pt idx="72">
                  <c:v>0.99999921708339001</c:v>
                </c:pt>
                <c:pt idx="73">
                  <c:v>0.99999935221550496</c:v>
                </c:pt>
                <c:pt idx="74">
                  <c:v>0.99999945916037702</c:v>
                </c:pt>
                <c:pt idx="75">
                  <c:v>0.99999955030605203</c:v>
                </c:pt>
                <c:pt idx="76">
                  <c:v>0.99999962523706498</c:v>
                </c:pt>
                <c:pt idx="77">
                  <c:v>0.99999968587581201</c:v>
                </c:pt>
                <c:pt idx="78">
                  <c:v>0.99999973776055695</c:v>
                </c:pt>
                <c:pt idx="79">
                  <c:v>0.99999977892779002</c:v>
                </c:pt>
                <c:pt idx="80">
                  <c:v>0.99999981383603698</c:v>
                </c:pt>
                <c:pt idx="81">
                  <c:v>0.99999984355430105</c:v>
                </c:pt>
                <c:pt idx="82">
                  <c:v>0.99999986761950899</c:v>
                </c:pt>
                <c:pt idx="83">
                  <c:v>0.99999988725260602</c:v>
                </c:pt>
                <c:pt idx="84">
                  <c:v>0.99999990361267299</c:v>
                </c:pt>
                <c:pt idx="85">
                  <c:v>0.99999991746148897</c:v>
                </c:pt>
                <c:pt idx="86">
                  <c:v>0.99999992881093203</c:v>
                </c:pt>
                <c:pt idx="87">
                  <c:v>0.99999993888182803</c:v>
                </c:pt>
                <c:pt idx="88">
                  <c:v>0.99999994813279003</c:v>
                </c:pt>
                <c:pt idx="89">
                  <c:v>0.99999995618427895</c:v>
                </c:pt>
                <c:pt idx="90">
                  <c:v>0.99999996298591198</c:v>
                </c:pt>
                <c:pt idx="91">
                  <c:v>0.99999996858330598</c:v>
                </c:pt>
                <c:pt idx="92">
                  <c:v>0.999999973389045</c:v>
                </c:pt>
                <c:pt idx="93">
                  <c:v>0.99999997705042798</c:v>
                </c:pt>
                <c:pt idx="94">
                  <c:v>0.999999980362549</c:v>
                </c:pt>
                <c:pt idx="95">
                  <c:v>0.99999998323545303</c:v>
                </c:pt>
                <c:pt idx="96">
                  <c:v>0.99999998547784397</c:v>
                </c:pt>
                <c:pt idx="97">
                  <c:v>0.99999998724368799</c:v>
                </c:pt>
                <c:pt idx="98">
                  <c:v>0.99999998890574504</c:v>
                </c:pt>
                <c:pt idx="99">
                  <c:v>0.99999999033106102</c:v>
                </c:pt>
                <c:pt idx="100">
                  <c:v>0.99999999158481201</c:v>
                </c:pt>
                <c:pt idx="101">
                  <c:v>0.999999992694384</c:v>
                </c:pt>
                <c:pt idx="102">
                  <c:v>0.99999999360023495</c:v>
                </c:pt>
                <c:pt idx="103">
                  <c:v>0.99999999440163201</c:v>
                </c:pt>
                <c:pt idx="104">
                  <c:v>0.99999999513455695</c:v>
                </c:pt>
                <c:pt idx="105">
                  <c:v>0.99999999576544796</c:v>
                </c:pt>
                <c:pt idx="106">
                  <c:v>0.99999999633409797</c:v>
                </c:pt>
                <c:pt idx="107">
                  <c:v>0.99999999679158202</c:v>
                </c:pt>
                <c:pt idx="108">
                  <c:v>0.99999999717615895</c:v>
                </c:pt>
                <c:pt idx="109">
                  <c:v>0.99999999752670099</c:v>
                </c:pt>
                <c:pt idx="110">
                  <c:v>0.99999999784958704</c:v>
                </c:pt>
                <c:pt idx="111">
                  <c:v>0.99999999810233298</c:v>
                </c:pt>
                <c:pt idx="112">
                  <c:v>0.99999999831335395</c:v>
                </c:pt>
                <c:pt idx="113">
                  <c:v>0.99999999851833299</c:v>
                </c:pt>
                <c:pt idx="114">
                  <c:v>0.99999999870569001</c:v>
                </c:pt>
                <c:pt idx="115">
                  <c:v>0.99999999887583602</c:v>
                </c:pt>
                <c:pt idx="116">
                  <c:v>0.99999999901914005</c:v>
                </c:pt>
                <c:pt idx="117">
                  <c:v>0.99999999913017401</c:v>
                </c:pt>
                <c:pt idx="118">
                  <c:v>0.99999999922280103</c:v>
                </c:pt>
                <c:pt idx="119">
                  <c:v>0.99999999930906802</c:v>
                </c:pt>
                <c:pt idx="120">
                  <c:v>0.99999999938856099</c:v>
                </c:pt>
                <c:pt idx="121">
                  <c:v>0.99999999945784701</c:v>
                </c:pt>
                <c:pt idx="122">
                  <c:v>0.99999999952174001</c:v>
                </c:pt>
                <c:pt idx="123">
                  <c:v>0.99999999957883301</c:v>
                </c:pt>
                <c:pt idx="124">
                  <c:v>0.99999999963118802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abSelected="1" zoomScale="110" zoomScaleNormal="110" workbookViewId="0">
      <selection activeCell="E6" sqref="E6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2" width="9.140625" style="55" customWidth="1"/>
    <col min="23" max="26" width="9.140625" customWidth="1"/>
    <col min="27" max="27" width="10.85546875" bestFit="1" customWidth="1"/>
  </cols>
  <sheetData>
    <row r="1" spans="2:31" s="55" customFormat="1" ht="20.25" customHeight="1">
      <c r="B1" s="55">
        <f>VLOOKUP(C1,ListMembers!U8:V10,2,FALSE)</f>
        <v>3</v>
      </c>
      <c r="C1" s="116" t="s">
        <v>187</v>
      </c>
      <c r="D1" s="129" t="s">
        <v>156</v>
      </c>
      <c r="E1" s="130"/>
      <c r="F1" s="130"/>
      <c r="G1" s="130"/>
      <c r="H1" s="131"/>
      <c r="W1"/>
      <c r="X1"/>
      <c r="Y1"/>
      <c r="Z1"/>
    </row>
    <row r="2" spans="2:31" s="55" customFormat="1" ht="47.25" customHeight="1">
      <c r="C2" s="106"/>
      <c r="D2" s="132" t="s">
        <v>157</v>
      </c>
      <c r="E2" s="133"/>
      <c r="F2" s="133"/>
      <c r="G2" s="133"/>
      <c r="H2" s="134"/>
      <c r="W2"/>
      <c r="X2"/>
      <c r="Y2"/>
      <c r="Z2"/>
    </row>
    <row r="3" spans="2:31" s="54" customFormat="1" ht="15.75" thickBot="1">
      <c r="B3" s="55"/>
      <c r="C3" s="135" t="s">
        <v>188</v>
      </c>
      <c r="D3" s="135"/>
      <c r="E3" s="135"/>
      <c r="F3" s="135"/>
      <c r="G3" s="136"/>
      <c r="H3" s="136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/>
      <c r="X3"/>
      <c r="Y3"/>
      <c r="Z3"/>
    </row>
    <row r="4" spans="2:31" s="55" customFormat="1" ht="15.75">
      <c r="C4" s="108" t="s">
        <v>176</v>
      </c>
      <c r="D4" s="109" t="s">
        <v>99</v>
      </c>
      <c r="E4" s="58"/>
      <c r="F4" s="108" t="s">
        <v>196</v>
      </c>
      <c r="G4" s="86" t="str">
        <f>IF(H4="","Typical",H4)</f>
        <v>Typical</v>
      </c>
      <c r="H4" s="104"/>
      <c r="W4"/>
      <c r="X4"/>
      <c r="Y4"/>
      <c r="Z4"/>
    </row>
    <row r="5" spans="2:31" s="55" customFormat="1" ht="15.75">
      <c r="C5" s="108" t="s">
        <v>27</v>
      </c>
      <c r="D5" s="110" t="s">
        <v>66</v>
      </c>
      <c r="E5" s="58"/>
      <c r="F5" s="108" t="s">
        <v>197</v>
      </c>
      <c r="G5" s="86" t="str">
        <f>IF(H5="","Typical",H5)</f>
        <v>Typical</v>
      </c>
      <c r="H5" s="104"/>
      <c r="W5"/>
      <c r="X5"/>
      <c r="Y5"/>
      <c r="Z5"/>
    </row>
    <row r="6" spans="2:31" s="55" customFormat="1" ht="15.75">
      <c r="C6" s="108" t="s">
        <v>96</v>
      </c>
      <c r="D6" s="110" t="s">
        <v>77</v>
      </c>
      <c r="F6" s="108" t="s">
        <v>192</v>
      </c>
      <c r="G6" s="86" t="str">
        <f>IF(H6="","None",H6)</f>
        <v>None</v>
      </c>
      <c r="H6" s="118"/>
      <c r="W6"/>
      <c r="X6"/>
      <c r="Y6"/>
      <c r="Z6"/>
    </row>
    <row r="7" spans="2:31" s="55" customFormat="1">
      <c r="C7" s="57" t="s">
        <v>97</v>
      </c>
      <c r="D7" s="85" t="str">
        <f>IF(E7="","General",E7)</f>
        <v>General</v>
      </c>
      <c r="E7" s="92"/>
      <c r="W7"/>
      <c r="X7"/>
      <c r="Y7"/>
      <c r="Z7"/>
    </row>
    <row r="8" spans="2:31" s="55" customFormat="1">
      <c r="C8" s="64" t="s">
        <v>152</v>
      </c>
      <c r="D8" s="65" t="str">
        <f>CurrentCropName&amp;" "&amp;CurrentCropType&amp;" "&amp;CurrentCropVariety</f>
        <v>Broccoli Vegetable General</v>
      </c>
      <c r="W8"/>
      <c r="X8"/>
      <c r="Y8"/>
      <c r="Z8"/>
    </row>
    <row r="9" spans="2:31" s="55" customFormat="1">
      <c r="C9" s="57" t="s">
        <v>4</v>
      </c>
      <c r="D9" s="91">
        <f ca="1">IF(E9="",TODAY(),E9)</f>
        <v>45362</v>
      </c>
      <c r="E9" s="67"/>
      <c r="F9" s="57" t="s">
        <v>147</v>
      </c>
      <c r="G9" s="85" t="str">
        <f>IF(H9="",VLOOKUP(CurrentCropNameFull,CropCoefficients,13,FALSE),H9)</f>
        <v>Seedling</v>
      </c>
      <c r="H9" s="72"/>
      <c r="W9"/>
      <c r="X9"/>
      <c r="Y9"/>
      <c r="Z9"/>
    </row>
    <row r="10" spans="2:31" s="55" customFormat="1">
      <c r="C10" s="57" t="s">
        <v>5</v>
      </c>
      <c r="D10" s="91">
        <f ca="1">IF(E10="",CurrentEstablishDate+125,E10)</f>
        <v>45487</v>
      </c>
      <c r="E10" s="67"/>
      <c r="F10" s="57" t="s">
        <v>148</v>
      </c>
      <c r="G10" s="85" t="str">
        <f>IF(H10="",VLOOKUP(CurrentCropNameFull,CropCoefficients,15,FALSE),H10)</f>
        <v>EarlyReproductive</v>
      </c>
      <c r="H10" s="72"/>
      <c r="W10"/>
      <c r="X10"/>
      <c r="Y10"/>
      <c r="Z10"/>
    </row>
    <row r="11" spans="2:31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W11"/>
      <c r="X11"/>
      <c r="Y11"/>
      <c r="Z11"/>
    </row>
    <row r="12" spans="2:31" s="55" customFormat="1">
      <c r="C12" s="57" t="str">
        <f>"Yield ("&amp;CurrentUnits&amp;")"</f>
        <v>Yield (t/ha)</v>
      </c>
      <c r="D12" s="85">
        <f>IF(E12="",VLOOKUP(CurrentCropNameFull,CropCoefficients,17,FALSE),E12)</f>
        <v>20</v>
      </c>
      <c r="E12" s="69"/>
      <c r="F12" s="57" t="s">
        <v>137</v>
      </c>
      <c r="G12" s="85">
        <f>IF(H12="",VLOOKUP(CurrentCropNameFull,CropCoefficients,22,FALSE),H12)</f>
        <v>0</v>
      </c>
      <c r="H12" s="72"/>
      <c r="W12"/>
      <c r="X12"/>
      <c r="Y12"/>
      <c r="Z12"/>
    </row>
    <row r="13" spans="2:31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89</v>
      </c>
      <c r="H13" s="72"/>
      <c r="W13"/>
      <c r="X13"/>
      <c r="Y13"/>
      <c r="Z13"/>
    </row>
    <row r="14" spans="2:31" s="55" customFormat="1">
      <c r="B14" s="90">
        <f>IF(CurrentUnits="kg/head",CurrentYield*CurrentPopulation/1000,IF(CurrentUnits="kg/ha",CurrentYield/1000,CurrentYield))</f>
        <v>20</v>
      </c>
      <c r="C14" s="64" t="str">
        <f>"Yield "&amp;CurrentYield_tperHa&amp;" (t/ha)"</f>
        <v>Yield 20 (t/ha)</v>
      </c>
      <c r="D14" s="90" t="str">
        <f ca="1">"requires "&amp;ROUND(SUM('Model Interface'!V3:W3),0)&amp;" kg N/ha from all sources"</f>
        <v>requires 230 kg N/ha from all sources</v>
      </c>
      <c r="F14" s="57" t="s">
        <v>162</v>
      </c>
      <c r="G14" s="85" t="str">
        <f>IF(H14="","None removed",H14)</f>
        <v>None removed</v>
      </c>
      <c r="H14" s="72"/>
      <c r="R14" s="83">
        <f ca="1">MAX(PriorHarvestDate,MIN(C38,CurrentEstablishDate))</f>
        <v>45362</v>
      </c>
      <c r="W14"/>
      <c r="X14"/>
      <c r="Y14"/>
      <c r="Z14"/>
    </row>
    <row r="15" spans="2:31" s="55" customFormat="1" ht="16.5" thickBot="1">
      <c r="B15" s="55">
        <f ca="1">SUMIF(B29:B43,1,G29:G43)</f>
        <v>87</v>
      </c>
      <c r="C15" s="111" t="s">
        <v>229</v>
      </c>
      <c r="D15" s="112" t="str">
        <f ca="1">SUMIF(B29:B43,1,G29:G43)&amp;" Kg/ha"</f>
        <v>87 Kg/ha</v>
      </c>
      <c r="E15" s="113" t="s">
        <v>191</v>
      </c>
      <c r="F15" s="57" t="s">
        <v>163</v>
      </c>
      <c r="G15" s="85" t="str">
        <f>IF(H15="","Full (Plough)",H15)</f>
        <v>Full (Plough)</v>
      </c>
      <c r="H15" s="72"/>
      <c r="R15" s="128" t="s">
        <v>232</v>
      </c>
      <c r="S15" s="128"/>
      <c r="T15" s="128"/>
      <c r="U15" s="128"/>
      <c r="V15" s="128"/>
      <c r="W15" s="126" t="s">
        <v>231</v>
      </c>
      <c r="X15" s="126"/>
      <c r="Y15" s="126"/>
      <c r="Z15" s="126"/>
      <c r="AA15" s="127" t="s">
        <v>233</v>
      </c>
      <c r="AB15" s="127"/>
      <c r="AC15" s="127"/>
      <c r="AD15" s="127"/>
      <c r="AE15" s="127"/>
    </row>
    <row r="16" spans="2:31" s="55" customFormat="1" ht="5.25" customHeight="1">
      <c r="W16"/>
      <c r="X16"/>
      <c r="Y16"/>
      <c r="Z16"/>
    </row>
    <row r="17" spans="1:31" s="54" customFormat="1" ht="15.75" thickBot="1">
      <c r="A17" s="55"/>
      <c r="B17" s="55"/>
      <c r="C17" s="135" t="s">
        <v>189</v>
      </c>
      <c r="D17" s="135"/>
      <c r="E17" s="135"/>
      <c r="F17" s="135"/>
      <c r="G17" s="135"/>
      <c r="H17" s="135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Interface'!P5</f>
        <v>Date</v>
      </c>
      <c r="S17" s="55"/>
      <c r="T17" s="55" t="s">
        <v>161</v>
      </c>
      <c r="U17" s="55" t="s">
        <v>160</v>
      </c>
      <c r="V17" s="55" t="s">
        <v>13</v>
      </c>
      <c r="W17" s="55" t="s">
        <v>208</v>
      </c>
      <c r="X17" s="55" t="s">
        <v>209</v>
      </c>
      <c r="Y17" s="55" t="s">
        <v>192</v>
      </c>
      <c r="Z17" s="55" t="s">
        <v>212</v>
      </c>
      <c r="AA17" s="55" t="s">
        <v>14</v>
      </c>
      <c r="AB17" s="55"/>
      <c r="AC17" s="55" t="s">
        <v>161</v>
      </c>
      <c r="AD17" s="55" t="s">
        <v>160</v>
      </c>
      <c r="AE17" s="55" t="s">
        <v>13</v>
      </c>
    </row>
    <row r="18" spans="1:31" s="55" customFormat="1" ht="5.25" customHeight="1">
      <c r="F18" s="59"/>
      <c r="G18" s="59"/>
      <c r="H18" s="59"/>
      <c r="R18" s="83">
        <f t="array" aca="1" ref="R18:R662" ca="1">_xlfn._xlws.FILTER('Model Interface'!AD6:AD495,('Model Interface'!AD6:AD495&gt;=StartGraphDate)*('Model Interface'!AD6:AD495&lt;=CurrentHarvestDate),"")</f>
        <v>45362</v>
      </c>
      <c r="S18" s="55">
        <f ca="1">IF(R18&gt;1,R18,"")</f>
        <v>45362</v>
      </c>
      <c r="T18" s="55">
        <f t="shared" ref="T18:T81" ca="1" si="0">VLOOKUP(S18,ModelOutputs,2,FALSE)</f>
        <v>108.87154195125817</v>
      </c>
      <c r="U18" s="55">
        <f t="shared" ref="U18:U81" ca="1" si="1">VLOOKUP(S18,ModelOutputs,7,FALSE)</f>
        <v>7.8553305711404597</v>
      </c>
      <c r="V18" s="55">
        <f t="shared" ref="V18:V81" ca="1" si="2">VLOOKUP(S18,ModelOutputs,6,FALSE)</f>
        <v>0</v>
      </c>
      <c r="W18">
        <f t="shared" ref="W18:W81" ca="1" si="3">VLOOKUP(S18,ModelOutputs,10,FALSE)*AWC</f>
        <v>34.019294069362189</v>
      </c>
      <c r="X18">
        <f ca="1">VLOOKUP(S18,ModelOutputs,11,FALSE)</f>
        <v>0</v>
      </c>
      <c r="Y18">
        <f t="shared" ref="Y18:Y81" ca="1" si="4">VLOOKUP(S18,ModelOutputs,12,FALSE)</f>
        <v>0</v>
      </c>
      <c r="Z18">
        <f t="shared" ref="Z18:Z81" ca="1" si="5">VLOOKUP(S18,ModelOutputs,13,FALSE)</f>
        <v>9.2155379886740708E-3</v>
      </c>
      <c r="AA18" s="83">
        <f t="array" aca="1" ref="AA18:AA662" ca="1">_xlfn._xlws.FILTER('Model Interface'!AD6:AD999,('Model Interface'!AD6:AD999&gt;=CurrentHarvestDate+1)*('Model Interface'!AD6:AD999&lt;=FollowingHarvestDate),"")</f>
        <v>45488</v>
      </c>
      <c r="AB18" s="55">
        <f ca="1">IF(AA18&gt;1,AA18,"")</f>
        <v>45488</v>
      </c>
      <c r="AC18" s="55">
        <f t="shared" ref="AC18:AC20" ca="1" si="6">VLOOKUP(AB18,ModelOutputs,2,FALSE)</f>
        <v>33.734081119895862</v>
      </c>
      <c r="AD18" s="55">
        <f t="shared" ref="AD18:AD20" ca="1" si="7">VLOOKUP(AB18,ModelOutputs,7,FALSE)</f>
        <v>0</v>
      </c>
      <c r="AE18" s="55">
        <f t="shared" ref="AE18:AE20" ca="1" si="8">VLOOKUP(AB18,ModelOutputs,6,FALSE)</f>
        <v>0</v>
      </c>
    </row>
    <row r="19" spans="1:31" s="55" customFormat="1">
      <c r="C19" s="57" t="s">
        <v>226</v>
      </c>
      <c r="D19" s="85">
        <f>IF(E19="",60,E19)</f>
        <v>60</v>
      </c>
      <c r="E19" s="16"/>
      <c r="F19" s="100" t="str">
        <f ca="1">ROUND('Model Interface'!T2,0)&amp;" kg N/ha available from SOM mineralisation"</f>
        <v>40 kg N/ha available from SOM mineralisation</v>
      </c>
      <c r="R19" s="83">
        <f ca="1"/>
        <v>45363</v>
      </c>
      <c r="S19" s="55">
        <f t="shared" ref="S19:S82" ca="1" si="9">IF(R19&gt;1,R19,"")</f>
        <v>45363</v>
      </c>
      <c r="T19" s="55">
        <f t="shared" ca="1" si="0"/>
        <v>110.55326732265279</v>
      </c>
      <c r="U19" s="55">
        <f t="shared" ca="1" si="1"/>
        <v>8.2697914454256605</v>
      </c>
      <c r="V19" s="55">
        <f t="shared" ca="1" si="2"/>
        <v>0</v>
      </c>
      <c r="W19">
        <f t="shared" ca="1" si="3"/>
        <v>35.142800120911289</v>
      </c>
      <c r="X19">
        <f t="shared" ref="X19:X82" ca="1" si="10">VLOOKUP(S19,ModelOutputs,11,FALSE)+X18</f>
        <v>0</v>
      </c>
      <c r="Y19">
        <f t="shared" ca="1" si="4"/>
        <v>0</v>
      </c>
      <c r="Z19">
        <f t="shared" ca="1" si="5"/>
        <v>1.27437653785961E-2</v>
      </c>
      <c r="AA19" s="83">
        <f ca="1"/>
        <v>45489</v>
      </c>
      <c r="AB19" s="55">
        <f t="shared" ref="AB19:AB20" ca="1" si="11">IF(AA19&gt;1,AA19,"")</f>
        <v>45489</v>
      </c>
      <c r="AC19" s="55">
        <f t="shared" ca="1" si="6"/>
        <v>38.394874381431336</v>
      </c>
      <c r="AD19" s="55">
        <f t="shared" ca="1" si="7"/>
        <v>0</v>
      </c>
      <c r="AE19" s="55">
        <f t="shared" ca="1" si="8"/>
        <v>0</v>
      </c>
    </row>
    <row r="20" spans="1:31" s="55" customFormat="1">
      <c r="C20" s="57" t="s">
        <v>248</v>
      </c>
      <c r="D20" s="85" t="str">
        <f>IF(E20="","Sedementary",E20)</f>
        <v>Volcanic</v>
      </c>
      <c r="E20" s="16" t="s">
        <v>250</v>
      </c>
      <c r="F20" s="100"/>
      <c r="R20" s="83">
        <f ca="1"/>
        <v>45364</v>
      </c>
      <c r="S20" s="55">
        <f t="shared" ca="1" si="9"/>
        <v>45364</v>
      </c>
      <c r="T20" s="55">
        <f t="shared" ca="1" si="0"/>
        <v>112.06436795203925</v>
      </c>
      <c r="U20" s="55">
        <f t="shared" ca="1" si="1"/>
        <v>8.6963217018869905</v>
      </c>
      <c r="V20" s="55">
        <f t="shared" ca="1" si="2"/>
        <v>0</v>
      </c>
      <c r="W20">
        <f ca="1">VLOOKUP(S20,ModelOutputs,10,FALSE)*AWC</f>
        <v>35.503619661312008</v>
      </c>
      <c r="X20">
        <f t="shared" ca="1" si="10"/>
        <v>0</v>
      </c>
      <c r="Y20">
        <f t="shared" ca="1" si="4"/>
        <v>0</v>
      </c>
      <c r="Z20">
        <f t="shared" ca="1" si="5"/>
        <v>1.7480833120671498E-2</v>
      </c>
      <c r="AA20" s="83">
        <f ca="1"/>
        <v>45490</v>
      </c>
      <c r="AB20" s="55">
        <f t="shared" ca="1" si="11"/>
        <v>45490</v>
      </c>
      <c r="AC20" s="55">
        <f t="shared" ca="1" si="6"/>
        <v>42.770182341504402</v>
      </c>
      <c r="AD20" s="55">
        <f t="shared" ca="1" si="7"/>
        <v>0</v>
      </c>
      <c r="AE20" s="55">
        <f t="shared" ca="1" si="8"/>
        <v>0</v>
      </c>
    </row>
    <row r="21" spans="1:31" s="55" customFormat="1" ht="15.75" customHeight="1">
      <c r="B21" s="55">
        <f>VLOOKUP(SampleDepth,depths,2,FALSE)</f>
        <v>3</v>
      </c>
      <c r="C21" s="57" t="s">
        <v>215</v>
      </c>
      <c r="D21" s="85" t="str">
        <f>IF(E21="","0-30cm",E21)</f>
        <v>0-30cm</v>
      </c>
      <c r="E21" s="16"/>
      <c r="F21" s="100"/>
      <c r="R21" s="83">
        <f ca="1"/>
        <v>45365</v>
      </c>
      <c r="S21" s="55">
        <f t="shared" ca="1" si="9"/>
        <v>45365</v>
      </c>
      <c r="T21" s="55">
        <f t="shared" ca="1" si="0"/>
        <v>113.36724397652797</v>
      </c>
      <c r="U21" s="55">
        <f t="shared" ca="1" si="1"/>
        <v>9.1471688392503498</v>
      </c>
      <c r="V21" s="55">
        <f t="shared" ca="1" si="2"/>
        <v>0</v>
      </c>
      <c r="W21">
        <f t="shared" ca="1" si="3"/>
        <v>33.259934881990596</v>
      </c>
      <c r="X21">
        <f t="shared" ca="1" si="10"/>
        <v>0</v>
      </c>
      <c r="Y21">
        <f t="shared" ca="1" si="4"/>
        <v>0</v>
      </c>
      <c r="Z21">
        <f t="shared" ca="1" si="5"/>
        <v>2.3982007821021899E-2</v>
      </c>
      <c r="AA21" s="83">
        <f ca="1"/>
        <v>45491</v>
      </c>
      <c r="AB21" s="55">
        <f t="shared" ref="AB21:AB84" ca="1" si="12">IF(AA21&gt;1,AA21,"")</f>
        <v>45491</v>
      </c>
      <c r="AC21" s="55">
        <f t="shared" ref="AC21:AC84" ca="1" si="13">VLOOKUP(AB21,ModelOutputs,2,FALSE)</f>
        <v>47.030514820188237</v>
      </c>
      <c r="AD21" s="55">
        <f t="shared" ref="AD21:AD84" ca="1" si="14">VLOOKUP(AB21,ModelOutputs,7,FALSE)</f>
        <v>0</v>
      </c>
      <c r="AE21" s="55">
        <f t="shared" ref="AE21:AE84" ca="1" si="15">VLOOKUP(AB21,ModelOutputs,6,FALSE)</f>
        <v>0</v>
      </c>
    </row>
    <row r="22" spans="1:31" s="55" customFormat="1" ht="15" customHeight="1">
      <c r="C22" s="57" t="s">
        <v>216</v>
      </c>
      <c r="D22" s="85" t="str">
        <f>IF(E22="","loam",E22)</f>
        <v>clay</v>
      </c>
      <c r="E22" s="16" t="s">
        <v>244</v>
      </c>
      <c r="F22" s="100"/>
      <c r="R22" s="83">
        <f ca="1"/>
        <v>45366</v>
      </c>
      <c r="S22" s="55">
        <f t="shared" ca="1" si="9"/>
        <v>45366</v>
      </c>
      <c r="T22" s="55">
        <f t="shared" ca="1" si="0"/>
        <v>114.53073531637833</v>
      </c>
      <c r="U22" s="55">
        <f t="shared" ca="1" si="1"/>
        <v>9.6215034514220594</v>
      </c>
      <c r="V22" s="55">
        <f t="shared" ca="1" si="2"/>
        <v>0</v>
      </c>
      <c r="W22">
        <f t="shared" ca="1" si="3"/>
        <v>32.569459422395859</v>
      </c>
      <c r="X22">
        <f t="shared" ca="1" si="10"/>
        <v>0</v>
      </c>
      <c r="Y22">
        <f t="shared" ca="1" si="4"/>
        <v>0</v>
      </c>
      <c r="Z22">
        <f t="shared" ca="1" si="5"/>
        <v>3.2834312199464498E-2</v>
      </c>
      <c r="AA22" s="83">
        <f ca="1"/>
        <v>45492</v>
      </c>
      <c r="AB22" s="55">
        <f t="shared" ca="1" si="12"/>
        <v>45492</v>
      </c>
      <c r="AC22" s="55">
        <f t="shared" ca="1" si="13"/>
        <v>51.158118157369408</v>
      </c>
      <c r="AD22" s="55">
        <f t="shared" ca="1" si="14"/>
        <v>0</v>
      </c>
      <c r="AE22" s="55">
        <f t="shared" ca="1" si="15"/>
        <v>0</v>
      </c>
    </row>
    <row r="23" spans="1:31" s="55" customFormat="1">
      <c r="C23" s="57"/>
      <c r="D23" s="85"/>
      <c r="E23" s="122"/>
      <c r="F23" s="100"/>
      <c r="R23" s="83">
        <f ca="1"/>
        <v>45367</v>
      </c>
      <c r="S23" s="55">
        <f t="shared" ca="1" si="9"/>
        <v>45367</v>
      </c>
      <c r="T23" s="55">
        <f t="shared" ca="1" si="0"/>
        <v>115.54832890697256</v>
      </c>
      <c r="U23" s="55">
        <f t="shared" ca="1" si="1"/>
        <v>10.113665575217601</v>
      </c>
      <c r="V23" s="55">
        <f t="shared" ca="1" si="2"/>
        <v>0</v>
      </c>
      <c r="W23">
        <f t="shared" ca="1" si="3"/>
        <v>31.943284872360813</v>
      </c>
      <c r="X23">
        <f t="shared" ca="1" si="10"/>
        <v>0</v>
      </c>
      <c r="Y23">
        <f t="shared" ca="1" si="4"/>
        <v>0</v>
      </c>
      <c r="Z23">
        <f t="shared" ca="1" si="5"/>
        <v>4.4637661536675102E-2</v>
      </c>
      <c r="AA23" s="83">
        <f ca="1"/>
        <v>45493</v>
      </c>
      <c r="AB23" s="55">
        <f t="shared" ca="1" si="12"/>
        <v>45493</v>
      </c>
      <c r="AC23" s="55">
        <f t="shared" ca="1" si="13"/>
        <v>54.904633723557957</v>
      </c>
      <c r="AD23" s="55">
        <f t="shared" ca="1" si="14"/>
        <v>0</v>
      </c>
      <c r="AE23" s="55">
        <f t="shared" ca="1" si="15"/>
        <v>0</v>
      </c>
    </row>
    <row r="24" spans="1:31" s="55" customFormat="1">
      <c r="C24" s="57" t="s">
        <v>247</v>
      </c>
      <c r="D24" s="85">
        <f>IF(E24="",0,E24)</f>
        <v>0</v>
      </c>
      <c r="E24" s="122">
        <v>0</v>
      </c>
      <c r="F24" s="100"/>
      <c r="R24" s="83">
        <f ca="1"/>
        <v>45368</v>
      </c>
      <c r="S24" s="55">
        <f t="shared" ca="1" si="9"/>
        <v>45368</v>
      </c>
      <c r="T24" s="55">
        <f t="shared" ca="1" si="0"/>
        <v>116.38380888887505</v>
      </c>
      <c r="U24" s="55">
        <f t="shared" ca="1" si="1"/>
        <v>10.5919608607288</v>
      </c>
      <c r="V24" s="55">
        <f t="shared" ca="1" si="2"/>
        <v>0</v>
      </c>
      <c r="W24">
        <f t="shared" ca="1" si="3"/>
        <v>31.981255938758796</v>
      </c>
      <c r="X24">
        <f t="shared" ca="1" si="10"/>
        <v>0</v>
      </c>
      <c r="Y24">
        <f t="shared" ca="1" si="4"/>
        <v>0</v>
      </c>
      <c r="Z24">
        <f t="shared" ca="1" si="5"/>
        <v>5.9115349366896303E-2</v>
      </c>
      <c r="AA24" s="83">
        <f ca="1"/>
        <v>45494</v>
      </c>
      <c r="AB24" s="55">
        <f t="shared" ca="1" si="12"/>
        <v>45494</v>
      </c>
      <c r="AC24" s="55">
        <f t="shared" ca="1" si="13"/>
        <v>58.585135833383333</v>
      </c>
      <c r="AD24" s="55">
        <f t="shared" ca="1" si="14"/>
        <v>0</v>
      </c>
      <c r="AE24" s="55">
        <f t="shared" ca="1" si="15"/>
        <v>0</v>
      </c>
    </row>
    <row r="25" spans="1:31" s="55" customFormat="1">
      <c r="C25" s="61" t="str">
        <f>IF(COUNT(C29:C34)&gt;0,"Side dressings remaining","Side dressings")</f>
        <v>Side dressings</v>
      </c>
      <c r="D25" s="85">
        <f>IF(E25="",1,E25)</f>
        <v>1</v>
      </c>
      <c r="E25" s="104"/>
      <c r="R25" s="83">
        <f ca="1"/>
        <v>45369</v>
      </c>
      <c r="S25" s="55">
        <f t="shared" ca="1" si="9"/>
        <v>45369</v>
      </c>
      <c r="T25" s="55">
        <f t="shared" ca="1" si="0"/>
        <v>117.17182061533835</v>
      </c>
      <c r="U25" s="55">
        <f t="shared" ca="1" si="1"/>
        <v>11.1238890222844</v>
      </c>
      <c r="V25" s="55">
        <f t="shared" ca="1" si="2"/>
        <v>0</v>
      </c>
      <c r="W25">
        <f t="shared" ca="1" si="3"/>
        <v>31.02387423162692</v>
      </c>
      <c r="X25">
        <f t="shared" ca="1" si="10"/>
        <v>0</v>
      </c>
      <c r="Y25">
        <f t="shared" ca="1" si="4"/>
        <v>0</v>
      </c>
      <c r="Z25">
        <f t="shared" ca="1" si="5"/>
        <v>7.9229687240101904E-2</v>
      </c>
      <c r="AA25" s="83">
        <f ca="1"/>
        <v>45495</v>
      </c>
      <c r="AB25" s="55">
        <f t="shared" ca="1" si="12"/>
        <v>45495</v>
      </c>
      <c r="AC25" s="55">
        <f t="shared" ca="1" si="13"/>
        <v>62.187305535382933</v>
      </c>
      <c r="AD25" s="55">
        <f t="shared" ca="1" si="14"/>
        <v>0</v>
      </c>
      <c r="AE25" s="55">
        <f t="shared" ca="1" si="15"/>
        <v>0</v>
      </c>
    </row>
    <row r="26" spans="1:31" s="55" customFormat="1" ht="15.75" thickBot="1">
      <c r="C26" s="56"/>
      <c r="D26" s="56"/>
      <c r="E26" s="56"/>
      <c r="F26" s="56"/>
      <c r="R26" s="83">
        <f ca="1"/>
        <v>45370</v>
      </c>
      <c r="S26" s="55">
        <f t="shared" ca="1" si="9"/>
        <v>45370</v>
      </c>
      <c r="T26" s="55">
        <f t="shared" ca="1" si="0"/>
        <v>117.87972228224079</v>
      </c>
      <c r="U26" s="55">
        <f t="shared" ca="1" si="1"/>
        <v>11.711849642654199</v>
      </c>
      <c r="V26" s="55">
        <f t="shared" ca="1" si="2"/>
        <v>0</v>
      </c>
      <c r="W26">
        <f t="shared" ca="1" si="3"/>
        <v>29.437759218483141</v>
      </c>
      <c r="X26">
        <f t="shared" ca="1" si="10"/>
        <v>0</v>
      </c>
      <c r="Y26">
        <f t="shared" ca="1" si="4"/>
        <v>0</v>
      </c>
      <c r="Z26">
        <f t="shared" ca="1" si="5"/>
        <v>0.10699168648193599</v>
      </c>
      <c r="AA26" s="83">
        <f ca="1"/>
        <v>45496</v>
      </c>
      <c r="AB26" s="55">
        <f t="shared" ca="1" si="12"/>
        <v>45496</v>
      </c>
      <c r="AC26" s="55">
        <f t="shared" ca="1" si="13"/>
        <v>65.564507523395562</v>
      </c>
      <c r="AD26" s="55">
        <f t="shared" ca="1" si="14"/>
        <v>0</v>
      </c>
      <c r="AE26" s="55">
        <f t="shared" ca="1" si="15"/>
        <v>0</v>
      </c>
    </row>
    <row r="27" spans="1:31" s="55" customFormat="1" ht="15.75" thickBot="1">
      <c r="C27" s="138" t="s">
        <v>139</v>
      </c>
      <c r="D27" s="139"/>
      <c r="E27" s="60"/>
      <c r="F27" s="140" t="s">
        <v>146</v>
      </c>
      <c r="G27" s="141"/>
      <c r="R27" s="83">
        <f ca="1"/>
        <v>45371</v>
      </c>
      <c r="S27" s="55">
        <f t="shared" ca="1" si="9"/>
        <v>45371</v>
      </c>
      <c r="T27" s="55">
        <f t="shared" ca="1" si="0"/>
        <v>118.45034149060514</v>
      </c>
      <c r="U27" s="55">
        <f t="shared" ca="1" si="1"/>
        <v>12.3132658871194</v>
      </c>
      <c r="V27" s="55">
        <f t="shared" ca="1" si="2"/>
        <v>0</v>
      </c>
      <c r="W27">
        <f t="shared" ca="1" si="3"/>
        <v>28.450576778328401</v>
      </c>
      <c r="X27">
        <f t="shared" ca="1" si="10"/>
        <v>0</v>
      </c>
      <c r="Y27">
        <f t="shared" ca="1" si="4"/>
        <v>0</v>
      </c>
      <c r="Z27">
        <f t="shared" ca="1" si="5"/>
        <v>0.14190635335179499</v>
      </c>
      <c r="AA27" s="83">
        <f ca="1"/>
        <v>45497</v>
      </c>
      <c r="AB27" s="55">
        <f t="shared" ca="1" si="12"/>
        <v>45497</v>
      </c>
      <c r="AC27" s="55">
        <f t="shared" ca="1" si="13"/>
        <v>68.803677012417992</v>
      </c>
      <c r="AD27" s="55">
        <f t="shared" ca="1" si="14"/>
        <v>0</v>
      </c>
      <c r="AE27" s="55">
        <f t="shared" ca="1" si="15"/>
        <v>0</v>
      </c>
    </row>
    <row r="28" spans="1:31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45372</v>
      </c>
      <c r="S28" s="55">
        <f t="shared" ca="1" si="9"/>
        <v>45372</v>
      </c>
      <c r="T28" s="55">
        <f t="shared" ca="1" si="0"/>
        <v>118.90310550972237</v>
      </c>
      <c r="U28" s="55">
        <f t="shared" ca="1" si="1"/>
        <v>12.926779541617501</v>
      </c>
      <c r="V28" s="55">
        <f t="shared" ca="1" si="2"/>
        <v>0</v>
      </c>
      <c r="W28">
        <f t="shared" ca="1" si="3"/>
        <v>27.618266385289743</v>
      </c>
      <c r="X28">
        <f t="shared" ca="1" si="10"/>
        <v>0</v>
      </c>
      <c r="Y28">
        <f t="shared" ca="1" si="4"/>
        <v>0</v>
      </c>
      <c r="Z28">
        <f t="shared" ca="1" si="5"/>
        <v>0.184504597854935</v>
      </c>
      <c r="AA28" s="83">
        <f ca="1"/>
        <v>45498</v>
      </c>
      <c r="AB28" s="55">
        <f t="shared" ca="1" si="12"/>
        <v>45498</v>
      </c>
      <c r="AC28" s="55">
        <f t="shared" ca="1" si="13"/>
        <v>71.867138145458782</v>
      </c>
      <c r="AD28" s="55">
        <f t="shared" ca="1" si="14"/>
        <v>0</v>
      </c>
      <c r="AE28" s="55">
        <f t="shared" ca="1" si="15"/>
        <v>0</v>
      </c>
    </row>
    <row r="29" spans="1:31" s="55" customFormat="1">
      <c r="A29" s="83">
        <f t="array" aca="1" ref="A29:A43" ca="1">_xlfn._xlws.FILTER('Model Interface'!AD6:AD495,'Model Interface'!AE6:AE495&gt;0,"")</f>
        <v>45440</v>
      </c>
      <c r="B29" s="55">
        <f t="shared" ref="B29:B43" ca="1" si="16">IF(AND(NOT(F29=""),F29&gt;=StartSchedullingDate),1,0)</f>
        <v>1</v>
      </c>
      <c r="C29" s="78"/>
      <c r="D29" s="80"/>
      <c r="F29" s="74">
        <f ca="1">A29</f>
        <v>45440</v>
      </c>
      <c r="G29" s="76">
        <f ca="1">IFERROR(VLOOKUP(F29,'Model Interface'!$P$6:$U$495,6,FALSE),"")</f>
        <v>87</v>
      </c>
      <c r="H29" s="55" t="str">
        <f ca="1">IF(B29=1,"Suggested","Applied or Planned")</f>
        <v>Suggested</v>
      </c>
      <c r="R29" s="83">
        <f ca="1"/>
        <v>45373</v>
      </c>
      <c r="S29" s="55">
        <f t="shared" ca="1" si="9"/>
        <v>45373</v>
      </c>
      <c r="T29" s="55">
        <f t="shared" ca="1" si="0"/>
        <v>119.27360995343311</v>
      </c>
      <c r="U29" s="55">
        <f t="shared" ca="1" si="1"/>
        <v>13.5444274568642</v>
      </c>
      <c r="V29" s="55">
        <f t="shared" ca="1" si="2"/>
        <v>0</v>
      </c>
      <c r="W29">
        <f t="shared" ca="1" si="3"/>
        <v>28.119735825104982</v>
      </c>
      <c r="X29">
        <f t="shared" ca="1" si="10"/>
        <v>0</v>
      </c>
      <c r="Y29">
        <f t="shared" ca="1" si="4"/>
        <v>0</v>
      </c>
      <c r="Z29">
        <f t="shared" ca="1" si="5"/>
        <v>0.234189501808798</v>
      </c>
      <c r="AA29" s="83">
        <f ca="1"/>
        <v>45499</v>
      </c>
      <c r="AB29" s="55">
        <f t="shared" ca="1" si="12"/>
        <v>45499</v>
      </c>
      <c r="AC29" s="55">
        <f t="shared" ca="1" si="13"/>
        <v>74.885169572908254</v>
      </c>
      <c r="AD29" s="55">
        <f t="shared" ca="1" si="14"/>
        <v>0</v>
      </c>
      <c r="AE29" s="55">
        <f t="shared" ca="1" si="15"/>
        <v>0</v>
      </c>
    </row>
    <row r="30" spans="1:31" s="55" customFormat="1">
      <c r="A30" s="83">
        <f ca="1"/>
        <v>45440</v>
      </c>
      <c r="B30" s="55">
        <f t="shared" ca="1" si="16"/>
        <v>0</v>
      </c>
      <c r="C30" s="78"/>
      <c r="D30" s="81"/>
      <c r="F30" s="74" t="str">
        <f t="shared" ref="F30:F43" ca="1" si="17">IFERROR(IF(A30=A29,"",A30),"")</f>
        <v/>
      </c>
      <c r="G30" s="76" t="str">
        <f ca="1">IFERROR(VLOOKUP(F30,'Model Interface'!$P$6:$U$495,6,FALSE),"")</f>
        <v/>
      </c>
      <c r="H30" s="55" t="str">
        <f t="shared" ref="H30:H43" ca="1" si="18">IF(F30="","",IF(F30&lt;=StartSchedullingDate,"Applied or Planned","Suggested"))</f>
        <v/>
      </c>
      <c r="R30" s="83">
        <f ca="1"/>
        <v>45374</v>
      </c>
      <c r="S30" s="55">
        <f t="shared" ca="1" si="9"/>
        <v>45374</v>
      </c>
      <c r="T30" s="55">
        <f t="shared" ca="1" si="0"/>
        <v>119.56189860972233</v>
      </c>
      <c r="U30" s="55">
        <f t="shared" ca="1" si="1"/>
        <v>14.1963703586196</v>
      </c>
      <c r="V30" s="55">
        <f t="shared" ca="1" si="2"/>
        <v>0</v>
      </c>
      <c r="W30">
        <f t="shared" ca="1" si="3"/>
        <v>27.059991186616756</v>
      </c>
      <c r="X30">
        <f t="shared" ca="1" si="10"/>
        <v>0</v>
      </c>
      <c r="Y30">
        <f t="shared" ca="1" si="4"/>
        <v>0</v>
      </c>
      <c r="Z30">
        <f t="shared" ca="1" si="5"/>
        <v>0.29300555265829298</v>
      </c>
      <c r="AA30" s="83">
        <f ca="1"/>
        <v>45500</v>
      </c>
      <c r="AB30" s="55">
        <f t="shared" ca="1" si="12"/>
        <v>45500</v>
      </c>
      <c r="AC30" s="55">
        <f t="shared" ca="1" si="13"/>
        <v>77.729637560526655</v>
      </c>
      <c r="AD30" s="55">
        <f t="shared" ca="1" si="14"/>
        <v>0</v>
      </c>
      <c r="AE30" s="55">
        <f t="shared" ca="1" si="15"/>
        <v>0</v>
      </c>
    </row>
    <row r="31" spans="1:31" s="55" customFormat="1">
      <c r="A31" s="83">
        <f ca="1"/>
        <v>45440</v>
      </c>
      <c r="B31" s="55">
        <f t="shared" ca="1" si="16"/>
        <v>0</v>
      </c>
      <c r="C31" s="78"/>
      <c r="D31" s="81"/>
      <c r="F31" s="74" t="str">
        <f t="shared" ca="1" si="17"/>
        <v/>
      </c>
      <c r="G31" s="76" t="str">
        <f ca="1">IFERROR(VLOOKUP(F31,'Model Interface'!$P$6:$U$495,6,FALSE),"")</f>
        <v/>
      </c>
      <c r="H31" s="55" t="str">
        <f t="shared" ca="1" si="18"/>
        <v/>
      </c>
      <c r="R31" s="83">
        <f ca="1"/>
        <v>45375</v>
      </c>
      <c r="S31" s="55">
        <f t="shared" ca="1" si="9"/>
        <v>45375</v>
      </c>
      <c r="T31" s="55">
        <f t="shared" ca="1" si="0"/>
        <v>119.79529837678859</v>
      </c>
      <c r="U31" s="55">
        <f t="shared" ca="1" si="1"/>
        <v>14.893029932072199</v>
      </c>
      <c r="V31" s="55">
        <f t="shared" ca="1" si="2"/>
        <v>0</v>
      </c>
      <c r="W31">
        <f t="shared" ca="1" si="3"/>
        <v>27.098608561655904</v>
      </c>
      <c r="X31">
        <f t="shared" ca="1" si="10"/>
        <v>0</v>
      </c>
      <c r="Y31">
        <f t="shared" ca="1" si="4"/>
        <v>0</v>
      </c>
      <c r="Z31">
        <f t="shared" ca="1" si="5"/>
        <v>0.36111119351237903</v>
      </c>
      <c r="AA31" s="83">
        <f ca="1"/>
        <v>45501</v>
      </c>
      <c r="AB31" s="55">
        <f t="shared" ca="1" si="12"/>
        <v>45501</v>
      </c>
      <c r="AC31" s="55">
        <f t="shared" ca="1" si="13"/>
        <v>80.554629447904844</v>
      </c>
      <c r="AD31" s="55">
        <f t="shared" ca="1" si="14"/>
        <v>0</v>
      </c>
      <c r="AE31" s="55">
        <f t="shared" ca="1" si="15"/>
        <v>0</v>
      </c>
    </row>
    <row r="32" spans="1:31" s="55" customFormat="1">
      <c r="A32" s="83">
        <f ca="1"/>
        <v>45440</v>
      </c>
      <c r="B32" s="55">
        <f t="shared" ca="1" si="16"/>
        <v>0</v>
      </c>
      <c r="C32" s="78"/>
      <c r="D32" s="81"/>
      <c r="F32" s="74" t="str">
        <f t="shared" ca="1" si="17"/>
        <v/>
      </c>
      <c r="G32" s="76" t="str">
        <f ca="1">IFERROR(VLOOKUP(F32,'Model Interface'!$P$6:$U$495,6,FALSE),"")</f>
        <v/>
      </c>
      <c r="H32" s="55" t="str">
        <f t="shared" ca="1" si="18"/>
        <v/>
      </c>
      <c r="R32" s="83">
        <f ca="1"/>
        <v>45376</v>
      </c>
      <c r="S32" s="55">
        <f t="shared" ca="1" si="9"/>
        <v>45376</v>
      </c>
      <c r="T32" s="55">
        <f t="shared" ca="1" si="0"/>
        <v>119.91373401212161</v>
      </c>
      <c r="U32" s="55">
        <f t="shared" ca="1" si="1"/>
        <v>15.581958464043201</v>
      </c>
      <c r="V32" s="55">
        <f t="shared" ca="1" si="2"/>
        <v>0</v>
      </c>
      <c r="W32">
        <f t="shared" ca="1" si="3"/>
        <v>25.226183945605506</v>
      </c>
      <c r="X32">
        <f t="shared" ca="1" si="10"/>
        <v>0</v>
      </c>
      <c r="Y32">
        <f t="shared" ca="1" si="4"/>
        <v>0</v>
      </c>
      <c r="Z32">
        <f t="shared" ca="1" si="5"/>
        <v>0.431152436292563</v>
      </c>
      <c r="AA32" s="83">
        <f ca="1"/>
        <v>45502</v>
      </c>
      <c r="AB32" s="55">
        <f t="shared" ca="1" si="12"/>
        <v>45502</v>
      </c>
      <c r="AC32" s="55">
        <f t="shared" ca="1" si="13"/>
        <v>83.064756488187157</v>
      </c>
      <c r="AD32" s="55">
        <f t="shared" ca="1" si="14"/>
        <v>2.2926263569341199</v>
      </c>
      <c r="AE32" s="55">
        <f t="shared" ca="1" si="15"/>
        <v>0</v>
      </c>
    </row>
    <row r="33" spans="1:31" s="55" customFormat="1">
      <c r="A33" s="83">
        <f ca="1"/>
        <v>45440</v>
      </c>
      <c r="B33" s="55">
        <f t="shared" ca="1" si="16"/>
        <v>0</v>
      </c>
      <c r="C33" s="78"/>
      <c r="D33" s="81"/>
      <c r="F33" s="74" t="str">
        <f t="shared" ca="1" si="17"/>
        <v/>
      </c>
      <c r="G33" s="76" t="str">
        <f ca="1">IFERROR(VLOOKUP(F33,'Model Interface'!$P$6:$U$495,6,FALSE),"")</f>
        <v/>
      </c>
      <c r="H33" s="55" t="str">
        <f t="shared" ca="1" si="18"/>
        <v/>
      </c>
      <c r="R33" s="83">
        <f ca="1"/>
        <v>45377</v>
      </c>
      <c r="S33" s="55">
        <f t="shared" ca="1" si="9"/>
        <v>45377</v>
      </c>
      <c r="T33" s="55">
        <f t="shared" ca="1" si="0"/>
        <v>119.97051559756565</v>
      </c>
      <c r="U33" s="55">
        <f t="shared" ca="1" si="1"/>
        <v>16.347663774554398</v>
      </c>
      <c r="V33" s="55">
        <f t="shared" ca="1" si="2"/>
        <v>0</v>
      </c>
      <c r="W33">
        <f t="shared" ca="1" si="3"/>
        <v>24.177138466429511</v>
      </c>
      <c r="X33">
        <f t="shared" ca="1" si="10"/>
        <v>0</v>
      </c>
      <c r="Y33">
        <f t="shared" ca="1" si="4"/>
        <v>0</v>
      </c>
      <c r="Z33">
        <f t="shared" ca="1" si="5"/>
        <v>0.50866345460354601</v>
      </c>
      <c r="AA33" s="83">
        <f ca="1"/>
        <v>45503</v>
      </c>
      <c r="AB33" s="55">
        <f t="shared" ca="1" si="12"/>
        <v>45503</v>
      </c>
      <c r="AC33" s="55">
        <f t="shared" ca="1" si="13"/>
        <v>85.485035950587417</v>
      </c>
      <c r="AD33" s="55">
        <f t="shared" ca="1" si="14"/>
        <v>2.34898313381224</v>
      </c>
      <c r="AE33" s="55">
        <f t="shared" ca="1" si="15"/>
        <v>0</v>
      </c>
    </row>
    <row r="34" spans="1:31" s="55" customFormat="1" ht="15.75" thickBot="1">
      <c r="A34" s="83">
        <f ca="1"/>
        <v>45440</v>
      </c>
      <c r="B34" s="55">
        <f t="shared" ca="1" si="16"/>
        <v>0</v>
      </c>
      <c r="C34" s="79"/>
      <c r="D34" s="82"/>
      <c r="F34" s="74" t="str">
        <f t="shared" ca="1" si="17"/>
        <v/>
      </c>
      <c r="G34" s="76" t="str">
        <f ca="1">IFERROR(VLOOKUP(F34,'Model Interface'!$P$6:$U$495,6,FALSE),"")</f>
        <v/>
      </c>
      <c r="H34" s="55" t="str">
        <f t="shared" ca="1" si="18"/>
        <v/>
      </c>
      <c r="R34" s="83">
        <f ca="1"/>
        <v>45378</v>
      </c>
      <c r="S34" s="55">
        <f t="shared" ca="1" si="9"/>
        <v>45378</v>
      </c>
      <c r="T34" s="55">
        <f t="shared" ca="1" si="0"/>
        <v>119.94236277823423</v>
      </c>
      <c r="U34" s="55">
        <f t="shared" ca="1" si="1"/>
        <v>17.1754128777023</v>
      </c>
      <c r="V34" s="55">
        <f t="shared" ca="1" si="2"/>
        <v>0</v>
      </c>
      <c r="W34">
        <f t="shared" ca="1" si="3"/>
        <v>22.53161493440296</v>
      </c>
      <c r="X34">
        <f t="shared" ca="1" si="10"/>
        <v>0</v>
      </c>
      <c r="Y34">
        <f t="shared" ca="1" si="4"/>
        <v>0</v>
      </c>
      <c r="Z34">
        <f t="shared" ca="1" si="5"/>
        <v>0.58815754722287805</v>
      </c>
      <c r="AA34" s="83">
        <f ca="1"/>
        <v>45504</v>
      </c>
      <c r="AB34" s="55">
        <f t="shared" ca="1" si="12"/>
        <v>45504</v>
      </c>
      <c r="AC34" s="55">
        <f t="shared" ca="1" si="13"/>
        <v>87.837936554723427</v>
      </c>
      <c r="AD34" s="55">
        <f t="shared" ca="1" si="14"/>
        <v>2.4085098718090099</v>
      </c>
      <c r="AE34" s="55">
        <f t="shared" ca="1" si="15"/>
        <v>0</v>
      </c>
    </row>
    <row r="35" spans="1:31" s="55" customFormat="1" ht="15.75" thickBot="1">
      <c r="A35" s="83">
        <f ca="1"/>
        <v>45440</v>
      </c>
      <c r="B35" s="55">
        <f t="shared" ca="1" si="16"/>
        <v>0</v>
      </c>
      <c r="F35" s="74" t="str">
        <f t="shared" ca="1" si="17"/>
        <v/>
      </c>
      <c r="G35" s="76" t="str">
        <f ca="1">IFERROR(VLOOKUP(F35,'Model Interface'!$P$6:$U$495,6,FALSE),"")</f>
        <v/>
      </c>
      <c r="H35" s="55" t="str">
        <f t="shared" ca="1" si="18"/>
        <v/>
      </c>
      <c r="R35" s="83">
        <f ca="1"/>
        <v>45379</v>
      </c>
      <c r="S35" s="55">
        <f t="shared" ca="1" si="9"/>
        <v>45379</v>
      </c>
      <c r="T35" s="55">
        <f t="shared" ca="1" si="0"/>
        <v>119.82572648890343</v>
      </c>
      <c r="U35" s="55">
        <f t="shared" ca="1" si="1"/>
        <v>18.039765138262101</v>
      </c>
      <c r="V35" s="55">
        <f t="shared" ca="1" si="2"/>
        <v>0</v>
      </c>
      <c r="W35">
        <f t="shared" ca="1" si="3"/>
        <v>20.995165482782667</v>
      </c>
      <c r="X35">
        <f t="shared" ca="1" si="10"/>
        <v>0</v>
      </c>
      <c r="Y35">
        <f t="shared" ca="1" si="4"/>
        <v>0</v>
      </c>
      <c r="Z35">
        <f t="shared" ca="1" si="5"/>
        <v>0.66302737334752004</v>
      </c>
      <c r="AA35" s="83">
        <f ca="1"/>
        <v>45505</v>
      </c>
      <c r="AB35" s="55">
        <f t="shared" ca="1" si="12"/>
        <v>45505</v>
      </c>
      <c r="AC35" s="55">
        <f t="shared" ca="1" si="13"/>
        <v>90.003892248558344</v>
      </c>
      <c r="AD35" s="55">
        <f t="shared" ca="1" si="14"/>
        <v>2.4672341195105298</v>
      </c>
      <c r="AE35" s="55">
        <f t="shared" ca="1" si="15"/>
        <v>0</v>
      </c>
    </row>
    <row r="36" spans="1:31" s="55" customFormat="1" ht="15.75" thickBot="1">
      <c r="A36" s="83">
        <f ca="1"/>
        <v>45440</v>
      </c>
      <c r="B36" s="55">
        <f t="shared" ca="1" si="16"/>
        <v>0</v>
      </c>
      <c r="C36" s="138" t="s">
        <v>140</v>
      </c>
      <c r="D36" s="139"/>
      <c r="F36" s="74" t="str">
        <f t="shared" ca="1" si="17"/>
        <v/>
      </c>
      <c r="G36" s="76" t="str">
        <f ca="1">IFERROR(VLOOKUP(F36,'Model Interface'!$P$6:$U$495,6,FALSE),"")</f>
        <v/>
      </c>
      <c r="H36" s="55" t="str">
        <f t="shared" ca="1" si="18"/>
        <v/>
      </c>
      <c r="R36" s="83">
        <f ca="1"/>
        <v>45380</v>
      </c>
      <c r="S36" s="55">
        <f t="shared" ca="1" si="9"/>
        <v>45380</v>
      </c>
      <c r="T36" s="55">
        <f t="shared" ca="1" si="0"/>
        <v>119.65517498275439</v>
      </c>
      <c r="U36" s="55">
        <f t="shared" ca="1" si="1"/>
        <v>18.949855228427499</v>
      </c>
      <c r="V36" s="55">
        <f t="shared" ca="1" si="2"/>
        <v>0</v>
      </c>
      <c r="W36">
        <f t="shared" ca="1" si="3"/>
        <v>21.6338266599933</v>
      </c>
      <c r="X36">
        <f t="shared" ca="1" si="10"/>
        <v>0</v>
      </c>
      <c r="Y36">
        <f t="shared" ca="1" si="4"/>
        <v>0</v>
      </c>
      <c r="Z36">
        <f t="shared" ca="1" si="5"/>
        <v>0.73081565670925597</v>
      </c>
      <c r="AA36" s="83">
        <f ca="1"/>
        <v>45506</v>
      </c>
      <c r="AB36" s="55">
        <f t="shared" ca="1" si="12"/>
        <v>45506</v>
      </c>
      <c r="AC36" s="55">
        <f t="shared" ca="1" si="13"/>
        <v>91.968592729920971</v>
      </c>
      <c r="AD36" s="55">
        <f t="shared" ca="1" si="14"/>
        <v>2.5241869962390702</v>
      </c>
      <c r="AE36" s="55">
        <f t="shared" ca="1" si="15"/>
        <v>0</v>
      </c>
    </row>
    <row r="37" spans="1:31" s="55" customFormat="1" ht="15.75" thickBot="1">
      <c r="A37" s="83">
        <f ca="1"/>
        <v>45440</v>
      </c>
      <c r="B37" s="55">
        <f t="shared" ca="1" si="16"/>
        <v>0</v>
      </c>
      <c r="C37" s="114" t="s">
        <v>14</v>
      </c>
      <c r="D37" s="115" t="s">
        <v>18</v>
      </c>
      <c r="F37" s="74" t="str">
        <f t="shared" ca="1" si="17"/>
        <v/>
      </c>
      <c r="G37" s="76" t="str">
        <f ca="1">IFERROR(VLOOKUP(F37,'Model Interface'!$P$6:$U$495,6,FALSE),"")</f>
        <v/>
      </c>
      <c r="H37" s="55" t="str">
        <f t="shared" ca="1" si="18"/>
        <v/>
      </c>
      <c r="R37" s="83">
        <f ca="1"/>
        <v>45381</v>
      </c>
      <c r="S37" s="55">
        <f t="shared" ca="1" si="9"/>
        <v>45381</v>
      </c>
      <c r="T37" s="55">
        <f t="shared" ca="1" si="0"/>
        <v>119.42232759536334</v>
      </c>
      <c r="U37" s="55">
        <f t="shared" ca="1" si="1"/>
        <v>19.844351377395299</v>
      </c>
      <c r="V37" s="55">
        <f t="shared" ca="1" si="2"/>
        <v>0</v>
      </c>
      <c r="W37">
        <f t="shared" ca="1" si="3"/>
        <v>21.296774471955821</v>
      </c>
      <c r="X37">
        <f t="shared" ca="1" si="10"/>
        <v>0</v>
      </c>
      <c r="Y37">
        <f t="shared" ca="1" si="4"/>
        <v>0</v>
      </c>
      <c r="Z37">
        <f t="shared" ca="1" si="5"/>
        <v>0.78603009292834802</v>
      </c>
      <c r="AA37" s="83">
        <f ca="1"/>
        <v>45507</v>
      </c>
      <c r="AB37" s="55">
        <f t="shared" ca="1" si="12"/>
        <v>45507</v>
      </c>
      <c r="AC37" s="55">
        <f t="shared" ca="1" si="13"/>
        <v>93.935269379238278</v>
      </c>
      <c r="AD37" s="55">
        <f t="shared" ca="1" si="14"/>
        <v>2.5862000330729602</v>
      </c>
      <c r="AE37" s="55">
        <f t="shared" ca="1" si="15"/>
        <v>0</v>
      </c>
    </row>
    <row r="38" spans="1:31" s="55" customFormat="1">
      <c r="A38" s="83">
        <f ca="1"/>
        <v>45440</v>
      </c>
      <c r="B38" s="55">
        <f t="shared" ca="1" si="16"/>
        <v>0</v>
      </c>
      <c r="C38" s="123"/>
      <c r="D38" s="81"/>
      <c r="F38" s="74" t="str">
        <f t="shared" ca="1" si="17"/>
        <v/>
      </c>
      <c r="G38" s="76" t="str">
        <f ca="1">IFERROR(VLOOKUP(F38,'Model Interface'!$P$6:$U$495,6,FALSE),"")</f>
        <v/>
      </c>
      <c r="H38" s="55" t="str">
        <f t="shared" ca="1" si="18"/>
        <v/>
      </c>
      <c r="R38" s="83">
        <f ca="1"/>
        <v>45382</v>
      </c>
      <c r="S38" s="55">
        <f t="shared" ca="1" si="9"/>
        <v>45382</v>
      </c>
      <c r="T38" s="55">
        <f t="shared" ca="1" si="0"/>
        <v>119.12701044874255</v>
      </c>
      <c r="U38" s="55">
        <f t="shared" ca="1" si="1"/>
        <v>20.740352713894499</v>
      </c>
      <c r="V38" s="55">
        <f t="shared" ca="1" si="2"/>
        <v>0</v>
      </c>
      <c r="W38">
        <f t="shared" ca="1" si="3"/>
        <v>20.171921317241306</v>
      </c>
      <c r="X38">
        <f t="shared" ca="1" si="10"/>
        <v>0</v>
      </c>
      <c r="Y38">
        <f t="shared" ca="1" si="4"/>
        <v>0</v>
      </c>
      <c r="Z38">
        <f t="shared" ca="1" si="5"/>
        <v>0.83080627537783402</v>
      </c>
      <c r="AA38" s="83">
        <f ca="1"/>
        <v>45508</v>
      </c>
      <c r="AB38" s="55">
        <f t="shared" ca="1" si="12"/>
        <v>45508</v>
      </c>
      <c r="AC38" s="55">
        <f t="shared" ca="1" si="13"/>
        <v>95.839575489349812</v>
      </c>
      <c r="AD38" s="55">
        <f t="shared" ca="1" si="14"/>
        <v>2.6512452015689698</v>
      </c>
      <c r="AE38" s="55">
        <f t="shared" ca="1" si="15"/>
        <v>0</v>
      </c>
    </row>
    <row r="39" spans="1:31" s="55" customFormat="1">
      <c r="A39" s="83">
        <f ca="1"/>
        <v>45440</v>
      </c>
      <c r="B39" s="55">
        <f t="shared" ca="1" si="16"/>
        <v>0</v>
      </c>
      <c r="C39" s="78"/>
      <c r="D39" s="81"/>
      <c r="F39" s="74" t="str">
        <f t="shared" ca="1" si="17"/>
        <v/>
      </c>
      <c r="G39" s="76" t="str">
        <f ca="1">IFERROR(VLOOKUP(F39,'Model Interface'!$P$6:$U$495,6,FALSE),"")</f>
        <v/>
      </c>
      <c r="H39" s="55" t="str">
        <f t="shared" ca="1" si="18"/>
        <v/>
      </c>
      <c r="R39" s="83">
        <f ca="1"/>
        <v>45383</v>
      </c>
      <c r="S39" s="55">
        <f t="shared" ca="1" si="9"/>
        <v>45383</v>
      </c>
      <c r="T39" s="55">
        <f t="shared" ca="1" si="0"/>
        <v>118.75523551371641</v>
      </c>
      <c r="U39" s="55">
        <f t="shared" ca="1" si="1"/>
        <v>21.713795250562399</v>
      </c>
      <c r="V39" s="55">
        <f t="shared" ca="1" si="2"/>
        <v>0</v>
      </c>
      <c r="W39">
        <f t="shared" ca="1" si="3"/>
        <v>19.043156331771154</v>
      </c>
      <c r="X39">
        <f t="shared" ca="1" si="10"/>
        <v>0</v>
      </c>
      <c r="Y39">
        <f t="shared" ca="1" si="4"/>
        <v>0</v>
      </c>
      <c r="Z39">
        <f t="shared" ca="1" si="5"/>
        <v>0.86914975287218099</v>
      </c>
      <c r="AA39" s="83">
        <f ca="1"/>
        <v>45509</v>
      </c>
      <c r="AB39" s="55">
        <f t="shared" ca="1" si="12"/>
        <v>45509</v>
      </c>
      <c r="AC39" s="55">
        <f t="shared" ca="1" si="13"/>
        <v>97.636136917962759</v>
      </c>
      <c r="AD39" s="55">
        <f t="shared" ca="1" si="14"/>
        <v>2.71866612824194</v>
      </c>
      <c r="AE39" s="55">
        <f t="shared" ca="1" si="15"/>
        <v>0</v>
      </c>
    </row>
    <row r="40" spans="1:31" s="55" customFormat="1" ht="6.75" customHeight="1">
      <c r="A40" s="83">
        <f ca="1"/>
        <v>45440</v>
      </c>
      <c r="B40" s="55">
        <f t="shared" ca="1" si="16"/>
        <v>0</v>
      </c>
      <c r="C40" s="78"/>
      <c r="D40" s="81"/>
      <c r="F40" s="74" t="str">
        <f t="shared" ca="1" si="17"/>
        <v/>
      </c>
      <c r="G40" s="76" t="str">
        <f ca="1">IFERROR(VLOOKUP(F40,'Model Interface'!$P$6:$U$495,6,FALSE),"")</f>
        <v/>
      </c>
      <c r="H40" s="55" t="str">
        <f t="shared" ca="1" si="18"/>
        <v/>
      </c>
      <c r="R40" s="83">
        <f ca="1"/>
        <v>45384</v>
      </c>
      <c r="S40" s="55">
        <f t="shared" ca="1" si="9"/>
        <v>45384</v>
      </c>
      <c r="T40" s="55">
        <f t="shared" ca="1" si="0"/>
        <v>118.33273287491934</v>
      </c>
      <c r="U40" s="55">
        <f t="shared" ca="1" si="1"/>
        <v>22.700042050763599</v>
      </c>
      <c r="V40" s="55">
        <f t="shared" ca="1" si="2"/>
        <v>0</v>
      </c>
      <c r="W40">
        <f t="shared" ca="1" si="3"/>
        <v>18.686353295522558</v>
      </c>
      <c r="X40">
        <f t="shared" ca="1" si="10"/>
        <v>0</v>
      </c>
      <c r="Y40">
        <f t="shared" ca="1" si="4"/>
        <v>0</v>
      </c>
      <c r="Z40">
        <f t="shared" ca="1" si="5"/>
        <v>0.89905481087168904</v>
      </c>
      <c r="AA40" s="83">
        <f ca="1"/>
        <v>45510</v>
      </c>
      <c r="AB40" s="55">
        <f t="shared" ca="1" si="12"/>
        <v>45510</v>
      </c>
      <c r="AC40" s="55">
        <f t="shared" ca="1" si="13"/>
        <v>99.391826652463592</v>
      </c>
      <c r="AD40" s="55">
        <f t="shared" ca="1" si="14"/>
        <v>2.7890271651496001</v>
      </c>
      <c r="AE40" s="55">
        <f t="shared" ca="1" si="15"/>
        <v>0</v>
      </c>
    </row>
    <row r="41" spans="1:31" s="55" customFormat="1">
      <c r="A41" s="83">
        <f ca="1"/>
        <v>45440</v>
      </c>
      <c r="B41" s="55">
        <f t="shared" ca="1" si="16"/>
        <v>0</v>
      </c>
      <c r="C41" s="78"/>
      <c r="D41" s="81"/>
      <c r="F41" s="74" t="str">
        <f t="shared" ca="1" si="17"/>
        <v/>
      </c>
      <c r="G41" s="76" t="str">
        <f ca="1">IFERROR(VLOOKUP(F41,'Model Interface'!$P$6:$U$495,6,FALSE),"")</f>
        <v/>
      </c>
      <c r="H41" s="55" t="str">
        <f t="shared" ca="1" si="18"/>
        <v/>
      </c>
      <c r="R41" s="83">
        <f ca="1"/>
        <v>45385</v>
      </c>
      <c r="S41" s="55">
        <f t="shared" ca="1" si="9"/>
        <v>45385</v>
      </c>
      <c r="T41" s="55">
        <f t="shared" ca="1" si="0"/>
        <v>117.87167566191754</v>
      </c>
      <c r="U41" s="55">
        <f t="shared" ca="1" si="1"/>
        <v>23.688005955223201</v>
      </c>
      <c r="V41" s="55">
        <f t="shared" ca="1" si="2"/>
        <v>0</v>
      </c>
      <c r="W41">
        <f t="shared" ca="1" si="3"/>
        <v>18.664220111263411</v>
      </c>
      <c r="X41">
        <f t="shared" ca="1" si="10"/>
        <v>0</v>
      </c>
      <c r="Y41">
        <f t="shared" ca="1" si="4"/>
        <v>0</v>
      </c>
      <c r="Z41">
        <f t="shared" ca="1" si="5"/>
        <v>0.92192412310074101</v>
      </c>
      <c r="AA41" s="83">
        <f ca="1"/>
        <v>45511</v>
      </c>
      <c r="AB41" s="55">
        <f t="shared" ca="1" si="12"/>
        <v>45511</v>
      </c>
      <c r="AC41" s="55">
        <f t="shared" ca="1" si="13"/>
        <v>101.01144129737614</v>
      </c>
      <c r="AD41" s="55">
        <f t="shared" ca="1" si="14"/>
        <v>2.85858805230803</v>
      </c>
      <c r="AE41" s="55">
        <f t="shared" ca="1" si="15"/>
        <v>0</v>
      </c>
    </row>
    <row r="42" spans="1:31" s="55" customFormat="1">
      <c r="A42" s="83">
        <f ca="1"/>
        <v>45440</v>
      </c>
      <c r="B42" s="55">
        <f t="shared" ca="1" si="16"/>
        <v>0</v>
      </c>
      <c r="C42" s="78"/>
      <c r="D42" s="81"/>
      <c r="F42" s="74" t="str">
        <f t="shared" ca="1" si="17"/>
        <v/>
      </c>
      <c r="G42" s="76" t="str">
        <f ca="1">IFERROR(VLOOKUP(F42,'Model Interface'!$P$6:$U$495,6,FALSE),"")</f>
        <v/>
      </c>
      <c r="H42" s="55" t="str">
        <f t="shared" ca="1" si="18"/>
        <v/>
      </c>
      <c r="R42" s="83">
        <f ca="1"/>
        <v>45386</v>
      </c>
      <c r="S42" s="55">
        <f t="shared" ca="1" si="9"/>
        <v>45386</v>
      </c>
      <c r="T42" s="55">
        <f t="shared" ca="1" si="0"/>
        <v>117.36395191006737</v>
      </c>
      <c r="U42" s="55">
        <f t="shared" ca="1" si="1"/>
        <v>24.697407232230098</v>
      </c>
      <c r="V42" s="55">
        <f t="shared" ca="1" si="2"/>
        <v>0</v>
      </c>
      <c r="W42">
        <f t="shared" ca="1" si="3"/>
        <v>18.236749688996927</v>
      </c>
      <c r="X42">
        <f t="shared" ca="1" si="10"/>
        <v>0</v>
      </c>
      <c r="Y42">
        <f t="shared" ca="1" si="4"/>
        <v>0</v>
      </c>
      <c r="Z42">
        <f t="shared" ca="1" si="5"/>
        <v>0.93967152650516605</v>
      </c>
      <c r="AA42" s="83">
        <f ca="1"/>
        <v>45512</v>
      </c>
      <c r="AB42" s="55">
        <f t="shared" ca="1" si="12"/>
        <v>45512</v>
      </c>
      <c r="AC42" s="55">
        <f t="shared" ca="1" si="13"/>
        <v>102.44222779050769</v>
      </c>
      <c r="AD42" s="55">
        <f t="shared" ca="1" si="14"/>
        <v>2.9230337235067698</v>
      </c>
      <c r="AE42" s="55">
        <f t="shared" ca="1" si="15"/>
        <v>0</v>
      </c>
    </row>
    <row r="43" spans="1:31" s="55" customFormat="1" ht="15.75" thickBot="1">
      <c r="A43" s="83">
        <f ca="1"/>
        <v>45440</v>
      </c>
      <c r="B43" s="55">
        <f t="shared" ca="1" si="16"/>
        <v>0</v>
      </c>
      <c r="C43" s="79"/>
      <c r="D43" s="82"/>
      <c r="F43" s="75" t="str">
        <f t="shared" ca="1" si="17"/>
        <v/>
      </c>
      <c r="G43" s="77" t="str">
        <f ca="1">IFERROR(VLOOKUP(F43,'Model Interface'!$P$6:$U$495,6,FALSE),"")</f>
        <v/>
      </c>
      <c r="H43" s="55" t="str">
        <f t="shared" ca="1" si="18"/>
        <v/>
      </c>
      <c r="R43" s="83">
        <f ca="1"/>
        <v>45387</v>
      </c>
      <c r="S43" s="55">
        <f t="shared" ca="1" si="9"/>
        <v>45387</v>
      </c>
      <c r="T43" s="55">
        <f t="shared" ca="1" si="0"/>
        <v>116.80744495818126</v>
      </c>
      <c r="U43" s="55">
        <f t="shared" ca="1" si="1"/>
        <v>25.7589971446634</v>
      </c>
      <c r="V43" s="55">
        <f t="shared" ca="1" si="2"/>
        <v>0</v>
      </c>
      <c r="W43">
        <f t="shared" ca="1" si="3"/>
        <v>18.918959428645241</v>
      </c>
      <c r="X43">
        <f t="shared" ca="1" si="10"/>
        <v>0</v>
      </c>
      <c r="Y43">
        <f t="shared" ca="1" si="4"/>
        <v>0</v>
      </c>
      <c r="Z43">
        <f t="shared" ca="1" si="5"/>
        <v>0.95372513705263096</v>
      </c>
      <c r="AA43" s="83">
        <f ca="1"/>
        <v>45513</v>
      </c>
      <c r="AB43" s="55">
        <f t="shared" ca="1" si="12"/>
        <v>45513</v>
      </c>
      <c r="AC43" s="55">
        <f t="shared" ca="1" si="13"/>
        <v>103.87257069104368</v>
      </c>
      <c r="AD43" s="55">
        <f t="shared" ca="1" si="14"/>
        <v>2.9932796914919502</v>
      </c>
      <c r="AE43" s="55">
        <f t="shared" ca="1" si="15"/>
        <v>0</v>
      </c>
    </row>
    <row r="44" spans="1:31" s="54" customFormat="1">
      <c r="A44" s="55"/>
      <c r="B44" s="55">
        <f ca="1">IF(C38="",CurrentEstablishDate,IF(AND(C38&gt;CurrentEstablishDate,(C38-CurrentEstablishDate)&lt;10),C38,CurrentEstablishDate))</f>
        <v>45362</v>
      </c>
      <c r="C44" s="100" t="s">
        <v>151</v>
      </c>
      <c r="D44" s="102">
        <f ca="1">MAX(CurrentEstablishDate,C38:C43,MAX(C29:C34)+1)</f>
        <v>45362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45388</v>
      </c>
      <c r="S44" s="55">
        <f t="shared" ca="1" si="9"/>
        <v>45388</v>
      </c>
      <c r="T44" s="55">
        <f t="shared" ca="1" si="0"/>
        <v>116.2228553887138</v>
      </c>
      <c r="U44" s="55">
        <f t="shared" ca="1" si="1"/>
        <v>26.854161728757401</v>
      </c>
      <c r="V44" s="55">
        <f t="shared" ca="1" si="2"/>
        <v>0</v>
      </c>
      <c r="W44">
        <f t="shared" ca="1" si="3"/>
        <v>20.890321620083537</v>
      </c>
      <c r="X44">
        <f t="shared" ca="1" si="10"/>
        <v>0</v>
      </c>
      <c r="Y44">
        <f t="shared" ca="1" si="4"/>
        <v>0</v>
      </c>
      <c r="Z44">
        <f t="shared" ca="1" si="5"/>
        <v>0.96455239457563602</v>
      </c>
      <c r="AA44" s="83">
        <f ca="1"/>
        <v>45514</v>
      </c>
      <c r="AB44" s="55">
        <f t="shared" ca="1" si="12"/>
        <v>45514</v>
      </c>
      <c r="AC44" s="55">
        <f t="shared" ca="1" si="13"/>
        <v>105.29939776038297</v>
      </c>
      <c r="AD44" s="55">
        <f t="shared" ca="1" si="14"/>
        <v>3.06971019474345</v>
      </c>
      <c r="AE44" s="55">
        <f t="shared" ca="1" si="15"/>
        <v>0</v>
      </c>
    </row>
    <row r="45" spans="1:31" s="55" customFormat="1">
      <c r="R45" s="83">
        <f ca="1"/>
        <v>45389</v>
      </c>
      <c r="S45" s="55">
        <f t="shared" ca="1" si="9"/>
        <v>45389</v>
      </c>
      <c r="T45" s="55">
        <f t="shared" ca="1" si="0"/>
        <v>115.58613285855499</v>
      </c>
      <c r="U45" s="55">
        <f t="shared" ca="1" si="1"/>
        <v>27.995586069203299</v>
      </c>
      <c r="V45" s="55">
        <f t="shared" ca="1" si="2"/>
        <v>0</v>
      </c>
      <c r="W45">
        <f t="shared" ca="1" si="3"/>
        <v>21.109681154082615</v>
      </c>
      <c r="X45">
        <f t="shared" ca="1" si="10"/>
        <v>0</v>
      </c>
      <c r="Y45">
        <f t="shared" ca="1" si="4"/>
        <v>0</v>
      </c>
      <c r="Z45">
        <f t="shared" ca="1" si="5"/>
        <v>0.97293745822241195</v>
      </c>
      <c r="AA45" s="83">
        <f ca="1"/>
        <v>45515</v>
      </c>
      <c r="AB45" s="55">
        <f t="shared" ca="1" si="12"/>
        <v>45515</v>
      </c>
      <c r="AC45" s="55">
        <f t="shared" ca="1" si="13"/>
        <v>106.68827195606644</v>
      </c>
      <c r="AD45" s="55">
        <f t="shared" ca="1" si="14"/>
        <v>3.15044217055764</v>
      </c>
      <c r="AE45" s="55">
        <f t="shared" ca="1" si="15"/>
        <v>0</v>
      </c>
    </row>
    <row r="46" spans="1:31" s="55" customFormat="1" ht="15.75" thickBot="1">
      <c r="C46" s="135" t="s">
        <v>158</v>
      </c>
      <c r="D46" s="135"/>
      <c r="E46" s="135"/>
      <c r="F46" s="135"/>
      <c r="G46" s="135"/>
      <c r="H46" s="135"/>
      <c r="R46" s="83">
        <f ca="1"/>
        <v>45390</v>
      </c>
      <c r="S46" s="55">
        <f t="shared" ca="1" si="9"/>
        <v>45390</v>
      </c>
      <c r="T46" s="55">
        <f t="shared" ca="1" si="0"/>
        <v>114.93326462940544</v>
      </c>
      <c r="U46" s="55">
        <f t="shared" ca="1" si="1"/>
        <v>29.129367583727898</v>
      </c>
      <c r="V46" s="55">
        <f t="shared" ca="1" si="2"/>
        <v>0</v>
      </c>
      <c r="W46">
        <f t="shared" ca="1" si="3"/>
        <v>22.1043476965691</v>
      </c>
      <c r="X46">
        <f t="shared" ca="1" si="10"/>
        <v>0</v>
      </c>
      <c r="Y46">
        <f t="shared" ca="1" si="4"/>
        <v>0</v>
      </c>
      <c r="Z46">
        <f t="shared" ca="1" si="5"/>
        <v>0.97913554006177195</v>
      </c>
      <c r="AA46" s="83">
        <f ca="1"/>
        <v>45516</v>
      </c>
      <c r="AB46" s="55">
        <f t="shared" ca="1" si="12"/>
        <v>45516</v>
      </c>
      <c r="AC46" s="55">
        <f t="shared" ca="1" si="13"/>
        <v>107.96773506868081</v>
      </c>
      <c r="AD46" s="55">
        <f t="shared" ca="1" si="14"/>
        <v>3.2299916064372001</v>
      </c>
      <c r="AE46" s="55">
        <f t="shared" ca="1" si="15"/>
        <v>0</v>
      </c>
    </row>
    <row r="47" spans="1:31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45391</v>
      </c>
      <c r="S47" s="55">
        <f t="shared" ca="1" si="9"/>
        <v>45391</v>
      </c>
      <c r="T47" s="55">
        <f t="shared" ca="1" si="0"/>
        <v>114.28622320901543</v>
      </c>
      <c r="U47" s="55">
        <f t="shared" ca="1" si="1"/>
        <v>30.208170712749499</v>
      </c>
      <c r="V47" s="55">
        <f t="shared" ca="1" si="2"/>
        <v>0</v>
      </c>
      <c r="W47">
        <f t="shared" ca="1" si="3"/>
        <v>22.174987227321459</v>
      </c>
      <c r="X47">
        <f t="shared" ca="1" si="10"/>
        <v>0</v>
      </c>
      <c r="Y47">
        <f t="shared" ca="1" si="4"/>
        <v>0</v>
      </c>
      <c r="Z47">
        <f t="shared" ca="1" si="5"/>
        <v>0.98359128053568301</v>
      </c>
      <c r="AA47" s="83">
        <f ca="1"/>
        <v>45517</v>
      </c>
      <c r="AB47" s="55">
        <f t="shared" ca="1" si="12"/>
        <v>45517</v>
      </c>
      <c r="AC47" s="55">
        <f t="shared" ca="1" si="13"/>
        <v>109.17138349880332</v>
      </c>
      <c r="AD47" s="55">
        <f t="shared" ca="1" si="14"/>
        <v>3.3101911909675201</v>
      </c>
      <c r="AE47" s="55">
        <f t="shared" ca="1" si="15"/>
        <v>0</v>
      </c>
    </row>
    <row r="48" spans="1:31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45392</v>
      </c>
      <c r="S48" s="55">
        <f t="shared" ca="1" si="9"/>
        <v>45392</v>
      </c>
      <c r="T48" s="55">
        <f t="shared" ca="1" si="0"/>
        <v>113.57493316538881</v>
      </c>
      <c r="U48" s="55">
        <f t="shared" ca="1" si="1"/>
        <v>31.348366955805901</v>
      </c>
      <c r="V48" s="55">
        <f t="shared" ca="1" si="2"/>
        <v>0</v>
      </c>
      <c r="W48">
        <f t="shared" ca="1" si="3"/>
        <v>21.47802479045464</v>
      </c>
      <c r="X48">
        <f t="shared" ca="1" si="10"/>
        <v>0</v>
      </c>
      <c r="Y48">
        <f t="shared" ca="1" si="4"/>
        <v>0</v>
      </c>
      <c r="Z48">
        <f t="shared" ca="1" si="5"/>
        <v>0.98717558238755498</v>
      </c>
      <c r="AA48" s="83">
        <f ca="1"/>
        <v>45518</v>
      </c>
      <c r="AB48" s="55">
        <f t="shared" ca="1" si="12"/>
        <v>45518</v>
      </c>
      <c r="AC48" s="55">
        <f t="shared" ca="1" si="13"/>
        <v>110.27652381514818</v>
      </c>
      <c r="AD48" s="55">
        <f t="shared" ca="1" si="14"/>
        <v>3.3882306072203399</v>
      </c>
      <c r="AE48" s="55">
        <f t="shared" ca="1" si="15"/>
        <v>0</v>
      </c>
    </row>
    <row r="49" spans="2:31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45393</v>
      </c>
      <c r="S49" s="55">
        <f t="shared" ca="1" si="9"/>
        <v>45393</v>
      </c>
      <c r="T49" s="55">
        <f t="shared" ca="1" si="0"/>
        <v>112.82690520309416</v>
      </c>
      <c r="U49" s="55">
        <f t="shared" ca="1" si="1"/>
        <v>32.511534055913202</v>
      </c>
      <c r="V49" s="55">
        <f t="shared" ca="1" si="2"/>
        <v>0</v>
      </c>
      <c r="W49">
        <f t="shared" ca="1" si="3"/>
        <v>21.3347973905048</v>
      </c>
      <c r="X49">
        <f t="shared" ca="1" si="10"/>
        <v>0</v>
      </c>
      <c r="Y49">
        <f t="shared" ca="1" si="4"/>
        <v>0</v>
      </c>
      <c r="Z49">
        <f t="shared" ca="1" si="5"/>
        <v>0.989950881816545</v>
      </c>
      <c r="AA49" s="83">
        <f ca="1"/>
        <v>45519</v>
      </c>
      <c r="AB49" s="55">
        <f t="shared" ca="1" si="12"/>
        <v>45519</v>
      </c>
      <c r="AC49" s="55">
        <f t="shared" ca="1" si="13"/>
        <v>111.35898832223373</v>
      </c>
      <c r="AD49" s="55">
        <f t="shared" ca="1" si="14"/>
        <v>3.4707771426570702</v>
      </c>
      <c r="AE49" s="55">
        <f t="shared" ca="1" si="15"/>
        <v>0</v>
      </c>
    </row>
    <row r="50" spans="2:31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45394</v>
      </c>
      <c r="S50" s="55">
        <f t="shared" ca="1" si="9"/>
        <v>45394</v>
      </c>
      <c r="T50" s="55">
        <f t="shared" ca="1" si="0"/>
        <v>111.99783511511721</v>
      </c>
      <c r="U50" s="55">
        <f t="shared" ca="1" si="1"/>
        <v>33.762339499420698</v>
      </c>
      <c r="V50" s="55">
        <f t="shared" ca="1" si="2"/>
        <v>0</v>
      </c>
      <c r="W50">
        <f t="shared" ca="1" si="3"/>
        <v>20.762907172214565</v>
      </c>
      <c r="X50">
        <f t="shared" ca="1" si="10"/>
        <v>0</v>
      </c>
      <c r="Y50">
        <f t="shared" ca="1" si="4"/>
        <v>0</v>
      </c>
      <c r="Z50">
        <f t="shared" ca="1" si="5"/>
        <v>0.99220600323304797</v>
      </c>
      <c r="AA50" s="83">
        <f ca="1"/>
        <v>45520</v>
      </c>
      <c r="AB50" s="55">
        <f t="shared" ca="1" si="12"/>
        <v>45520</v>
      </c>
      <c r="AC50" s="55">
        <f t="shared" ca="1" si="13"/>
        <v>112.45327230201481</v>
      </c>
      <c r="AD50" s="55">
        <f t="shared" ca="1" si="14"/>
        <v>3.5618176428756101</v>
      </c>
      <c r="AE50" s="55">
        <f t="shared" ca="1" si="15"/>
        <v>0</v>
      </c>
    </row>
    <row r="51" spans="2:31" s="55" customFormat="1">
      <c r="C51" s="61" t="s">
        <v>4</v>
      </c>
      <c r="D51" s="68">
        <f ca="1">IF(E51="",CurrentEstablishDate-60,E51)</f>
        <v>45302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45395</v>
      </c>
      <c r="S51" s="55">
        <f t="shared" ca="1" si="9"/>
        <v>45395</v>
      </c>
      <c r="T51" s="55">
        <f t="shared" ca="1" si="0"/>
        <v>111.14261018005816</v>
      </c>
      <c r="U51" s="55">
        <f t="shared" ca="1" si="1"/>
        <v>35.013099238148499</v>
      </c>
      <c r="V51" s="55">
        <f t="shared" ca="1" si="2"/>
        <v>0</v>
      </c>
      <c r="W51">
        <f t="shared" ca="1" si="3"/>
        <v>20.086767004891655</v>
      </c>
      <c r="X51">
        <f t="shared" ca="1" si="10"/>
        <v>0</v>
      </c>
      <c r="Y51">
        <f t="shared" ca="1" si="4"/>
        <v>0</v>
      </c>
      <c r="Z51">
        <f t="shared" ca="1" si="5"/>
        <v>0.99390672537444102</v>
      </c>
      <c r="AA51" s="83">
        <f ca="1"/>
        <v>45521</v>
      </c>
      <c r="AB51" s="55">
        <f t="shared" ca="1" si="12"/>
        <v>45521</v>
      </c>
      <c r="AC51" s="55">
        <f t="shared" ca="1" si="13"/>
        <v>113.50213173796161</v>
      </c>
      <c r="AD51" s="55">
        <f t="shared" ca="1" si="14"/>
        <v>3.65586084040218</v>
      </c>
      <c r="AE51" s="55">
        <f t="shared" ca="1" si="15"/>
        <v>0</v>
      </c>
    </row>
    <row r="52" spans="2:31" s="55" customFormat="1">
      <c r="C52" s="61" t="s">
        <v>5</v>
      </c>
      <c r="D52" s="68">
        <f ca="1">IF(E52="",CurrentEstablishDate-15,E52)</f>
        <v>45347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45396</v>
      </c>
      <c r="S52" s="55">
        <f t="shared" ca="1" si="9"/>
        <v>45396</v>
      </c>
      <c r="T52" s="55">
        <f t="shared" ca="1" si="0"/>
        <v>110.15400332428416</v>
      </c>
      <c r="U52" s="55">
        <f t="shared" ca="1" si="1"/>
        <v>36.415644555494097</v>
      </c>
      <c r="V52" s="55">
        <f t="shared" ca="1" si="2"/>
        <v>0</v>
      </c>
      <c r="W52">
        <f t="shared" ca="1" si="3"/>
        <v>18.612711154866936</v>
      </c>
      <c r="X52">
        <f t="shared" ca="1" si="10"/>
        <v>0</v>
      </c>
      <c r="Y52">
        <f t="shared" ca="1" si="4"/>
        <v>0</v>
      </c>
      <c r="Z52">
        <f t="shared" ca="1" si="5"/>
        <v>0.99533520106854501</v>
      </c>
      <c r="AA52" s="83">
        <f ca="1"/>
        <v>45522</v>
      </c>
      <c r="AB52" s="55">
        <f t="shared" ca="1" si="12"/>
        <v>45522</v>
      </c>
      <c r="AC52" s="55">
        <f t="shared" ca="1" si="13"/>
        <v>114.47354847135993</v>
      </c>
      <c r="AD52" s="55">
        <f t="shared" ca="1" si="14"/>
        <v>3.7487703199620599</v>
      </c>
      <c r="AE52" s="55">
        <f t="shared" ca="1" si="15"/>
        <v>0</v>
      </c>
    </row>
    <row r="53" spans="2:31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45397</v>
      </c>
      <c r="S53" s="55">
        <f t="shared" ca="1" si="9"/>
        <v>45397</v>
      </c>
      <c r="T53" s="55">
        <f t="shared" ca="1" si="0"/>
        <v>109.13602361300426</v>
      </c>
      <c r="U53" s="55">
        <f t="shared" ca="1" si="1"/>
        <v>37.8239484955647</v>
      </c>
      <c r="V53" s="55">
        <f t="shared" ca="1" si="2"/>
        <v>0</v>
      </c>
      <c r="W53">
        <f t="shared" ca="1" si="3"/>
        <v>18.033052568445644</v>
      </c>
      <c r="X53">
        <f t="shared" ca="1" si="10"/>
        <v>0</v>
      </c>
      <c r="Y53">
        <f t="shared" ca="1" si="4"/>
        <v>0</v>
      </c>
      <c r="Z53">
        <f t="shared" ca="1" si="5"/>
        <v>0.99640090233191503</v>
      </c>
      <c r="AA53" s="83">
        <f ca="1"/>
        <v>45523</v>
      </c>
      <c r="AB53" s="55">
        <f t="shared" ca="1" si="12"/>
        <v>45523</v>
      </c>
      <c r="AC53" s="55">
        <f t="shared" ca="1" si="13"/>
        <v>115.40640991300896</v>
      </c>
      <c r="AD53" s="55">
        <f t="shared" ca="1" si="14"/>
        <v>3.8446068689059398</v>
      </c>
      <c r="AE53" s="55">
        <f t="shared" ca="1" si="15"/>
        <v>0</v>
      </c>
    </row>
    <row r="54" spans="2:31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45398</v>
      </c>
      <c r="S54" s="55">
        <f t="shared" ca="1" si="9"/>
        <v>45398</v>
      </c>
      <c r="T54" s="55">
        <f t="shared" ca="1" si="0"/>
        <v>108.04537564282874</v>
      </c>
      <c r="U54" s="55">
        <f t="shared" ca="1" si="1"/>
        <v>39.3084894274959</v>
      </c>
      <c r="V54" s="55">
        <f t="shared" ca="1" si="2"/>
        <v>0</v>
      </c>
      <c r="W54">
        <f t="shared" ca="1" si="3"/>
        <v>18.10364279682344</v>
      </c>
      <c r="X54">
        <f t="shared" ca="1" si="10"/>
        <v>0</v>
      </c>
      <c r="Y54">
        <f t="shared" ca="1" si="4"/>
        <v>0</v>
      </c>
      <c r="Z54">
        <f t="shared" ca="1" si="5"/>
        <v>0.99723712214013804</v>
      </c>
      <c r="AA54" s="83">
        <f ca="1"/>
        <v>45524</v>
      </c>
      <c r="AB54" s="55">
        <f t="shared" ca="1" si="12"/>
        <v>45524</v>
      </c>
      <c r="AC54" s="55">
        <f t="shared" ca="1" si="13"/>
        <v>116.27027765639102</v>
      </c>
      <c r="AD54" s="55">
        <f t="shared" ca="1" si="14"/>
        <v>3.9387717844360099</v>
      </c>
      <c r="AE54" s="55">
        <f t="shared" ca="1" si="15"/>
        <v>0</v>
      </c>
    </row>
    <row r="55" spans="2:31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163</v>
      </c>
      <c r="G55" s="85" t="str">
        <f>IF(H55="","Full (Plough)",H55)</f>
        <v>Full (Plough)</v>
      </c>
      <c r="H55" s="72"/>
      <c r="R55" s="83">
        <f ca="1"/>
        <v>45399</v>
      </c>
      <c r="S55" s="55">
        <f t="shared" ca="1" si="9"/>
        <v>45399</v>
      </c>
      <c r="T55" s="55">
        <f t="shared" ca="1" si="0"/>
        <v>106.96025151880445</v>
      </c>
      <c r="U55" s="55">
        <f t="shared" ca="1" si="1"/>
        <v>40.754877801143799</v>
      </c>
      <c r="V55" s="55">
        <f t="shared" ca="1" si="2"/>
        <v>0</v>
      </c>
      <c r="W55">
        <f t="shared" ca="1" si="3"/>
        <v>17.615486039644445</v>
      </c>
      <c r="X55">
        <f t="shared" ca="1" si="10"/>
        <v>0</v>
      </c>
      <c r="Y55">
        <f t="shared" ca="1" si="4"/>
        <v>0</v>
      </c>
      <c r="Z55">
        <f t="shared" ca="1" si="5"/>
        <v>0.99784682573661698</v>
      </c>
      <c r="AA55" s="83">
        <f ca="1"/>
        <v>45525</v>
      </c>
      <c r="AB55" s="55">
        <f t="shared" ca="1" si="12"/>
        <v>45525</v>
      </c>
      <c r="AC55" s="55">
        <f t="shared" ca="1" si="13"/>
        <v>117.11901380643334</v>
      </c>
      <c r="AD55" s="55">
        <f t="shared" ca="1" si="14"/>
        <v>4.0384838820218203</v>
      </c>
      <c r="AE55" s="55">
        <f t="shared" ca="1" si="15"/>
        <v>0</v>
      </c>
    </row>
    <row r="56" spans="2:31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Interface'!S4,0)&amp;" kg N/ha to the current crop"</f>
        <v>Previous crop residues are providing 86 kg N/ha to the current crop</v>
      </c>
      <c r="R56" s="83">
        <f ca="1"/>
        <v>45400</v>
      </c>
      <c r="S56" s="55">
        <f t="shared" ca="1" si="9"/>
        <v>45400</v>
      </c>
      <c r="T56" s="55">
        <f t="shared" ca="1" si="0"/>
        <v>105.80751814502443</v>
      </c>
      <c r="U56" s="55">
        <f t="shared" ca="1" si="1"/>
        <v>42.263325593517699</v>
      </c>
      <c r="V56" s="55">
        <f t="shared" ca="1" si="2"/>
        <v>0</v>
      </c>
      <c r="W56">
        <f t="shared" ca="1" si="3"/>
        <v>16.82670613384348</v>
      </c>
      <c r="X56">
        <f t="shared" ca="1" si="10"/>
        <v>0</v>
      </c>
      <c r="Y56">
        <f t="shared" ca="1" si="4"/>
        <v>0</v>
      </c>
      <c r="Z56">
        <f t="shared" ca="1" si="5"/>
        <v>0.99832629088382197</v>
      </c>
      <c r="AA56" s="83">
        <f ca="1"/>
        <v>45526</v>
      </c>
      <c r="AB56" s="55">
        <f t="shared" ca="1" si="12"/>
        <v>45526</v>
      </c>
      <c r="AC56" s="55">
        <f t="shared" ca="1" si="13"/>
        <v>117.94241760341443</v>
      </c>
      <c r="AD56" s="55">
        <f t="shared" ca="1" si="14"/>
        <v>4.1424260736068899</v>
      </c>
      <c r="AE56" s="55">
        <f t="shared" ca="1" si="15"/>
        <v>0</v>
      </c>
    </row>
    <row r="57" spans="2:31" s="55" customFormat="1" ht="15.75" thickBot="1">
      <c r="C57" s="135" t="s">
        <v>159</v>
      </c>
      <c r="D57" s="135"/>
      <c r="E57" s="135"/>
      <c r="F57" s="135"/>
      <c r="G57" s="135"/>
      <c r="H57" s="135"/>
      <c r="R57" s="83">
        <f ca="1"/>
        <v>45401</v>
      </c>
      <c r="S57" s="55">
        <f t="shared" ca="1" si="9"/>
        <v>45401</v>
      </c>
      <c r="T57" s="55">
        <f t="shared" ca="1" si="0"/>
        <v>104.56358819975958</v>
      </c>
      <c r="U57" s="55">
        <f t="shared" ca="1" si="1"/>
        <v>43.8723787508955</v>
      </c>
      <c r="V57" s="55">
        <f t="shared" ca="1" si="2"/>
        <v>0</v>
      </c>
      <c r="W57">
        <f t="shared" ca="1" si="3"/>
        <v>16.937219810099229</v>
      </c>
      <c r="X57">
        <f t="shared" ca="1" si="10"/>
        <v>0</v>
      </c>
      <c r="Y57">
        <f t="shared" ca="1" si="4"/>
        <v>0</v>
      </c>
      <c r="Z57">
        <f t="shared" ca="1" si="5"/>
        <v>0.99870970907930301</v>
      </c>
      <c r="AA57" s="83">
        <f ca="1"/>
        <v>45527</v>
      </c>
      <c r="AB57" s="55">
        <f t="shared" ca="1" si="12"/>
        <v>45527</v>
      </c>
      <c r="AC57" s="55">
        <f t="shared" ca="1" si="13"/>
        <v>118.76894540378998</v>
      </c>
      <c r="AD57" s="55">
        <f t="shared" ca="1" si="14"/>
        <v>4.2555653693181199</v>
      </c>
      <c r="AE57" s="55">
        <f t="shared" ca="1" si="15"/>
        <v>0</v>
      </c>
    </row>
    <row r="58" spans="2:31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45402</v>
      </c>
      <c r="S58" s="55">
        <f t="shared" ca="1" si="9"/>
        <v>45402</v>
      </c>
      <c r="T58" s="55">
        <f t="shared" ca="1" si="0"/>
        <v>103.35977289107196</v>
      </c>
      <c r="U58" s="55">
        <f t="shared" ca="1" si="1"/>
        <v>45.409339626153802</v>
      </c>
      <c r="V58" s="55">
        <f t="shared" ca="1" si="2"/>
        <v>0</v>
      </c>
      <c r="W58">
        <f t="shared" ca="1" si="3"/>
        <v>17.059891907318566</v>
      </c>
      <c r="X58">
        <f t="shared" ca="1" si="10"/>
        <v>0</v>
      </c>
      <c r="Y58">
        <f t="shared" ca="1" si="4"/>
        <v>0</v>
      </c>
      <c r="Z58">
        <f t="shared" ca="1" si="5"/>
        <v>0.99898588701733704</v>
      </c>
      <c r="AA58" s="83">
        <f ca="1"/>
        <v>45528</v>
      </c>
      <c r="AB58" s="55">
        <f t="shared" ca="1" si="12"/>
        <v>45528</v>
      </c>
      <c r="AC58" s="55">
        <f t="shared" ca="1" si="13"/>
        <v>119.57396123061972</v>
      </c>
      <c r="AD58" s="55">
        <f t="shared" ca="1" si="14"/>
        <v>4.3744542907932802</v>
      </c>
      <c r="AE58" s="55">
        <f t="shared" ca="1" si="15"/>
        <v>0</v>
      </c>
    </row>
    <row r="59" spans="2:31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45403</v>
      </c>
      <c r="S59" s="55">
        <f t="shared" ca="1" si="9"/>
        <v>45403</v>
      </c>
      <c r="T59" s="55">
        <f t="shared" ca="1" si="0"/>
        <v>102.12168572293928</v>
      </c>
      <c r="U59" s="55">
        <f t="shared" ca="1" si="1"/>
        <v>46.966919383130403</v>
      </c>
      <c r="V59" s="55">
        <f t="shared" ca="1" si="2"/>
        <v>0</v>
      </c>
      <c r="W59">
        <f t="shared" ca="1" si="3"/>
        <v>16.255378659204737</v>
      </c>
      <c r="X59">
        <f t="shared" ca="1" si="10"/>
        <v>0</v>
      </c>
      <c r="Y59">
        <f t="shared" ca="1" si="4"/>
        <v>0</v>
      </c>
      <c r="Z59">
        <f t="shared" ca="1" si="5"/>
        <v>0.99919983685437697</v>
      </c>
      <c r="AA59" s="83">
        <f ca="1"/>
        <v>45529</v>
      </c>
      <c r="AB59" s="55">
        <f t="shared" ca="1" si="12"/>
        <v>45529</v>
      </c>
      <c r="AC59" s="55">
        <f t="shared" ca="1" si="13"/>
        <v>120.33923504665465</v>
      </c>
      <c r="AD59" s="55">
        <f t="shared" ca="1" si="14"/>
        <v>4.4956819411672697</v>
      </c>
      <c r="AE59" s="55">
        <f t="shared" ca="1" si="15"/>
        <v>0</v>
      </c>
    </row>
    <row r="60" spans="2:31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45404</v>
      </c>
      <c r="S60" s="55">
        <f t="shared" ca="1" si="9"/>
        <v>45404</v>
      </c>
      <c r="T60" s="55">
        <f t="shared" ca="1" si="0"/>
        <v>100.7612104135178</v>
      </c>
      <c r="U60" s="55">
        <f t="shared" ca="1" si="1"/>
        <v>48.657100833111301</v>
      </c>
      <c r="V60" s="55">
        <f t="shared" ca="1" si="2"/>
        <v>0</v>
      </c>
      <c r="W60">
        <f t="shared" ca="1" si="3"/>
        <v>15.488921625934379</v>
      </c>
      <c r="X60">
        <f t="shared" ca="1" si="10"/>
        <v>0</v>
      </c>
      <c r="Y60">
        <f t="shared" ca="1" si="4"/>
        <v>0</v>
      </c>
      <c r="Z60">
        <f t="shared" ca="1" si="5"/>
        <v>0.99937654696079103</v>
      </c>
      <c r="AA60" s="83">
        <f ca="1"/>
        <v>45530</v>
      </c>
      <c r="AB60" s="55">
        <f t="shared" ca="1" si="12"/>
        <v>45530</v>
      </c>
      <c r="AC60" s="55">
        <f t="shared" ca="1" si="13"/>
        <v>121.07218950377839</v>
      </c>
      <c r="AD60" s="55">
        <f t="shared" ca="1" si="14"/>
        <v>4.6203023285073597</v>
      </c>
      <c r="AE60" s="55">
        <f t="shared" ca="1" si="15"/>
        <v>0</v>
      </c>
    </row>
    <row r="61" spans="2:31" s="55" customFormat="1">
      <c r="B61" s="90">
        <f>IF(FollowingUnits="kg/head",FollowingYIeld*FollowingPopulation/1000,IF(FollowingUnits="kg/ha",FollowingYIeld/1000,FollowingYIeld))</f>
        <v>6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45405</v>
      </c>
      <c r="S61" s="55">
        <f t="shared" ca="1" si="9"/>
        <v>45405</v>
      </c>
      <c r="T61" s="55">
        <f t="shared" ca="1" si="0"/>
        <v>99.419785305088993</v>
      </c>
      <c r="U61" s="55">
        <f t="shared" ca="1" si="1"/>
        <v>50.310027544262098</v>
      </c>
      <c r="V61" s="55">
        <f t="shared" ca="1" si="2"/>
        <v>0</v>
      </c>
      <c r="W61">
        <f t="shared" ca="1" si="3"/>
        <v>15.887485613803122</v>
      </c>
      <c r="X61">
        <f t="shared" ca="1" si="10"/>
        <v>0</v>
      </c>
      <c r="Y61">
        <f t="shared" ca="1" si="4"/>
        <v>0</v>
      </c>
      <c r="Z61">
        <f t="shared" ca="1" si="5"/>
        <v>0.99950805658564601</v>
      </c>
      <c r="AA61" s="83">
        <f ca="1"/>
        <v>45531</v>
      </c>
      <c r="AB61" s="55">
        <f t="shared" ca="1" si="12"/>
        <v>45531</v>
      </c>
      <c r="AC61" s="55">
        <f t="shared" ca="1" si="13"/>
        <v>121.79592690985751</v>
      </c>
      <c r="AD61" s="55">
        <f t="shared" ca="1" si="14"/>
        <v>4.7531288857944496</v>
      </c>
      <c r="AE61" s="55">
        <f t="shared" ca="1" si="15"/>
        <v>0</v>
      </c>
    </row>
    <row r="62" spans="2:31" s="55" customFormat="1">
      <c r="C62" s="61" t="s">
        <v>4</v>
      </c>
      <c r="D62" s="68">
        <f ca="1">IF(E62="",CurrentHarvestDate+15,E62)</f>
        <v>45502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45406</v>
      </c>
      <c r="S62" s="55">
        <f t="shared" ca="1" si="9"/>
        <v>45406</v>
      </c>
      <c r="T62" s="55">
        <f t="shared" ca="1" si="0"/>
        <v>97.959564587768895</v>
      </c>
      <c r="U62" s="55">
        <f t="shared" ca="1" si="1"/>
        <v>52.097253917798</v>
      </c>
      <c r="V62" s="55">
        <f t="shared" ca="1" si="2"/>
        <v>0</v>
      </c>
      <c r="W62">
        <f t="shared" ca="1" si="3"/>
        <v>16.190681752293386</v>
      </c>
      <c r="X62">
        <f t="shared" ca="1" si="10"/>
        <v>0</v>
      </c>
      <c r="Y62">
        <f t="shared" ca="1" si="4"/>
        <v>0</v>
      </c>
      <c r="Z62">
        <f t="shared" ca="1" si="5"/>
        <v>0.99961639675578495</v>
      </c>
      <c r="AA62" s="83">
        <f ca="1"/>
        <v>45532</v>
      </c>
      <c r="AB62" s="55">
        <f t="shared" ca="1" si="12"/>
        <v>45532</v>
      </c>
      <c r="AC62" s="55">
        <f t="shared" ca="1" si="13"/>
        <v>122.46496615371487</v>
      </c>
      <c r="AD62" s="55">
        <f t="shared" ca="1" si="14"/>
        <v>4.8840082022156004</v>
      </c>
      <c r="AE62" s="55">
        <f t="shared" ca="1" si="15"/>
        <v>0</v>
      </c>
    </row>
    <row r="63" spans="2:31" s="55" customFormat="1">
      <c r="C63" s="61" t="s">
        <v>5</v>
      </c>
      <c r="D63" s="68">
        <f ca="1">IF(E63="",FollowingEstablishDate+120,E63)</f>
        <v>45622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45407</v>
      </c>
      <c r="S63" s="55">
        <f t="shared" ca="1" si="9"/>
        <v>45407</v>
      </c>
      <c r="T63" s="55">
        <f t="shared" ca="1" si="0"/>
        <v>96.416030641912826</v>
      </c>
      <c r="U63" s="55">
        <f t="shared" ca="1" si="1"/>
        <v>53.962626161403399</v>
      </c>
      <c r="V63" s="55">
        <f t="shared" ca="1" si="2"/>
        <v>0</v>
      </c>
      <c r="W63">
        <f t="shared" ca="1" si="3"/>
        <v>15.028961226047944</v>
      </c>
      <c r="X63">
        <f t="shared" ca="1" si="10"/>
        <v>0</v>
      </c>
      <c r="Y63">
        <f t="shared" ca="1" si="4"/>
        <v>0</v>
      </c>
      <c r="Z63">
        <f t="shared" ca="1" si="5"/>
        <v>0.999701840115649</v>
      </c>
      <c r="AA63" s="83">
        <f ca="1"/>
        <v>45533</v>
      </c>
      <c r="AB63" s="55">
        <f t="shared" ca="1" si="12"/>
        <v>45533</v>
      </c>
      <c r="AC63" s="55">
        <f t="shared" ca="1" si="13"/>
        <v>123.14503628486051</v>
      </c>
      <c r="AD63" s="55">
        <f t="shared" ca="1" si="14"/>
        <v>5.02811654406994</v>
      </c>
      <c r="AE63" s="55">
        <f t="shared" ca="1" si="15"/>
        <v>0</v>
      </c>
    </row>
    <row r="64" spans="2:31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45408</v>
      </c>
      <c r="S64" s="55">
        <f t="shared" ca="1" si="9"/>
        <v>45408</v>
      </c>
      <c r="T64" s="55">
        <f t="shared" ca="1" si="0"/>
        <v>94.797281440804682</v>
      </c>
      <c r="U64" s="55">
        <f t="shared" ca="1" si="1"/>
        <v>55.907566329888098</v>
      </c>
      <c r="V64" s="55">
        <f t="shared" ca="1" si="2"/>
        <v>0</v>
      </c>
      <c r="W64">
        <f t="shared" ca="1" si="3"/>
        <v>15.522683651442815</v>
      </c>
      <c r="X64">
        <f t="shared" ca="1" si="10"/>
        <v>0</v>
      </c>
      <c r="Y64">
        <f t="shared" ca="1" si="4"/>
        <v>0</v>
      </c>
      <c r="Z64">
        <f t="shared" ca="1" si="5"/>
        <v>0.999768945566612</v>
      </c>
      <c r="AA64" s="83">
        <f ca="1"/>
        <v>45534</v>
      </c>
      <c r="AB64" s="55">
        <f t="shared" ca="1" si="12"/>
        <v>45534</v>
      </c>
      <c r="AC64" s="55">
        <f t="shared" ca="1" si="13"/>
        <v>123.7372414151601</v>
      </c>
      <c r="AD64" s="55">
        <f t="shared" ca="1" si="14"/>
        <v>5.1608715635009004</v>
      </c>
      <c r="AE64" s="55">
        <f t="shared" ca="1" si="15"/>
        <v>0</v>
      </c>
    </row>
    <row r="65" spans="2:31" s="55" customFormat="1">
      <c r="C65" s="61" t="s">
        <v>102</v>
      </c>
      <c r="D65" s="70">
        <f>IF(E65="",VLOOKUP(FollowingCropFullName,CropCoefficients,17,FALSE),E65)</f>
        <v>0.3</v>
      </c>
      <c r="E65" s="69">
        <v>0.3</v>
      </c>
      <c r="F65" s="61" t="s">
        <v>150</v>
      </c>
      <c r="G65" s="85" t="str">
        <f>IF(H65="","None removed",H65)</f>
        <v>None removed</v>
      </c>
      <c r="H65" s="72"/>
      <c r="R65" s="83">
        <f ca="1"/>
        <v>45409</v>
      </c>
      <c r="S65" s="55">
        <f t="shared" ca="1" si="9"/>
        <v>45409</v>
      </c>
      <c r="T65" s="55">
        <f t="shared" ca="1" si="0"/>
        <v>93.080492374643427</v>
      </c>
      <c r="U65" s="55">
        <f t="shared" ca="1" si="1"/>
        <v>57.9619285628158</v>
      </c>
      <c r="V65" s="55">
        <f t="shared" ca="1" si="2"/>
        <v>0</v>
      </c>
      <c r="W65">
        <f t="shared" ca="1" si="3"/>
        <v>16.369008255136606</v>
      </c>
      <c r="X65">
        <f t="shared" ca="1" si="10"/>
        <v>0</v>
      </c>
      <c r="Y65">
        <f t="shared" ca="1" si="4"/>
        <v>0</v>
      </c>
      <c r="Z65">
        <f t="shared" ca="1" si="5"/>
        <v>0.99982208178899401</v>
      </c>
      <c r="AA65" s="83">
        <f ca="1"/>
        <v>45535</v>
      </c>
      <c r="AB65" s="55">
        <f t="shared" ca="1" si="12"/>
        <v>45535</v>
      </c>
      <c r="AC65" s="55">
        <f t="shared" ca="1" si="13"/>
        <v>124.33442231225064</v>
      </c>
      <c r="AD65" s="55">
        <f t="shared" ca="1" si="14"/>
        <v>5.3089959344394897</v>
      </c>
      <c r="AE65" s="55">
        <f t="shared" ca="1" si="15"/>
        <v>0</v>
      </c>
    </row>
    <row r="66" spans="2:31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163</v>
      </c>
      <c r="G66" s="85" t="str">
        <f>IF(H66="","Full (Plough)",H66)</f>
        <v>Full (Plough)</v>
      </c>
      <c r="H66" s="72"/>
      <c r="R66" s="83">
        <f ca="1"/>
        <v>45410</v>
      </c>
      <c r="S66" s="55">
        <f t="shared" ca="1" si="9"/>
        <v>45410</v>
      </c>
      <c r="T66" s="55">
        <f t="shared" ca="1" si="0"/>
        <v>91.516771445859078</v>
      </c>
      <c r="U66" s="55">
        <f t="shared" ca="1" si="1"/>
        <v>59.848651424926203</v>
      </c>
      <c r="V66" s="55">
        <f t="shared" ca="1" si="2"/>
        <v>0</v>
      </c>
      <c r="W66">
        <f t="shared" ca="1" si="3"/>
        <v>20.771253136169715</v>
      </c>
      <c r="X66">
        <f t="shared" ca="1" si="10"/>
        <v>0</v>
      </c>
      <c r="Y66">
        <f t="shared" ca="1" si="4"/>
        <v>0</v>
      </c>
      <c r="Z66">
        <f t="shared" ca="1" si="5"/>
        <v>0.99985909871032996</v>
      </c>
      <c r="AA66" s="83">
        <f ca="1"/>
        <v>45536</v>
      </c>
      <c r="AB66" s="55">
        <f t="shared" ca="1" si="12"/>
        <v>45536</v>
      </c>
      <c r="AC66" s="55">
        <f t="shared" ca="1" si="13"/>
        <v>124.91599618908111</v>
      </c>
      <c r="AD66" s="55">
        <f t="shared" ca="1" si="14"/>
        <v>5.4692407669585998</v>
      </c>
      <c r="AE66" s="55">
        <f t="shared" ca="1" si="15"/>
        <v>0</v>
      </c>
    </row>
    <row r="67" spans="2:31">
      <c r="B67" s="55"/>
      <c r="C67" s="64" t="str">
        <f>"Yield "&amp;ROUND(FollowingYield_tperHa,0)&amp;" (t/ha)"</f>
        <v>Yield 6 (t/ha)</v>
      </c>
      <c r="D67" s="107" t="str">
        <f ca="1">"Following crop will take up "&amp;ROUND('Model Interface'!R4,0)&amp;" kg N/ha"</f>
        <v>Following crop will take up 71 kg N/ha</v>
      </c>
      <c r="R67" s="83">
        <f ca="1"/>
        <v>45411</v>
      </c>
      <c r="S67" s="55">
        <f t="shared" ca="1" si="9"/>
        <v>45411</v>
      </c>
      <c r="T67" s="55">
        <f t="shared" ca="1" si="0"/>
        <v>89.947361887354447</v>
      </c>
      <c r="U67" s="55">
        <f t="shared" ca="1" si="1"/>
        <v>61.737110784053797</v>
      </c>
      <c r="V67" s="55">
        <f t="shared" ca="1" si="2"/>
        <v>0</v>
      </c>
      <c r="W67">
        <f t="shared" ca="1" si="3"/>
        <v>21.814756306302762</v>
      </c>
      <c r="X67">
        <f t="shared" ca="1" si="10"/>
        <v>0</v>
      </c>
      <c r="Y67">
        <f t="shared" ca="1" si="4"/>
        <v>0</v>
      </c>
      <c r="Z67">
        <f t="shared" ca="1" si="5"/>
        <v>0.99988776234137</v>
      </c>
      <c r="AA67" s="83">
        <f ca="1"/>
        <v>45537</v>
      </c>
      <c r="AB67" s="55">
        <f t="shared" ca="1" si="12"/>
        <v>45537</v>
      </c>
      <c r="AC67" s="55">
        <f t="shared" ca="1" si="13"/>
        <v>125.44192107937323</v>
      </c>
      <c r="AD67" s="55">
        <f t="shared" ca="1" si="14"/>
        <v>5.6287959588689702</v>
      </c>
      <c r="AE67" s="55">
        <f t="shared" ca="1" si="15"/>
        <v>0</v>
      </c>
    </row>
    <row r="68" spans="2:31" ht="15.75" thickBot="1">
      <c r="C68" s="137" t="s">
        <v>190</v>
      </c>
      <c r="D68" s="137"/>
      <c r="E68" s="137"/>
      <c r="F68" s="137"/>
      <c r="G68" s="137"/>
      <c r="H68" s="137"/>
      <c r="R68" s="83">
        <f ca="1"/>
        <v>45412</v>
      </c>
      <c r="S68" s="55">
        <f t="shared" ca="1" si="9"/>
        <v>45412</v>
      </c>
      <c r="T68" s="55">
        <f t="shared" ca="1" si="0"/>
        <v>88.377735755178421</v>
      </c>
      <c r="U68" s="55">
        <f t="shared" ca="1" si="1"/>
        <v>63.608897604348002</v>
      </c>
      <c r="V68" s="55">
        <f t="shared" ca="1" si="2"/>
        <v>0</v>
      </c>
      <c r="W68">
        <f t="shared" ca="1" si="3"/>
        <v>21.17381896181201</v>
      </c>
      <c r="X68">
        <f t="shared" ca="1" si="10"/>
        <v>0</v>
      </c>
      <c r="Y68">
        <f t="shared" ca="1" si="4"/>
        <v>0</v>
      </c>
      <c r="Z68">
        <f t="shared" ca="1" si="5"/>
        <v>0.99990991283650199</v>
      </c>
      <c r="AA68" s="83">
        <f ca="1"/>
        <v>45538</v>
      </c>
      <c r="AB68" s="55">
        <f t="shared" ca="1" si="12"/>
        <v>45538</v>
      </c>
      <c r="AC68" s="55">
        <f t="shared" ca="1" si="13"/>
        <v>125.92973326095191</v>
      </c>
      <c r="AD68" s="55">
        <f t="shared" ca="1" si="14"/>
        <v>5.7923187546294796</v>
      </c>
      <c r="AE68" s="55">
        <f t="shared" ca="1" si="15"/>
        <v>0</v>
      </c>
    </row>
    <row r="69" spans="2:31">
      <c r="C69" s="61" t="s">
        <v>153</v>
      </c>
      <c r="D69" s="88">
        <v>50</v>
      </c>
      <c r="E69" s="105"/>
      <c r="R69" s="83">
        <f ca="1"/>
        <v>45413</v>
      </c>
      <c r="S69" s="55">
        <f t="shared" ca="1" si="9"/>
        <v>45413</v>
      </c>
      <c r="T69" s="55">
        <f t="shared" ca="1" si="0"/>
        <v>86.736798023305639</v>
      </c>
      <c r="U69" s="55">
        <f t="shared" ca="1" si="1"/>
        <v>65.549304137546997</v>
      </c>
      <c r="V69" s="55">
        <f t="shared" ca="1" si="2"/>
        <v>0</v>
      </c>
      <c r="W69">
        <f t="shared" ca="1" si="3"/>
        <v>20.493300848953862</v>
      </c>
      <c r="X69">
        <f t="shared" ca="1" si="10"/>
        <v>0</v>
      </c>
      <c r="Y69">
        <f t="shared" ca="1" si="4"/>
        <v>0</v>
      </c>
      <c r="Z69">
        <f t="shared" ca="1" si="5"/>
        <v>0.99992787526392601</v>
      </c>
      <c r="AA69" s="83">
        <f ca="1"/>
        <v>45539</v>
      </c>
      <c r="AB69" s="55">
        <f t="shared" ca="1" si="12"/>
        <v>45539</v>
      </c>
      <c r="AC69" s="55">
        <f t="shared" ca="1" si="13"/>
        <v>126.37331493586811</v>
      </c>
      <c r="AD69" s="55">
        <f t="shared" ca="1" si="14"/>
        <v>5.9556219631015503</v>
      </c>
      <c r="AE69" s="55">
        <f t="shared" ca="1" si="15"/>
        <v>0</v>
      </c>
    </row>
    <row r="70" spans="2:31">
      <c r="C70" s="61" t="s">
        <v>154</v>
      </c>
      <c r="D70" s="84"/>
      <c r="E70" s="69"/>
      <c r="R70" s="83">
        <f ca="1"/>
        <v>45414</v>
      </c>
      <c r="S70" s="55">
        <f t="shared" ca="1" si="9"/>
        <v>45414</v>
      </c>
      <c r="T70" s="55">
        <f t="shared" ca="1" si="0"/>
        <v>85.049214200702949</v>
      </c>
      <c r="U70" s="55">
        <f t="shared" ca="1" si="1"/>
        <v>67.527495712061494</v>
      </c>
      <c r="V70" s="55">
        <f t="shared" ca="1" si="2"/>
        <v>0</v>
      </c>
      <c r="W70">
        <f t="shared" ca="1" si="3"/>
        <v>19.556956816049155</v>
      </c>
      <c r="X70">
        <f t="shared" ca="1" si="10"/>
        <v>0</v>
      </c>
      <c r="Y70">
        <f t="shared" ca="1" si="4"/>
        <v>0</v>
      </c>
      <c r="Z70">
        <f t="shared" ca="1" si="5"/>
        <v>0.99994219229339398</v>
      </c>
      <c r="AA70" s="83">
        <f ca="1"/>
        <v>45540</v>
      </c>
      <c r="AB70" s="55">
        <f t="shared" ca="1" si="12"/>
        <v>45540</v>
      </c>
      <c r="AC70" s="55">
        <f t="shared" ca="1" si="13"/>
        <v>126.80440064595908</v>
      </c>
      <c r="AD70" s="55">
        <f t="shared" ca="1" si="14"/>
        <v>6.1318618640736604</v>
      </c>
      <c r="AE70" s="55">
        <f t="shared" ca="1" si="15"/>
        <v>0</v>
      </c>
    </row>
    <row r="71" spans="2:31">
      <c r="C71" s="61" t="s">
        <v>155</v>
      </c>
      <c r="D71" s="84"/>
      <c r="E71" s="69"/>
      <c r="R71" s="83">
        <f ca="1"/>
        <v>45415</v>
      </c>
      <c r="S71" s="55">
        <f t="shared" ca="1" si="9"/>
        <v>45415</v>
      </c>
      <c r="T71" s="55">
        <f t="shared" ca="1" si="0"/>
        <v>83.219777621223329</v>
      </c>
      <c r="U71" s="55">
        <f t="shared" ca="1" si="1"/>
        <v>69.661336592915802</v>
      </c>
      <c r="V71" s="55">
        <f t="shared" ca="1" si="2"/>
        <v>0</v>
      </c>
      <c r="W71">
        <f t="shared" ca="1" si="3"/>
        <v>19.584890181158826</v>
      </c>
      <c r="X71">
        <f t="shared" ca="1" si="10"/>
        <v>0</v>
      </c>
      <c r="Y71">
        <f t="shared" ca="1" si="4"/>
        <v>0</v>
      </c>
      <c r="Z71">
        <f t="shared" ca="1" si="5"/>
        <v>0.99995420325425999</v>
      </c>
      <c r="AA71" s="83">
        <f ca="1"/>
        <v>45541</v>
      </c>
      <c r="AB71" s="55">
        <f t="shared" ca="1" si="12"/>
        <v>45541</v>
      </c>
      <c r="AC71" s="55">
        <f t="shared" ca="1" si="13"/>
        <v>127.19480315376137</v>
      </c>
      <c r="AD71" s="55">
        <f t="shared" ca="1" si="14"/>
        <v>6.3142317264193402</v>
      </c>
      <c r="AE71" s="55">
        <f t="shared" ca="1" si="15"/>
        <v>0</v>
      </c>
    </row>
    <row r="72" spans="2:31">
      <c r="C72" s="61" t="s">
        <v>207</v>
      </c>
      <c r="D72" s="84">
        <f>3 *VLOOKUP(SoilOrder,ListMembers!$AM$6:$AN$17,2,FALSE)*(1-Rocks/100)</f>
        <v>60</v>
      </c>
      <c r="E72" s="69"/>
      <c r="R72" s="83">
        <f ca="1"/>
        <v>45416</v>
      </c>
      <c r="S72" s="55">
        <f t="shared" ca="1" si="9"/>
        <v>45416</v>
      </c>
      <c r="T72" s="55">
        <f t="shared" ca="1" si="0"/>
        <v>81.337600666400562</v>
      </c>
      <c r="U72" s="55">
        <f t="shared" ca="1" si="1"/>
        <v>71.841887110205604</v>
      </c>
      <c r="V72" s="55">
        <f t="shared" ca="1" si="2"/>
        <v>0</v>
      </c>
      <c r="W72">
        <f t="shared" ca="1" si="3"/>
        <v>19.040873560638367</v>
      </c>
      <c r="X72">
        <f t="shared" ca="1" si="10"/>
        <v>0</v>
      </c>
      <c r="Y72">
        <f t="shared" ca="1" si="4"/>
        <v>0</v>
      </c>
      <c r="Z72">
        <f t="shared" ca="1" si="5"/>
        <v>0.99996369283698605</v>
      </c>
      <c r="AA72" s="83">
        <f ca="1"/>
        <v>45542</v>
      </c>
      <c r="AB72" s="55">
        <f t="shared" ca="1" si="12"/>
        <v>45542</v>
      </c>
      <c r="AC72" s="55">
        <f t="shared" ca="1" si="13"/>
        <v>127.53953388788409</v>
      </c>
      <c r="AD72" s="55">
        <f t="shared" ca="1" si="14"/>
        <v>6.4940127223290096</v>
      </c>
      <c r="AE72" s="55">
        <f t="shared" ca="1" si="15"/>
        <v>0</v>
      </c>
    </row>
    <row r="73" spans="2:31">
      <c r="R73" s="83">
        <f ca="1"/>
        <v>45417</v>
      </c>
      <c r="S73" s="55">
        <f t="shared" ca="1" si="9"/>
        <v>45417</v>
      </c>
      <c r="T73" s="55">
        <f t="shared" ca="1" si="0"/>
        <v>79.264571267855473</v>
      </c>
      <c r="U73" s="55">
        <f t="shared" ca="1" si="1"/>
        <v>74.246114412854496</v>
      </c>
      <c r="V73" s="55">
        <f t="shared" ca="1" si="2"/>
        <v>0</v>
      </c>
      <c r="W73">
        <f t="shared" ca="1" si="3"/>
        <v>20.760949975978541</v>
      </c>
      <c r="X73">
        <f t="shared" ca="1" si="10"/>
        <v>0</v>
      </c>
      <c r="Y73">
        <f t="shared" ca="1" si="4"/>
        <v>0</v>
      </c>
      <c r="Z73">
        <f t="shared" ca="1" si="5"/>
        <v>0.99997171398736495</v>
      </c>
      <c r="AA73" s="83">
        <f ca="1"/>
        <v>45543</v>
      </c>
      <c r="AB73" s="55">
        <f t="shared" ca="1" si="12"/>
        <v>45543</v>
      </c>
      <c r="AC73" s="55">
        <f t="shared" ca="1" si="13"/>
        <v>127.84028871889176</v>
      </c>
      <c r="AD73" s="55">
        <f t="shared" ca="1" si="14"/>
        <v>6.6660463050198704</v>
      </c>
      <c r="AE73" s="55">
        <f t="shared" ca="1" si="15"/>
        <v>0</v>
      </c>
    </row>
    <row r="74" spans="2:31">
      <c r="R74" s="83">
        <f ca="1"/>
        <v>45418</v>
      </c>
      <c r="S74" s="55">
        <f t="shared" ca="1" si="9"/>
        <v>45418</v>
      </c>
      <c r="T74" s="55">
        <f t="shared" ca="1" si="0"/>
        <v>77.205587558580646</v>
      </c>
      <c r="U74" s="55">
        <f t="shared" ca="1" si="1"/>
        <v>76.616777038215304</v>
      </c>
      <c r="V74" s="55">
        <f t="shared" ca="1" si="2"/>
        <v>0</v>
      </c>
      <c r="W74">
        <f t="shared" ca="1" si="3"/>
        <v>20.119856561391046</v>
      </c>
      <c r="X74">
        <f t="shared" ca="1" si="10"/>
        <v>0</v>
      </c>
      <c r="Y74">
        <f t="shared" ca="1" si="4"/>
        <v>0</v>
      </c>
      <c r="Z74">
        <f t="shared" ca="1" si="5"/>
        <v>0.99997775046336801</v>
      </c>
      <c r="AA74" s="83">
        <f ca="1"/>
        <v>45544</v>
      </c>
      <c r="AB74" s="55">
        <f t="shared" ca="1" si="12"/>
        <v>45544</v>
      </c>
      <c r="AC74" s="55">
        <f t="shared" ca="1" si="13"/>
        <v>128.13971848040887</v>
      </c>
      <c r="AD74" s="55">
        <f t="shared" ca="1" si="14"/>
        <v>6.8642850934288404</v>
      </c>
      <c r="AE74" s="55">
        <f t="shared" ca="1" si="15"/>
        <v>0</v>
      </c>
    </row>
    <row r="75" spans="2:31">
      <c r="R75" s="83">
        <f ca="1"/>
        <v>45419</v>
      </c>
      <c r="S75" s="55">
        <f t="shared" ca="1" si="9"/>
        <v>45419</v>
      </c>
      <c r="T75" s="55">
        <f t="shared" ca="1" si="0"/>
        <v>75.29877736071785</v>
      </c>
      <c r="U75" s="55">
        <f t="shared" ca="1" si="1"/>
        <v>78.812187201506205</v>
      </c>
      <c r="V75" s="55">
        <f t="shared" ca="1" si="2"/>
        <v>0</v>
      </c>
      <c r="W75">
        <f t="shared" ca="1" si="3"/>
        <v>21.629800232919905</v>
      </c>
      <c r="X75">
        <f t="shared" ca="1" si="10"/>
        <v>0</v>
      </c>
      <c r="Y75">
        <f t="shared" ca="1" si="4"/>
        <v>0</v>
      </c>
      <c r="Z75">
        <f t="shared" ca="1" si="5"/>
        <v>0.99998209476537203</v>
      </c>
      <c r="AA75" s="83">
        <f ca="1"/>
        <v>45545</v>
      </c>
      <c r="AB75" s="55">
        <f t="shared" ca="1" si="12"/>
        <v>45545</v>
      </c>
      <c r="AC75" s="55">
        <f t="shared" ca="1" si="13"/>
        <v>128.43715451708584</v>
      </c>
      <c r="AD75" s="55">
        <f t="shared" ca="1" si="14"/>
        <v>7.0842103445306801</v>
      </c>
      <c r="AE75" s="55">
        <f t="shared" ca="1" si="15"/>
        <v>0</v>
      </c>
    </row>
    <row r="76" spans="2:31">
      <c r="R76" s="83">
        <f ca="1"/>
        <v>45420</v>
      </c>
      <c r="S76" s="55">
        <f t="shared" ca="1" si="9"/>
        <v>45420</v>
      </c>
      <c r="T76" s="55">
        <f t="shared" ca="1" si="0"/>
        <v>73.308061369720207</v>
      </c>
      <c r="U76" s="55">
        <f t="shared" ca="1" si="1"/>
        <v>81.088859880975903</v>
      </c>
      <c r="V76" s="55">
        <f t="shared" ca="1" si="2"/>
        <v>0</v>
      </c>
      <c r="W76">
        <f t="shared" ca="1" si="3"/>
        <v>20.712369234265491</v>
      </c>
      <c r="X76">
        <f t="shared" ca="1" si="10"/>
        <v>0</v>
      </c>
      <c r="Y76">
        <f t="shared" ca="1" si="4"/>
        <v>0</v>
      </c>
      <c r="Z76">
        <f t="shared" ca="1" si="5"/>
        <v>0.99998563689005604</v>
      </c>
      <c r="AA76" s="83">
        <f ca="1"/>
        <v>45546</v>
      </c>
      <c r="AB76" s="55">
        <f t="shared" ca="1" si="12"/>
        <v>45546</v>
      </c>
      <c r="AC76" s="55">
        <f t="shared" ca="1" si="13"/>
        <v>128.70401097203305</v>
      </c>
      <c r="AD76" s="55">
        <f t="shared" ca="1" si="14"/>
        <v>7.30866355181751</v>
      </c>
      <c r="AE76" s="55">
        <f t="shared" ca="1" si="15"/>
        <v>0</v>
      </c>
    </row>
    <row r="77" spans="2:31">
      <c r="R77" s="83">
        <f ca="1"/>
        <v>45421</v>
      </c>
      <c r="S77" s="55">
        <f t="shared" ca="1" si="9"/>
        <v>45421</v>
      </c>
      <c r="T77" s="55">
        <f t="shared" ca="1" si="0"/>
        <v>71.295147883001377</v>
      </c>
      <c r="U77" s="55">
        <f t="shared" ca="1" si="1"/>
        <v>83.386600303671401</v>
      </c>
      <c r="V77" s="55">
        <f t="shared" ca="1" si="2"/>
        <v>0</v>
      </c>
      <c r="W77">
        <f t="shared" ca="1" si="3"/>
        <v>21.356808373712816</v>
      </c>
      <c r="X77">
        <f t="shared" ca="1" si="10"/>
        <v>0</v>
      </c>
      <c r="Y77">
        <f t="shared" ca="1" si="4"/>
        <v>0</v>
      </c>
      <c r="Z77">
        <f t="shared" ca="1" si="5"/>
        <v>0.99998844758277505</v>
      </c>
      <c r="AA77" s="83">
        <f ca="1"/>
        <v>45547</v>
      </c>
      <c r="AB77" s="55">
        <f t="shared" ca="1" si="12"/>
        <v>45547</v>
      </c>
      <c r="AC77" s="55">
        <f t="shared" ca="1" si="13"/>
        <v>128.94356423746223</v>
      </c>
      <c r="AD77" s="55">
        <f t="shared" ca="1" si="14"/>
        <v>7.5339762117029396</v>
      </c>
      <c r="AE77" s="55">
        <f t="shared" ca="1" si="15"/>
        <v>0</v>
      </c>
    </row>
    <row r="78" spans="2:31">
      <c r="R78" s="83">
        <f ca="1"/>
        <v>45422</v>
      </c>
      <c r="S78" s="55">
        <f t="shared" ca="1" si="9"/>
        <v>45422</v>
      </c>
      <c r="T78" s="55">
        <f t="shared" ca="1" si="0"/>
        <v>69.157448615934982</v>
      </c>
      <c r="U78" s="55">
        <f t="shared" ca="1" si="1"/>
        <v>85.812459999075003</v>
      </c>
      <c r="V78" s="55">
        <f t="shared" ca="1" si="2"/>
        <v>0</v>
      </c>
      <c r="W78">
        <f t="shared" ca="1" si="3"/>
        <v>20.532810230939418</v>
      </c>
      <c r="X78">
        <f t="shared" ca="1" si="10"/>
        <v>0</v>
      </c>
      <c r="Y78">
        <f t="shared" ca="1" si="4"/>
        <v>0</v>
      </c>
      <c r="Z78">
        <f t="shared" ca="1" si="5"/>
        <v>0.99999077604013198</v>
      </c>
      <c r="AA78" s="83">
        <f ca="1"/>
        <v>45548</v>
      </c>
      <c r="AB78" s="55">
        <f t="shared" ca="1" si="12"/>
        <v>45548</v>
      </c>
      <c r="AC78" s="55">
        <f t="shared" ca="1" si="13"/>
        <v>129.16192102711628</v>
      </c>
      <c r="AD78" s="55">
        <f t="shared" ca="1" si="14"/>
        <v>7.7777031534955903</v>
      </c>
      <c r="AE78" s="55">
        <f t="shared" ca="1" si="15"/>
        <v>0</v>
      </c>
    </row>
    <row r="79" spans="2:31">
      <c r="R79" s="83">
        <f ca="1"/>
        <v>45423</v>
      </c>
      <c r="S79" s="55">
        <f t="shared" ca="1" si="9"/>
        <v>45423</v>
      </c>
      <c r="T79" s="55">
        <f t="shared" ca="1" si="0"/>
        <v>66.892035041145533</v>
      </c>
      <c r="U79" s="55">
        <f t="shared" ca="1" si="1"/>
        <v>88.375804255947898</v>
      </c>
      <c r="V79" s="55">
        <f t="shared" ca="1" si="2"/>
        <v>0</v>
      </c>
      <c r="W79">
        <f t="shared" ca="1" si="3"/>
        <v>20.717116983360171</v>
      </c>
      <c r="X79">
        <f t="shared" ca="1" si="10"/>
        <v>0</v>
      </c>
      <c r="Y79">
        <f t="shared" ca="1" si="4"/>
        <v>0</v>
      </c>
      <c r="Z79">
        <f t="shared" ca="1" si="5"/>
        <v>0.999992691690057</v>
      </c>
      <c r="AA79" s="83">
        <f ca="1"/>
        <v>45549</v>
      </c>
      <c r="AB79" s="55">
        <f t="shared" ca="1" si="12"/>
        <v>45549</v>
      </c>
      <c r="AC79" s="55">
        <f t="shared" ca="1" si="13"/>
        <v>129.35819127030999</v>
      </c>
      <c r="AD79" s="55">
        <f t="shared" ca="1" si="14"/>
        <v>8.0493565095113109</v>
      </c>
      <c r="AE79" s="55">
        <f t="shared" ca="1" si="15"/>
        <v>0</v>
      </c>
    </row>
    <row r="80" spans="2:31">
      <c r="R80" s="83">
        <f ca="1"/>
        <v>45424</v>
      </c>
      <c r="S80" s="55">
        <f t="shared" ca="1" si="9"/>
        <v>45424</v>
      </c>
      <c r="T80" s="55">
        <f t="shared" ca="1" si="0"/>
        <v>64.708853011302139</v>
      </c>
      <c r="U80" s="55">
        <f t="shared" ca="1" si="1"/>
        <v>90.835049690492596</v>
      </c>
      <c r="V80" s="55">
        <f t="shared" ca="1" si="2"/>
        <v>0</v>
      </c>
      <c r="W80">
        <f t="shared" ca="1" si="3"/>
        <v>20.280364291693544</v>
      </c>
      <c r="X80">
        <f t="shared" ca="1" si="10"/>
        <v>0</v>
      </c>
      <c r="Y80">
        <f t="shared" ca="1" si="4"/>
        <v>0</v>
      </c>
      <c r="Z80">
        <f t="shared" ca="1" si="5"/>
        <v>0.99999412762154005</v>
      </c>
      <c r="AA80" s="83">
        <f ca="1"/>
        <v>45550</v>
      </c>
      <c r="AB80" s="55">
        <f t="shared" ca="1" si="12"/>
        <v>45550</v>
      </c>
      <c r="AC80" s="55">
        <f t="shared" ca="1" si="13"/>
        <v>129.50749876968496</v>
      </c>
      <c r="AD80" s="55">
        <f t="shared" ca="1" si="14"/>
        <v>8.32504085571966</v>
      </c>
      <c r="AE80" s="55">
        <f t="shared" ca="1" si="15"/>
        <v>0</v>
      </c>
    </row>
    <row r="81" spans="18:31">
      <c r="R81" s="83">
        <f ca="1"/>
        <v>45425</v>
      </c>
      <c r="S81" s="55">
        <f t="shared" ca="1" si="9"/>
        <v>45425</v>
      </c>
      <c r="T81" s="55">
        <f t="shared" ca="1" si="0"/>
        <v>62.503002055594408</v>
      </c>
      <c r="U81" s="55">
        <f t="shared" ca="1" si="1"/>
        <v>93.313097762204507</v>
      </c>
      <c r="V81" s="55">
        <f t="shared" ca="1" si="2"/>
        <v>0</v>
      </c>
      <c r="W81">
        <f t="shared" ca="1" si="3"/>
        <v>20.372662252703712</v>
      </c>
      <c r="X81">
        <f t="shared" ca="1" si="10"/>
        <v>0</v>
      </c>
      <c r="Y81">
        <f t="shared" ca="1" si="4"/>
        <v>0</v>
      </c>
      <c r="Z81">
        <f t="shared" ca="1" si="5"/>
        <v>0.99999526914443204</v>
      </c>
      <c r="AA81" s="83">
        <f ca="1"/>
        <v>45551</v>
      </c>
      <c r="AB81" s="55">
        <f t="shared" ca="1" si="12"/>
        <v>45551</v>
      </c>
      <c r="AC81" s="55">
        <f t="shared" ca="1" si="13"/>
        <v>129.6133886373832</v>
      </c>
      <c r="AD81" s="55">
        <f t="shared" ca="1" si="14"/>
        <v>8.5921462979331409</v>
      </c>
      <c r="AE81" s="55">
        <f t="shared" ca="1" si="15"/>
        <v>0</v>
      </c>
    </row>
    <row r="82" spans="18:31">
      <c r="R82" s="83">
        <f ca="1"/>
        <v>45426</v>
      </c>
      <c r="S82" s="55">
        <f t="shared" ca="1" si="9"/>
        <v>45426</v>
      </c>
      <c r="T82" s="55">
        <f t="shared" ref="T82:T145" ca="1" si="19">VLOOKUP(S82,ModelOutputs,2,FALSE)</f>
        <v>60.340451712244231</v>
      </c>
      <c r="U82" s="55">
        <f t="shared" ref="U82:U145" ca="1" si="20">VLOOKUP(S82,ModelOutputs,7,FALSE)</f>
        <v>95.735638305471696</v>
      </c>
      <c r="V82" s="55">
        <f t="shared" ref="V82:V145" ca="1" si="21">VLOOKUP(S82,ModelOutputs,6,FALSE)</f>
        <v>0</v>
      </c>
      <c r="W82">
        <f t="shared" ref="W82:W145" ca="1" si="22">VLOOKUP(S82,ModelOutputs,10,FALSE)*AWC</f>
        <v>20.280552585237022</v>
      </c>
      <c r="X82">
        <f t="shared" ca="1" si="10"/>
        <v>0</v>
      </c>
      <c r="Y82">
        <f t="shared" ref="Y82:Y145" ca="1" si="23">VLOOKUP(S82,ModelOutputs,12,FALSE)</f>
        <v>0</v>
      </c>
      <c r="Z82">
        <f t="shared" ref="Z82:Z145" ca="1" si="24">VLOOKUP(S82,ModelOutputs,13,FALSE)</f>
        <v>0.99999615528394503</v>
      </c>
      <c r="AA82" s="83">
        <f ca="1"/>
        <v>45552</v>
      </c>
      <c r="AB82" s="55">
        <f t="shared" ca="1" si="12"/>
        <v>45552</v>
      </c>
      <c r="AC82" s="55">
        <f t="shared" ca="1" si="13"/>
        <v>129.69475973330958</v>
      </c>
      <c r="AD82" s="55">
        <f t="shared" ca="1" si="14"/>
        <v>8.8603005325959394</v>
      </c>
      <c r="AE82" s="55">
        <f t="shared" ca="1" si="15"/>
        <v>0</v>
      </c>
    </row>
    <row r="83" spans="18:31">
      <c r="R83" s="83">
        <f ca="1"/>
        <v>45427</v>
      </c>
      <c r="S83" s="55">
        <f t="shared" ref="S83:S146" ca="1" si="25">IF(R83&gt;1,R83,"")</f>
        <v>45427</v>
      </c>
      <c r="T83" s="55">
        <f t="shared" ca="1" si="19"/>
        <v>58.005924689780947</v>
      </c>
      <c r="U83" s="55">
        <f t="shared" ca="1" si="20"/>
        <v>98.345290717712999</v>
      </c>
      <c r="V83" s="55">
        <f t="shared" ca="1" si="21"/>
        <v>0</v>
      </c>
      <c r="W83">
        <f t="shared" ca="1" si="22"/>
        <v>20.562287330854218</v>
      </c>
      <c r="X83">
        <f t="shared" ref="X83:X146" ca="1" si="26">VLOOKUP(S83,ModelOutputs,11,FALSE)+X82</f>
        <v>0</v>
      </c>
      <c r="Y83">
        <f t="shared" ca="1" si="23"/>
        <v>0</v>
      </c>
      <c r="Z83">
        <f t="shared" ca="1" si="24"/>
        <v>0.99999691255288004</v>
      </c>
      <c r="AA83" s="83">
        <f ca="1"/>
        <v>45553</v>
      </c>
      <c r="AB83" s="55">
        <f t="shared" ca="1" si="12"/>
        <v>45553</v>
      </c>
      <c r="AC83" s="55">
        <f t="shared" ca="1" si="13"/>
        <v>129.75969790545426</v>
      </c>
      <c r="AD83" s="55">
        <f t="shared" ca="1" si="14"/>
        <v>9.1441119726439002</v>
      </c>
      <c r="AE83" s="55">
        <f t="shared" ca="1" si="15"/>
        <v>0</v>
      </c>
    </row>
    <row r="84" spans="18:31">
      <c r="R84" s="83">
        <f ca="1"/>
        <v>45428</v>
      </c>
      <c r="S84" s="55">
        <f t="shared" ca="1" si="25"/>
        <v>45428</v>
      </c>
      <c r="T84" s="55">
        <f t="shared" ca="1" si="19"/>
        <v>55.842278361560787</v>
      </c>
      <c r="U84" s="55">
        <f t="shared" ca="1" si="20"/>
        <v>100.766570196732</v>
      </c>
      <c r="V84" s="55">
        <f t="shared" ca="1" si="21"/>
        <v>0</v>
      </c>
      <c r="W84">
        <f t="shared" ca="1" si="22"/>
        <v>21.90770364964208</v>
      </c>
      <c r="X84">
        <f t="shared" ca="1" si="26"/>
        <v>0</v>
      </c>
      <c r="Y84">
        <f t="shared" ca="1" si="23"/>
        <v>0</v>
      </c>
      <c r="Z84">
        <f t="shared" ca="1" si="24"/>
        <v>0.99999747210716705</v>
      </c>
      <c r="AA84" s="83">
        <f ca="1"/>
        <v>45554</v>
      </c>
      <c r="AB84" s="55">
        <f t="shared" ca="1" si="12"/>
        <v>45554</v>
      </c>
      <c r="AC84" s="55">
        <f t="shared" ca="1" si="13"/>
        <v>129.80315318131642</v>
      </c>
      <c r="AD84" s="55">
        <f t="shared" ca="1" si="14"/>
        <v>9.4249123736712797</v>
      </c>
      <c r="AE84" s="55">
        <f t="shared" ca="1" si="15"/>
        <v>0</v>
      </c>
    </row>
    <row r="85" spans="18:31">
      <c r="R85" s="83">
        <f ca="1"/>
        <v>45429</v>
      </c>
      <c r="S85" s="55">
        <f t="shared" ca="1" si="25"/>
        <v>45429</v>
      </c>
      <c r="T85" s="55">
        <f t="shared" ca="1" si="19"/>
        <v>53.693430190009209</v>
      </c>
      <c r="U85" s="55">
        <f t="shared" ca="1" si="20"/>
        <v>103.16669349163899</v>
      </c>
      <c r="V85" s="55">
        <f t="shared" ca="1" si="21"/>
        <v>0</v>
      </c>
      <c r="W85">
        <f t="shared" ca="1" si="22"/>
        <v>21.986403045892921</v>
      </c>
      <c r="X85">
        <f t="shared" ca="1" si="26"/>
        <v>0</v>
      </c>
      <c r="Y85">
        <f t="shared" ca="1" si="23"/>
        <v>0</v>
      </c>
      <c r="Z85">
        <f t="shared" ca="1" si="24"/>
        <v>0.99999791999190901</v>
      </c>
      <c r="AA85" s="83">
        <f ca="1"/>
        <v>45555</v>
      </c>
      <c r="AB85" s="55">
        <f t="shared" ref="AB85:AB148" ca="1" si="27">IF(AA85&gt;1,AA85,"")</f>
        <v>45555</v>
      </c>
      <c r="AC85" s="55">
        <f t="shared" ref="AC85:AC148" ca="1" si="28">VLOOKUP(AB85,ModelOutputs,2,FALSE)</f>
        <v>129.8284779953963</v>
      </c>
      <c r="AD85" s="55">
        <f t="shared" ref="AD85:AD148" ca="1" si="29">VLOOKUP(AB85,ModelOutputs,7,FALSE)</f>
        <v>9.7281874822153807</v>
      </c>
      <c r="AE85" s="55">
        <f t="shared" ref="AE85:AE148" ca="1" si="30">VLOOKUP(AB85,ModelOutputs,6,FALSE)</f>
        <v>0</v>
      </c>
    </row>
    <row r="86" spans="18:31">
      <c r="R86" s="83">
        <f ca="1"/>
        <v>45430</v>
      </c>
      <c r="S86" s="55">
        <f t="shared" ca="1" si="25"/>
        <v>45430</v>
      </c>
      <c r="T86" s="55">
        <f t="shared" ca="1" si="19"/>
        <v>51.428897904825504</v>
      </c>
      <c r="U86" s="55">
        <f t="shared" ca="1" si="20"/>
        <v>105.69065836570699</v>
      </c>
      <c r="V86" s="55">
        <f t="shared" ca="1" si="21"/>
        <v>0</v>
      </c>
      <c r="W86">
        <f t="shared" ca="1" si="22"/>
        <v>22.14317567426426</v>
      </c>
      <c r="X86">
        <f t="shared" ca="1" si="26"/>
        <v>0</v>
      </c>
      <c r="Y86">
        <f t="shared" ca="1" si="23"/>
        <v>0</v>
      </c>
      <c r="Z86">
        <f t="shared" ca="1" si="24"/>
        <v>0.99999830014466295</v>
      </c>
      <c r="AA86" s="83">
        <f ca="1"/>
        <v>45556</v>
      </c>
      <c r="AB86" s="55">
        <f t="shared" ca="1" si="27"/>
        <v>45556</v>
      </c>
      <c r="AC86" s="55">
        <f t="shared" ca="1" si="28"/>
        <v>129.83544398515556</v>
      </c>
      <c r="AD86" s="55">
        <f t="shared" ca="1" si="29"/>
        <v>10.0296919345367</v>
      </c>
      <c r="AE86" s="55">
        <f t="shared" ca="1" si="30"/>
        <v>0</v>
      </c>
    </row>
    <row r="87" spans="18:31">
      <c r="R87" s="83">
        <f ca="1"/>
        <v>45431</v>
      </c>
      <c r="S87" s="55">
        <f t="shared" ca="1" si="25"/>
        <v>45431</v>
      </c>
      <c r="T87" s="55">
        <f t="shared" ca="1" si="19"/>
        <v>49.108704037494782</v>
      </c>
      <c r="U87" s="55">
        <f t="shared" ca="1" si="20"/>
        <v>108.274428712225</v>
      </c>
      <c r="V87" s="55">
        <f t="shared" ca="1" si="21"/>
        <v>0</v>
      </c>
      <c r="W87">
        <f t="shared" ca="1" si="22"/>
        <v>22.724077666135575</v>
      </c>
      <c r="X87">
        <f t="shared" ca="1" si="26"/>
        <v>0</v>
      </c>
      <c r="Y87">
        <f t="shared" ca="1" si="23"/>
        <v>0</v>
      </c>
      <c r="Z87">
        <f t="shared" ca="1" si="24"/>
        <v>0.99999861293066705</v>
      </c>
      <c r="AA87" s="83">
        <f ca="1"/>
        <v>45557</v>
      </c>
      <c r="AB87" s="55">
        <f t="shared" ca="1" si="27"/>
        <v>45557</v>
      </c>
      <c r="AC87" s="55">
        <f t="shared" ca="1" si="28"/>
        <v>129.82262862107132</v>
      </c>
      <c r="AD87" s="55">
        <f t="shared" ca="1" si="29"/>
        <v>10.3330778265815</v>
      </c>
      <c r="AE87" s="55">
        <f t="shared" ca="1" si="30"/>
        <v>0</v>
      </c>
    </row>
    <row r="88" spans="18:31">
      <c r="R88" s="83">
        <f ca="1"/>
        <v>45432</v>
      </c>
      <c r="S88" s="55">
        <f t="shared" ca="1" si="25"/>
        <v>45432</v>
      </c>
      <c r="T88" s="55">
        <f t="shared" ca="1" si="19"/>
        <v>46.820865019926018</v>
      </c>
      <c r="U88" s="55">
        <f t="shared" ca="1" si="20"/>
        <v>110.82455673114001</v>
      </c>
      <c r="V88" s="55">
        <f t="shared" ca="1" si="21"/>
        <v>0</v>
      </c>
      <c r="W88">
        <f t="shared" ca="1" si="22"/>
        <v>23.920067616927383</v>
      </c>
      <c r="X88">
        <f t="shared" ca="1" si="26"/>
        <v>0</v>
      </c>
      <c r="Y88">
        <f t="shared" ca="1" si="23"/>
        <v>0</v>
      </c>
      <c r="Z88">
        <f t="shared" ca="1" si="24"/>
        <v>0.99999886168624397</v>
      </c>
      <c r="AA88" s="83">
        <f ca="1"/>
        <v>45558</v>
      </c>
      <c r="AB88" s="55">
        <f t="shared" ca="1" si="27"/>
        <v>45558</v>
      </c>
      <c r="AC88" s="55">
        <f t="shared" ca="1" si="28"/>
        <v>129.79785892819928</v>
      </c>
      <c r="AD88" s="55">
        <f t="shared" ca="1" si="29"/>
        <v>10.661090454830401</v>
      </c>
      <c r="AE88" s="55">
        <f t="shared" ca="1" si="30"/>
        <v>0</v>
      </c>
    </row>
    <row r="89" spans="18:31">
      <c r="R89" s="83">
        <f ca="1"/>
        <v>45433</v>
      </c>
      <c r="S89" s="55">
        <f t="shared" ca="1" si="25"/>
        <v>45433</v>
      </c>
      <c r="T89" s="55">
        <f t="shared" ca="1" si="19"/>
        <v>44.707971086412101</v>
      </c>
      <c r="U89" s="55">
        <f t="shared" ca="1" si="20"/>
        <v>113.180280912279</v>
      </c>
      <c r="V89" s="55">
        <f t="shared" ca="1" si="21"/>
        <v>0</v>
      </c>
      <c r="W89">
        <f t="shared" ca="1" si="22"/>
        <v>24.390556244014093</v>
      </c>
      <c r="X89">
        <f t="shared" ca="1" si="26"/>
        <v>0</v>
      </c>
      <c r="Y89">
        <f t="shared" ca="1" si="23"/>
        <v>0</v>
      </c>
      <c r="Z89">
        <f t="shared" ca="1" si="24"/>
        <v>0.99999904922246496</v>
      </c>
      <c r="AA89" s="83">
        <f ca="1"/>
        <v>45559</v>
      </c>
      <c r="AB89" s="55">
        <f t="shared" ca="1" si="27"/>
        <v>45559</v>
      </c>
      <c r="AC89" s="55">
        <f t="shared" ca="1" si="28"/>
        <v>129.76644772104518</v>
      </c>
      <c r="AD89" s="55">
        <f t="shared" ca="1" si="29"/>
        <v>10.982109399031</v>
      </c>
      <c r="AE89" s="55">
        <f t="shared" ca="1" si="30"/>
        <v>0</v>
      </c>
    </row>
    <row r="90" spans="18:31">
      <c r="R90" s="83">
        <f ca="1"/>
        <v>45434</v>
      </c>
      <c r="S90" s="55">
        <f t="shared" ca="1" si="25"/>
        <v>45434</v>
      </c>
      <c r="T90" s="55">
        <f t="shared" ca="1" si="19"/>
        <v>42.391831461064676</v>
      </c>
      <c r="U90" s="55">
        <f t="shared" ca="1" si="20"/>
        <v>115.757052476863</v>
      </c>
      <c r="V90" s="55">
        <f t="shared" ca="1" si="21"/>
        <v>0</v>
      </c>
      <c r="W90">
        <f t="shared" ca="1" si="22"/>
        <v>24.648929977612827</v>
      </c>
      <c r="X90">
        <f t="shared" ca="1" si="26"/>
        <v>0</v>
      </c>
      <c r="Y90">
        <f t="shared" ca="1" si="23"/>
        <v>0</v>
      </c>
      <c r="Z90">
        <f t="shared" ca="1" si="24"/>
        <v>0.99999921708339001</v>
      </c>
      <c r="AA90" s="83">
        <f ca="1"/>
        <v>45560</v>
      </c>
      <c r="AB90" s="55">
        <f t="shared" ca="1" si="27"/>
        <v>45560</v>
      </c>
      <c r="AC90" s="55">
        <f t="shared" ca="1" si="28"/>
        <v>129.71556889598421</v>
      </c>
      <c r="AD90" s="55">
        <f t="shared" ca="1" si="29"/>
        <v>11.3401759506294</v>
      </c>
      <c r="AE90" s="55">
        <f t="shared" ca="1" si="30"/>
        <v>0</v>
      </c>
    </row>
    <row r="91" spans="18:31">
      <c r="R91" s="83">
        <f ca="1"/>
        <v>45435</v>
      </c>
      <c r="S91" s="55">
        <f t="shared" ca="1" si="25"/>
        <v>45435</v>
      </c>
      <c r="T91" s="55">
        <f t="shared" ca="1" si="19"/>
        <v>40.111180014174096</v>
      </c>
      <c r="U91" s="55">
        <f t="shared" ca="1" si="20"/>
        <v>118.304708201298</v>
      </c>
      <c r="V91" s="55">
        <f t="shared" ca="1" si="21"/>
        <v>0</v>
      </c>
      <c r="W91">
        <f t="shared" ca="1" si="22"/>
        <v>26.977391148086493</v>
      </c>
      <c r="X91">
        <f t="shared" ca="1" si="26"/>
        <v>0</v>
      </c>
      <c r="Y91">
        <f t="shared" ca="1" si="23"/>
        <v>0</v>
      </c>
      <c r="Z91">
        <f t="shared" ca="1" si="24"/>
        <v>0.99999935221550496</v>
      </c>
      <c r="AA91" s="83">
        <f ca="1"/>
        <v>45561</v>
      </c>
      <c r="AB91" s="55">
        <f t="shared" ca="1" si="27"/>
        <v>45561</v>
      </c>
      <c r="AC91" s="55">
        <f t="shared" ca="1" si="28"/>
        <v>129.63920958883159</v>
      </c>
      <c r="AD91" s="55">
        <f t="shared" ca="1" si="29"/>
        <v>11.7161262128411</v>
      </c>
      <c r="AE91" s="55">
        <f t="shared" ca="1" si="30"/>
        <v>0</v>
      </c>
    </row>
    <row r="92" spans="18:31">
      <c r="R92" s="83">
        <f ca="1"/>
        <v>45436</v>
      </c>
      <c r="S92" s="55">
        <f t="shared" ca="1" si="25"/>
        <v>45436</v>
      </c>
      <c r="T92" s="55">
        <f t="shared" ca="1" si="19"/>
        <v>37.912692422201033</v>
      </c>
      <c r="U92" s="55">
        <f t="shared" ca="1" si="20"/>
        <v>120.76199308050001</v>
      </c>
      <c r="V92" s="55">
        <f t="shared" ca="1" si="21"/>
        <v>0</v>
      </c>
      <c r="W92">
        <f t="shared" ca="1" si="22"/>
        <v>27.6661226091516</v>
      </c>
      <c r="X92">
        <f t="shared" ca="1" si="26"/>
        <v>0</v>
      </c>
      <c r="Y92">
        <f t="shared" ca="1" si="23"/>
        <v>0</v>
      </c>
      <c r="Z92">
        <f t="shared" ca="1" si="24"/>
        <v>0.99999945916037702</v>
      </c>
      <c r="AA92" s="83">
        <f ca="1"/>
        <v>45562</v>
      </c>
      <c r="AB92" s="55">
        <f t="shared" ca="1" si="27"/>
        <v>45562</v>
      </c>
      <c r="AC92" s="55">
        <f t="shared" ca="1" si="28"/>
        <v>129.5571394824496</v>
      </c>
      <c r="AD92" s="55">
        <f t="shared" ca="1" si="29"/>
        <v>12.093925214749801</v>
      </c>
      <c r="AE92" s="55">
        <f t="shared" ca="1" si="30"/>
        <v>0</v>
      </c>
    </row>
    <row r="93" spans="18:31">
      <c r="R93" s="83">
        <f ca="1"/>
        <v>45437</v>
      </c>
      <c r="S93" s="55">
        <f t="shared" ca="1" si="25"/>
        <v>45437</v>
      </c>
      <c r="T93" s="55">
        <f t="shared" ca="1" si="19"/>
        <v>35.65188706076151</v>
      </c>
      <c r="U93" s="55">
        <f t="shared" ca="1" si="20"/>
        <v>123.306266874507</v>
      </c>
      <c r="V93" s="55">
        <f t="shared" ca="1" si="21"/>
        <v>0</v>
      </c>
      <c r="W93">
        <f t="shared" ca="1" si="22"/>
        <v>31.048358052873322</v>
      </c>
      <c r="X93">
        <f t="shared" ca="1" si="26"/>
        <v>0</v>
      </c>
      <c r="Y93">
        <f t="shared" ca="1" si="23"/>
        <v>0</v>
      </c>
      <c r="Z93">
        <f t="shared" ca="1" si="24"/>
        <v>0.99999955030605203</v>
      </c>
      <c r="AA93" s="83">
        <f ca="1"/>
        <v>45563</v>
      </c>
      <c r="AB93" s="55">
        <f t="shared" ca="1" si="27"/>
        <v>45563</v>
      </c>
      <c r="AC93" s="55">
        <f t="shared" ca="1" si="28"/>
        <v>129.46548971896485</v>
      </c>
      <c r="AD93" s="55">
        <f t="shared" ca="1" si="29"/>
        <v>12.477699942263699</v>
      </c>
      <c r="AE93" s="55">
        <f t="shared" ca="1" si="30"/>
        <v>0</v>
      </c>
    </row>
    <row r="94" spans="18:31">
      <c r="R94" s="83">
        <f ca="1"/>
        <v>45438</v>
      </c>
      <c r="S94" s="55">
        <f t="shared" ca="1" si="25"/>
        <v>45438</v>
      </c>
      <c r="T94" s="55">
        <f t="shared" ca="1" si="19"/>
        <v>33.385448244697464</v>
      </c>
      <c r="U94" s="55">
        <f t="shared" ca="1" si="20"/>
        <v>125.849201954428</v>
      </c>
      <c r="V94" s="55">
        <f t="shared" ca="1" si="21"/>
        <v>0</v>
      </c>
      <c r="W94">
        <f t="shared" ca="1" si="22"/>
        <v>30.537009158900691</v>
      </c>
      <c r="X94">
        <f t="shared" ca="1" si="26"/>
        <v>0</v>
      </c>
      <c r="Y94">
        <f t="shared" ca="1" si="23"/>
        <v>0</v>
      </c>
      <c r="Z94">
        <f t="shared" ca="1" si="24"/>
        <v>0.99999962523706498</v>
      </c>
      <c r="AA94" s="83">
        <f ca="1"/>
        <v>45564</v>
      </c>
      <c r="AB94" s="55">
        <f t="shared" ca="1" si="27"/>
        <v>45564</v>
      </c>
      <c r="AC94" s="55">
        <f t="shared" ca="1" si="28"/>
        <v>129.33743615399914</v>
      </c>
      <c r="AD94" s="55">
        <f t="shared" ca="1" si="29"/>
        <v>12.919148095425999</v>
      </c>
      <c r="AE94" s="55">
        <f t="shared" ca="1" si="30"/>
        <v>0</v>
      </c>
    </row>
    <row r="95" spans="18:31">
      <c r="R95" s="83">
        <f ca="1"/>
        <v>45439</v>
      </c>
      <c r="S95" s="55">
        <f t="shared" ca="1" si="25"/>
        <v>45439</v>
      </c>
      <c r="T95" s="55">
        <f t="shared" ca="1" si="19"/>
        <v>31.168228386579816</v>
      </c>
      <c r="U95" s="55">
        <f t="shared" ca="1" si="20"/>
        <v>128.339656558988</v>
      </c>
      <c r="V95" s="55">
        <f t="shared" ca="1" si="21"/>
        <v>0</v>
      </c>
      <c r="W95">
        <f t="shared" ca="1" si="22"/>
        <v>31.383099549942479</v>
      </c>
      <c r="X95">
        <f t="shared" ca="1" si="26"/>
        <v>0</v>
      </c>
      <c r="Y95">
        <f t="shared" ca="1" si="23"/>
        <v>0</v>
      </c>
      <c r="Z95">
        <f t="shared" ca="1" si="24"/>
        <v>0.99999968587581201</v>
      </c>
      <c r="AA95" s="83">
        <f ca="1"/>
        <v>45565</v>
      </c>
      <c r="AB95" s="55">
        <f t="shared" ca="1" si="27"/>
        <v>45565</v>
      </c>
      <c r="AC95" s="55">
        <f t="shared" ca="1" si="28"/>
        <v>129.18356643330065</v>
      </c>
      <c r="AD95" s="55">
        <f t="shared" ca="1" si="29"/>
        <v>13.375906519009201</v>
      </c>
      <c r="AE95" s="55">
        <f t="shared" ca="1" si="30"/>
        <v>0</v>
      </c>
    </row>
    <row r="96" spans="18:31">
      <c r="R96" s="83">
        <f ca="1"/>
        <v>45440</v>
      </c>
      <c r="S96" s="55">
        <f t="shared" ca="1" si="25"/>
        <v>45440</v>
      </c>
      <c r="T96" s="55">
        <f t="shared" ca="1" si="19"/>
        <v>115.88029127715626</v>
      </c>
      <c r="U96" s="55">
        <f t="shared" ca="1" si="20"/>
        <v>130.91482552765899</v>
      </c>
      <c r="V96" s="55">
        <f t="shared" ca="1" si="21"/>
        <v>87</v>
      </c>
      <c r="W96">
        <f t="shared" ca="1" si="22"/>
        <v>32.871676985063118</v>
      </c>
      <c r="X96">
        <f t="shared" ca="1" si="26"/>
        <v>0</v>
      </c>
      <c r="Y96">
        <f t="shared" ca="1" si="23"/>
        <v>0</v>
      </c>
      <c r="Z96">
        <f t="shared" ca="1" si="24"/>
        <v>0.99999973776055695</v>
      </c>
      <c r="AA96" s="83">
        <f ca="1"/>
        <v>45566</v>
      </c>
      <c r="AB96" s="55">
        <f t="shared" ca="1" si="27"/>
        <v>45566</v>
      </c>
      <c r="AC96" s="55">
        <f t="shared" ca="1" si="28"/>
        <v>129.00451092616137</v>
      </c>
      <c r="AD96" s="55">
        <f t="shared" ca="1" si="29"/>
        <v>13.8595841810107</v>
      </c>
      <c r="AE96" s="55">
        <f t="shared" ca="1" si="30"/>
        <v>0</v>
      </c>
    </row>
    <row r="97" spans="18:31">
      <c r="R97" s="83">
        <f ca="1"/>
        <v>45441</v>
      </c>
      <c r="S97" s="55">
        <f t="shared" ca="1" si="25"/>
        <v>45441</v>
      </c>
      <c r="T97" s="55">
        <f t="shared" ca="1" si="19"/>
        <v>113.69424232765988</v>
      </c>
      <c r="U97" s="55">
        <f t="shared" ca="1" si="20"/>
        <v>133.37617772234901</v>
      </c>
      <c r="V97" s="55">
        <f t="shared" ca="1" si="21"/>
        <v>0</v>
      </c>
      <c r="W97">
        <f t="shared" ca="1" si="22"/>
        <v>33.214225568902258</v>
      </c>
      <c r="X97">
        <f t="shared" ca="1" si="26"/>
        <v>0</v>
      </c>
      <c r="Y97">
        <f t="shared" ca="1" si="23"/>
        <v>0</v>
      </c>
      <c r="Z97">
        <f t="shared" ca="1" si="24"/>
        <v>0.99999977892779002</v>
      </c>
      <c r="AA97" s="83">
        <f ca="1"/>
        <v>45567</v>
      </c>
      <c r="AB97" s="55">
        <f t="shared" ca="1" si="27"/>
        <v>45567</v>
      </c>
      <c r="AC97" s="55">
        <f t="shared" ca="1" si="28"/>
        <v>128.828930031109</v>
      </c>
      <c r="AD97" s="55">
        <f t="shared" ca="1" si="29"/>
        <v>14.326272360963699</v>
      </c>
      <c r="AE97" s="55">
        <f t="shared" ca="1" si="30"/>
        <v>0</v>
      </c>
    </row>
    <row r="98" spans="18:31">
      <c r="R98" s="83">
        <f ca="1"/>
        <v>45442</v>
      </c>
      <c r="S98" s="55">
        <f t="shared" ca="1" si="25"/>
        <v>45442</v>
      </c>
      <c r="T98" s="55">
        <f t="shared" ca="1" si="19"/>
        <v>111.46381242608147</v>
      </c>
      <c r="U98" s="55">
        <f t="shared" ca="1" si="20"/>
        <v>135.87767348441</v>
      </c>
      <c r="V98" s="55">
        <f t="shared" ca="1" si="21"/>
        <v>0</v>
      </c>
      <c r="W98">
        <f t="shared" ca="1" si="22"/>
        <v>32.370299310881855</v>
      </c>
      <c r="X98">
        <f t="shared" ca="1" si="26"/>
        <v>0</v>
      </c>
      <c r="Y98">
        <f t="shared" ca="1" si="23"/>
        <v>0</v>
      </c>
      <c r="Z98">
        <f t="shared" ca="1" si="24"/>
        <v>0.99999981383603698</v>
      </c>
      <c r="AA98" s="83">
        <f ca="1"/>
        <v>45568</v>
      </c>
      <c r="AB98" s="55">
        <f t="shared" ca="1" si="27"/>
        <v>45568</v>
      </c>
      <c r="AC98" s="55">
        <f t="shared" ca="1" si="28"/>
        <v>128.6513802814265</v>
      </c>
      <c r="AD98" s="55">
        <f t="shared" ca="1" si="29"/>
        <v>14.794334797390601</v>
      </c>
      <c r="AE98" s="55">
        <f t="shared" ca="1" si="30"/>
        <v>0</v>
      </c>
    </row>
    <row r="99" spans="18:31">
      <c r="R99" s="83">
        <f ca="1"/>
        <v>45443</v>
      </c>
      <c r="S99" s="55">
        <f t="shared" ca="1" si="25"/>
        <v>45443</v>
      </c>
      <c r="T99" s="55">
        <f t="shared" ca="1" si="19"/>
        <v>109.19014843315556</v>
      </c>
      <c r="U99" s="55">
        <f t="shared" ca="1" si="20"/>
        <v>138.43341491901</v>
      </c>
      <c r="V99" s="55">
        <f t="shared" ca="1" si="21"/>
        <v>0</v>
      </c>
      <c r="W99">
        <f t="shared" ca="1" si="22"/>
        <v>33.809997594173247</v>
      </c>
      <c r="X99">
        <f t="shared" ca="1" si="26"/>
        <v>0</v>
      </c>
      <c r="Y99">
        <f t="shared" ca="1" si="23"/>
        <v>0</v>
      </c>
      <c r="Z99">
        <f t="shared" ca="1" si="24"/>
        <v>0.99999984355430105</v>
      </c>
      <c r="AA99" s="83">
        <f ca="1"/>
        <v>45569</v>
      </c>
      <c r="AB99" s="55">
        <f t="shared" ca="1" si="27"/>
        <v>45569</v>
      </c>
      <c r="AC99" s="55">
        <f t="shared" ca="1" si="28"/>
        <v>128.458654673909</v>
      </c>
      <c r="AD99" s="55">
        <f t="shared" ca="1" si="29"/>
        <v>15.2718676371946</v>
      </c>
      <c r="AE99" s="55">
        <f t="shared" ca="1" si="30"/>
        <v>0</v>
      </c>
    </row>
    <row r="100" spans="18:31">
      <c r="R100" s="83">
        <f ca="1"/>
        <v>45444</v>
      </c>
      <c r="S100" s="55">
        <f t="shared" ca="1" si="25"/>
        <v>45444</v>
      </c>
      <c r="T100" s="55">
        <f t="shared" ca="1" si="19"/>
        <v>106.98909703761093</v>
      </c>
      <c r="U100" s="55">
        <f t="shared" ca="1" si="20"/>
        <v>140.91031944475199</v>
      </c>
      <c r="V100" s="55">
        <f t="shared" ca="1" si="21"/>
        <v>0</v>
      </c>
      <c r="W100">
        <f t="shared" ca="1" si="22"/>
        <v>34.426408282634043</v>
      </c>
      <c r="X100">
        <f t="shared" ca="1" si="26"/>
        <v>0</v>
      </c>
      <c r="Y100">
        <f t="shared" ca="1" si="23"/>
        <v>0</v>
      </c>
      <c r="Z100">
        <f t="shared" ca="1" si="24"/>
        <v>0.99999986761950899</v>
      </c>
      <c r="AA100" s="83">
        <f ca="1"/>
        <v>45570</v>
      </c>
      <c r="AB100" s="55">
        <f t="shared" ca="1" si="27"/>
        <v>45570</v>
      </c>
      <c r="AC100" s="55">
        <f t="shared" ca="1" si="28"/>
        <v>128.23406890243456</v>
      </c>
      <c r="AD100" s="55">
        <f t="shared" ca="1" si="29"/>
        <v>15.789895788653499</v>
      </c>
      <c r="AE100" s="55">
        <f t="shared" ca="1" si="30"/>
        <v>0</v>
      </c>
    </row>
    <row r="101" spans="18:31">
      <c r="R101" s="83">
        <f ca="1"/>
        <v>45445</v>
      </c>
      <c r="S101" s="55">
        <f t="shared" ca="1" si="25"/>
        <v>45445</v>
      </c>
      <c r="T101" s="55">
        <f t="shared" ca="1" si="19"/>
        <v>104.85933110452407</v>
      </c>
      <c r="U101" s="55">
        <f t="shared" ca="1" si="20"/>
        <v>143.310989685175</v>
      </c>
      <c r="V101" s="55">
        <f t="shared" ca="1" si="21"/>
        <v>0</v>
      </c>
      <c r="W101">
        <f t="shared" ca="1" si="22"/>
        <v>35.155955985619784</v>
      </c>
      <c r="X101">
        <f t="shared" ca="1" si="26"/>
        <v>0</v>
      </c>
      <c r="Y101">
        <f t="shared" ca="1" si="23"/>
        <v>0</v>
      </c>
      <c r="Z101">
        <f t="shared" ca="1" si="24"/>
        <v>0.99999988725260602</v>
      </c>
      <c r="AA101" s="83">
        <f ca="1"/>
        <v>45571</v>
      </c>
      <c r="AB101" s="55">
        <f t="shared" ca="1" si="27"/>
        <v>45571</v>
      </c>
      <c r="AC101" s="55">
        <f t="shared" ca="1" si="28"/>
        <v>127.9878448994739</v>
      </c>
      <c r="AD101" s="55">
        <f t="shared" ca="1" si="29"/>
        <v>16.327086369052299</v>
      </c>
      <c r="AE101" s="55">
        <f t="shared" ca="1" si="30"/>
        <v>0</v>
      </c>
    </row>
    <row r="102" spans="18:31">
      <c r="R102" s="83">
        <f ca="1"/>
        <v>45446</v>
      </c>
      <c r="S102" s="55">
        <f t="shared" ca="1" si="25"/>
        <v>45446</v>
      </c>
      <c r="T102" s="55">
        <f t="shared" ca="1" si="19"/>
        <v>102.76707013984361</v>
      </c>
      <c r="U102" s="55">
        <f t="shared" ca="1" si="20"/>
        <v>145.67400603955099</v>
      </c>
      <c r="V102" s="55">
        <f t="shared" ca="1" si="21"/>
        <v>0</v>
      </c>
      <c r="W102">
        <f t="shared" ca="1" si="22"/>
        <v>36.063142172460743</v>
      </c>
      <c r="X102">
        <f t="shared" ca="1" si="26"/>
        <v>0</v>
      </c>
      <c r="Y102">
        <f t="shared" ca="1" si="23"/>
        <v>0</v>
      </c>
      <c r="Z102">
        <f t="shared" ca="1" si="24"/>
        <v>0.99999990361267299</v>
      </c>
      <c r="AA102" s="83">
        <f ca="1"/>
        <v>45572</v>
      </c>
      <c r="AB102" s="55">
        <f t="shared" ca="1" si="27"/>
        <v>45572</v>
      </c>
      <c r="AC102" s="55">
        <f t="shared" ca="1" si="28"/>
        <v>127.75610113752229</v>
      </c>
      <c r="AD102" s="55">
        <f t="shared" ca="1" si="29"/>
        <v>16.843614121609701</v>
      </c>
      <c r="AE102" s="55">
        <f t="shared" ca="1" si="30"/>
        <v>0</v>
      </c>
    </row>
    <row r="103" spans="18:31">
      <c r="R103" s="83">
        <f ca="1"/>
        <v>45447</v>
      </c>
      <c r="S103" s="55">
        <f t="shared" ca="1" si="25"/>
        <v>45447</v>
      </c>
      <c r="T103" s="55">
        <f t="shared" ca="1" si="19"/>
        <v>100.68005065355672</v>
      </c>
      <c r="U103" s="55">
        <f t="shared" ca="1" si="20"/>
        <v>148.029385259436</v>
      </c>
      <c r="V103" s="55">
        <f t="shared" ca="1" si="21"/>
        <v>0</v>
      </c>
      <c r="W103">
        <f t="shared" ca="1" si="22"/>
        <v>36.120697655353617</v>
      </c>
      <c r="X103">
        <f t="shared" ca="1" si="26"/>
        <v>0</v>
      </c>
      <c r="Y103">
        <f t="shared" ca="1" si="23"/>
        <v>0</v>
      </c>
      <c r="Z103">
        <f t="shared" ca="1" si="24"/>
        <v>0.99999991746148897</v>
      </c>
      <c r="AA103" s="83">
        <f ca="1"/>
        <v>45573</v>
      </c>
      <c r="AB103" s="55">
        <f t="shared" ca="1" si="27"/>
        <v>45573</v>
      </c>
      <c r="AC103" s="55">
        <f t="shared" ca="1" si="28"/>
        <v>127.5238874676638</v>
      </c>
      <c r="AD103" s="55">
        <f t="shared" ca="1" si="29"/>
        <v>17.357576301830399</v>
      </c>
      <c r="AE103" s="55">
        <f t="shared" ca="1" si="30"/>
        <v>0</v>
      </c>
    </row>
    <row r="104" spans="18:31">
      <c r="R104" s="83">
        <f ca="1"/>
        <v>45448</v>
      </c>
      <c r="S104" s="55">
        <f t="shared" ca="1" si="25"/>
        <v>45448</v>
      </c>
      <c r="T104" s="55">
        <f t="shared" ca="1" si="19"/>
        <v>98.677831838234482</v>
      </c>
      <c r="U104" s="55">
        <f t="shared" ca="1" si="20"/>
        <v>150.291360486049</v>
      </c>
      <c r="V104" s="55">
        <f t="shared" ca="1" si="21"/>
        <v>0</v>
      </c>
      <c r="W104">
        <f t="shared" ca="1" si="22"/>
        <v>36.373205354745252</v>
      </c>
      <c r="X104">
        <f t="shared" ca="1" si="26"/>
        <v>0</v>
      </c>
      <c r="Y104">
        <f t="shared" ca="1" si="23"/>
        <v>0</v>
      </c>
      <c r="Z104">
        <f t="shared" ca="1" si="24"/>
        <v>0.99999992881093203</v>
      </c>
      <c r="AA104" s="83">
        <f ca="1"/>
        <v>45574</v>
      </c>
      <c r="AB104" s="55">
        <f t="shared" ca="1" si="27"/>
        <v>45574</v>
      </c>
      <c r="AC104" s="55">
        <f t="shared" ca="1" si="28"/>
        <v>127.28316406764714</v>
      </c>
      <c r="AD104" s="55">
        <f t="shared" ca="1" si="29"/>
        <v>17.881104231864501</v>
      </c>
      <c r="AE104" s="55">
        <f t="shared" ca="1" si="30"/>
        <v>0</v>
      </c>
    </row>
    <row r="105" spans="18:31">
      <c r="R105" s="83">
        <f ca="1"/>
        <v>45449</v>
      </c>
      <c r="S105" s="55">
        <f t="shared" ca="1" si="25"/>
        <v>45449</v>
      </c>
      <c r="T105" s="55">
        <f t="shared" ca="1" si="19"/>
        <v>96.601535331956427</v>
      </c>
      <c r="U105" s="55">
        <f t="shared" ca="1" si="20"/>
        <v>152.639260318808</v>
      </c>
      <c r="V105" s="55">
        <f t="shared" ca="1" si="21"/>
        <v>0</v>
      </c>
      <c r="W105">
        <f t="shared" ca="1" si="22"/>
        <v>37.394599958124289</v>
      </c>
      <c r="X105">
        <f t="shared" ca="1" si="26"/>
        <v>0</v>
      </c>
      <c r="Y105">
        <f t="shared" ca="1" si="23"/>
        <v>0</v>
      </c>
      <c r="Z105">
        <f t="shared" ca="1" si="24"/>
        <v>0.99999993888182803</v>
      </c>
      <c r="AA105" s="83">
        <f ca="1"/>
        <v>45575</v>
      </c>
      <c r="AB105" s="55">
        <f t="shared" ca="1" si="27"/>
        <v>45575</v>
      </c>
      <c r="AC105" s="55">
        <f t="shared" ca="1" si="28"/>
        <v>127.00901323859506</v>
      </c>
      <c r="AD105" s="55">
        <f t="shared" ca="1" si="29"/>
        <v>18.454886452224301</v>
      </c>
      <c r="AE105" s="55">
        <f t="shared" ca="1" si="30"/>
        <v>0</v>
      </c>
    </row>
    <row r="106" spans="18:31">
      <c r="R106" s="83">
        <f ca="1"/>
        <v>45450</v>
      </c>
      <c r="S106" s="55">
        <f t="shared" ca="1" si="25"/>
        <v>45450</v>
      </c>
      <c r="T106" s="55">
        <f t="shared" ca="1" si="19"/>
        <v>94.351442224466481</v>
      </c>
      <c r="U106" s="55">
        <f t="shared" ca="1" si="20"/>
        <v>155.18258147643601</v>
      </c>
      <c r="V106" s="55">
        <f t="shared" ca="1" si="21"/>
        <v>0</v>
      </c>
      <c r="W106">
        <f t="shared" ca="1" si="22"/>
        <v>38.291721082820246</v>
      </c>
      <c r="X106">
        <f t="shared" ca="1" si="26"/>
        <v>0</v>
      </c>
      <c r="Y106">
        <f t="shared" ca="1" si="23"/>
        <v>0</v>
      </c>
      <c r="Z106">
        <f t="shared" ca="1" si="24"/>
        <v>0.99999994813279003</v>
      </c>
      <c r="AA106" s="83">
        <f ca="1"/>
        <v>45576</v>
      </c>
      <c r="AB106" s="55">
        <f t="shared" ca="1" si="27"/>
        <v>45576</v>
      </c>
      <c r="AC106" s="55">
        <f t="shared" ca="1" si="28"/>
        <v>126.68367739762002</v>
      </c>
      <c r="AD106" s="55">
        <f t="shared" ca="1" si="29"/>
        <v>19.114124663610401</v>
      </c>
      <c r="AE106" s="55">
        <f t="shared" ca="1" si="30"/>
        <v>0</v>
      </c>
    </row>
    <row r="107" spans="18:31">
      <c r="R107" s="83">
        <f ca="1"/>
        <v>45451</v>
      </c>
      <c r="S107" s="55">
        <f t="shared" ca="1" si="25"/>
        <v>45451</v>
      </c>
      <c r="T107" s="55">
        <f t="shared" ca="1" si="19"/>
        <v>92.020888742903978</v>
      </c>
      <c r="U107" s="55">
        <f t="shared" ca="1" si="20"/>
        <v>157.814369378561</v>
      </c>
      <c r="V107" s="55">
        <f t="shared" ca="1" si="21"/>
        <v>0</v>
      </c>
      <c r="W107">
        <f t="shared" ca="1" si="22"/>
        <v>38.557087566654353</v>
      </c>
      <c r="X107">
        <f t="shared" ca="1" si="26"/>
        <v>0</v>
      </c>
      <c r="Y107">
        <f t="shared" ca="1" si="23"/>
        <v>0</v>
      </c>
      <c r="Z107">
        <f t="shared" ca="1" si="24"/>
        <v>0.99999995618427895</v>
      </c>
      <c r="AA107" s="83">
        <f ca="1"/>
        <v>45577</v>
      </c>
      <c r="AB107" s="55">
        <f t="shared" ca="1" si="27"/>
        <v>45577</v>
      </c>
      <c r="AC107" s="55">
        <f t="shared" ca="1" si="28"/>
        <v>126.36253454637853</v>
      </c>
      <c r="AD107" s="55">
        <f t="shared" ca="1" si="29"/>
        <v>19.760081801864199</v>
      </c>
      <c r="AE107" s="55">
        <f t="shared" ca="1" si="30"/>
        <v>0</v>
      </c>
    </row>
    <row r="108" spans="18:31">
      <c r="R108" s="83">
        <f ca="1"/>
        <v>45452</v>
      </c>
      <c r="S108" s="55">
        <f t="shared" ca="1" si="25"/>
        <v>45452</v>
      </c>
      <c r="T108" s="55">
        <f t="shared" ca="1" si="19"/>
        <v>89.678700584875173</v>
      </c>
      <c r="U108" s="55">
        <f t="shared" ca="1" si="20"/>
        <v>160.46324407541499</v>
      </c>
      <c r="V108" s="55">
        <f t="shared" ca="1" si="21"/>
        <v>0</v>
      </c>
      <c r="W108">
        <f t="shared" ca="1" si="22"/>
        <v>39.435439540588774</v>
      </c>
      <c r="X108">
        <f t="shared" ca="1" si="26"/>
        <v>0</v>
      </c>
      <c r="Y108">
        <f t="shared" ca="1" si="23"/>
        <v>0</v>
      </c>
      <c r="Z108">
        <f t="shared" ca="1" si="24"/>
        <v>0.99999996298591198</v>
      </c>
      <c r="AA108" s="83">
        <f ca="1"/>
        <v>45578</v>
      </c>
      <c r="AB108" s="55">
        <f t="shared" ca="1" si="27"/>
        <v>45578</v>
      </c>
      <c r="AC108" s="55">
        <f t="shared" ca="1" si="28"/>
        <v>126.03079313634834</v>
      </c>
      <c r="AD108" s="55">
        <f t="shared" ca="1" si="29"/>
        <v>20.402552458287001</v>
      </c>
      <c r="AE108" s="55">
        <f t="shared" ca="1" si="30"/>
        <v>0</v>
      </c>
    </row>
    <row r="109" spans="18:31">
      <c r="R109" s="83">
        <f ca="1"/>
        <v>45453</v>
      </c>
      <c r="S109" s="55">
        <f t="shared" ca="1" si="25"/>
        <v>45453</v>
      </c>
      <c r="T109" s="55">
        <f t="shared" ca="1" si="19"/>
        <v>87.387877598518145</v>
      </c>
      <c r="U109" s="55">
        <f t="shared" ca="1" si="20"/>
        <v>163.05337788978201</v>
      </c>
      <c r="V109" s="55">
        <f t="shared" ca="1" si="21"/>
        <v>0</v>
      </c>
      <c r="W109">
        <f t="shared" ca="1" si="22"/>
        <v>39.463701729200565</v>
      </c>
      <c r="X109">
        <f t="shared" ca="1" si="26"/>
        <v>0</v>
      </c>
      <c r="Y109">
        <f t="shared" ca="1" si="23"/>
        <v>0</v>
      </c>
      <c r="Z109">
        <f t="shared" ca="1" si="24"/>
        <v>0.99999996858330598</v>
      </c>
      <c r="AA109" s="83">
        <f ca="1"/>
        <v>45579</v>
      </c>
      <c r="AB109" s="55">
        <f t="shared" ca="1" si="27"/>
        <v>45579</v>
      </c>
      <c r="AC109" s="55">
        <f t="shared" ca="1" si="28"/>
        <v>125.68340422208603</v>
      </c>
      <c r="AD109" s="55">
        <f t="shared" ca="1" si="29"/>
        <v>21.045707021648902</v>
      </c>
      <c r="AE109" s="55">
        <f t="shared" ca="1" si="30"/>
        <v>0</v>
      </c>
    </row>
    <row r="110" spans="18:31">
      <c r="R110" s="83">
        <f ca="1"/>
        <v>45454</v>
      </c>
      <c r="S110" s="55">
        <f t="shared" ca="1" si="25"/>
        <v>45454</v>
      </c>
      <c r="T110" s="55">
        <f t="shared" ca="1" si="19"/>
        <v>85.07225875003742</v>
      </c>
      <c r="U110" s="55">
        <f t="shared" ca="1" si="20"/>
        <v>165.69090178819599</v>
      </c>
      <c r="V110" s="55">
        <f t="shared" ca="1" si="21"/>
        <v>0</v>
      </c>
      <c r="W110">
        <f t="shared" ca="1" si="22"/>
        <v>42.351781057419423</v>
      </c>
      <c r="X110">
        <f t="shared" ca="1" si="26"/>
        <v>0</v>
      </c>
      <c r="Y110">
        <f t="shared" ca="1" si="23"/>
        <v>0</v>
      </c>
      <c r="Z110">
        <f t="shared" ca="1" si="24"/>
        <v>0.999999973389045</v>
      </c>
      <c r="AA110" s="83">
        <f ca="1"/>
        <v>45580</v>
      </c>
      <c r="AB110" s="55">
        <f t="shared" ca="1" si="27"/>
        <v>45580</v>
      </c>
      <c r="AC110" s="55">
        <f t="shared" ca="1" si="28"/>
        <v>125.29346344248808</v>
      </c>
      <c r="AD110" s="55">
        <f t="shared" ca="1" si="29"/>
        <v>21.739597438760899</v>
      </c>
      <c r="AE110" s="55">
        <f t="shared" ca="1" si="30"/>
        <v>0</v>
      </c>
    </row>
    <row r="111" spans="18:31">
      <c r="R111" s="83">
        <f ca="1"/>
        <v>45455</v>
      </c>
      <c r="S111" s="55">
        <f t="shared" ca="1" si="25"/>
        <v>45455</v>
      </c>
      <c r="T111" s="55">
        <f t="shared" ca="1" si="19"/>
        <v>83.008632646454984</v>
      </c>
      <c r="U111" s="55">
        <f t="shared" ca="1" si="20"/>
        <v>168.054554013397</v>
      </c>
      <c r="V111" s="55">
        <f t="shared" ca="1" si="21"/>
        <v>0</v>
      </c>
      <c r="W111">
        <f t="shared" ca="1" si="22"/>
        <v>43.332731041820935</v>
      </c>
      <c r="X111">
        <f t="shared" ca="1" si="26"/>
        <v>0</v>
      </c>
      <c r="Y111">
        <f t="shared" ca="1" si="23"/>
        <v>0</v>
      </c>
      <c r="Z111">
        <f t="shared" ca="1" si="24"/>
        <v>0.99999997705042798</v>
      </c>
      <c r="AA111" s="83">
        <f ca="1"/>
        <v>45581</v>
      </c>
      <c r="AB111" s="55">
        <f t="shared" ca="1" si="27"/>
        <v>45581</v>
      </c>
      <c r="AC111" s="55">
        <f t="shared" ca="1" si="28"/>
        <v>124.85783395728259</v>
      </c>
      <c r="AD111" s="55">
        <f t="shared" ca="1" si="29"/>
        <v>22.501589739308599</v>
      </c>
      <c r="AE111" s="55">
        <f t="shared" ca="1" si="30"/>
        <v>0</v>
      </c>
    </row>
    <row r="112" spans="18:31">
      <c r="R112" s="83">
        <f ca="1"/>
        <v>45456</v>
      </c>
      <c r="S112" s="55">
        <f t="shared" ca="1" si="25"/>
        <v>45456</v>
      </c>
      <c r="T112" s="55">
        <f t="shared" ca="1" si="19"/>
        <v>80.822387350197857</v>
      </c>
      <c r="U112" s="55">
        <f t="shared" ca="1" si="20"/>
        <v>170.55488713020799</v>
      </c>
      <c r="V112" s="55">
        <f t="shared" ca="1" si="21"/>
        <v>0</v>
      </c>
      <c r="W112">
        <f t="shared" ca="1" si="22"/>
        <v>43.661921286393451</v>
      </c>
      <c r="X112">
        <f t="shared" ca="1" si="26"/>
        <v>0</v>
      </c>
      <c r="Y112">
        <f t="shared" ca="1" si="23"/>
        <v>0</v>
      </c>
      <c r="Z112">
        <f t="shared" ca="1" si="24"/>
        <v>0.999999980362549</v>
      </c>
      <c r="AA112" s="83">
        <f ca="1"/>
        <v>45582</v>
      </c>
      <c r="AB112" s="55">
        <f t="shared" ca="1" si="27"/>
        <v>45582</v>
      </c>
      <c r="AC112" s="55">
        <f t="shared" ca="1" si="28"/>
        <v>124.41601714787916</v>
      </c>
      <c r="AD112" s="55">
        <f t="shared" ca="1" si="29"/>
        <v>23.244188118251699</v>
      </c>
      <c r="AE112" s="55">
        <f t="shared" ca="1" si="30"/>
        <v>0</v>
      </c>
    </row>
    <row r="113" spans="18:31">
      <c r="R113" s="83">
        <f ca="1"/>
        <v>45457</v>
      </c>
      <c r="S113" s="55">
        <f t="shared" ca="1" si="25"/>
        <v>45457</v>
      </c>
      <c r="T113" s="55">
        <f t="shared" ca="1" si="19"/>
        <v>78.608815846533346</v>
      </c>
      <c r="U113" s="55">
        <f t="shared" ca="1" si="20"/>
        <v>173.103692777319</v>
      </c>
      <c r="V113" s="55">
        <f t="shared" ca="1" si="21"/>
        <v>0</v>
      </c>
      <c r="W113">
        <f t="shared" ca="1" si="22"/>
        <v>46.158265288897113</v>
      </c>
      <c r="X113">
        <f t="shared" ca="1" si="26"/>
        <v>0</v>
      </c>
      <c r="Y113">
        <f t="shared" ca="1" si="23"/>
        <v>0</v>
      </c>
      <c r="Z113">
        <f t="shared" ca="1" si="24"/>
        <v>0.99999998323545303</v>
      </c>
      <c r="AA113" s="83">
        <f ca="1"/>
        <v>45583</v>
      </c>
      <c r="AB113" s="55">
        <f t="shared" ca="1" si="27"/>
        <v>45583</v>
      </c>
      <c r="AC113" s="55">
        <f t="shared" ca="1" si="28"/>
        <v>123.95829048250233</v>
      </c>
      <c r="AD113" s="55">
        <f t="shared" ca="1" si="29"/>
        <v>24.003609488985099</v>
      </c>
      <c r="AE113" s="55">
        <f t="shared" ca="1" si="30"/>
        <v>0</v>
      </c>
    </row>
    <row r="114" spans="18:31">
      <c r="R114" s="83">
        <f ca="1"/>
        <v>45458</v>
      </c>
      <c r="S114" s="55">
        <f t="shared" ca="1" si="25"/>
        <v>45458</v>
      </c>
      <c r="T114" s="55">
        <f t="shared" ca="1" si="19"/>
        <v>76.608137984948542</v>
      </c>
      <c r="U114" s="55">
        <f t="shared" ca="1" si="20"/>
        <v>175.42685158906301</v>
      </c>
      <c r="V114" s="55">
        <f t="shared" ca="1" si="21"/>
        <v>0</v>
      </c>
      <c r="W114">
        <f t="shared" ca="1" si="22"/>
        <v>47.842172127729739</v>
      </c>
      <c r="X114">
        <f t="shared" ca="1" si="26"/>
        <v>0</v>
      </c>
      <c r="Y114">
        <f t="shared" ca="1" si="23"/>
        <v>0</v>
      </c>
      <c r="Z114">
        <f t="shared" ca="1" si="24"/>
        <v>0.99999998547784397</v>
      </c>
      <c r="AA114" s="83">
        <f ca="1"/>
        <v>45584</v>
      </c>
      <c r="AB114" s="55">
        <f t="shared" ca="1" si="27"/>
        <v>45584</v>
      </c>
      <c r="AC114" s="55">
        <f t="shared" ca="1" si="28"/>
        <v>123.47106556133858</v>
      </c>
      <c r="AD114" s="55">
        <f t="shared" ca="1" si="29"/>
        <v>24.786016405069802</v>
      </c>
      <c r="AE114" s="55">
        <f t="shared" ca="1" si="30"/>
        <v>0</v>
      </c>
    </row>
    <row r="115" spans="18:31">
      <c r="R115" s="83">
        <f ca="1"/>
        <v>45459</v>
      </c>
      <c r="S115" s="55">
        <f t="shared" ca="1" si="25"/>
        <v>45459</v>
      </c>
      <c r="T115" s="55">
        <f t="shared" ca="1" si="19"/>
        <v>74.81716569889133</v>
      </c>
      <c r="U115" s="55">
        <f t="shared" ca="1" si="20"/>
        <v>177.531582725801</v>
      </c>
      <c r="V115" s="55">
        <f t="shared" ca="1" si="21"/>
        <v>0</v>
      </c>
      <c r="W115">
        <f t="shared" ca="1" si="22"/>
        <v>49.9915011427154</v>
      </c>
      <c r="X115">
        <f t="shared" ca="1" si="26"/>
        <v>0</v>
      </c>
      <c r="Y115">
        <f t="shared" ca="1" si="23"/>
        <v>0</v>
      </c>
      <c r="Z115">
        <f t="shared" ca="1" si="24"/>
        <v>0.99999998724368799</v>
      </c>
      <c r="AA115" s="83">
        <f ca="1"/>
        <v>45585</v>
      </c>
      <c r="AB115" s="55">
        <f t="shared" ca="1" si="27"/>
        <v>45585</v>
      </c>
      <c r="AC115" s="55">
        <f t="shared" ca="1" si="28"/>
        <v>122.91347464016367</v>
      </c>
      <c r="AD115" s="55">
        <f t="shared" ca="1" si="29"/>
        <v>25.6629849620705</v>
      </c>
      <c r="AE115" s="55">
        <f t="shared" ca="1" si="30"/>
        <v>0</v>
      </c>
    </row>
    <row r="116" spans="18:31">
      <c r="R116" s="83">
        <f ca="1"/>
        <v>45460</v>
      </c>
      <c r="S116" s="55">
        <f t="shared" ca="1" si="25"/>
        <v>45460</v>
      </c>
      <c r="T116" s="55">
        <f t="shared" ca="1" si="19"/>
        <v>72.88319207370003</v>
      </c>
      <c r="U116" s="55">
        <f t="shared" ca="1" si="20"/>
        <v>179.80490031660901</v>
      </c>
      <c r="V116" s="55">
        <f t="shared" ca="1" si="21"/>
        <v>0</v>
      </c>
      <c r="W116">
        <f t="shared" ca="1" si="22"/>
        <v>51.263681831055642</v>
      </c>
      <c r="X116">
        <f t="shared" ca="1" si="26"/>
        <v>0</v>
      </c>
      <c r="Y116">
        <f t="shared" ca="1" si="23"/>
        <v>0</v>
      </c>
      <c r="Z116">
        <f t="shared" ca="1" si="24"/>
        <v>0.99999998890574504</v>
      </c>
      <c r="AA116" s="83">
        <f ca="1"/>
        <v>45586</v>
      </c>
      <c r="AB116" s="55">
        <f t="shared" ca="1" si="27"/>
        <v>45586</v>
      </c>
      <c r="AC116" s="55">
        <f t="shared" ca="1" si="28"/>
        <v>122.37641291678332</v>
      </c>
      <c r="AD116" s="55">
        <f t="shared" ca="1" si="29"/>
        <v>26.485537329889599</v>
      </c>
      <c r="AE116" s="55">
        <f t="shared" ca="1" si="30"/>
        <v>0</v>
      </c>
    </row>
    <row r="117" spans="18:31">
      <c r="R117" s="83">
        <f ca="1"/>
        <v>45461</v>
      </c>
      <c r="S117" s="55">
        <f t="shared" ca="1" si="25"/>
        <v>45461</v>
      </c>
      <c r="T117" s="55">
        <f t="shared" ca="1" si="19"/>
        <v>70.981369584739241</v>
      </c>
      <c r="U117" s="55">
        <f t="shared" ca="1" si="20"/>
        <v>182.05084122302</v>
      </c>
      <c r="V117" s="55">
        <f t="shared" ca="1" si="21"/>
        <v>0</v>
      </c>
      <c r="W117">
        <f t="shared" ca="1" si="22"/>
        <v>52.476925133541449</v>
      </c>
      <c r="X117">
        <f t="shared" ca="1" si="26"/>
        <v>0</v>
      </c>
      <c r="Y117">
        <f t="shared" ca="1" si="23"/>
        <v>0</v>
      </c>
      <c r="Z117">
        <f t="shared" ca="1" si="24"/>
        <v>0.99999999033106102</v>
      </c>
      <c r="AA117" s="83">
        <f ca="1"/>
        <v>45587</v>
      </c>
      <c r="AB117" s="55">
        <f t="shared" ca="1" si="27"/>
        <v>45587</v>
      </c>
      <c r="AC117" s="55">
        <f t="shared" ca="1" si="28"/>
        <v>121.82267905115032</v>
      </c>
      <c r="AD117" s="55">
        <f t="shared" ca="1" si="29"/>
        <v>27.322509394620401</v>
      </c>
      <c r="AE117" s="55">
        <f t="shared" ca="1" si="30"/>
        <v>0</v>
      </c>
    </row>
    <row r="118" spans="18:31">
      <c r="R118" s="83">
        <f ca="1"/>
        <v>45462</v>
      </c>
      <c r="S118" s="55">
        <f t="shared" ca="1" si="25"/>
        <v>45462</v>
      </c>
      <c r="T118" s="55">
        <f t="shared" ca="1" si="19"/>
        <v>69.061459597510705</v>
      </c>
      <c r="U118" s="55">
        <f t="shared" ca="1" si="20"/>
        <v>184.32535966182201</v>
      </c>
      <c r="V118" s="55">
        <f t="shared" ca="1" si="21"/>
        <v>0</v>
      </c>
      <c r="W118">
        <f t="shared" ca="1" si="22"/>
        <v>53.602484613373107</v>
      </c>
      <c r="X118">
        <f t="shared" ca="1" si="26"/>
        <v>0</v>
      </c>
      <c r="Y118">
        <f t="shared" ca="1" si="23"/>
        <v>0</v>
      </c>
      <c r="Z118">
        <f t="shared" ca="1" si="24"/>
        <v>0.99999999158481201</v>
      </c>
      <c r="AA118" s="83">
        <f ca="1"/>
        <v>45588</v>
      </c>
      <c r="AB118" s="55">
        <f t="shared" ca="1" si="27"/>
        <v>45588</v>
      </c>
      <c r="AC118" s="55">
        <f t="shared" ca="1" si="28"/>
        <v>121.24231329427496</v>
      </c>
      <c r="AD118" s="55">
        <f t="shared" ca="1" si="29"/>
        <v>28.183798757187301</v>
      </c>
      <c r="AE118" s="55">
        <f t="shared" ca="1" si="30"/>
        <v>0</v>
      </c>
    </row>
    <row r="119" spans="18:31">
      <c r="R119" s="83">
        <f ca="1"/>
        <v>45463</v>
      </c>
      <c r="S119" s="55">
        <f t="shared" ca="1" si="25"/>
        <v>45463</v>
      </c>
      <c r="T119" s="55">
        <f t="shared" ca="1" si="19"/>
        <v>67.107121819345878</v>
      </c>
      <c r="U119" s="55">
        <f t="shared" ca="1" si="20"/>
        <v>186.64688052445501</v>
      </c>
      <c r="V119" s="55">
        <f t="shared" ca="1" si="21"/>
        <v>0</v>
      </c>
      <c r="W119">
        <f t="shared" ca="1" si="22"/>
        <v>54.681018950835039</v>
      </c>
      <c r="X119">
        <f t="shared" ca="1" si="26"/>
        <v>0</v>
      </c>
      <c r="Y119">
        <f t="shared" ca="1" si="23"/>
        <v>0</v>
      </c>
      <c r="Z119">
        <f t="shared" ca="1" si="24"/>
        <v>0.999999992694384</v>
      </c>
      <c r="AA119" s="83">
        <f ca="1"/>
        <v>45589</v>
      </c>
      <c r="AB119" s="55">
        <f t="shared" ca="1" si="27"/>
        <v>45589</v>
      </c>
      <c r="AC119" s="55">
        <f t="shared" ca="1" si="28"/>
        <v>120.62353590056097</v>
      </c>
      <c r="AD119" s="55">
        <f t="shared" ca="1" si="29"/>
        <v>29.0806213826537</v>
      </c>
      <c r="AE119" s="55">
        <f t="shared" ca="1" si="30"/>
        <v>0</v>
      </c>
    </row>
    <row r="120" spans="18:31">
      <c r="R120" s="83">
        <f ca="1"/>
        <v>45464</v>
      </c>
      <c r="S120" s="55">
        <f t="shared" ca="1" si="25"/>
        <v>45464</v>
      </c>
      <c r="T120" s="55">
        <f t="shared" ca="1" si="19"/>
        <v>65.287636801822899</v>
      </c>
      <c r="U120" s="55">
        <f t="shared" ca="1" si="20"/>
        <v>188.82524364664499</v>
      </c>
      <c r="V120" s="55">
        <f t="shared" ca="1" si="21"/>
        <v>0</v>
      </c>
      <c r="W120">
        <f t="shared" ca="1" si="22"/>
        <v>55.875823987225374</v>
      </c>
      <c r="X120">
        <f t="shared" ca="1" si="26"/>
        <v>0</v>
      </c>
      <c r="Y120">
        <f t="shared" ca="1" si="23"/>
        <v>0</v>
      </c>
      <c r="Z120">
        <f t="shared" ca="1" si="24"/>
        <v>0.99999999360023495</v>
      </c>
      <c r="AA120" s="83">
        <f ca="1"/>
        <v>45590</v>
      </c>
      <c r="AB120" s="55">
        <f t="shared" ca="1" si="27"/>
        <v>45590</v>
      </c>
      <c r="AC120" s="55">
        <f t="shared" ca="1" si="28"/>
        <v>119.92775846752207</v>
      </c>
      <c r="AD120" s="55">
        <f t="shared" ca="1" si="29"/>
        <v>30.079687371603399</v>
      </c>
      <c r="AE120" s="55">
        <f t="shared" ca="1" si="30"/>
        <v>0</v>
      </c>
    </row>
    <row r="121" spans="18:31">
      <c r="R121" s="83">
        <f ca="1"/>
        <v>45465</v>
      </c>
      <c r="S121" s="55">
        <f t="shared" ca="1" si="25"/>
        <v>45465</v>
      </c>
      <c r="T121" s="55">
        <f t="shared" ca="1" si="19"/>
        <v>63.445215452348982</v>
      </c>
      <c r="U121" s="55">
        <f t="shared" ca="1" si="20"/>
        <v>191.03095174048201</v>
      </c>
      <c r="V121" s="55">
        <f t="shared" ca="1" si="21"/>
        <v>0</v>
      </c>
      <c r="W121">
        <f t="shared" ca="1" si="22"/>
        <v>56.148196112018852</v>
      </c>
      <c r="X121">
        <f t="shared" ca="1" si="26"/>
        <v>0</v>
      </c>
      <c r="Y121">
        <f t="shared" ca="1" si="23"/>
        <v>0</v>
      </c>
      <c r="Z121">
        <f t="shared" ca="1" si="24"/>
        <v>0.99999999440163201</v>
      </c>
      <c r="AA121" s="83">
        <f ca="1"/>
        <v>45591</v>
      </c>
      <c r="AB121" s="55">
        <f t="shared" ca="1" si="27"/>
        <v>45591</v>
      </c>
      <c r="AC121" s="55">
        <f t="shared" ca="1" si="28"/>
        <v>119.23607445422218</v>
      </c>
      <c r="AD121" s="55">
        <f t="shared" ca="1" si="29"/>
        <v>31.063200307937599</v>
      </c>
      <c r="AE121" s="55">
        <f t="shared" ca="1" si="30"/>
        <v>0</v>
      </c>
    </row>
    <row r="122" spans="18:31">
      <c r="R122" s="83">
        <f ca="1"/>
        <v>45466</v>
      </c>
      <c r="S122" s="55">
        <f t="shared" ca="1" si="25"/>
        <v>45466</v>
      </c>
      <c r="T122" s="55">
        <f t="shared" ca="1" si="19"/>
        <v>61.509783839682598</v>
      </c>
      <c r="U122" s="55">
        <f t="shared" ca="1" si="20"/>
        <v>193.348375205606</v>
      </c>
      <c r="V122" s="55">
        <f t="shared" ca="1" si="21"/>
        <v>0</v>
      </c>
      <c r="W122">
        <f t="shared" ca="1" si="22"/>
        <v>56.9609056823655</v>
      </c>
      <c r="X122">
        <f t="shared" ca="1" si="26"/>
        <v>0</v>
      </c>
      <c r="Y122">
        <f t="shared" ca="1" si="23"/>
        <v>0</v>
      </c>
      <c r="Z122">
        <f t="shared" ca="1" si="24"/>
        <v>0.99999999513455695</v>
      </c>
      <c r="AA122" s="83">
        <f ca="1"/>
        <v>45592</v>
      </c>
      <c r="AB122" s="55">
        <f t="shared" ca="1" si="27"/>
        <v>45592</v>
      </c>
      <c r="AC122" s="55">
        <f t="shared" ca="1" si="28"/>
        <v>118.48976439596291</v>
      </c>
      <c r="AD122" s="55">
        <f t="shared" ca="1" si="29"/>
        <v>32.119773143615099</v>
      </c>
      <c r="AE122" s="55">
        <f t="shared" ca="1" si="30"/>
        <v>0</v>
      </c>
    </row>
    <row r="123" spans="18:31">
      <c r="R123" s="83">
        <f ca="1"/>
        <v>45467</v>
      </c>
      <c r="S123" s="55">
        <f t="shared" ca="1" si="25"/>
        <v>45467</v>
      </c>
      <c r="T123" s="55">
        <f t="shared" ca="1" si="19"/>
        <v>59.594648831467026</v>
      </c>
      <c r="U123" s="55">
        <f t="shared" ca="1" si="20"/>
        <v>195.64558810162401</v>
      </c>
      <c r="V123" s="55">
        <f t="shared" ca="1" si="21"/>
        <v>0</v>
      </c>
      <c r="W123">
        <f t="shared" ca="1" si="22"/>
        <v>57.36886394710136</v>
      </c>
      <c r="X123">
        <f t="shared" ca="1" si="26"/>
        <v>0</v>
      </c>
      <c r="Y123">
        <f t="shared" ca="1" si="23"/>
        <v>0</v>
      </c>
      <c r="Z123">
        <f t="shared" ca="1" si="24"/>
        <v>0.99999999576544796</v>
      </c>
      <c r="AA123" s="83">
        <f ca="1"/>
        <v>45593</v>
      </c>
      <c r="AB123" s="55">
        <f t="shared" ca="1" si="27"/>
        <v>45593</v>
      </c>
      <c r="AC123" s="55">
        <f t="shared" ca="1" si="28"/>
        <v>117.70691727393148</v>
      </c>
      <c r="AD123" s="55">
        <f t="shared" ca="1" si="29"/>
        <v>33.214884646398097</v>
      </c>
      <c r="AE123" s="55">
        <f t="shared" ca="1" si="30"/>
        <v>0</v>
      </c>
    </row>
    <row r="124" spans="18:31">
      <c r="R124" s="83">
        <f ca="1"/>
        <v>45468</v>
      </c>
      <c r="S124" s="55">
        <f t="shared" ca="1" si="25"/>
        <v>45468</v>
      </c>
      <c r="T124" s="55">
        <f t="shared" ca="1" si="19"/>
        <v>57.60010894142723</v>
      </c>
      <c r="U124" s="55">
        <f t="shared" ca="1" si="20"/>
        <v>198.033946032454</v>
      </c>
      <c r="V124" s="55">
        <f t="shared" ca="1" si="21"/>
        <v>0</v>
      </c>
      <c r="W124">
        <f t="shared" ca="1" si="22"/>
        <v>57.535383553882554</v>
      </c>
      <c r="X124">
        <f t="shared" ca="1" si="26"/>
        <v>0</v>
      </c>
      <c r="Y124">
        <f t="shared" ca="1" si="23"/>
        <v>0</v>
      </c>
      <c r="Z124">
        <f t="shared" ca="1" si="24"/>
        <v>0.99999999633409797</v>
      </c>
      <c r="AA124" s="83">
        <f ca="1"/>
        <v>45594</v>
      </c>
      <c r="AB124" s="55">
        <f t="shared" ca="1" si="27"/>
        <v>45594</v>
      </c>
      <c r="AC124" s="55">
        <f t="shared" ca="1" si="28"/>
        <v>116.9206476008513</v>
      </c>
      <c r="AD124" s="55">
        <f t="shared" ca="1" si="29"/>
        <v>34.304171426410903</v>
      </c>
      <c r="AE124" s="55">
        <f t="shared" ca="1" si="30"/>
        <v>0</v>
      </c>
    </row>
    <row r="125" spans="18:31">
      <c r="R125" s="83">
        <f ca="1"/>
        <v>45469</v>
      </c>
      <c r="S125" s="55">
        <f t="shared" ca="1" si="25"/>
        <v>45469</v>
      </c>
      <c r="T125" s="55">
        <f t="shared" ca="1" si="19"/>
        <v>55.762713690302384</v>
      </c>
      <c r="U125" s="55">
        <f t="shared" ca="1" si="20"/>
        <v>200.243934135431</v>
      </c>
      <c r="V125" s="55">
        <f t="shared" ca="1" si="21"/>
        <v>0</v>
      </c>
      <c r="W125">
        <f t="shared" ca="1" si="22"/>
        <v>58.341980455108221</v>
      </c>
      <c r="X125">
        <f t="shared" ca="1" si="26"/>
        <v>0</v>
      </c>
      <c r="Y125">
        <f t="shared" ca="1" si="23"/>
        <v>0</v>
      </c>
      <c r="Z125">
        <f t="shared" ca="1" si="24"/>
        <v>0.99999999679158202</v>
      </c>
      <c r="AA125" s="83">
        <f ca="1"/>
        <v>45595</v>
      </c>
      <c r="AB125" s="55">
        <f t="shared" ca="1" si="27"/>
        <v>45595</v>
      </c>
      <c r="AC125" s="55">
        <f t="shared" ca="1" si="28"/>
        <v>116.10992381151448</v>
      </c>
      <c r="AD125" s="55">
        <f t="shared" ca="1" si="29"/>
        <v>35.410045218631602</v>
      </c>
      <c r="AE125" s="55">
        <f t="shared" ca="1" si="30"/>
        <v>0</v>
      </c>
    </row>
    <row r="126" spans="18:31">
      <c r="R126" s="83">
        <f ca="1"/>
        <v>45470</v>
      </c>
      <c r="S126" s="55">
        <f t="shared" ca="1" si="25"/>
        <v>45470</v>
      </c>
      <c r="T126" s="55">
        <f t="shared" ca="1" si="19"/>
        <v>54.005760991833014</v>
      </c>
      <c r="U126" s="55">
        <f t="shared" ca="1" si="20"/>
        <v>202.362372787315</v>
      </c>
      <c r="V126" s="55">
        <f t="shared" ca="1" si="21"/>
        <v>0</v>
      </c>
      <c r="W126">
        <f t="shared" ca="1" si="22"/>
        <v>59.121466786860623</v>
      </c>
      <c r="X126">
        <f t="shared" ca="1" si="26"/>
        <v>0</v>
      </c>
      <c r="Y126">
        <f t="shared" ca="1" si="23"/>
        <v>0</v>
      </c>
      <c r="Z126">
        <f t="shared" ca="1" si="24"/>
        <v>0.99999999717615895</v>
      </c>
      <c r="AA126" s="83">
        <f ca="1"/>
        <v>45596</v>
      </c>
      <c r="AB126" s="55">
        <f t="shared" ca="1" si="27"/>
        <v>45596</v>
      </c>
      <c r="AC126" s="55">
        <f t="shared" ca="1" si="28"/>
        <v>115.23561543720656</v>
      </c>
      <c r="AD126" s="55">
        <f t="shared" ca="1" si="29"/>
        <v>36.593291444466402</v>
      </c>
      <c r="AE126" s="55">
        <f t="shared" ca="1" si="30"/>
        <v>0</v>
      </c>
    </row>
    <row r="127" spans="18:31">
      <c r="R127" s="83">
        <f ca="1"/>
        <v>45471</v>
      </c>
      <c r="S127" s="55">
        <f t="shared" ca="1" si="25"/>
        <v>45471</v>
      </c>
      <c r="T127" s="55">
        <f t="shared" ca="1" si="19"/>
        <v>52.176136432499916</v>
      </c>
      <c r="U127" s="55">
        <f t="shared" ca="1" si="20"/>
        <v>204.562686842933</v>
      </c>
      <c r="V127" s="55">
        <f t="shared" ca="1" si="21"/>
        <v>0</v>
      </c>
      <c r="W127">
        <f t="shared" ca="1" si="22"/>
        <v>60</v>
      </c>
      <c r="X127">
        <f t="shared" ca="1" si="26"/>
        <v>1.3221597058755563</v>
      </c>
      <c r="Y127">
        <f t="shared" ca="1" si="23"/>
        <v>0</v>
      </c>
      <c r="Z127">
        <f t="shared" ca="1" si="24"/>
        <v>0.99999999752670099</v>
      </c>
      <c r="AA127" s="83">
        <f ca="1"/>
        <v>45597</v>
      </c>
      <c r="AB127" s="55">
        <f t="shared" ca="1" si="27"/>
        <v>45597</v>
      </c>
      <c r="AC127" s="55">
        <f t="shared" ca="1" si="28"/>
        <v>114.38371597894073</v>
      </c>
      <c r="AD127" s="55">
        <f t="shared" ca="1" si="29"/>
        <v>37.737711138453598</v>
      </c>
      <c r="AE127" s="55">
        <f t="shared" ca="1" si="30"/>
        <v>0</v>
      </c>
    </row>
    <row r="128" spans="18:31">
      <c r="R128" s="83">
        <f ca="1"/>
        <v>45472</v>
      </c>
      <c r="S128" s="55">
        <f t="shared" ca="1" si="25"/>
        <v>45472</v>
      </c>
      <c r="T128" s="55">
        <f t="shared" ca="1" si="19"/>
        <v>50.238118141762172</v>
      </c>
      <c r="U128" s="55">
        <f t="shared" ca="1" si="20"/>
        <v>206.88569775166999</v>
      </c>
      <c r="V128" s="55">
        <f t="shared" ca="1" si="21"/>
        <v>0</v>
      </c>
      <c r="W128">
        <f t="shared" ca="1" si="22"/>
        <v>60</v>
      </c>
      <c r="X128">
        <f t="shared" ca="1" si="26"/>
        <v>2.2817906831921775</v>
      </c>
      <c r="Y128">
        <f t="shared" ca="1" si="23"/>
        <v>0</v>
      </c>
      <c r="Z128">
        <f t="shared" ca="1" si="24"/>
        <v>0.99999999784958704</v>
      </c>
      <c r="AA128" s="83">
        <f ca="1"/>
        <v>45598</v>
      </c>
      <c r="AB128" s="55">
        <f t="shared" ca="1" si="27"/>
        <v>45598</v>
      </c>
      <c r="AC128" s="55">
        <f t="shared" ca="1" si="28"/>
        <v>113.49580502364907</v>
      </c>
      <c r="AD128" s="55">
        <f t="shared" ca="1" si="29"/>
        <v>38.920922737445501</v>
      </c>
      <c r="AE128" s="55">
        <f t="shared" ca="1" si="30"/>
        <v>0</v>
      </c>
    </row>
    <row r="129" spans="18:31">
      <c r="R129" s="83">
        <f ca="1"/>
        <v>45473</v>
      </c>
      <c r="S129" s="55">
        <f t="shared" ca="1" si="25"/>
        <v>45473</v>
      </c>
      <c r="T129" s="55">
        <f t="shared" ca="1" si="19"/>
        <v>48.517535215927367</v>
      </c>
      <c r="U129" s="55">
        <f t="shared" ca="1" si="20"/>
        <v>208.96215032552601</v>
      </c>
      <c r="V129" s="55">
        <f t="shared" ca="1" si="21"/>
        <v>0</v>
      </c>
      <c r="W129">
        <f t="shared" ca="1" si="22"/>
        <v>60</v>
      </c>
      <c r="X129">
        <f t="shared" ca="1" si="26"/>
        <v>2.5478945372663588</v>
      </c>
      <c r="Y129">
        <f t="shared" ca="1" si="23"/>
        <v>0</v>
      </c>
      <c r="Z129">
        <f t="shared" ca="1" si="24"/>
        <v>0.99999999810233298</v>
      </c>
      <c r="AA129" s="83">
        <f ca="1"/>
        <v>45599</v>
      </c>
      <c r="AB129" s="55">
        <f t="shared" ca="1" si="27"/>
        <v>45599</v>
      </c>
      <c r="AC129" s="55">
        <f t="shared" ca="1" si="28"/>
        <v>112.58242612826585</v>
      </c>
      <c r="AD129" s="55">
        <f t="shared" ca="1" si="29"/>
        <v>40.129333140160099</v>
      </c>
      <c r="AE129" s="55">
        <f t="shared" ca="1" si="30"/>
        <v>0</v>
      </c>
    </row>
    <row r="130" spans="18:31">
      <c r="R130" s="83">
        <f ca="1"/>
        <v>45474</v>
      </c>
      <c r="S130" s="55">
        <f t="shared" ca="1" si="25"/>
        <v>45474</v>
      </c>
      <c r="T130" s="55">
        <f t="shared" ca="1" si="19"/>
        <v>46.902416942699467</v>
      </c>
      <c r="U130" s="55">
        <f t="shared" ca="1" si="20"/>
        <v>210.91959576591699</v>
      </c>
      <c r="V130" s="55">
        <f t="shared" ca="1" si="21"/>
        <v>0</v>
      </c>
      <c r="W130">
        <f t="shared" ca="1" si="22"/>
        <v>60</v>
      </c>
      <c r="X130">
        <f t="shared" ca="1" si="26"/>
        <v>3.1137602891548539</v>
      </c>
      <c r="Y130">
        <f t="shared" ca="1" si="23"/>
        <v>0</v>
      </c>
      <c r="Z130">
        <f t="shared" ca="1" si="24"/>
        <v>0.99999999831335395</v>
      </c>
      <c r="AA130" s="83">
        <f ca="1"/>
        <v>45600</v>
      </c>
      <c r="AB130" s="55">
        <f t="shared" ca="1" si="27"/>
        <v>45600</v>
      </c>
      <c r="AC130" s="55">
        <f t="shared" ca="1" si="28"/>
        <v>111.66414920969862</v>
      </c>
      <c r="AD130" s="55">
        <f t="shared" ca="1" si="29"/>
        <v>41.340725877871598</v>
      </c>
      <c r="AE130" s="55">
        <f t="shared" ca="1" si="30"/>
        <v>0</v>
      </c>
    </row>
    <row r="131" spans="18:31">
      <c r="R131" s="83">
        <f ca="1"/>
        <v>45475</v>
      </c>
      <c r="S131" s="55">
        <f t="shared" ca="1" si="25"/>
        <v>45475</v>
      </c>
      <c r="T131" s="55">
        <f t="shared" ca="1" si="19"/>
        <v>45.115799758411612</v>
      </c>
      <c r="U131" s="55">
        <f t="shared" ca="1" si="20"/>
        <v>213.07046270273301</v>
      </c>
      <c r="V131" s="55">
        <f t="shared" ca="1" si="21"/>
        <v>0</v>
      </c>
      <c r="W131">
        <f t="shared" ca="1" si="22"/>
        <v>60</v>
      </c>
      <c r="X131">
        <f t="shared" ca="1" si="26"/>
        <v>3.669224372494206</v>
      </c>
      <c r="Y131">
        <f t="shared" ca="1" si="23"/>
        <v>0</v>
      </c>
      <c r="Z131">
        <f t="shared" ca="1" si="24"/>
        <v>0.99999999851833299</v>
      </c>
      <c r="AA131" s="83">
        <f ca="1"/>
        <v>45601</v>
      </c>
      <c r="AB131" s="55">
        <f t="shared" ca="1" si="27"/>
        <v>45601</v>
      </c>
      <c r="AC131" s="55">
        <f t="shared" ca="1" si="28"/>
        <v>110.76427293791828</v>
      </c>
      <c r="AD131" s="55">
        <f t="shared" ca="1" si="29"/>
        <v>42.519718634283301</v>
      </c>
      <c r="AE131" s="55">
        <f t="shared" ca="1" si="30"/>
        <v>0</v>
      </c>
    </row>
    <row r="132" spans="18:31">
      <c r="R132" s="83">
        <f ca="1"/>
        <v>45476</v>
      </c>
      <c r="S132" s="55">
        <f t="shared" ca="1" si="25"/>
        <v>45476</v>
      </c>
      <c r="T132" s="55">
        <f t="shared" ca="1" si="19"/>
        <v>43.247991833534869</v>
      </c>
      <c r="U132" s="55">
        <f t="shared" ca="1" si="20"/>
        <v>215.31330113283099</v>
      </c>
      <c r="V132" s="55">
        <f t="shared" ca="1" si="21"/>
        <v>0</v>
      </c>
      <c r="W132">
        <f t="shared" ca="1" si="22"/>
        <v>60</v>
      </c>
      <c r="X132">
        <f t="shared" ca="1" si="26"/>
        <v>3.9281088968587454</v>
      </c>
      <c r="Y132">
        <f t="shared" ca="1" si="23"/>
        <v>0</v>
      </c>
      <c r="Z132">
        <f t="shared" ca="1" si="24"/>
        <v>0.99999999870569001</v>
      </c>
      <c r="AA132" s="83">
        <f ca="1"/>
        <v>45602</v>
      </c>
      <c r="AB132" s="55">
        <f t="shared" ca="1" si="27"/>
        <v>45602</v>
      </c>
      <c r="AC132" s="55">
        <f t="shared" ca="1" si="28"/>
        <v>109.83382240198019</v>
      </c>
      <c r="AD132" s="55">
        <f t="shared" ca="1" si="29"/>
        <v>43.7422907330889</v>
      </c>
      <c r="AE132" s="55">
        <f t="shared" ca="1" si="30"/>
        <v>0</v>
      </c>
    </row>
    <row r="133" spans="18:31">
      <c r="R133" s="83">
        <f ca="1"/>
        <v>45477</v>
      </c>
      <c r="S133" s="55">
        <f t="shared" ca="1" si="25"/>
        <v>45477</v>
      </c>
      <c r="T133" s="55">
        <f t="shared" ca="1" si="19"/>
        <v>41.298020905385904</v>
      </c>
      <c r="U133" s="55">
        <f t="shared" ca="1" si="20"/>
        <v>217.64955853439099</v>
      </c>
      <c r="V133" s="55">
        <f t="shared" ca="1" si="21"/>
        <v>0</v>
      </c>
      <c r="W133">
        <f t="shared" ca="1" si="22"/>
        <v>59.883130976599361</v>
      </c>
      <c r="X133">
        <f t="shared" ca="1" si="26"/>
        <v>3.9281088968587454</v>
      </c>
      <c r="Y133">
        <f t="shared" ca="1" si="23"/>
        <v>0</v>
      </c>
      <c r="Z133">
        <f t="shared" ca="1" si="24"/>
        <v>0.99999999887583602</v>
      </c>
      <c r="AA133" s="83">
        <f ca="1"/>
        <v>45603</v>
      </c>
      <c r="AB133" s="55">
        <f t="shared" ca="1" si="27"/>
        <v>45603</v>
      </c>
      <c r="AC133" s="55">
        <f t="shared" ca="1" si="28"/>
        <v>108.88884159121412</v>
      </c>
      <c r="AD133" s="55">
        <f t="shared" ca="1" si="29"/>
        <v>44.975257671681703</v>
      </c>
      <c r="AE133" s="55">
        <f t="shared" ca="1" si="30"/>
        <v>0</v>
      </c>
    </row>
    <row r="134" spans="18:31">
      <c r="R134" s="83">
        <f ca="1"/>
        <v>45478</v>
      </c>
      <c r="S134" s="55">
        <f t="shared" ca="1" si="25"/>
        <v>45478</v>
      </c>
      <c r="T134" s="55">
        <f t="shared" ca="1" si="19"/>
        <v>39.417046926713198</v>
      </c>
      <c r="U134" s="55">
        <f t="shared" ca="1" si="20"/>
        <v>219.907611083023</v>
      </c>
      <c r="V134" s="55">
        <f t="shared" ca="1" si="21"/>
        <v>0</v>
      </c>
      <c r="W134">
        <f t="shared" ca="1" si="22"/>
        <v>60</v>
      </c>
      <c r="X134">
        <f t="shared" ca="1" si="26"/>
        <v>5.9211956669006227</v>
      </c>
      <c r="Y134">
        <f t="shared" ca="1" si="23"/>
        <v>0</v>
      </c>
      <c r="Z134">
        <f t="shared" ca="1" si="24"/>
        <v>0.99999999901914005</v>
      </c>
      <c r="AA134" s="83">
        <f ca="1"/>
        <v>45604</v>
      </c>
      <c r="AB134" s="55">
        <f t="shared" ca="1" si="27"/>
        <v>45604</v>
      </c>
      <c r="AC134" s="55">
        <f t="shared" ca="1" si="28"/>
        <v>107.9071471555049</v>
      </c>
      <c r="AD134" s="55">
        <f t="shared" ca="1" si="29"/>
        <v>46.250078348095201</v>
      </c>
      <c r="AE134" s="55">
        <f t="shared" ca="1" si="30"/>
        <v>0</v>
      </c>
    </row>
    <row r="135" spans="18:31">
      <c r="R135" s="83">
        <f ca="1"/>
        <v>45479</v>
      </c>
      <c r="S135" s="55">
        <f t="shared" ca="1" si="25"/>
        <v>45479</v>
      </c>
      <c r="T135" s="55">
        <f t="shared" ca="1" si="19"/>
        <v>37.77602903922687</v>
      </c>
      <c r="U135" s="55">
        <f t="shared" ca="1" si="20"/>
        <v>221.89452198283701</v>
      </c>
      <c r="V135" s="55">
        <f t="shared" ca="1" si="21"/>
        <v>0</v>
      </c>
      <c r="W135">
        <f t="shared" ca="1" si="22"/>
        <v>59.921183263412232</v>
      </c>
      <c r="X135">
        <f t="shared" ca="1" si="26"/>
        <v>5.9211956669006227</v>
      </c>
      <c r="Y135">
        <f t="shared" ca="1" si="23"/>
        <v>0</v>
      </c>
      <c r="Z135">
        <f t="shared" ca="1" si="24"/>
        <v>0.99999999913017401</v>
      </c>
      <c r="AA135" s="83">
        <f ca="1"/>
        <v>45605</v>
      </c>
      <c r="AB135" s="55">
        <f t="shared" ca="1" si="27"/>
        <v>45605</v>
      </c>
      <c r="AC135" s="55">
        <f t="shared" ca="1" si="28"/>
        <v>106.79344430959894</v>
      </c>
      <c r="AD135" s="55">
        <f t="shared" ca="1" si="29"/>
        <v>47.693076916708797</v>
      </c>
      <c r="AE135" s="55">
        <f t="shared" ca="1" si="30"/>
        <v>0</v>
      </c>
    </row>
    <row r="136" spans="18:31">
      <c r="R136" s="83">
        <f ca="1"/>
        <v>45480</v>
      </c>
      <c r="S136" s="55">
        <f t="shared" ca="1" si="25"/>
        <v>45480</v>
      </c>
      <c r="T136" s="55">
        <f t="shared" ca="1" si="19"/>
        <v>36.24817151172703</v>
      </c>
      <c r="U136" s="55">
        <f t="shared" ca="1" si="20"/>
        <v>223.754350451601</v>
      </c>
      <c r="V136" s="55">
        <f t="shared" ca="1" si="21"/>
        <v>0</v>
      </c>
      <c r="W136">
        <f t="shared" ca="1" si="22"/>
        <v>60</v>
      </c>
      <c r="X136">
        <f t="shared" ca="1" si="26"/>
        <v>6.5625223749256776</v>
      </c>
      <c r="Y136">
        <f t="shared" ca="1" si="23"/>
        <v>0</v>
      </c>
      <c r="Z136">
        <f t="shared" ca="1" si="24"/>
        <v>0.99999999922280103</v>
      </c>
      <c r="AA136" s="83">
        <f ca="1"/>
        <v>45606</v>
      </c>
      <c r="AB136" s="55">
        <f t="shared" ca="1" si="27"/>
        <v>45606</v>
      </c>
      <c r="AC136" s="55">
        <f t="shared" ca="1" si="28"/>
        <v>105.71151813337494</v>
      </c>
      <c r="AD136" s="55">
        <f t="shared" ca="1" si="29"/>
        <v>49.083822155573898</v>
      </c>
      <c r="AE136" s="55">
        <f t="shared" ca="1" si="30"/>
        <v>0</v>
      </c>
    </row>
    <row r="137" spans="18:31">
      <c r="R137" s="83">
        <f ca="1"/>
        <v>45481</v>
      </c>
      <c r="S137" s="55">
        <f t="shared" ca="1" si="25"/>
        <v>45481</v>
      </c>
      <c r="T137" s="55">
        <f t="shared" ca="1" si="19"/>
        <v>34.648714958111228</v>
      </c>
      <c r="U137" s="55">
        <f t="shared" ca="1" si="20"/>
        <v>225.69493837307999</v>
      </c>
      <c r="V137" s="55">
        <f t="shared" ca="1" si="21"/>
        <v>0</v>
      </c>
      <c r="W137">
        <f t="shared" ca="1" si="22"/>
        <v>60</v>
      </c>
      <c r="X137">
        <f t="shared" ca="1" si="26"/>
        <v>6.7296456901600479</v>
      </c>
      <c r="Y137">
        <f t="shared" ca="1" si="23"/>
        <v>0</v>
      </c>
      <c r="Z137">
        <f t="shared" ca="1" si="24"/>
        <v>0.99999999930906802</v>
      </c>
      <c r="AA137" s="83">
        <f ca="1"/>
        <v>45607</v>
      </c>
      <c r="AB137" s="55">
        <f t="shared" ca="1" si="27"/>
        <v>45607</v>
      </c>
      <c r="AC137" s="55">
        <f t="shared" ca="1" si="28"/>
        <v>104.64911725949048</v>
      </c>
      <c r="AD137" s="55">
        <f t="shared" ca="1" si="29"/>
        <v>50.4517048873143</v>
      </c>
      <c r="AE137" s="55">
        <f t="shared" ca="1" si="30"/>
        <v>0</v>
      </c>
    </row>
    <row r="138" spans="18:31">
      <c r="R138" s="83">
        <f ca="1"/>
        <v>45482</v>
      </c>
      <c r="S138" s="55">
        <f t="shared" ca="1" si="25"/>
        <v>45482</v>
      </c>
      <c r="T138" s="55">
        <f t="shared" ca="1" si="19"/>
        <v>32.985648119589747</v>
      </c>
      <c r="U138" s="55">
        <f t="shared" ca="1" si="20"/>
        <v>227.707554821749</v>
      </c>
      <c r="V138" s="55">
        <f t="shared" ca="1" si="21"/>
        <v>0</v>
      </c>
      <c r="W138">
        <f t="shared" ca="1" si="22"/>
        <v>59.942160805532666</v>
      </c>
      <c r="X138">
        <f t="shared" ca="1" si="26"/>
        <v>6.7296456901600479</v>
      </c>
      <c r="Y138">
        <f t="shared" ca="1" si="23"/>
        <v>0</v>
      </c>
      <c r="Z138">
        <f t="shared" ca="1" si="24"/>
        <v>0.99999999938856099</v>
      </c>
      <c r="AA138" s="83">
        <f ca="1"/>
        <v>45608</v>
      </c>
      <c r="AB138" s="55">
        <f t="shared" ca="1" si="27"/>
        <v>45608</v>
      </c>
      <c r="AC138" s="55">
        <f t="shared" ca="1" si="28"/>
        <v>103.64278029441068</v>
      </c>
      <c r="AD138" s="55">
        <f t="shared" ca="1" si="29"/>
        <v>51.739730073654499</v>
      </c>
      <c r="AE138" s="55">
        <f t="shared" ca="1" si="30"/>
        <v>0</v>
      </c>
    </row>
    <row r="139" spans="18:31">
      <c r="R139" s="83">
        <f ca="1"/>
        <v>45483</v>
      </c>
      <c r="S139" s="55">
        <f t="shared" ca="1" si="25"/>
        <v>45483</v>
      </c>
      <c r="T139" s="55">
        <f t="shared" ca="1" si="19"/>
        <v>31.35483408565711</v>
      </c>
      <c r="U139" s="55">
        <f t="shared" ca="1" si="20"/>
        <v>229.68419164296699</v>
      </c>
      <c r="V139" s="55">
        <f t="shared" ca="1" si="21"/>
        <v>0</v>
      </c>
      <c r="W139">
        <f t="shared" ca="1" si="22"/>
        <v>60</v>
      </c>
      <c r="X139">
        <f t="shared" ca="1" si="26"/>
        <v>7.2544637684950501</v>
      </c>
      <c r="Y139">
        <f t="shared" ca="1" si="23"/>
        <v>0</v>
      </c>
      <c r="Z139">
        <f t="shared" ca="1" si="24"/>
        <v>0.99999999945784701</v>
      </c>
      <c r="AA139" s="83">
        <f ca="1"/>
        <v>45609</v>
      </c>
      <c r="AB139" s="55">
        <f t="shared" ca="1" si="27"/>
        <v>45609</v>
      </c>
      <c r="AC139" s="55">
        <f t="shared" ca="1" si="28"/>
        <v>102.57635135747044</v>
      </c>
      <c r="AD139" s="55">
        <f t="shared" ca="1" si="29"/>
        <v>53.097123492949301</v>
      </c>
      <c r="AE139" s="55">
        <f t="shared" ca="1" si="30"/>
        <v>0</v>
      </c>
    </row>
    <row r="140" spans="18:31">
      <c r="R140" s="83">
        <f ca="1"/>
        <v>45484</v>
      </c>
      <c r="S140" s="55">
        <f t="shared" ca="1" si="25"/>
        <v>45484</v>
      </c>
      <c r="T140" s="55">
        <f t="shared" ca="1" si="19"/>
        <v>29.653625549497711</v>
      </c>
      <c r="U140" s="55">
        <f t="shared" ca="1" si="20"/>
        <v>231.74077750369301</v>
      </c>
      <c r="V140" s="55">
        <f t="shared" ca="1" si="21"/>
        <v>0</v>
      </c>
      <c r="W140">
        <f t="shared" ca="1" si="22"/>
        <v>60</v>
      </c>
      <c r="X140">
        <f t="shared" ca="1" si="26"/>
        <v>7.290588322716232</v>
      </c>
      <c r="Y140">
        <f t="shared" ca="1" si="23"/>
        <v>0</v>
      </c>
      <c r="Z140">
        <f t="shared" ca="1" si="24"/>
        <v>0.99999999952174001</v>
      </c>
      <c r="AA140" s="83">
        <f ca="1"/>
        <v>45610</v>
      </c>
      <c r="AB140" s="55">
        <f t="shared" ca="1" si="27"/>
        <v>45610</v>
      </c>
      <c r="AC140" s="55">
        <f t="shared" ca="1" si="28"/>
        <v>101.46228029413777</v>
      </c>
      <c r="AD140" s="55">
        <f t="shared" ca="1" si="29"/>
        <v>54.509352670362603</v>
      </c>
      <c r="AE140" s="55">
        <f t="shared" ca="1" si="30"/>
        <v>0</v>
      </c>
    </row>
    <row r="141" spans="18:31">
      <c r="R141" s="83">
        <f ca="1"/>
        <v>45485</v>
      </c>
      <c r="S141" s="55">
        <f t="shared" ca="1" si="25"/>
        <v>45485</v>
      </c>
      <c r="T141" s="55">
        <f t="shared" ca="1" si="19"/>
        <v>27.932152566128323</v>
      </c>
      <c r="U141" s="55">
        <f t="shared" ca="1" si="20"/>
        <v>233.82085235669101</v>
      </c>
      <c r="V141" s="55">
        <f t="shared" ca="1" si="21"/>
        <v>0</v>
      </c>
      <c r="W141">
        <f t="shared" ca="1" si="22"/>
        <v>60</v>
      </c>
      <c r="X141">
        <f t="shared" ca="1" si="26"/>
        <v>7.5314145969785287</v>
      </c>
      <c r="Y141">
        <f t="shared" ca="1" si="23"/>
        <v>0</v>
      </c>
      <c r="Z141">
        <f t="shared" ca="1" si="24"/>
        <v>0.99999999957883301</v>
      </c>
      <c r="AA141" s="83">
        <f ca="1"/>
        <v>45611</v>
      </c>
      <c r="AB141" s="55">
        <f t="shared" ca="1" si="27"/>
        <v>45611</v>
      </c>
      <c r="AC141" s="55">
        <f t="shared" ca="1" si="28"/>
        <v>100.31667095605012</v>
      </c>
      <c r="AD141" s="55">
        <f t="shared" ca="1" si="29"/>
        <v>55.965891671559397</v>
      </c>
      <c r="AE141" s="55">
        <f t="shared" ca="1" si="30"/>
        <v>0</v>
      </c>
    </row>
    <row r="142" spans="18:31">
      <c r="R142" s="83">
        <f ca="1"/>
        <v>45486</v>
      </c>
      <c r="S142" s="55">
        <f t="shared" ca="1" si="25"/>
        <v>45486</v>
      </c>
      <c r="T142" s="55">
        <f t="shared" ca="1" si="19"/>
        <v>26.135226788376606</v>
      </c>
      <c r="U142" s="55">
        <f t="shared" ca="1" si="20"/>
        <v>235.98712424972601</v>
      </c>
      <c r="V142" s="55">
        <f t="shared" ca="1" si="21"/>
        <v>0</v>
      </c>
      <c r="W142">
        <f t="shared" ca="1" si="22"/>
        <v>59.835838521657578</v>
      </c>
      <c r="X142">
        <f t="shared" ca="1" si="26"/>
        <v>7.5314145969785287</v>
      </c>
      <c r="Y142">
        <f t="shared" ca="1" si="23"/>
        <v>0</v>
      </c>
      <c r="Z142">
        <f t="shared" ca="1" si="24"/>
        <v>0.99999999963118802</v>
      </c>
      <c r="AA142" s="83">
        <f ca="1"/>
        <v>45612</v>
      </c>
      <c r="AB142" s="55">
        <f t="shared" ca="1" si="27"/>
        <v>45612</v>
      </c>
      <c r="AC142" s="55">
        <f t="shared" ca="1" si="28"/>
        <v>99.236050382644038</v>
      </c>
      <c r="AD142" s="55">
        <f t="shared" ca="1" si="29"/>
        <v>57.335867564057601</v>
      </c>
      <c r="AE142" s="55">
        <f t="shared" ca="1" si="30"/>
        <v>0</v>
      </c>
    </row>
    <row r="143" spans="18:31">
      <c r="R143" s="83">
        <f ca="1"/>
        <v>45487</v>
      </c>
      <c r="S143" s="55">
        <f t="shared" ca="1" si="25"/>
        <v>45487</v>
      </c>
      <c r="T143" s="55">
        <f t="shared" ca="1" si="19"/>
        <v>28.894711274134835</v>
      </c>
      <c r="U143" s="55">
        <f t="shared" ca="1" si="20"/>
        <v>238.04258515636499</v>
      </c>
      <c r="V143" s="55">
        <f t="shared" ca="1" si="21"/>
        <v>0</v>
      </c>
      <c r="W143">
        <f t="shared" ca="1" si="22"/>
        <v>59.724922409357262</v>
      </c>
      <c r="X143">
        <f t="shared" ca="1" si="26"/>
        <v>7.5314145969785287</v>
      </c>
      <c r="Y143">
        <f t="shared" ca="1" si="23"/>
        <v>0</v>
      </c>
      <c r="Z143">
        <f t="shared" ca="1" si="24"/>
        <v>0.99999999967495001</v>
      </c>
      <c r="AA143" s="83">
        <f ca="1"/>
        <v>45613</v>
      </c>
      <c r="AB143" s="55">
        <f t="shared" ca="1" si="27"/>
        <v>45613</v>
      </c>
      <c r="AC143" s="55">
        <f t="shared" ca="1" si="28"/>
        <v>98.201238593395374</v>
      </c>
      <c r="AD143" s="55">
        <f t="shared" ca="1" si="29"/>
        <v>58.654206751754401</v>
      </c>
      <c r="AE143" s="55">
        <f t="shared" ca="1" si="30"/>
        <v>0</v>
      </c>
    </row>
    <row r="144" spans="18:31">
      <c r="R144" s="83" t="e">
        <f ca="1"/>
        <v>#N/A</v>
      </c>
      <c r="S144" s="55" t="e">
        <f t="shared" ca="1" si="25"/>
        <v>#N/A</v>
      </c>
      <c r="T144" s="55" t="e">
        <f t="shared" ca="1" si="19"/>
        <v>#N/A</v>
      </c>
      <c r="U144" s="55" t="e">
        <f t="shared" ca="1" si="20"/>
        <v>#N/A</v>
      </c>
      <c r="V144" s="55" t="e">
        <f t="shared" ca="1" si="21"/>
        <v>#N/A</v>
      </c>
      <c r="W144" t="e">
        <f t="shared" ca="1" si="22"/>
        <v>#N/A</v>
      </c>
      <c r="X144" t="e">
        <f t="shared" ca="1" si="26"/>
        <v>#N/A</v>
      </c>
      <c r="Y144" t="e">
        <f t="shared" ca="1" si="23"/>
        <v>#N/A</v>
      </c>
      <c r="Z144" t="e">
        <f t="shared" ca="1" si="24"/>
        <v>#N/A</v>
      </c>
      <c r="AA144" s="83">
        <f ca="1"/>
        <v>45614</v>
      </c>
      <c r="AB144" s="55">
        <f t="shared" ca="1" si="27"/>
        <v>45614</v>
      </c>
      <c r="AC144" s="55">
        <f t="shared" ca="1" si="28"/>
        <v>97.18797210377268</v>
      </c>
      <c r="AD144" s="55">
        <f t="shared" ca="1" si="29"/>
        <v>59.953926913368399</v>
      </c>
      <c r="AE144" s="55">
        <f t="shared" ca="1" si="30"/>
        <v>0</v>
      </c>
    </row>
    <row r="145" spans="18:31">
      <c r="R145" s="83" t="e">
        <f ca="1"/>
        <v>#N/A</v>
      </c>
      <c r="S145" s="55" t="e">
        <f t="shared" ca="1" si="25"/>
        <v>#N/A</v>
      </c>
      <c r="T145" s="55" t="e">
        <f t="shared" ca="1" si="19"/>
        <v>#N/A</v>
      </c>
      <c r="U145" s="55" t="e">
        <f t="shared" ca="1" si="20"/>
        <v>#N/A</v>
      </c>
      <c r="V145" s="55" t="e">
        <f t="shared" ca="1" si="21"/>
        <v>#N/A</v>
      </c>
      <c r="W145" t="e">
        <f t="shared" ca="1" si="22"/>
        <v>#N/A</v>
      </c>
      <c r="X145" t="e">
        <f t="shared" ca="1" si="26"/>
        <v>#N/A</v>
      </c>
      <c r="Y145" t="e">
        <f t="shared" ca="1" si="23"/>
        <v>#N/A</v>
      </c>
      <c r="Z145" t="e">
        <f t="shared" ca="1" si="24"/>
        <v>#N/A</v>
      </c>
      <c r="AA145" s="83">
        <f ca="1"/>
        <v>45615</v>
      </c>
      <c r="AB145" s="55">
        <f t="shared" ca="1" si="27"/>
        <v>45615</v>
      </c>
      <c r="AC145" s="55">
        <f t="shared" ca="1" si="28"/>
        <v>96.101130141180647</v>
      </c>
      <c r="AD145" s="55">
        <f t="shared" ca="1" si="29"/>
        <v>61.350943852323503</v>
      </c>
      <c r="AE145" s="55">
        <f t="shared" ca="1" si="30"/>
        <v>0</v>
      </c>
    </row>
    <row r="146" spans="18:31">
      <c r="R146" s="83" t="e">
        <f ca="1"/>
        <v>#N/A</v>
      </c>
      <c r="S146" s="55" t="e">
        <f t="shared" ca="1" si="25"/>
        <v>#N/A</v>
      </c>
      <c r="T146" s="55" t="e">
        <f t="shared" ref="T146:T209" ca="1" si="31">VLOOKUP(S146,ModelOutputs,2,FALSE)</f>
        <v>#N/A</v>
      </c>
      <c r="U146" s="55" t="e">
        <f t="shared" ref="U146:U209" ca="1" si="32">VLOOKUP(S146,ModelOutputs,7,FALSE)</f>
        <v>#N/A</v>
      </c>
      <c r="V146" s="55" t="e">
        <f t="shared" ref="V146:V209" ca="1" si="33">VLOOKUP(S146,ModelOutputs,6,FALSE)</f>
        <v>#N/A</v>
      </c>
      <c r="W146" t="e">
        <f t="shared" ref="W146:W209" ca="1" si="34">VLOOKUP(S146,ModelOutputs,10,FALSE)*AWC</f>
        <v>#N/A</v>
      </c>
      <c r="X146" t="e">
        <f t="shared" ca="1" si="26"/>
        <v>#N/A</v>
      </c>
      <c r="Y146" t="e">
        <f t="shared" ref="Y146:Y209" ca="1" si="35">VLOOKUP(S146,ModelOutputs,12,FALSE)</f>
        <v>#N/A</v>
      </c>
      <c r="Z146" t="e">
        <f t="shared" ref="Z146:Z209" ca="1" si="36">VLOOKUP(S146,ModelOutputs,13,FALSE)</f>
        <v>#N/A</v>
      </c>
      <c r="AA146" s="83">
        <f ca="1"/>
        <v>45616</v>
      </c>
      <c r="AB146" s="55">
        <f t="shared" ca="1" si="27"/>
        <v>45616</v>
      </c>
      <c r="AC146" s="55">
        <f t="shared" ca="1" si="28"/>
        <v>95.02920934748596</v>
      </c>
      <c r="AD146" s="55">
        <f t="shared" ca="1" si="29"/>
        <v>62.739640982902898</v>
      </c>
      <c r="AE146" s="55">
        <f t="shared" ca="1" si="30"/>
        <v>0</v>
      </c>
    </row>
    <row r="147" spans="18:31">
      <c r="R147" s="83" t="e">
        <f ca="1"/>
        <v>#N/A</v>
      </c>
      <c r="S147" s="55" t="e">
        <f t="shared" ref="S147:S210" ca="1" si="37">IF(R147&gt;1,R147,"")</f>
        <v>#N/A</v>
      </c>
      <c r="T147" s="55" t="e">
        <f t="shared" ca="1" si="31"/>
        <v>#N/A</v>
      </c>
      <c r="U147" s="55" t="e">
        <f t="shared" ca="1" si="32"/>
        <v>#N/A</v>
      </c>
      <c r="V147" s="55" t="e">
        <f t="shared" ca="1" si="33"/>
        <v>#N/A</v>
      </c>
      <c r="W147" t="e">
        <f t="shared" ca="1" si="34"/>
        <v>#N/A</v>
      </c>
      <c r="X147" t="e">
        <f t="shared" ref="X147:X210" ca="1" si="38">VLOOKUP(S147,ModelOutputs,11,FALSE)+X146</f>
        <v>#N/A</v>
      </c>
      <c r="Y147" t="e">
        <f t="shared" ca="1" si="35"/>
        <v>#N/A</v>
      </c>
      <c r="Z147" t="e">
        <f t="shared" ca="1" si="36"/>
        <v>#N/A</v>
      </c>
      <c r="AA147" s="83">
        <f ca="1"/>
        <v>45617</v>
      </c>
      <c r="AB147" s="55">
        <f t="shared" ca="1" si="27"/>
        <v>45617</v>
      </c>
      <c r="AC147" s="55">
        <f t="shared" ca="1" si="28"/>
        <v>94.011566730022608</v>
      </c>
      <c r="AD147" s="55">
        <f t="shared" ca="1" si="29"/>
        <v>64.053652663759195</v>
      </c>
      <c r="AE147" s="55">
        <f t="shared" ca="1" si="30"/>
        <v>0</v>
      </c>
    </row>
    <row r="148" spans="18:31">
      <c r="R148" s="83" t="e">
        <f ca="1"/>
        <v>#N/A</v>
      </c>
      <c r="S148" s="55" t="e">
        <f t="shared" ca="1" si="37"/>
        <v>#N/A</v>
      </c>
      <c r="T148" s="55" t="e">
        <f t="shared" ca="1" si="31"/>
        <v>#N/A</v>
      </c>
      <c r="U148" s="55" t="e">
        <f t="shared" ca="1" si="32"/>
        <v>#N/A</v>
      </c>
      <c r="V148" s="55" t="e">
        <f t="shared" ca="1" si="33"/>
        <v>#N/A</v>
      </c>
      <c r="W148" t="e">
        <f t="shared" ca="1" si="34"/>
        <v>#N/A</v>
      </c>
      <c r="X148" t="e">
        <f t="shared" ca="1" si="38"/>
        <v>#N/A</v>
      </c>
      <c r="Y148" t="e">
        <f t="shared" ca="1" si="35"/>
        <v>#N/A</v>
      </c>
      <c r="Z148" t="e">
        <f t="shared" ca="1" si="36"/>
        <v>#N/A</v>
      </c>
      <c r="AA148" s="83">
        <f ca="1"/>
        <v>45618</v>
      </c>
      <c r="AB148" s="55">
        <f t="shared" ca="1" si="27"/>
        <v>45618</v>
      </c>
      <c r="AC148" s="55">
        <f t="shared" ca="1" si="28"/>
        <v>92.884531087894203</v>
      </c>
      <c r="AD148" s="55">
        <f t="shared" ca="1" si="29"/>
        <v>65.509515722083194</v>
      </c>
      <c r="AE148" s="55">
        <f t="shared" ca="1" si="30"/>
        <v>0</v>
      </c>
    </row>
    <row r="149" spans="18:31">
      <c r="R149" s="83" t="e">
        <f ca="1"/>
        <v>#N/A</v>
      </c>
      <c r="S149" s="55" t="e">
        <f t="shared" ca="1" si="37"/>
        <v>#N/A</v>
      </c>
      <c r="T149" s="55" t="e">
        <f t="shared" ca="1" si="31"/>
        <v>#N/A</v>
      </c>
      <c r="U149" s="55" t="e">
        <f t="shared" ca="1" si="32"/>
        <v>#N/A</v>
      </c>
      <c r="V149" s="55" t="e">
        <f t="shared" ca="1" si="33"/>
        <v>#N/A</v>
      </c>
      <c r="W149" t="e">
        <f t="shared" ca="1" si="34"/>
        <v>#N/A</v>
      </c>
      <c r="X149" t="e">
        <f t="shared" ca="1" si="38"/>
        <v>#N/A</v>
      </c>
      <c r="Y149" t="e">
        <f t="shared" ca="1" si="35"/>
        <v>#N/A</v>
      </c>
      <c r="Z149" t="e">
        <f t="shared" ca="1" si="36"/>
        <v>#N/A</v>
      </c>
      <c r="AA149" s="83">
        <f ca="1"/>
        <v>45619</v>
      </c>
      <c r="AB149" s="55">
        <f t="shared" ref="AB149:AB212" ca="1" si="39">IF(AA149&gt;1,AA149,"")</f>
        <v>45619</v>
      </c>
      <c r="AC149" s="55">
        <f t="shared" ref="AC149:AC212" ca="1" si="40">VLOOKUP(AB149,ModelOutputs,2,FALSE)</f>
        <v>91.735311270944521</v>
      </c>
      <c r="AD149" s="55">
        <f t="shared" ref="AD149:AD212" ca="1" si="41">VLOOKUP(AB149,ModelOutputs,7,FALSE)</f>
        <v>66.992638647597104</v>
      </c>
      <c r="AE149" s="55">
        <f t="shared" ref="AE149:AE212" ca="1" si="42">VLOOKUP(AB149,ModelOutputs,6,FALSE)</f>
        <v>0</v>
      </c>
    </row>
    <row r="150" spans="18:31">
      <c r="R150" s="83" t="e">
        <f ca="1"/>
        <v>#N/A</v>
      </c>
      <c r="S150" s="55" t="e">
        <f t="shared" ca="1" si="37"/>
        <v>#N/A</v>
      </c>
      <c r="T150" s="55" t="e">
        <f t="shared" ca="1" si="31"/>
        <v>#N/A</v>
      </c>
      <c r="U150" s="55" t="e">
        <f t="shared" ca="1" si="32"/>
        <v>#N/A</v>
      </c>
      <c r="V150" s="55" t="e">
        <f t="shared" ca="1" si="33"/>
        <v>#N/A</v>
      </c>
      <c r="W150" t="e">
        <f t="shared" ca="1" si="34"/>
        <v>#N/A</v>
      </c>
      <c r="X150" t="e">
        <f t="shared" ca="1" si="38"/>
        <v>#N/A</v>
      </c>
      <c r="Y150" t="e">
        <f t="shared" ca="1" si="35"/>
        <v>#N/A</v>
      </c>
      <c r="Z150" t="e">
        <f t="shared" ca="1" si="36"/>
        <v>#N/A</v>
      </c>
      <c r="AA150" s="83">
        <f ca="1"/>
        <v>45620</v>
      </c>
      <c r="AB150" s="55">
        <f t="shared" ca="1" si="39"/>
        <v>45620</v>
      </c>
      <c r="AC150" s="55">
        <f t="shared" ca="1" si="40"/>
        <v>90.576939367326077</v>
      </c>
      <c r="AD150" s="55">
        <f t="shared" ca="1" si="41"/>
        <v>68.505372802506898</v>
      </c>
      <c r="AE150" s="55">
        <f t="shared" ca="1" si="42"/>
        <v>0</v>
      </c>
    </row>
    <row r="151" spans="18:31">
      <c r="R151" s="83" t="e">
        <f ca="1"/>
        <v>#N/A</v>
      </c>
      <c r="S151" s="55" t="e">
        <f t="shared" ca="1" si="37"/>
        <v>#N/A</v>
      </c>
      <c r="T151" s="55" t="e">
        <f t="shared" ca="1" si="31"/>
        <v>#N/A</v>
      </c>
      <c r="U151" s="55" t="e">
        <f t="shared" ca="1" si="32"/>
        <v>#N/A</v>
      </c>
      <c r="V151" s="55" t="e">
        <f t="shared" ca="1" si="33"/>
        <v>#N/A</v>
      </c>
      <c r="W151" t="e">
        <f t="shared" ca="1" si="34"/>
        <v>#N/A</v>
      </c>
      <c r="X151" t="e">
        <f t="shared" ca="1" si="38"/>
        <v>#N/A</v>
      </c>
      <c r="Y151" t="e">
        <f t="shared" ca="1" si="35"/>
        <v>#N/A</v>
      </c>
      <c r="Z151" t="e">
        <f t="shared" ca="1" si="36"/>
        <v>#N/A</v>
      </c>
      <c r="AA151" s="83">
        <f ca="1"/>
        <v>45621</v>
      </c>
      <c r="AB151" s="55">
        <f t="shared" ca="1" si="39"/>
        <v>45621</v>
      </c>
      <c r="AC151" s="55">
        <f t="shared" ca="1" si="40"/>
        <v>89.449609570552994</v>
      </c>
      <c r="AD151" s="55">
        <f t="shared" ca="1" si="41"/>
        <v>69.979894677957105</v>
      </c>
      <c r="AE151" s="55">
        <f t="shared" ca="1" si="42"/>
        <v>0</v>
      </c>
    </row>
    <row r="152" spans="18:31">
      <c r="R152" s="83" t="e">
        <f ca="1"/>
        <v>#N/A</v>
      </c>
      <c r="S152" s="55" t="e">
        <f t="shared" ca="1" si="37"/>
        <v>#N/A</v>
      </c>
      <c r="T152" s="55" t="e">
        <f t="shared" ca="1" si="31"/>
        <v>#N/A</v>
      </c>
      <c r="U152" s="55" t="e">
        <f t="shared" ca="1" si="32"/>
        <v>#N/A</v>
      </c>
      <c r="V152" s="55" t="e">
        <f t="shared" ca="1" si="33"/>
        <v>#N/A</v>
      </c>
      <c r="W152" t="e">
        <f t="shared" ca="1" si="34"/>
        <v>#N/A</v>
      </c>
      <c r="X152" t="e">
        <f t="shared" ca="1" si="38"/>
        <v>#N/A</v>
      </c>
      <c r="Y152" t="e">
        <f t="shared" ca="1" si="35"/>
        <v>#N/A</v>
      </c>
      <c r="Z152" t="e">
        <f t="shared" ca="1" si="36"/>
        <v>#N/A</v>
      </c>
      <c r="AA152" s="83">
        <f ca="1"/>
        <v>45622</v>
      </c>
      <c r="AB152" s="55">
        <f t="shared" ca="1" si="39"/>
        <v>45622</v>
      </c>
      <c r="AC152" s="55">
        <f t="shared" ca="1" si="40"/>
        <v>88.348971956501686</v>
      </c>
      <c r="AD152" s="55">
        <f t="shared" ca="1" si="41"/>
        <v>71.412775546909401</v>
      </c>
      <c r="AE152" s="55">
        <f t="shared" ca="1" si="42"/>
        <v>0</v>
      </c>
    </row>
    <row r="153" spans="18:31">
      <c r="R153" s="83" t="e">
        <f ca="1"/>
        <v>#N/A</v>
      </c>
      <c r="S153" s="55" t="e">
        <f t="shared" ca="1" si="37"/>
        <v>#N/A</v>
      </c>
      <c r="T153" s="55" t="e">
        <f t="shared" ca="1" si="31"/>
        <v>#N/A</v>
      </c>
      <c r="U153" s="55" t="e">
        <f t="shared" ca="1" si="32"/>
        <v>#N/A</v>
      </c>
      <c r="V153" s="55" t="e">
        <f t="shared" ca="1" si="33"/>
        <v>#N/A</v>
      </c>
      <c r="W153" t="e">
        <f t="shared" ca="1" si="34"/>
        <v>#N/A</v>
      </c>
      <c r="X153" t="e">
        <f t="shared" ca="1" si="38"/>
        <v>#N/A</v>
      </c>
      <c r="Y153" t="e">
        <f t="shared" ca="1" si="35"/>
        <v>#N/A</v>
      </c>
      <c r="Z153" t="e">
        <f t="shared" ca="1" si="36"/>
        <v>#N/A</v>
      </c>
      <c r="AA153" s="83" t="e">
        <f ca="1"/>
        <v>#N/A</v>
      </c>
      <c r="AB153" s="55" t="e">
        <f t="shared" ca="1" si="39"/>
        <v>#N/A</v>
      </c>
      <c r="AC153" s="55" t="e">
        <f t="shared" ca="1" si="40"/>
        <v>#N/A</v>
      </c>
      <c r="AD153" s="55" t="e">
        <f t="shared" ca="1" si="41"/>
        <v>#N/A</v>
      </c>
      <c r="AE153" s="55" t="e">
        <f t="shared" ca="1" si="42"/>
        <v>#N/A</v>
      </c>
    </row>
    <row r="154" spans="18:31">
      <c r="R154" s="83" t="e">
        <f ca="1"/>
        <v>#N/A</v>
      </c>
      <c r="S154" s="55" t="e">
        <f t="shared" ca="1" si="37"/>
        <v>#N/A</v>
      </c>
      <c r="T154" s="55" t="e">
        <f t="shared" ca="1" si="31"/>
        <v>#N/A</v>
      </c>
      <c r="U154" s="55" t="e">
        <f t="shared" ca="1" si="32"/>
        <v>#N/A</v>
      </c>
      <c r="V154" s="55" t="e">
        <f t="shared" ca="1" si="33"/>
        <v>#N/A</v>
      </c>
      <c r="W154" t="e">
        <f t="shared" ca="1" si="34"/>
        <v>#N/A</v>
      </c>
      <c r="X154" t="e">
        <f t="shared" ca="1" si="38"/>
        <v>#N/A</v>
      </c>
      <c r="Y154" t="e">
        <f t="shared" ca="1" si="35"/>
        <v>#N/A</v>
      </c>
      <c r="Z154" t="e">
        <f t="shared" ca="1" si="36"/>
        <v>#N/A</v>
      </c>
      <c r="AA154" s="83" t="e">
        <f ca="1"/>
        <v>#N/A</v>
      </c>
      <c r="AB154" s="55" t="e">
        <f t="shared" ca="1" si="39"/>
        <v>#N/A</v>
      </c>
      <c r="AC154" s="55" t="e">
        <f t="shared" ca="1" si="40"/>
        <v>#N/A</v>
      </c>
      <c r="AD154" s="55" t="e">
        <f t="shared" ca="1" si="41"/>
        <v>#N/A</v>
      </c>
      <c r="AE154" s="55" t="e">
        <f t="shared" ca="1" si="42"/>
        <v>#N/A</v>
      </c>
    </row>
    <row r="155" spans="18:31">
      <c r="R155" s="83" t="e">
        <f ca="1"/>
        <v>#N/A</v>
      </c>
      <c r="S155" s="55" t="e">
        <f t="shared" ca="1" si="37"/>
        <v>#N/A</v>
      </c>
      <c r="T155" s="55" t="e">
        <f t="shared" ca="1" si="31"/>
        <v>#N/A</v>
      </c>
      <c r="U155" s="55" t="e">
        <f t="shared" ca="1" si="32"/>
        <v>#N/A</v>
      </c>
      <c r="V155" s="55" t="e">
        <f t="shared" ca="1" si="33"/>
        <v>#N/A</v>
      </c>
      <c r="W155" t="e">
        <f t="shared" ca="1" si="34"/>
        <v>#N/A</v>
      </c>
      <c r="X155" t="e">
        <f t="shared" ca="1" si="38"/>
        <v>#N/A</v>
      </c>
      <c r="Y155" t="e">
        <f t="shared" ca="1" si="35"/>
        <v>#N/A</v>
      </c>
      <c r="Z155" t="e">
        <f t="shared" ca="1" si="36"/>
        <v>#N/A</v>
      </c>
      <c r="AA155" s="83" t="e">
        <f ca="1"/>
        <v>#N/A</v>
      </c>
      <c r="AB155" s="55" t="e">
        <f t="shared" ca="1" si="39"/>
        <v>#N/A</v>
      </c>
      <c r="AC155" s="55" t="e">
        <f t="shared" ca="1" si="40"/>
        <v>#N/A</v>
      </c>
      <c r="AD155" s="55" t="e">
        <f t="shared" ca="1" si="41"/>
        <v>#N/A</v>
      </c>
      <c r="AE155" s="55" t="e">
        <f t="shared" ca="1" si="42"/>
        <v>#N/A</v>
      </c>
    </row>
    <row r="156" spans="18:31">
      <c r="R156" s="83" t="e">
        <f ca="1"/>
        <v>#N/A</v>
      </c>
      <c r="S156" s="55" t="e">
        <f t="shared" ca="1" si="37"/>
        <v>#N/A</v>
      </c>
      <c r="T156" s="55" t="e">
        <f t="shared" ca="1" si="31"/>
        <v>#N/A</v>
      </c>
      <c r="U156" s="55" t="e">
        <f t="shared" ca="1" si="32"/>
        <v>#N/A</v>
      </c>
      <c r="V156" s="55" t="e">
        <f t="shared" ca="1" si="33"/>
        <v>#N/A</v>
      </c>
      <c r="W156" t="e">
        <f t="shared" ca="1" si="34"/>
        <v>#N/A</v>
      </c>
      <c r="X156" t="e">
        <f t="shared" ca="1" si="38"/>
        <v>#N/A</v>
      </c>
      <c r="Y156" t="e">
        <f t="shared" ca="1" si="35"/>
        <v>#N/A</v>
      </c>
      <c r="Z156" t="e">
        <f t="shared" ca="1" si="36"/>
        <v>#N/A</v>
      </c>
      <c r="AA156" s="83" t="e">
        <f ca="1"/>
        <v>#N/A</v>
      </c>
      <c r="AB156" s="55" t="e">
        <f t="shared" ca="1" si="39"/>
        <v>#N/A</v>
      </c>
      <c r="AC156" s="55" t="e">
        <f t="shared" ca="1" si="40"/>
        <v>#N/A</v>
      </c>
      <c r="AD156" s="55" t="e">
        <f t="shared" ca="1" si="41"/>
        <v>#N/A</v>
      </c>
      <c r="AE156" s="55" t="e">
        <f t="shared" ca="1" si="42"/>
        <v>#N/A</v>
      </c>
    </row>
    <row r="157" spans="18:31">
      <c r="R157" s="83" t="e">
        <f ca="1"/>
        <v>#N/A</v>
      </c>
      <c r="S157" s="55" t="e">
        <f t="shared" ca="1" si="37"/>
        <v>#N/A</v>
      </c>
      <c r="T157" s="55" t="e">
        <f t="shared" ca="1" si="31"/>
        <v>#N/A</v>
      </c>
      <c r="U157" s="55" t="e">
        <f t="shared" ca="1" si="32"/>
        <v>#N/A</v>
      </c>
      <c r="V157" s="55" t="e">
        <f t="shared" ca="1" si="33"/>
        <v>#N/A</v>
      </c>
      <c r="W157" t="e">
        <f t="shared" ca="1" si="34"/>
        <v>#N/A</v>
      </c>
      <c r="X157" t="e">
        <f t="shared" ca="1" si="38"/>
        <v>#N/A</v>
      </c>
      <c r="Y157" t="e">
        <f t="shared" ca="1" si="35"/>
        <v>#N/A</v>
      </c>
      <c r="Z157" t="e">
        <f t="shared" ca="1" si="36"/>
        <v>#N/A</v>
      </c>
      <c r="AA157" s="83" t="e">
        <f ca="1"/>
        <v>#N/A</v>
      </c>
      <c r="AB157" s="55" t="e">
        <f t="shared" ca="1" si="39"/>
        <v>#N/A</v>
      </c>
      <c r="AC157" s="55" t="e">
        <f t="shared" ca="1" si="40"/>
        <v>#N/A</v>
      </c>
      <c r="AD157" s="55" t="e">
        <f t="shared" ca="1" si="41"/>
        <v>#N/A</v>
      </c>
      <c r="AE157" s="55" t="e">
        <f t="shared" ca="1" si="42"/>
        <v>#N/A</v>
      </c>
    </row>
    <row r="158" spans="18:31">
      <c r="R158" s="83" t="e">
        <f ca="1"/>
        <v>#N/A</v>
      </c>
      <c r="S158" s="55" t="e">
        <f t="shared" ca="1" si="37"/>
        <v>#N/A</v>
      </c>
      <c r="T158" s="55" t="e">
        <f t="shared" ca="1" si="31"/>
        <v>#N/A</v>
      </c>
      <c r="U158" s="55" t="e">
        <f t="shared" ca="1" si="32"/>
        <v>#N/A</v>
      </c>
      <c r="V158" s="55" t="e">
        <f t="shared" ca="1" si="33"/>
        <v>#N/A</v>
      </c>
      <c r="W158" t="e">
        <f t="shared" ca="1" si="34"/>
        <v>#N/A</v>
      </c>
      <c r="X158" t="e">
        <f t="shared" ca="1" si="38"/>
        <v>#N/A</v>
      </c>
      <c r="Y158" t="e">
        <f t="shared" ca="1" si="35"/>
        <v>#N/A</v>
      </c>
      <c r="Z158" t="e">
        <f t="shared" ca="1" si="36"/>
        <v>#N/A</v>
      </c>
      <c r="AA158" s="83" t="e">
        <f ca="1"/>
        <v>#N/A</v>
      </c>
      <c r="AB158" s="55" t="e">
        <f t="shared" ca="1" si="39"/>
        <v>#N/A</v>
      </c>
      <c r="AC158" s="55" t="e">
        <f t="shared" ca="1" si="40"/>
        <v>#N/A</v>
      </c>
      <c r="AD158" s="55" t="e">
        <f t="shared" ca="1" si="41"/>
        <v>#N/A</v>
      </c>
      <c r="AE158" s="55" t="e">
        <f t="shared" ca="1" si="42"/>
        <v>#N/A</v>
      </c>
    </row>
    <row r="159" spans="18:31">
      <c r="R159" s="83" t="e">
        <f ca="1"/>
        <v>#N/A</v>
      </c>
      <c r="S159" s="55" t="e">
        <f t="shared" ca="1" si="37"/>
        <v>#N/A</v>
      </c>
      <c r="T159" s="55" t="e">
        <f t="shared" ca="1" si="31"/>
        <v>#N/A</v>
      </c>
      <c r="U159" s="55" t="e">
        <f t="shared" ca="1" si="32"/>
        <v>#N/A</v>
      </c>
      <c r="V159" s="55" t="e">
        <f t="shared" ca="1" si="33"/>
        <v>#N/A</v>
      </c>
      <c r="W159" t="e">
        <f t="shared" ca="1" si="34"/>
        <v>#N/A</v>
      </c>
      <c r="X159" t="e">
        <f t="shared" ca="1" si="38"/>
        <v>#N/A</v>
      </c>
      <c r="Y159" t="e">
        <f t="shared" ca="1" si="35"/>
        <v>#N/A</v>
      </c>
      <c r="Z159" t="e">
        <f t="shared" ca="1" si="36"/>
        <v>#N/A</v>
      </c>
      <c r="AA159" s="83" t="e">
        <f ca="1"/>
        <v>#N/A</v>
      </c>
      <c r="AB159" s="55" t="e">
        <f t="shared" ca="1" si="39"/>
        <v>#N/A</v>
      </c>
      <c r="AC159" s="55" t="e">
        <f t="shared" ca="1" si="40"/>
        <v>#N/A</v>
      </c>
      <c r="AD159" s="55" t="e">
        <f t="shared" ca="1" si="41"/>
        <v>#N/A</v>
      </c>
      <c r="AE159" s="55" t="e">
        <f t="shared" ca="1" si="42"/>
        <v>#N/A</v>
      </c>
    </row>
    <row r="160" spans="18:31">
      <c r="R160" s="83" t="e">
        <f ca="1"/>
        <v>#N/A</v>
      </c>
      <c r="S160" s="55" t="e">
        <f t="shared" ca="1" si="37"/>
        <v>#N/A</v>
      </c>
      <c r="T160" s="55" t="e">
        <f t="shared" ca="1" si="31"/>
        <v>#N/A</v>
      </c>
      <c r="U160" s="55" t="e">
        <f t="shared" ca="1" si="32"/>
        <v>#N/A</v>
      </c>
      <c r="V160" s="55" t="e">
        <f t="shared" ca="1" si="33"/>
        <v>#N/A</v>
      </c>
      <c r="W160" t="e">
        <f t="shared" ca="1" si="34"/>
        <v>#N/A</v>
      </c>
      <c r="X160" t="e">
        <f t="shared" ca="1" si="38"/>
        <v>#N/A</v>
      </c>
      <c r="Y160" t="e">
        <f t="shared" ca="1" si="35"/>
        <v>#N/A</v>
      </c>
      <c r="Z160" t="e">
        <f t="shared" ca="1" si="36"/>
        <v>#N/A</v>
      </c>
      <c r="AA160" s="83" t="e">
        <f ca="1"/>
        <v>#N/A</v>
      </c>
      <c r="AB160" s="55" t="e">
        <f t="shared" ca="1" si="39"/>
        <v>#N/A</v>
      </c>
      <c r="AC160" s="55" t="e">
        <f t="shared" ca="1" si="40"/>
        <v>#N/A</v>
      </c>
      <c r="AD160" s="55" t="e">
        <f t="shared" ca="1" si="41"/>
        <v>#N/A</v>
      </c>
      <c r="AE160" s="55" t="e">
        <f t="shared" ca="1" si="42"/>
        <v>#N/A</v>
      </c>
    </row>
    <row r="161" spans="18:31">
      <c r="R161" s="83" t="e">
        <f ca="1"/>
        <v>#N/A</v>
      </c>
      <c r="S161" s="55" t="e">
        <f t="shared" ca="1" si="37"/>
        <v>#N/A</v>
      </c>
      <c r="T161" s="55" t="e">
        <f t="shared" ca="1" si="31"/>
        <v>#N/A</v>
      </c>
      <c r="U161" s="55" t="e">
        <f t="shared" ca="1" si="32"/>
        <v>#N/A</v>
      </c>
      <c r="V161" s="55" t="e">
        <f t="shared" ca="1" si="33"/>
        <v>#N/A</v>
      </c>
      <c r="W161" t="e">
        <f t="shared" ca="1" si="34"/>
        <v>#N/A</v>
      </c>
      <c r="X161" t="e">
        <f t="shared" ca="1" si="38"/>
        <v>#N/A</v>
      </c>
      <c r="Y161" t="e">
        <f t="shared" ca="1" si="35"/>
        <v>#N/A</v>
      </c>
      <c r="Z161" t="e">
        <f t="shared" ca="1" si="36"/>
        <v>#N/A</v>
      </c>
      <c r="AA161" s="83" t="e">
        <f ca="1"/>
        <v>#N/A</v>
      </c>
      <c r="AB161" s="55" t="e">
        <f t="shared" ca="1" si="39"/>
        <v>#N/A</v>
      </c>
      <c r="AC161" s="55" t="e">
        <f t="shared" ca="1" si="40"/>
        <v>#N/A</v>
      </c>
      <c r="AD161" s="55" t="e">
        <f t="shared" ca="1" si="41"/>
        <v>#N/A</v>
      </c>
      <c r="AE161" s="55" t="e">
        <f t="shared" ca="1" si="42"/>
        <v>#N/A</v>
      </c>
    </row>
    <row r="162" spans="18:31">
      <c r="R162" s="83" t="e">
        <f ca="1"/>
        <v>#N/A</v>
      </c>
      <c r="S162" s="55" t="e">
        <f t="shared" ca="1" si="37"/>
        <v>#N/A</v>
      </c>
      <c r="T162" s="55" t="e">
        <f t="shared" ca="1" si="31"/>
        <v>#N/A</v>
      </c>
      <c r="U162" s="55" t="e">
        <f t="shared" ca="1" si="32"/>
        <v>#N/A</v>
      </c>
      <c r="V162" s="55" t="e">
        <f t="shared" ca="1" si="33"/>
        <v>#N/A</v>
      </c>
      <c r="W162" t="e">
        <f t="shared" ca="1" si="34"/>
        <v>#N/A</v>
      </c>
      <c r="X162" t="e">
        <f t="shared" ca="1" si="38"/>
        <v>#N/A</v>
      </c>
      <c r="Y162" t="e">
        <f t="shared" ca="1" si="35"/>
        <v>#N/A</v>
      </c>
      <c r="Z162" t="e">
        <f t="shared" ca="1" si="36"/>
        <v>#N/A</v>
      </c>
      <c r="AA162" s="83" t="e">
        <f ca="1"/>
        <v>#N/A</v>
      </c>
      <c r="AB162" s="55" t="e">
        <f t="shared" ca="1" si="39"/>
        <v>#N/A</v>
      </c>
      <c r="AC162" s="55" t="e">
        <f t="shared" ca="1" si="40"/>
        <v>#N/A</v>
      </c>
      <c r="AD162" s="55" t="e">
        <f t="shared" ca="1" si="41"/>
        <v>#N/A</v>
      </c>
      <c r="AE162" s="55" t="e">
        <f t="shared" ca="1" si="42"/>
        <v>#N/A</v>
      </c>
    </row>
    <row r="163" spans="18:31">
      <c r="R163" s="83" t="e">
        <f ca="1"/>
        <v>#N/A</v>
      </c>
      <c r="S163" s="55" t="e">
        <f t="shared" ca="1" si="37"/>
        <v>#N/A</v>
      </c>
      <c r="T163" s="55" t="e">
        <f t="shared" ca="1" si="31"/>
        <v>#N/A</v>
      </c>
      <c r="U163" s="55" t="e">
        <f t="shared" ca="1" si="32"/>
        <v>#N/A</v>
      </c>
      <c r="V163" s="55" t="e">
        <f t="shared" ca="1" si="33"/>
        <v>#N/A</v>
      </c>
      <c r="W163" t="e">
        <f t="shared" ca="1" si="34"/>
        <v>#N/A</v>
      </c>
      <c r="X163" t="e">
        <f t="shared" ca="1" si="38"/>
        <v>#N/A</v>
      </c>
      <c r="Y163" t="e">
        <f t="shared" ca="1" si="35"/>
        <v>#N/A</v>
      </c>
      <c r="Z163" t="e">
        <f t="shared" ca="1" si="36"/>
        <v>#N/A</v>
      </c>
      <c r="AA163" s="83" t="e">
        <f ca="1"/>
        <v>#N/A</v>
      </c>
      <c r="AB163" s="55" t="e">
        <f t="shared" ca="1" si="39"/>
        <v>#N/A</v>
      </c>
      <c r="AC163" s="55" t="e">
        <f t="shared" ca="1" si="40"/>
        <v>#N/A</v>
      </c>
      <c r="AD163" s="55" t="e">
        <f t="shared" ca="1" si="41"/>
        <v>#N/A</v>
      </c>
      <c r="AE163" s="55" t="e">
        <f t="shared" ca="1" si="42"/>
        <v>#N/A</v>
      </c>
    </row>
    <row r="164" spans="18:31">
      <c r="R164" s="83" t="e">
        <f ca="1"/>
        <v>#N/A</v>
      </c>
      <c r="S164" s="55" t="e">
        <f t="shared" ca="1" si="37"/>
        <v>#N/A</v>
      </c>
      <c r="T164" s="55" t="e">
        <f t="shared" ca="1" si="31"/>
        <v>#N/A</v>
      </c>
      <c r="U164" s="55" t="e">
        <f t="shared" ca="1" si="32"/>
        <v>#N/A</v>
      </c>
      <c r="V164" s="55" t="e">
        <f t="shared" ca="1" si="33"/>
        <v>#N/A</v>
      </c>
      <c r="W164" t="e">
        <f t="shared" ca="1" si="34"/>
        <v>#N/A</v>
      </c>
      <c r="X164" t="e">
        <f t="shared" ca="1" si="38"/>
        <v>#N/A</v>
      </c>
      <c r="Y164" t="e">
        <f t="shared" ca="1" si="35"/>
        <v>#N/A</v>
      </c>
      <c r="Z164" t="e">
        <f t="shared" ca="1" si="36"/>
        <v>#N/A</v>
      </c>
      <c r="AA164" s="83" t="e">
        <f ca="1"/>
        <v>#N/A</v>
      </c>
      <c r="AB164" s="55" t="e">
        <f t="shared" ca="1" si="39"/>
        <v>#N/A</v>
      </c>
      <c r="AC164" s="55" t="e">
        <f t="shared" ca="1" si="40"/>
        <v>#N/A</v>
      </c>
      <c r="AD164" s="55" t="e">
        <f t="shared" ca="1" si="41"/>
        <v>#N/A</v>
      </c>
      <c r="AE164" s="55" t="e">
        <f t="shared" ca="1" si="42"/>
        <v>#N/A</v>
      </c>
    </row>
    <row r="165" spans="18:31">
      <c r="R165" s="83" t="e">
        <f ca="1"/>
        <v>#N/A</v>
      </c>
      <c r="S165" s="55" t="e">
        <f t="shared" ca="1" si="37"/>
        <v>#N/A</v>
      </c>
      <c r="T165" s="55" t="e">
        <f t="shared" ca="1" si="31"/>
        <v>#N/A</v>
      </c>
      <c r="U165" s="55" t="e">
        <f t="shared" ca="1" si="32"/>
        <v>#N/A</v>
      </c>
      <c r="V165" s="55" t="e">
        <f t="shared" ca="1" si="33"/>
        <v>#N/A</v>
      </c>
      <c r="W165" t="e">
        <f t="shared" ca="1" si="34"/>
        <v>#N/A</v>
      </c>
      <c r="X165" t="e">
        <f t="shared" ca="1" si="38"/>
        <v>#N/A</v>
      </c>
      <c r="Y165" t="e">
        <f t="shared" ca="1" si="35"/>
        <v>#N/A</v>
      </c>
      <c r="Z165" t="e">
        <f t="shared" ca="1" si="36"/>
        <v>#N/A</v>
      </c>
      <c r="AA165" s="83" t="e">
        <f ca="1"/>
        <v>#N/A</v>
      </c>
      <c r="AB165" s="55" t="e">
        <f t="shared" ca="1" si="39"/>
        <v>#N/A</v>
      </c>
      <c r="AC165" s="55" t="e">
        <f t="shared" ca="1" si="40"/>
        <v>#N/A</v>
      </c>
      <c r="AD165" s="55" t="e">
        <f t="shared" ca="1" si="41"/>
        <v>#N/A</v>
      </c>
      <c r="AE165" s="55" t="e">
        <f t="shared" ca="1" si="42"/>
        <v>#N/A</v>
      </c>
    </row>
    <row r="166" spans="18:31">
      <c r="R166" s="83" t="e">
        <f ca="1"/>
        <v>#N/A</v>
      </c>
      <c r="S166" s="55" t="e">
        <f t="shared" ca="1" si="37"/>
        <v>#N/A</v>
      </c>
      <c r="T166" s="55" t="e">
        <f t="shared" ca="1" si="31"/>
        <v>#N/A</v>
      </c>
      <c r="U166" s="55" t="e">
        <f t="shared" ca="1" si="32"/>
        <v>#N/A</v>
      </c>
      <c r="V166" s="55" t="e">
        <f t="shared" ca="1" si="33"/>
        <v>#N/A</v>
      </c>
      <c r="W166" t="e">
        <f t="shared" ca="1" si="34"/>
        <v>#N/A</v>
      </c>
      <c r="X166" t="e">
        <f t="shared" ca="1" si="38"/>
        <v>#N/A</v>
      </c>
      <c r="Y166" t="e">
        <f t="shared" ca="1" si="35"/>
        <v>#N/A</v>
      </c>
      <c r="Z166" t="e">
        <f t="shared" ca="1" si="36"/>
        <v>#N/A</v>
      </c>
      <c r="AA166" s="83" t="e">
        <f ca="1"/>
        <v>#N/A</v>
      </c>
      <c r="AB166" s="55" t="e">
        <f t="shared" ca="1" si="39"/>
        <v>#N/A</v>
      </c>
      <c r="AC166" s="55" t="e">
        <f t="shared" ca="1" si="40"/>
        <v>#N/A</v>
      </c>
      <c r="AD166" s="55" t="e">
        <f t="shared" ca="1" si="41"/>
        <v>#N/A</v>
      </c>
      <c r="AE166" s="55" t="e">
        <f t="shared" ca="1" si="42"/>
        <v>#N/A</v>
      </c>
    </row>
    <row r="167" spans="18:31">
      <c r="R167" s="83" t="e">
        <f ca="1"/>
        <v>#N/A</v>
      </c>
      <c r="S167" s="55" t="e">
        <f t="shared" ca="1" si="37"/>
        <v>#N/A</v>
      </c>
      <c r="T167" s="55" t="e">
        <f t="shared" ca="1" si="31"/>
        <v>#N/A</v>
      </c>
      <c r="U167" s="55" t="e">
        <f t="shared" ca="1" si="32"/>
        <v>#N/A</v>
      </c>
      <c r="V167" s="55" t="e">
        <f t="shared" ca="1" si="33"/>
        <v>#N/A</v>
      </c>
      <c r="W167" t="e">
        <f t="shared" ca="1" si="34"/>
        <v>#N/A</v>
      </c>
      <c r="X167" t="e">
        <f t="shared" ca="1" si="38"/>
        <v>#N/A</v>
      </c>
      <c r="Y167" t="e">
        <f t="shared" ca="1" si="35"/>
        <v>#N/A</v>
      </c>
      <c r="Z167" t="e">
        <f t="shared" ca="1" si="36"/>
        <v>#N/A</v>
      </c>
      <c r="AA167" s="83" t="e">
        <f ca="1"/>
        <v>#N/A</v>
      </c>
      <c r="AB167" s="55" t="e">
        <f t="shared" ca="1" si="39"/>
        <v>#N/A</v>
      </c>
      <c r="AC167" s="55" t="e">
        <f t="shared" ca="1" si="40"/>
        <v>#N/A</v>
      </c>
      <c r="AD167" s="55" t="e">
        <f t="shared" ca="1" si="41"/>
        <v>#N/A</v>
      </c>
      <c r="AE167" s="55" t="e">
        <f t="shared" ca="1" si="42"/>
        <v>#N/A</v>
      </c>
    </row>
    <row r="168" spans="18:31">
      <c r="R168" s="83" t="e">
        <f ca="1"/>
        <v>#N/A</v>
      </c>
      <c r="S168" s="55" t="e">
        <f t="shared" ca="1" si="37"/>
        <v>#N/A</v>
      </c>
      <c r="T168" s="55" t="e">
        <f t="shared" ca="1" si="31"/>
        <v>#N/A</v>
      </c>
      <c r="U168" s="55" t="e">
        <f t="shared" ca="1" si="32"/>
        <v>#N/A</v>
      </c>
      <c r="V168" s="55" t="e">
        <f t="shared" ca="1" si="33"/>
        <v>#N/A</v>
      </c>
      <c r="W168" t="e">
        <f t="shared" ca="1" si="34"/>
        <v>#N/A</v>
      </c>
      <c r="X168" t="e">
        <f t="shared" ca="1" si="38"/>
        <v>#N/A</v>
      </c>
      <c r="Y168" t="e">
        <f t="shared" ca="1" si="35"/>
        <v>#N/A</v>
      </c>
      <c r="Z168" t="e">
        <f t="shared" ca="1" si="36"/>
        <v>#N/A</v>
      </c>
      <c r="AA168" s="83" t="e">
        <f ca="1"/>
        <v>#N/A</v>
      </c>
      <c r="AB168" s="55" t="e">
        <f t="shared" ca="1" si="39"/>
        <v>#N/A</v>
      </c>
      <c r="AC168" s="55" t="e">
        <f t="shared" ca="1" si="40"/>
        <v>#N/A</v>
      </c>
      <c r="AD168" s="55" t="e">
        <f t="shared" ca="1" si="41"/>
        <v>#N/A</v>
      </c>
      <c r="AE168" s="55" t="e">
        <f t="shared" ca="1" si="42"/>
        <v>#N/A</v>
      </c>
    </row>
    <row r="169" spans="18:31">
      <c r="R169" s="83" t="e">
        <f ca="1"/>
        <v>#N/A</v>
      </c>
      <c r="S169" s="55" t="e">
        <f t="shared" ca="1" si="37"/>
        <v>#N/A</v>
      </c>
      <c r="T169" s="55" t="e">
        <f t="shared" ca="1" si="31"/>
        <v>#N/A</v>
      </c>
      <c r="U169" s="55" t="e">
        <f t="shared" ca="1" si="32"/>
        <v>#N/A</v>
      </c>
      <c r="V169" s="55" t="e">
        <f t="shared" ca="1" si="33"/>
        <v>#N/A</v>
      </c>
      <c r="W169" t="e">
        <f t="shared" ca="1" si="34"/>
        <v>#N/A</v>
      </c>
      <c r="X169" t="e">
        <f t="shared" ca="1" si="38"/>
        <v>#N/A</v>
      </c>
      <c r="Y169" t="e">
        <f t="shared" ca="1" si="35"/>
        <v>#N/A</v>
      </c>
      <c r="Z169" t="e">
        <f t="shared" ca="1" si="36"/>
        <v>#N/A</v>
      </c>
      <c r="AA169" s="83" t="e">
        <f ca="1"/>
        <v>#N/A</v>
      </c>
      <c r="AB169" s="55" t="e">
        <f t="shared" ca="1" si="39"/>
        <v>#N/A</v>
      </c>
      <c r="AC169" s="55" t="e">
        <f t="shared" ca="1" si="40"/>
        <v>#N/A</v>
      </c>
      <c r="AD169" s="55" t="e">
        <f t="shared" ca="1" si="41"/>
        <v>#N/A</v>
      </c>
      <c r="AE169" s="55" t="e">
        <f t="shared" ca="1" si="42"/>
        <v>#N/A</v>
      </c>
    </row>
    <row r="170" spans="18:31">
      <c r="R170" s="83" t="e">
        <f ca="1"/>
        <v>#N/A</v>
      </c>
      <c r="S170" s="55" t="e">
        <f t="shared" ca="1" si="37"/>
        <v>#N/A</v>
      </c>
      <c r="T170" s="55" t="e">
        <f t="shared" ca="1" si="31"/>
        <v>#N/A</v>
      </c>
      <c r="U170" s="55" t="e">
        <f t="shared" ca="1" si="32"/>
        <v>#N/A</v>
      </c>
      <c r="V170" s="55" t="e">
        <f t="shared" ca="1" si="33"/>
        <v>#N/A</v>
      </c>
      <c r="W170" t="e">
        <f t="shared" ca="1" si="34"/>
        <v>#N/A</v>
      </c>
      <c r="X170" t="e">
        <f t="shared" ca="1" si="38"/>
        <v>#N/A</v>
      </c>
      <c r="Y170" t="e">
        <f t="shared" ca="1" si="35"/>
        <v>#N/A</v>
      </c>
      <c r="Z170" t="e">
        <f t="shared" ca="1" si="36"/>
        <v>#N/A</v>
      </c>
      <c r="AA170" s="83" t="e">
        <f ca="1"/>
        <v>#N/A</v>
      </c>
      <c r="AB170" s="55" t="e">
        <f t="shared" ca="1" si="39"/>
        <v>#N/A</v>
      </c>
      <c r="AC170" s="55" t="e">
        <f t="shared" ca="1" si="40"/>
        <v>#N/A</v>
      </c>
      <c r="AD170" s="55" t="e">
        <f t="shared" ca="1" si="41"/>
        <v>#N/A</v>
      </c>
      <c r="AE170" s="55" t="e">
        <f t="shared" ca="1" si="42"/>
        <v>#N/A</v>
      </c>
    </row>
    <row r="171" spans="18:31">
      <c r="R171" s="83" t="e">
        <f ca="1"/>
        <v>#N/A</v>
      </c>
      <c r="S171" s="55" t="e">
        <f t="shared" ca="1" si="37"/>
        <v>#N/A</v>
      </c>
      <c r="T171" s="55" t="e">
        <f t="shared" ca="1" si="31"/>
        <v>#N/A</v>
      </c>
      <c r="U171" s="55" t="e">
        <f t="shared" ca="1" si="32"/>
        <v>#N/A</v>
      </c>
      <c r="V171" s="55" t="e">
        <f t="shared" ca="1" si="33"/>
        <v>#N/A</v>
      </c>
      <c r="W171" t="e">
        <f t="shared" ca="1" si="34"/>
        <v>#N/A</v>
      </c>
      <c r="X171" t="e">
        <f t="shared" ca="1" si="38"/>
        <v>#N/A</v>
      </c>
      <c r="Y171" t="e">
        <f t="shared" ca="1" si="35"/>
        <v>#N/A</v>
      </c>
      <c r="Z171" t="e">
        <f t="shared" ca="1" si="36"/>
        <v>#N/A</v>
      </c>
      <c r="AA171" s="83" t="e">
        <f ca="1"/>
        <v>#N/A</v>
      </c>
      <c r="AB171" s="55" t="e">
        <f t="shared" ca="1" si="39"/>
        <v>#N/A</v>
      </c>
      <c r="AC171" s="55" t="e">
        <f t="shared" ca="1" si="40"/>
        <v>#N/A</v>
      </c>
      <c r="AD171" s="55" t="e">
        <f t="shared" ca="1" si="41"/>
        <v>#N/A</v>
      </c>
      <c r="AE171" s="55" t="e">
        <f t="shared" ca="1" si="42"/>
        <v>#N/A</v>
      </c>
    </row>
    <row r="172" spans="18:31">
      <c r="R172" s="83" t="e">
        <f ca="1"/>
        <v>#N/A</v>
      </c>
      <c r="S172" s="55" t="e">
        <f t="shared" ca="1" si="37"/>
        <v>#N/A</v>
      </c>
      <c r="T172" s="55" t="e">
        <f t="shared" ca="1" si="31"/>
        <v>#N/A</v>
      </c>
      <c r="U172" s="55" t="e">
        <f t="shared" ca="1" si="32"/>
        <v>#N/A</v>
      </c>
      <c r="V172" s="55" t="e">
        <f t="shared" ca="1" si="33"/>
        <v>#N/A</v>
      </c>
      <c r="W172" t="e">
        <f t="shared" ca="1" si="34"/>
        <v>#N/A</v>
      </c>
      <c r="X172" t="e">
        <f t="shared" ca="1" si="38"/>
        <v>#N/A</v>
      </c>
      <c r="Y172" t="e">
        <f t="shared" ca="1" si="35"/>
        <v>#N/A</v>
      </c>
      <c r="Z172" t="e">
        <f t="shared" ca="1" si="36"/>
        <v>#N/A</v>
      </c>
      <c r="AA172" s="83" t="e">
        <f ca="1"/>
        <v>#N/A</v>
      </c>
      <c r="AB172" s="55" t="e">
        <f t="shared" ca="1" si="39"/>
        <v>#N/A</v>
      </c>
      <c r="AC172" s="55" t="e">
        <f t="shared" ca="1" si="40"/>
        <v>#N/A</v>
      </c>
      <c r="AD172" s="55" t="e">
        <f t="shared" ca="1" si="41"/>
        <v>#N/A</v>
      </c>
      <c r="AE172" s="55" t="e">
        <f t="shared" ca="1" si="42"/>
        <v>#N/A</v>
      </c>
    </row>
    <row r="173" spans="18:31">
      <c r="R173" s="83" t="e">
        <f ca="1"/>
        <v>#N/A</v>
      </c>
      <c r="S173" s="55" t="e">
        <f t="shared" ca="1" si="37"/>
        <v>#N/A</v>
      </c>
      <c r="T173" s="55" t="e">
        <f t="shared" ca="1" si="31"/>
        <v>#N/A</v>
      </c>
      <c r="U173" s="55" t="e">
        <f t="shared" ca="1" si="32"/>
        <v>#N/A</v>
      </c>
      <c r="V173" s="55" t="e">
        <f t="shared" ca="1" si="33"/>
        <v>#N/A</v>
      </c>
      <c r="W173" t="e">
        <f t="shared" ca="1" si="34"/>
        <v>#N/A</v>
      </c>
      <c r="X173" t="e">
        <f t="shared" ca="1" si="38"/>
        <v>#N/A</v>
      </c>
      <c r="Y173" t="e">
        <f t="shared" ca="1" si="35"/>
        <v>#N/A</v>
      </c>
      <c r="Z173" t="e">
        <f t="shared" ca="1" si="36"/>
        <v>#N/A</v>
      </c>
      <c r="AA173" s="83" t="e">
        <f ca="1"/>
        <v>#N/A</v>
      </c>
      <c r="AB173" s="55" t="e">
        <f t="shared" ca="1" si="39"/>
        <v>#N/A</v>
      </c>
      <c r="AC173" s="55" t="e">
        <f t="shared" ca="1" si="40"/>
        <v>#N/A</v>
      </c>
      <c r="AD173" s="55" t="e">
        <f t="shared" ca="1" si="41"/>
        <v>#N/A</v>
      </c>
      <c r="AE173" s="55" t="e">
        <f t="shared" ca="1" si="42"/>
        <v>#N/A</v>
      </c>
    </row>
    <row r="174" spans="18:31">
      <c r="R174" s="83" t="e">
        <f ca="1"/>
        <v>#N/A</v>
      </c>
      <c r="S174" s="55" t="e">
        <f t="shared" ca="1" si="37"/>
        <v>#N/A</v>
      </c>
      <c r="T174" s="55" t="e">
        <f t="shared" ca="1" si="31"/>
        <v>#N/A</v>
      </c>
      <c r="U174" s="55" t="e">
        <f t="shared" ca="1" si="32"/>
        <v>#N/A</v>
      </c>
      <c r="V174" s="55" t="e">
        <f t="shared" ca="1" si="33"/>
        <v>#N/A</v>
      </c>
      <c r="W174" t="e">
        <f t="shared" ca="1" si="34"/>
        <v>#N/A</v>
      </c>
      <c r="X174" t="e">
        <f t="shared" ca="1" si="38"/>
        <v>#N/A</v>
      </c>
      <c r="Y174" t="e">
        <f t="shared" ca="1" si="35"/>
        <v>#N/A</v>
      </c>
      <c r="Z174" t="e">
        <f t="shared" ca="1" si="36"/>
        <v>#N/A</v>
      </c>
      <c r="AA174" s="83" t="e">
        <f ca="1"/>
        <v>#N/A</v>
      </c>
      <c r="AB174" s="55" t="e">
        <f t="shared" ca="1" si="39"/>
        <v>#N/A</v>
      </c>
      <c r="AC174" s="55" t="e">
        <f t="shared" ca="1" si="40"/>
        <v>#N/A</v>
      </c>
      <c r="AD174" s="55" t="e">
        <f t="shared" ca="1" si="41"/>
        <v>#N/A</v>
      </c>
      <c r="AE174" s="55" t="e">
        <f t="shared" ca="1" si="42"/>
        <v>#N/A</v>
      </c>
    </row>
    <row r="175" spans="18:31">
      <c r="R175" s="83" t="e">
        <f ca="1"/>
        <v>#N/A</v>
      </c>
      <c r="S175" s="55" t="e">
        <f t="shared" ca="1" si="37"/>
        <v>#N/A</v>
      </c>
      <c r="T175" s="55" t="e">
        <f t="shared" ca="1" si="31"/>
        <v>#N/A</v>
      </c>
      <c r="U175" s="55" t="e">
        <f t="shared" ca="1" si="32"/>
        <v>#N/A</v>
      </c>
      <c r="V175" s="55" t="e">
        <f t="shared" ca="1" si="33"/>
        <v>#N/A</v>
      </c>
      <c r="W175" t="e">
        <f t="shared" ca="1" si="34"/>
        <v>#N/A</v>
      </c>
      <c r="X175" t="e">
        <f t="shared" ca="1" si="38"/>
        <v>#N/A</v>
      </c>
      <c r="Y175" t="e">
        <f t="shared" ca="1" si="35"/>
        <v>#N/A</v>
      </c>
      <c r="Z175" t="e">
        <f t="shared" ca="1" si="36"/>
        <v>#N/A</v>
      </c>
      <c r="AA175" s="83" t="e">
        <f ca="1"/>
        <v>#N/A</v>
      </c>
      <c r="AB175" s="55" t="e">
        <f t="shared" ca="1" si="39"/>
        <v>#N/A</v>
      </c>
      <c r="AC175" s="55" t="e">
        <f t="shared" ca="1" si="40"/>
        <v>#N/A</v>
      </c>
      <c r="AD175" s="55" t="e">
        <f t="shared" ca="1" si="41"/>
        <v>#N/A</v>
      </c>
      <c r="AE175" s="55" t="e">
        <f t="shared" ca="1" si="42"/>
        <v>#N/A</v>
      </c>
    </row>
    <row r="176" spans="18:31">
      <c r="R176" s="83" t="e">
        <f ca="1"/>
        <v>#N/A</v>
      </c>
      <c r="S176" s="55" t="e">
        <f t="shared" ca="1" si="37"/>
        <v>#N/A</v>
      </c>
      <c r="T176" s="55" t="e">
        <f t="shared" ca="1" si="31"/>
        <v>#N/A</v>
      </c>
      <c r="U176" s="55" t="e">
        <f t="shared" ca="1" si="32"/>
        <v>#N/A</v>
      </c>
      <c r="V176" s="55" t="e">
        <f t="shared" ca="1" si="33"/>
        <v>#N/A</v>
      </c>
      <c r="W176" t="e">
        <f t="shared" ca="1" si="34"/>
        <v>#N/A</v>
      </c>
      <c r="X176" t="e">
        <f t="shared" ca="1" si="38"/>
        <v>#N/A</v>
      </c>
      <c r="Y176" t="e">
        <f t="shared" ca="1" si="35"/>
        <v>#N/A</v>
      </c>
      <c r="Z176" t="e">
        <f t="shared" ca="1" si="36"/>
        <v>#N/A</v>
      </c>
      <c r="AA176" s="83" t="e">
        <f ca="1"/>
        <v>#N/A</v>
      </c>
      <c r="AB176" s="55" t="e">
        <f t="shared" ca="1" si="39"/>
        <v>#N/A</v>
      </c>
      <c r="AC176" s="55" t="e">
        <f t="shared" ca="1" si="40"/>
        <v>#N/A</v>
      </c>
      <c r="AD176" s="55" t="e">
        <f t="shared" ca="1" si="41"/>
        <v>#N/A</v>
      </c>
      <c r="AE176" s="55" t="e">
        <f t="shared" ca="1" si="42"/>
        <v>#N/A</v>
      </c>
    </row>
    <row r="177" spans="18:31">
      <c r="R177" s="83" t="e">
        <f ca="1"/>
        <v>#N/A</v>
      </c>
      <c r="S177" s="55" t="e">
        <f t="shared" ca="1" si="37"/>
        <v>#N/A</v>
      </c>
      <c r="T177" s="55" t="e">
        <f t="shared" ca="1" si="31"/>
        <v>#N/A</v>
      </c>
      <c r="U177" s="55" t="e">
        <f t="shared" ca="1" si="32"/>
        <v>#N/A</v>
      </c>
      <c r="V177" s="55" t="e">
        <f t="shared" ca="1" si="33"/>
        <v>#N/A</v>
      </c>
      <c r="W177" t="e">
        <f t="shared" ca="1" si="34"/>
        <v>#N/A</v>
      </c>
      <c r="X177" t="e">
        <f t="shared" ca="1" si="38"/>
        <v>#N/A</v>
      </c>
      <c r="Y177" t="e">
        <f t="shared" ca="1" si="35"/>
        <v>#N/A</v>
      </c>
      <c r="Z177" t="e">
        <f t="shared" ca="1" si="36"/>
        <v>#N/A</v>
      </c>
      <c r="AA177" s="83" t="e">
        <f ca="1"/>
        <v>#N/A</v>
      </c>
      <c r="AB177" s="55" t="e">
        <f t="shared" ca="1" si="39"/>
        <v>#N/A</v>
      </c>
      <c r="AC177" s="55" t="e">
        <f t="shared" ca="1" si="40"/>
        <v>#N/A</v>
      </c>
      <c r="AD177" s="55" t="e">
        <f t="shared" ca="1" si="41"/>
        <v>#N/A</v>
      </c>
      <c r="AE177" s="55" t="e">
        <f t="shared" ca="1" si="42"/>
        <v>#N/A</v>
      </c>
    </row>
    <row r="178" spans="18:31">
      <c r="R178" s="83" t="e">
        <f ca="1"/>
        <v>#N/A</v>
      </c>
      <c r="S178" s="55" t="e">
        <f t="shared" ca="1" si="37"/>
        <v>#N/A</v>
      </c>
      <c r="T178" s="55" t="e">
        <f t="shared" ca="1" si="31"/>
        <v>#N/A</v>
      </c>
      <c r="U178" s="55" t="e">
        <f t="shared" ca="1" si="32"/>
        <v>#N/A</v>
      </c>
      <c r="V178" s="55" t="e">
        <f t="shared" ca="1" si="33"/>
        <v>#N/A</v>
      </c>
      <c r="W178" t="e">
        <f t="shared" ca="1" si="34"/>
        <v>#N/A</v>
      </c>
      <c r="X178" t="e">
        <f t="shared" ca="1" si="38"/>
        <v>#N/A</v>
      </c>
      <c r="Y178" t="e">
        <f t="shared" ca="1" si="35"/>
        <v>#N/A</v>
      </c>
      <c r="Z178" t="e">
        <f t="shared" ca="1" si="36"/>
        <v>#N/A</v>
      </c>
      <c r="AA178" s="83" t="e">
        <f ca="1"/>
        <v>#N/A</v>
      </c>
      <c r="AB178" s="55" t="e">
        <f t="shared" ca="1" si="39"/>
        <v>#N/A</v>
      </c>
      <c r="AC178" s="55" t="e">
        <f t="shared" ca="1" si="40"/>
        <v>#N/A</v>
      </c>
      <c r="AD178" s="55" t="e">
        <f t="shared" ca="1" si="41"/>
        <v>#N/A</v>
      </c>
      <c r="AE178" s="55" t="e">
        <f t="shared" ca="1" si="42"/>
        <v>#N/A</v>
      </c>
    </row>
    <row r="179" spans="18:31">
      <c r="R179" s="83" t="e">
        <f ca="1"/>
        <v>#N/A</v>
      </c>
      <c r="S179" s="55" t="e">
        <f t="shared" ca="1" si="37"/>
        <v>#N/A</v>
      </c>
      <c r="T179" s="55" t="e">
        <f t="shared" ca="1" si="31"/>
        <v>#N/A</v>
      </c>
      <c r="U179" s="55" t="e">
        <f t="shared" ca="1" si="32"/>
        <v>#N/A</v>
      </c>
      <c r="V179" s="55" t="e">
        <f t="shared" ca="1" si="33"/>
        <v>#N/A</v>
      </c>
      <c r="W179" t="e">
        <f t="shared" ca="1" si="34"/>
        <v>#N/A</v>
      </c>
      <c r="X179" t="e">
        <f t="shared" ca="1" si="38"/>
        <v>#N/A</v>
      </c>
      <c r="Y179" t="e">
        <f t="shared" ca="1" si="35"/>
        <v>#N/A</v>
      </c>
      <c r="Z179" t="e">
        <f t="shared" ca="1" si="36"/>
        <v>#N/A</v>
      </c>
      <c r="AA179" s="83" t="e">
        <f ca="1"/>
        <v>#N/A</v>
      </c>
      <c r="AB179" s="55" t="e">
        <f t="shared" ca="1" si="39"/>
        <v>#N/A</v>
      </c>
      <c r="AC179" s="55" t="e">
        <f t="shared" ca="1" si="40"/>
        <v>#N/A</v>
      </c>
      <c r="AD179" s="55" t="e">
        <f t="shared" ca="1" si="41"/>
        <v>#N/A</v>
      </c>
      <c r="AE179" s="55" t="e">
        <f t="shared" ca="1" si="42"/>
        <v>#N/A</v>
      </c>
    </row>
    <row r="180" spans="18:31">
      <c r="R180" s="83" t="e">
        <f ca="1"/>
        <v>#N/A</v>
      </c>
      <c r="S180" s="55" t="e">
        <f t="shared" ca="1" si="37"/>
        <v>#N/A</v>
      </c>
      <c r="T180" s="55" t="e">
        <f t="shared" ca="1" si="31"/>
        <v>#N/A</v>
      </c>
      <c r="U180" s="55" t="e">
        <f t="shared" ca="1" si="32"/>
        <v>#N/A</v>
      </c>
      <c r="V180" s="55" t="e">
        <f t="shared" ca="1" si="33"/>
        <v>#N/A</v>
      </c>
      <c r="W180" t="e">
        <f t="shared" ca="1" si="34"/>
        <v>#N/A</v>
      </c>
      <c r="X180" t="e">
        <f t="shared" ca="1" si="38"/>
        <v>#N/A</v>
      </c>
      <c r="Y180" t="e">
        <f t="shared" ca="1" si="35"/>
        <v>#N/A</v>
      </c>
      <c r="Z180" t="e">
        <f t="shared" ca="1" si="36"/>
        <v>#N/A</v>
      </c>
      <c r="AA180" s="83" t="e">
        <f ca="1"/>
        <v>#N/A</v>
      </c>
      <c r="AB180" s="55" t="e">
        <f t="shared" ca="1" si="39"/>
        <v>#N/A</v>
      </c>
      <c r="AC180" s="55" t="e">
        <f t="shared" ca="1" si="40"/>
        <v>#N/A</v>
      </c>
      <c r="AD180" s="55" t="e">
        <f t="shared" ca="1" si="41"/>
        <v>#N/A</v>
      </c>
      <c r="AE180" s="55" t="e">
        <f t="shared" ca="1" si="42"/>
        <v>#N/A</v>
      </c>
    </row>
    <row r="181" spans="18:31">
      <c r="R181" s="83" t="e">
        <f ca="1"/>
        <v>#N/A</v>
      </c>
      <c r="S181" s="55" t="e">
        <f t="shared" ca="1" si="37"/>
        <v>#N/A</v>
      </c>
      <c r="T181" s="55" t="e">
        <f t="shared" ca="1" si="31"/>
        <v>#N/A</v>
      </c>
      <c r="U181" s="55" t="e">
        <f t="shared" ca="1" si="32"/>
        <v>#N/A</v>
      </c>
      <c r="V181" s="55" t="e">
        <f t="shared" ca="1" si="33"/>
        <v>#N/A</v>
      </c>
      <c r="W181" t="e">
        <f t="shared" ca="1" si="34"/>
        <v>#N/A</v>
      </c>
      <c r="X181" t="e">
        <f t="shared" ca="1" si="38"/>
        <v>#N/A</v>
      </c>
      <c r="Y181" t="e">
        <f t="shared" ca="1" si="35"/>
        <v>#N/A</v>
      </c>
      <c r="Z181" t="e">
        <f t="shared" ca="1" si="36"/>
        <v>#N/A</v>
      </c>
      <c r="AA181" s="83" t="e">
        <f ca="1"/>
        <v>#N/A</v>
      </c>
      <c r="AB181" s="55" t="e">
        <f t="shared" ca="1" si="39"/>
        <v>#N/A</v>
      </c>
      <c r="AC181" s="55" t="e">
        <f t="shared" ca="1" si="40"/>
        <v>#N/A</v>
      </c>
      <c r="AD181" s="55" t="e">
        <f t="shared" ca="1" si="41"/>
        <v>#N/A</v>
      </c>
      <c r="AE181" s="55" t="e">
        <f t="shared" ca="1" si="42"/>
        <v>#N/A</v>
      </c>
    </row>
    <row r="182" spans="18:31">
      <c r="R182" s="83" t="e">
        <f ca="1"/>
        <v>#N/A</v>
      </c>
      <c r="S182" s="55" t="e">
        <f t="shared" ca="1" si="37"/>
        <v>#N/A</v>
      </c>
      <c r="T182" s="55" t="e">
        <f t="shared" ca="1" si="31"/>
        <v>#N/A</v>
      </c>
      <c r="U182" s="55" t="e">
        <f t="shared" ca="1" si="32"/>
        <v>#N/A</v>
      </c>
      <c r="V182" s="55" t="e">
        <f t="shared" ca="1" si="33"/>
        <v>#N/A</v>
      </c>
      <c r="W182" t="e">
        <f t="shared" ca="1" si="34"/>
        <v>#N/A</v>
      </c>
      <c r="X182" t="e">
        <f t="shared" ca="1" si="38"/>
        <v>#N/A</v>
      </c>
      <c r="Y182" t="e">
        <f t="shared" ca="1" si="35"/>
        <v>#N/A</v>
      </c>
      <c r="Z182" t="e">
        <f t="shared" ca="1" si="36"/>
        <v>#N/A</v>
      </c>
      <c r="AA182" s="83" t="e">
        <f ca="1"/>
        <v>#N/A</v>
      </c>
      <c r="AB182" s="55" t="e">
        <f t="shared" ca="1" si="39"/>
        <v>#N/A</v>
      </c>
      <c r="AC182" s="55" t="e">
        <f t="shared" ca="1" si="40"/>
        <v>#N/A</v>
      </c>
      <c r="AD182" s="55" t="e">
        <f t="shared" ca="1" si="41"/>
        <v>#N/A</v>
      </c>
      <c r="AE182" s="55" t="e">
        <f t="shared" ca="1" si="42"/>
        <v>#N/A</v>
      </c>
    </row>
    <row r="183" spans="18:31">
      <c r="R183" s="83" t="e">
        <f ca="1"/>
        <v>#N/A</v>
      </c>
      <c r="S183" s="55" t="e">
        <f t="shared" ca="1" si="37"/>
        <v>#N/A</v>
      </c>
      <c r="T183" s="55" t="e">
        <f t="shared" ca="1" si="31"/>
        <v>#N/A</v>
      </c>
      <c r="U183" s="55" t="e">
        <f t="shared" ca="1" si="32"/>
        <v>#N/A</v>
      </c>
      <c r="V183" s="55" t="e">
        <f t="shared" ca="1" si="33"/>
        <v>#N/A</v>
      </c>
      <c r="W183" t="e">
        <f t="shared" ca="1" si="34"/>
        <v>#N/A</v>
      </c>
      <c r="X183" t="e">
        <f t="shared" ca="1" si="38"/>
        <v>#N/A</v>
      </c>
      <c r="Y183" t="e">
        <f t="shared" ca="1" si="35"/>
        <v>#N/A</v>
      </c>
      <c r="Z183" t="e">
        <f t="shared" ca="1" si="36"/>
        <v>#N/A</v>
      </c>
      <c r="AA183" s="83" t="e">
        <f ca="1"/>
        <v>#N/A</v>
      </c>
      <c r="AB183" s="55" t="e">
        <f t="shared" ca="1" si="39"/>
        <v>#N/A</v>
      </c>
      <c r="AC183" s="55" t="e">
        <f t="shared" ca="1" si="40"/>
        <v>#N/A</v>
      </c>
      <c r="AD183" s="55" t="e">
        <f t="shared" ca="1" si="41"/>
        <v>#N/A</v>
      </c>
      <c r="AE183" s="55" t="e">
        <f t="shared" ca="1" si="42"/>
        <v>#N/A</v>
      </c>
    </row>
    <row r="184" spans="18:31">
      <c r="R184" s="83" t="e">
        <f ca="1"/>
        <v>#N/A</v>
      </c>
      <c r="S184" s="55" t="e">
        <f t="shared" ca="1" si="37"/>
        <v>#N/A</v>
      </c>
      <c r="T184" s="55" t="e">
        <f t="shared" ca="1" si="31"/>
        <v>#N/A</v>
      </c>
      <c r="U184" s="55" t="e">
        <f t="shared" ca="1" si="32"/>
        <v>#N/A</v>
      </c>
      <c r="V184" s="55" t="e">
        <f t="shared" ca="1" si="33"/>
        <v>#N/A</v>
      </c>
      <c r="W184" t="e">
        <f t="shared" ca="1" si="34"/>
        <v>#N/A</v>
      </c>
      <c r="X184" t="e">
        <f t="shared" ca="1" si="38"/>
        <v>#N/A</v>
      </c>
      <c r="Y184" t="e">
        <f t="shared" ca="1" si="35"/>
        <v>#N/A</v>
      </c>
      <c r="Z184" t="e">
        <f t="shared" ca="1" si="36"/>
        <v>#N/A</v>
      </c>
      <c r="AA184" s="83" t="e">
        <f ca="1"/>
        <v>#N/A</v>
      </c>
      <c r="AB184" s="55" t="e">
        <f t="shared" ca="1" si="39"/>
        <v>#N/A</v>
      </c>
      <c r="AC184" s="55" t="e">
        <f t="shared" ca="1" si="40"/>
        <v>#N/A</v>
      </c>
      <c r="AD184" s="55" t="e">
        <f t="shared" ca="1" si="41"/>
        <v>#N/A</v>
      </c>
      <c r="AE184" s="55" t="e">
        <f t="shared" ca="1" si="42"/>
        <v>#N/A</v>
      </c>
    </row>
    <row r="185" spans="18:31">
      <c r="R185" s="83" t="e">
        <f ca="1"/>
        <v>#N/A</v>
      </c>
      <c r="S185" s="55" t="e">
        <f t="shared" ca="1" si="37"/>
        <v>#N/A</v>
      </c>
      <c r="T185" s="55" t="e">
        <f t="shared" ca="1" si="31"/>
        <v>#N/A</v>
      </c>
      <c r="U185" s="55" t="e">
        <f t="shared" ca="1" si="32"/>
        <v>#N/A</v>
      </c>
      <c r="V185" s="55" t="e">
        <f t="shared" ca="1" si="33"/>
        <v>#N/A</v>
      </c>
      <c r="W185" t="e">
        <f t="shared" ca="1" si="34"/>
        <v>#N/A</v>
      </c>
      <c r="X185" t="e">
        <f t="shared" ca="1" si="38"/>
        <v>#N/A</v>
      </c>
      <c r="Y185" t="e">
        <f t="shared" ca="1" si="35"/>
        <v>#N/A</v>
      </c>
      <c r="Z185" t="e">
        <f t="shared" ca="1" si="36"/>
        <v>#N/A</v>
      </c>
      <c r="AA185" s="83" t="e">
        <f ca="1"/>
        <v>#N/A</v>
      </c>
      <c r="AB185" s="55" t="e">
        <f t="shared" ca="1" si="39"/>
        <v>#N/A</v>
      </c>
      <c r="AC185" s="55" t="e">
        <f t="shared" ca="1" si="40"/>
        <v>#N/A</v>
      </c>
      <c r="AD185" s="55" t="e">
        <f t="shared" ca="1" si="41"/>
        <v>#N/A</v>
      </c>
      <c r="AE185" s="55" t="e">
        <f t="shared" ca="1" si="42"/>
        <v>#N/A</v>
      </c>
    </row>
    <row r="186" spans="18:31">
      <c r="R186" s="83" t="e">
        <f ca="1"/>
        <v>#N/A</v>
      </c>
      <c r="S186" s="55" t="e">
        <f t="shared" ca="1" si="37"/>
        <v>#N/A</v>
      </c>
      <c r="T186" s="55" t="e">
        <f t="shared" ca="1" si="31"/>
        <v>#N/A</v>
      </c>
      <c r="U186" s="55" t="e">
        <f t="shared" ca="1" si="32"/>
        <v>#N/A</v>
      </c>
      <c r="V186" s="55" t="e">
        <f t="shared" ca="1" si="33"/>
        <v>#N/A</v>
      </c>
      <c r="W186" t="e">
        <f t="shared" ca="1" si="34"/>
        <v>#N/A</v>
      </c>
      <c r="X186" t="e">
        <f t="shared" ca="1" si="38"/>
        <v>#N/A</v>
      </c>
      <c r="Y186" t="e">
        <f t="shared" ca="1" si="35"/>
        <v>#N/A</v>
      </c>
      <c r="Z186" t="e">
        <f t="shared" ca="1" si="36"/>
        <v>#N/A</v>
      </c>
      <c r="AA186" s="83" t="e">
        <f ca="1"/>
        <v>#N/A</v>
      </c>
      <c r="AB186" s="55" t="e">
        <f t="shared" ca="1" si="39"/>
        <v>#N/A</v>
      </c>
      <c r="AC186" s="55" t="e">
        <f t="shared" ca="1" si="40"/>
        <v>#N/A</v>
      </c>
      <c r="AD186" s="55" t="e">
        <f t="shared" ca="1" si="41"/>
        <v>#N/A</v>
      </c>
      <c r="AE186" s="55" t="e">
        <f t="shared" ca="1" si="42"/>
        <v>#N/A</v>
      </c>
    </row>
    <row r="187" spans="18:31">
      <c r="R187" s="83" t="e">
        <f ca="1"/>
        <v>#N/A</v>
      </c>
      <c r="S187" s="55" t="e">
        <f t="shared" ca="1" si="37"/>
        <v>#N/A</v>
      </c>
      <c r="T187" s="55" t="e">
        <f t="shared" ca="1" si="31"/>
        <v>#N/A</v>
      </c>
      <c r="U187" s="55" t="e">
        <f t="shared" ca="1" si="32"/>
        <v>#N/A</v>
      </c>
      <c r="V187" s="55" t="e">
        <f t="shared" ca="1" si="33"/>
        <v>#N/A</v>
      </c>
      <c r="W187" t="e">
        <f t="shared" ca="1" si="34"/>
        <v>#N/A</v>
      </c>
      <c r="X187" t="e">
        <f t="shared" ca="1" si="38"/>
        <v>#N/A</v>
      </c>
      <c r="Y187" t="e">
        <f t="shared" ca="1" si="35"/>
        <v>#N/A</v>
      </c>
      <c r="Z187" t="e">
        <f t="shared" ca="1" si="36"/>
        <v>#N/A</v>
      </c>
      <c r="AA187" s="83" t="e">
        <f ca="1"/>
        <v>#N/A</v>
      </c>
      <c r="AB187" s="55" t="e">
        <f t="shared" ca="1" si="39"/>
        <v>#N/A</v>
      </c>
      <c r="AC187" s="55" t="e">
        <f t="shared" ca="1" si="40"/>
        <v>#N/A</v>
      </c>
      <c r="AD187" s="55" t="e">
        <f t="shared" ca="1" si="41"/>
        <v>#N/A</v>
      </c>
      <c r="AE187" s="55" t="e">
        <f t="shared" ca="1" si="42"/>
        <v>#N/A</v>
      </c>
    </row>
    <row r="188" spans="18:31">
      <c r="R188" s="83" t="e">
        <f ca="1"/>
        <v>#N/A</v>
      </c>
      <c r="S188" s="55" t="e">
        <f t="shared" ca="1" si="37"/>
        <v>#N/A</v>
      </c>
      <c r="T188" s="55" t="e">
        <f t="shared" ca="1" si="31"/>
        <v>#N/A</v>
      </c>
      <c r="U188" s="55" t="e">
        <f t="shared" ca="1" si="32"/>
        <v>#N/A</v>
      </c>
      <c r="V188" s="55" t="e">
        <f t="shared" ca="1" si="33"/>
        <v>#N/A</v>
      </c>
      <c r="W188" t="e">
        <f t="shared" ca="1" si="34"/>
        <v>#N/A</v>
      </c>
      <c r="X188" t="e">
        <f t="shared" ca="1" si="38"/>
        <v>#N/A</v>
      </c>
      <c r="Y188" t="e">
        <f t="shared" ca="1" si="35"/>
        <v>#N/A</v>
      </c>
      <c r="Z188" t="e">
        <f t="shared" ca="1" si="36"/>
        <v>#N/A</v>
      </c>
      <c r="AA188" s="83" t="e">
        <f ca="1"/>
        <v>#N/A</v>
      </c>
      <c r="AB188" s="55" t="e">
        <f t="shared" ca="1" si="39"/>
        <v>#N/A</v>
      </c>
      <c r="AC188" s="55" t="e">
        <f t="shared" ca="1" si="40"/>
        <v>#N/A</v>
      </c>
      <c r="AD188" s="55" t="e">
        <f t="shared" ca="1" si="41"/>
        <v>#N/A</v>
      </c>
      <c r="AE188" s="55" t="e">
        <f t="shared" ca="1" si="42"/>
        <v>#N/A</v>
      </c>
    </row>
    <row r="189" spans="18:31">
      <c r="R189" s="83" t="e">
        <f ca="1"/>
        <v>#N/A</v>
      </c>
      <c r="S189" s="55" t="e">
        <f t="shared" ca="1" si="37"/>
        <v>#N/A</v>
      </c>
      <c r="T189" s="55" t="e">
        <f t="shared" ca="1" si="31"/>
        <v>#N/A</v>
      </c>
      <c r="U189" s="55" t="e">
        <f t="shared" ca="1" si="32"/>
        <v>#N/A</v>
      </c>
      <c r="V189" s="55" t="e">
        <f t="shared" ca="1" si="33"/>
        <v>#N/A</v>
      </c>
      <c r="W189" t="e">
        <f t="shared" ca="1" si="34"/>
        <v>#N/A</v>
      </c>
      <c r="X189" t="e">
        <f t="shared" ca="1" si="38"/>
        <v>#N/A</v>
      </c>
      <c r="Y189" t="e">
        <f t="shared" ca="1" si="35"/>
        <v>#N/A</v>
      </c>
      <c r="Z189" t="e">
        <f t="shared" ca="1" si="36"/>
        <v>#N/A</v>
      </c>
      <c r="AA189" s="83" t="e">
        <f ca="1"/>
        <v>#N/A</v>
      </c>
      <c r="AB189" s="55" t="e">
        <f t="shared" ca="1" si="39"/>
        <v>#N/A</v>
      </c>
      <c r="AC189" s="55" t="e">
        <f t="shared" ca="1" si="40"/>
        <v>#N/A</v>
      </c>
      <c r="AD189" s="55" t="e">
        <f t="shared" ca="1" si="41"/>
        <v>#N/A</v>
      </c>
      <c r="AE189" s="55" t="e">
        <f t="shared" ca="1" si="42"/>
        <v>#N/A</v>
      </c>
    </row>
    <row r="190" spans="18:31">
      <c r="R190" s="83" t="e">
        <f ca="1"/>
        <v>#N/A</v>
      </c>
      <c r="S190" s="55" t="e">
        <f t="shared" ca="1" si="37"/>
        <v>#N/A</v>
      </c>
      <c r="T190" s="55" t="e">
        <f t="shared" ca="1" si="31"/>
        <v>#N/A</v>
      </c>
      <c r="U190" s="55" t="e">
        <f t="shared" ca="1" si="32"/>
        <v>#N/A</v>
      </c>
      <c r="V190" s="55" t="e">
        <f t="shared" ca="1" si="33"/>
        <v>#N/A</v>
      </c>
      <c r="W190" t="e">
        <f t="shared" ca="1" si="34"/>
        <v>#N/A</v>
      </c>
      <c r="X190" t="e">
        <f t="shared" ca="1" si="38"/>
        <v>#N/A</v>
      </c>
      <c r="Y190" t="e">
        <f t="shared" ca="1" si="35"/>
        <v>#N/A</v>
      </c>
      <c r="Z190" t="e">
        <f t="shared" ca="1" si="36"/>
        <v>#N/A</v>
      </c>
      <c r="AA190" s="83" t="e">
        <f ca="1"/>
        <v>#N/A</v>
      </c>
      <c r="AB190" s="55" t="e">
        <f t="shared" ca="1" si="39"/>
        <v>#N/A</v>
      </c>
      <c r="AC190" s="55" t="e">
        <f t="shared" ca="1" si="40"/>
        <v>#N/A</v>
      </c>
      <c r="AD190" s="55" t="e">
        <f t="shared" ca="1" si="41"/>
        <v>#N/A</v>
      </c>
      <c r="AE190" s="55" t="e">
        <f t="shared" ca="1" si="42"/>
        <v>#N/A</v>
      </c>
    </row>
    <row r="191" spans="18:31">
      <c r="R191" s="83" t="e">
        <f ca="1"/>
        <v>#N/A</v>
      </c>
      <c r="S191" s="55" t="e">
        <f t="shared" ca="1" si="37"/>
        <v>#N/A</v>
      </c>
      <c r="T191" s="55" t="e">
        <f t="shared" ca="1" si="31"/>
        <v>#N/A</v>
      </c>
      <c r="U191" s="55" t="e">
        <f t="shared" ca="1" si="32"/>
        <v>#N/A</v>
      </c>
      <c r="V191" s="55" t="e">
        <f t="shared" ca="1" si="33"/>
        <v>#N/A</v>
      </c>
      <c r="W191" t="e">
        <f t="shared" ca="1" si="34"/>
        <v>#N/A</v>
      </c>
      <c r="X191" t="e">
        <f t="shared" ca="1" si="38"/>
        <v>#N/A</v>
      </c>
      <c r="Y191" t="e">
        <f t="shared" ca="1" si="35"/>
        <v>#N/A</v>
      </c>
      <c r="Z191" t="e">
        <f t="shared" ca="1" si="36"/>
        <v>#N/A</v>
      </c>
      <c r="AA191" s="83" t="e">
        <f ca="1"/>
        <v>#N/A</v>
      </c>
      <c r="AB191" s="55" t="e">
        <f t="shared" ca="1" si="39"/>
        <v>#N/A</v>
      </c>
      <c r="AC191" s="55" t="e">
        <f t="shared" ca="1" si="40"/>
        <v>#N/A</v>
      </c>
      <c r="AD191" s="55" t="e">
        <f t="shared" ca="1" si="41"/>
        <v>#N/A</v>
      </c>
      <c r="AE191" s="55" t="e">
        <f t="shared" ca="1" si="42"/>
        <v>#N/A</v>
      </c>
    </row>
    <row r="192" spans="18:31">
      <c r="R192" s="83" t="e">
        <f ca="1"/>
        <v>#N/A</v>
      </c>
      <c r="S192" s="55" t="e">
        <f t="shared" ca="1" si="37"/>
        <v>#N/A</v>
      </c>
      <c r="T192" s="55" t="e">
        <f t="shared" ca="1" si="31"/>
        <v>#N/A</v>
      </c>
      <c r="U192" s="55" t="e">
        <f t="shared" ca="1" si="32"/>
        <v>#N/A</v>
      </c>
      <c r="V192" s="55" t="e">
        <f t="shared" ca="1" si="33"/>
        <v>#N/A</v>
      </c>
      <c r="W192" t="e">
        <f t="shared" ca="1" si="34"/>
        <v>#N/A</v>
      </c>
      <c r="X192" t="e">
        <f t="shared" ca="1" si="38"/>
        <v>#N/A</v>
      </c>
      <c r="Y192" t="e">
        <f t="shared" ca="1" si="35"/>
        <v>#N/A</v>
      </c>
      <c r="Z192" t="e">
        <f t="shared" ca="1" si="36"/>
        <v>#N/A</v>
      </c>
      <c r="AA192" s="83" t="e">
        <f ca="1"/>
        <v>#N/A</v>
      </c>
      <c r="AB192" s="55" t="e">
        <f t="shared" ca="1" si="39"/>
        <v>#N/A</v>
      </c>
      <c r="AC192" s="55" t="e">
        <f t="shared" ca="1" si="40"/>
        <v>#N/A</v>
      </c>
      <c r="AD192" s="55" t="e">
        <f t="shared" ca="1" si="41"/>
        <v>#N/A</v>
      </c>
      <c r="AE192" s="55" t="e">
        <f t="shared" ca="1" si="42"/>
        <v>#N/A</v>
      </c>
    </row>
    <row r="193" spans="18:31">
      <c r="R193" s="83" t="e">
        <f ca="1"/>
        <v>#N/A</v>
      </c>
      <c r="S193" s="55" t="e">
        <f t="shared" ca="1" si="37"/>
        <v>#N/A</v>
      </c>
      <c r="T193" s="55" t="e">
        <f t="shared" ca="1" si="31"/>
        <v>#N/A</v>
      </c>
      <c r="U193" s="55" t="e">
        <f t="shared" ca="1" si="32"/>
        <v>#N/A</v>
      </c>
      <c r="V193" s="55" t="e">
        <f t="shared" ca="1" si="33"/>
        <v>#N/A</v>
      </c>
      <c r="W193" t="e">
        <f t="shared" ca="1" si="34"/>
        <v>#N/A</v>
      </c>
      <c r="X193" t="e">
        <f t="shared" ca="1" si="38"/>
        <v>#N/A</v>
      </c>
      <c r="Y193" t="e">
        <f t="shared" ca="1" si="35"/>
        <v>#N/A</v>
      </c>
      <c r="Z193" t="e">
        <f t="shared" ca="1" si="36"/>
        <v>#N/A</v>
      </c>
      <c r="AA193" s="83" t="e">
        <f ca="1"/>
        <v>#N/A</v>
      </c>
      <c r="AB193" s="55" t="e">
        <f t="shared" ca="1" si="39"/>
        <v>#N/A</v>
      </c>
      <c r="AC193" s="55" t="e">
        <f t="shared" ca="1" si="40"/>
        <v>#N/A</v>
      </c>
      <c r="AD193" s="55" t="e">
        <f t="shared" ca="1" si="41"/>
        <v>#N/A</v>
      </c>
      <c r="AE193" s="55" t="e">
        <f t="shared" ca="1" si="42"/>
        <v>#N/A</v>
      </c>
    </row>
    <row r="194" spans="18:31">
      <c r="R194" s="83" t="e">
        <f ca="1"/>
        <v>#N/A</v>
      </c>
      <c r="S194" s="55" t="e">
        <f t="shared" ca="1" si="37"/>
        <v>#N/A</v>
      </c>
      <c r="T194" s="55" t="e">
        <f t="shared" ca="1" si="31"/>
        <v>#N/A</v>
      </c>
      <c r="U194" s="55" t="e">
        <f t="shared" ca="1" si="32"/>
        <v>#N/A</v>
      </c>
      <c r="V194" s="55" t="e">
        <f t="shared" ca="1" si="33"/>
        <v>#N/A</v>
      </c>
      <c r="W194" t="e">
        <f t="shared" ca="1" si="34"/>
        <v>#N/A</v>
      </c>
      <c r="X194" t="e">
        <f t="shared" ca="1" si="38"/>
        <v>#N/A</v>
      </c>
      <c r="Y194" t="e">
        <f t="shared" ca="1" si="35"/>
        <v>#N/A</v>
      </c>
      <c r="Z194" t="e">
        <f t="shared" ca="1" si="36"/>
        <v>#N/A</v>
      </c>
      <c r="AA194" s="83" t="e">
        <f ca="1"/>
        <v>#N/A</v>
      </c>
      <c r="AB194" s="55" t="e">
        <f t="shared" ca="1" si="39"/>
        <v>#N/A</v>
      </c>
      <c r="AC194" s="55" t="e">
        <f t="shared" ca="1" si="40"/>
        <v>#N/A</v>
      </c>
      <c r="AD194" s="55" t="e">
        <f t="shared" ca="1" si="41"/>
        <v>#N/A</v>
      </c>
      <c r="AE194" s="55" t="e">
        <f t="shared" ca="1" si="42"/>
        <v>#N/A</v>
      </c>
    </row>
    <row r="195" spans="18:31">
      <c r="R195" s="83" t="e">
        <f ca="1"/>
        <v>#N/A</v>
      </c>
      <c r="S195" s="55" t="e">
        <f t="shared" ca="1" si="37"/>
        <v>#N/A</v>
      </c>
      <c r="T195" s="55" t="e">
        <f t="shared" ca="1" si="31"/>
        <v>#N/A</v>
      </c>
      <c r="U195" s="55" t="e">
        <f t="shared" ca="1" si="32"/>
        <v>#N/A</v>
      </c>
      <c r="V195" s="55" t="e">
        <f t="shared" ca="1" si="33"/>
        <v>#N/A</v>
      </c>
      <c r="W195" t="e">
        <f t="shared" ca="1" si="34"/>
        <v>#N/A</v>
      </c>
      <c r="X195" t="e">
        <f t="shared" ca="1" si="38"/>
        <v>#N/A</v>
      </c>
      <c r="Y195" t="e">
        <f t="shared" ca="1" si="35"/>
        <v>#N/A</v>
      </c>
      <c r="Z195" t="e">
        <f t="shared" ca="1" si="36"/>
        <v>#N/A</v>
      </c>
      <c r="AA195" s="83" t="e">
        <f ca="1"/>
        <v>#N/A</v>
      </c>
      <c r="AB195" s="55" t="e">
        <f t="shared" ca="1" si="39"/>
        <v>#N/A</v>
      </c>
      <c r="AC195" s="55" t="e">
        <f t="shared" ca="1" si="40"/>
        <v>#N/A</v>
      </c>
      <c r="AD195" s="55" t="e">
        <f t="shared" ca="1" si="41"/>
        <v>#N/A</v>
      </c>
      <c r="AE195" s="55" t="e">
        <f t="shared" ca="1" si="42"/>
        <v>#N/A</v>
      </c>
    </row>
    <row r="196" spans="18:31">
      <c r="R196" s="83" t="e">
        <f ca="1"/>
        <v>#N/A</v>
      </c>
      <c r="S196" s="55" t="e">
        <f t="shared" ca="1" si="37"/>
        <v>#N/A</v>
      </c>
      <c r="T196" s="55" t="e">
        <f t="shared" ca="1" si="31"/>
        <v>#N/A</v>
      </c>
      <c r="U196" s="55" t="e">
        <f t="shared" ca="1" si="32"/>
        <v>#N/A</v>
      </c>
      <c r="V196" s="55" t="e">
        <f t="shared" ca="1" si="33"/>
        <v>#N/A</v>
      </c>
      <c r="W196" t="e">
        <f t="shared" ca="1" si="34"/>
        <v>#N/A</v>
      </c>
      <c r="X196" t="e">
        <f t="shared" ca="1" si="38"/>
        <v>#N/A</v>
      </c>
      <c r="Y196" t="e">
        <f t="shared" ca="1" si="35"/>
        <v>#N/A</v>
      </c>
      <c r="Z196" t="e">
        <f t="shared" ca="1" si="36"/>
        <v>#N/A</v>
      </c>
      <c r="AA196" s="83" t="e">
        <f ca="1"/>
        <v>#N/A</v>
      </c>
      <c r="AB196" s="55" t="e">
        <f t="shared" ca="1" si="39"/>
        <v>#N/A</v>
      </c>
      <c r="AC196" s="55" t="e">
        <f t="shared" ca="1" si="40"/>
        <v>#N/A</v>
      </c>
      <c r="AD196" s="55" t="e">
        <f t="shared" ca="1" si="41"/>
        <v>#N/A</v>
      </c>
      <c r="AE196" s="55" t="e">
        <f t="shared" ca="1" si="42"/>
        <v>#N/A</v>
      </c>
    </row>
    <row r="197" spans="18:31">
      <c r="R197" s="83" t="e">
        <f ca="1"/>
        <v>#N/A</v>
      </c>
      <c r="S197" s="55" t="e">
        <f t="shared" ca="1" si="37"/>
        <v>#N/A</v>
      </c>
      <c r="T197" s="55" t="e">
        <f t="shared" ca="1" si="31"/>
        <v>#N/A</v>
      </c>
      <c r="U197" s="55" t="e">
        <f t="shared" ca="1" si="32"/>
        <v>#N/A</v>
      </c>
      <c r="V197" s="55" t="e">
        <f t="shared" ca="1" si="33"/>
        <v>#N/A</v>
      </c>
      <c r="W197" t="e">
        <f t="shared" ca="1" si="34"/>
        <v>#N/A</v>
      </c>
      <c r="X197" t="e">
        <f t="shared" ca="1" si="38"/>
        <v>#N/A</v>
      </c>
      <c r="Y197" t="e">
        <f t="shared" ca="1" si="35"/>
        <v>#N/A</v>
      </c>
      <c r="Z197" t="e">
        <f t="shared" ca="1" si="36"/>
        <v>#N/A</v>
      </c>
      <c r="AA197" s="83" t="e">
        <f ca="1"/>
        <v>#N/A</v>
      </c>
      <c r="AB197" s="55" t="e">
        <f t="shared" ca="1" si="39"/>
        <v>#N/A</v>
      </c>
      <c r="AC197" s="55" t="e">
        <f t="shared" ca="1" si="40"/>
        <v>#N/A</v>
      </c>
      <c r="AD197" s="55" t="e">
        <f t="shared" ca="1" si="41"/>
        <v>#N/A</v>
      </c>
      <c r="AE197" s="55" t="e">
        <f t="shared" ca="1" si="42"/>
        <v>#N/A</v>
      </c>
    </row>
    <row r="198" spans="18:31">
      <c r="R198" s="83" t="e">
        <f ca="1"/>
        <v>#N/A</v>
      </c>
      <c r="S198" s="55" t="e">
        <f t="shared" ca="1" si="37"/>
        <v>#N/A</v>
      </c>
      <c r="T198" s="55" t="e">
        <f t="shared" ca="1" si="31"/>
        <v>#N/A</v>
      </c>
      <c r="U198" s="55" t="e">
        <f t="shared" ca="1" si="32"/>
        <v>#N/A</v>
      </c>
      <c r="V198" s="55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3" t="e">
        <f ca="1"/>
        <v>#N/A</v>
      </c>
      <c r="AB198" s="55" t="e">
        <f t="shared" ca="1" si="39"/>
        <v>#N/A</v>
      </c>
      <c r="AC198" s="55" t="e">
        <f t="shared" ca="1" si="40"/>
        <v>#N/A</v>
      </c>
      <c r="AD198" s="55" t="e">
        <f t="shared" ca="1" si="41"/>
        <v>#N/A</v>
      </c>
      <c r="AE198" s="55" t="e">
        <f t="shared" ca="1" si="42"/>
        <v>#N/A</v>
      </c>
    </row>
    <row r="199" spans="18:31">
      <c r="R199" s="83" t="e">
        <f ca="1"/>
        <v>#N/A</v>
      </c>
      <c r="S199" s="55" t="e">
        <f t="shared" ca="1" si="37"/>
        <v>#N/A</v>
      </c>
      <c r="T199" s="55" t="e">
        <f t="shared" ca="1" si="31"/>
        <v>#N/A</v>
      </c>
      <c r="U199" s="55" t="e">
        <f t="shared" ca="1" si="32"/>
        <v>#N/A</v>
      </c>
      <c r="V199" s="55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3" t="e">
        <f ca="1"/>
        <v>#N/A</v>
      </c>
      <c r="AB199" s="55" t="e">
        <f t="shared" ca="1" si="39"/>
        <v>#N/A</v>
      </c>
      <c r="AC199" s="55" t="e">
        <f t="shared" ca="1" si="40"/>
        <v>#N/A</v>
      </c>
      <c r="AD199" s="55" t="e">
        <f t="shared" ca="1" si="41"/>
        <v>#N/A</v>
      </c>
      <c r="AE199" s="55" t="e">
        <f t="shared" ca="1" si="42"/>
        <v>#N/A</v>
      </c>
    </row>
    <row r="200" spans="18:31">
      <c r="R200" s="83" t="e">
        <f ca="1"/>
        <v>#N/A</v>
      </c>
      <c r="S200" s="55" t="e">
        <f t="shared" ca="1" si="37"/>
        <v>#N/A</v>
      </c>
      <c r="T200" s="55" t="e">
        <f t="shared" ca="1" si="31"/>
        <v>#N/A</v>
      </c>
      <c r="U200" s="55" t="e">
        <f t="shared" ca="1" si="32"/>
        <v>#N/A</v>
      </c>
      <c r="V200" s="55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3" t="e">
        <f ca="1"/>
        <v>#N/A</v>
      </c>
      <c r="AB200" s="55" t="e">
        <f t="shared" ca="1" si="39"/>
        <v>#N/A</v>
      </c>
      <c r="AC200" s="55" t="e">
        <f t="shared" ca="1" si="40"/>
        <v>#N/A</v>
      </c>
      <c r="AD200" s="55" t="e">
        <f t="shared" ca="1" si="41"/>
        <v>#N/A</v>
      </c>
      <c r="AE200" s="55" t="e">
        <f t="shared" ca="1" si="42"/>
        <v>#N/A</v>
      </c>
    </row>
    <row r="201" spans="18:31">
      <c r="R201" s="83" t="e">
        <f ca="1"/>
        <v>#N/A</v>
      </c>
      <c r="S201" s="55" t="e">
        <f t="shared" ca="1" si="37"/>
        <v>#N/A</v>
      </c>
      <c r="T201" s="55" t="e">
        <f t="shared" ca="1" si="31"/>
        <v>#N/A</v>
      </c>
      <c r="U201" s="55" t="e">
        <f t="shared" ca="1" si="32"/>
        <v>#N/A</v>
      </c>
      <c r="V201" s="55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3" t="e">
        <f ca="1"/>
        <v>#N/A</v>
      </c>
      <c r="AB201" s="55" t="e">
        <f t="shared" ca="1" si="39"/>
        <v>#N/A</v>
      </c>
      <c r="AC201" s="55" t="e">
        <f t="shared" ca="1" si="40"/>
        <v>#N/A</v>
      </c>
      <c r="AD201" s="55" t="e">
        <f t="shared" ca="1" si="41"/>
        <v>#N/A</v>
      </c>
      <c r="AE201" s="55" t="e">
        <f t="shared" ca="1" si="42"/>
        <v>#N/A</v>
      </c>
    </row>
    <row r="202" spans="18:31">
      <c r="R202" s="83" t="e">
        <f ca="1"/>
        <v>#N/A</v>
      </c>
      <c r="S202" s="55" t="e">
        <f t="shared" ca="1" si="37"/>
        <v>#N/A</v>
      </c>
      <c r="T202" s="55" t="e">
        <f t="shared" ca="1" si="31"/>
        <v>#N/A</v>
      </c>
      <c r="U202" s="55" t="e">
        <f t="shared" ca="1" si="32"/>
        <v>#N/A</v>
      </c>
      <c r="V202" s="55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3" t="e">
        <f ca="1"/>
        <v>#N/A</v>
      </c>
      <c r="AB202" s="55" t="e">
        <f t="shared" ca="1" si="39"/>
        <v>#N/A</v>
      </c>
      <c r="AC202" s="55" t="e">
        <f t="shared" ca="1" si="40"/>
        <v>#N/A</v>
      </c>
      <c r="AD202" s="55" t="e">
        <f t="shared" ca="1" si="41"/>
        <v>#N/A</v>
      </c>
      <c r="AE202" s="55" t="e">
        <f t="shared" ca="1" si="42"/>
        <v>#N/A</v>
      </c>
    </row>
    <row r="203" spans="18:31">
      <c r="R203" s="83" t="e">
        <f ca="1"/>
        <v>#N/A</v>
      </c>
      <c r="S203" s="55" t="e">
        <f t="shared" ca="1" si="37"/>
        <v>#N/A</v>
      </c>
      <c r="T203" s="55" t="e">
        <f t="shared" ca="1" si="31"/>
        <v>#N/A</v>
      </c>
      <c r="U203" s="55" t="e">
        <f t="shared" ca="1" si="32"/>
        <v>#N/A</v>
      </c>
      <c r="V203" s="55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3" t="e">
        <f ca="1"/>
        <v>#N/A</v>
      </c>
      <c r="AB203" s="55" t="e">
        <f t="shared" ca="1" si="39"/>
        <v>#N/A</v>
      </c>
      <c r="AC203" s="55" t="e">
        <f t="shared" ca="1" si="40"/>
        <v>#N/A</v>
      </c>
      <c r="AD203" s="55" t="e">
        <f t="shared" ca="1" si="41"/>
        <v>#N/A</v>
      </c>
      <c r="AE203" s="55" t="e">
        <f t="shared" ca="1" si="42"/>
        <v>#N/A</v>
      </c>
    </row>
    <row r="204" spans="18:31">
      <c r="R204" s="83" t="e">
        <f ca="1"/>
        <v>#N/A</v>
      </c>
      <c r="S204" s="55" t="e">
        <f t="shared" ca="1" si="37"/>
        <v>#N/A</v>
      </c>
      <c r="T204" s="55" t="e">
        <f t="shared" ca="1" si="31"/>
        <v>#N/A</v>
      </c>
      <c r="U204" s="55" t="e">
        <f t="shared" ca="1" si="32"/>
        <v>#N/A</v>
      </c>
      <c r="V204" s="55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3" t="e">
        <f ca="1"/>
        <v>#N/A</v>
      </c>
      <c r="AB204" s="55" t="e">
        <f t="shared" ca="1" si="39"/>
        <v>#N/A</v>
      </c>
      <c r="AC204" s="55" t="e">
        <f t="shared" ca="1" si="40"/>
        <v>#N/A</v>
      </c>
      <c r="AD204" s="55" t="e">
        <f t="shared" ca="1" si="41"/>
        <v>#N/A</v>
      </c>
      <c r="AE204" s="55" t="e">
        <f t="shared" ca="1" si="42"/>
        <v>#N/A</v>
      </c>
    </row>
    <row r="205" spans="18:31">
      <c r="R205" s="83" t="e">
        <f ca="1"/>
        <v>#N/A</v>
      </c>
      <c r="S205" s="55" t="e">
        <f t="shared" ca="1" si="37"/>
        <v>#N/A</v>
      </c>
      <c r="T205" s="55" t="e">
        <f t="shared" ca="1" si="31"/>
        <v>#N/A</v>
      </c>
      <c r="U205" s="55" t="e">
        <f t="shared" ca="1" si="32"/>
        <v>#N/A</v>
      </c>
      <c r="V205" s="55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3" t="e">
        <f ca="1"/>
        <v>#N/A</v>
      </c>
      <c r="AB205" s="55" t="e">
        <f t="shared" ca="1" si="39"/>
        <v>#N/A</v>
      </c>
      <c r="AC205" s="55" t="e">
        <f t="shared" ca="1" si="40"/>
        <v>#N/A</v>
      </c>
      <c r="AD205" s="55" t="e">
        <f t="shared" ca="1" si="41"/>
        <v>#N/A</v>
      </c>
      <c r="AE205" s="55" t="e">
        <f t="shared" ca="1" si="42"/>
        <v>#N/A</v>
      </c>
    </row>
    <row r="206" spans="18:31">
      <c r="R206" s="83" t="e">
        <f ca="1"/>
        <v>#N/A</v>
      </c>
      <c r="S206" s="55" t="e">
        <f t="shared" ca="1" si="37"/>
        <v>#N/A</v>
      </c>
      <c r="T206" s="55" t="e">
        <f t="shared" ca="1" si="31"/>
        <v>#N/A</v>
      </c>
      <c r="U206" s="55" t="e">
        <f t="shared" ca="1" si="32"/>
        <v>#N/A</v>
      </c>
      <c r="V206" s="55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3" t="e">
        <f ca="1"/>
        <v>#N/A</v>
      </c>
      <c r="AB206" s="55" t="e">
        <f t="shared" ca="1" si="39"/>
        <v>#N/A</v>
      </c>
      <c r="AC206" s="55" t="e">
        <f t="shared" ca="1" si="40"/>
        <v>#N/A</v>
      </c>
      <c r="AD206" s="55" t="e">
        <f t="shared" ca="1" si="41"/>
        <v>#N/A</v>
      </c>
      <c r="AE206" s="55" t="e">
        <f t="shared" ca="1" si="42"/>
        <v>#N/A</v>
      </c>
    </row>
    <row r="207" spans="18:31">
      <c r="R207" s="83" t="e">
        <f ca="1"/>
        <v>#N/A</v>
      </c>
      <c r="S207" s="55" t="e">
        <f t="shared" ca="1" si="37"/>
        <v>#N/A</v>
      </c>
      <c r="T207" s="55" t="e">
        <f t="shared" ca="1" si="31"/>
        <v>#N/A</v>
      </c>
      <c r="U207" s="55" t="e">
        <f t="shared" ca="1" si="32"/>
        <v>#N/A</v>
      </c>
      <c r="V207" s="55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3" t="e">
        <f ca="1"/>
        <v>#N/A</v>
      </c>
      <c r="AB207" s="55" t="e">
        <f t="shared" ca="1" si="39"/>
        <v>#N/A</v>
      </c>
      <c r="AC207" s="55" t="e">
        <f t="shared" ca="1" si="40"/>
        <v>#N/A</v>
      </c>
      <c r="AD207" s="55" t="e">
        <f t="shared" ca="1" si="41"/>
        <v>#N/A</v>
      </c>
      <c r="AE207" s="55" t="e">
        <f t="shared" ca="1" si="42"/>
        <v>#N/A</v>
      </c>
    </row>
    <row r="208" spans="18:31">
      <c r="R208" s="83" t="e">
        <f ca="1"/>
        <v>#N/A</v>
      </c>
      <c r="S208" s="55" t="e">
        <f t="shared" ca="1" si="37"/>
        <v>#N/A</v>
      </c>
      <c r="T208" s="55" t="e">
        <f t="shared" ca="1" si="31"/>
        <v>#N/A</v>
      </c>
      <c r="U208" s="55" t="e">
        <f t="shared" ca="1" si="32"/>
        <v>#N/A</v>
      </c>
      <c r="V208" s="55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3" t="e">
        <f ca="1"/>
        <v>#N/A</v>
      </c>
      <c r="AB208" s="55" t="e">
        <f t="shared" ca="1" si="39"/>
        <v>#N/A</v>
      </c>
      <c r="AC208" s="55" t="e">
        <f t="shared" ca="1" si="40"/>
        <v>#N/A</v>
      </c>
      <c r="AD208" s="55" t="e">
        <f t="shared" ca="1" si="41"/>
        <v>#N/A</v>
      </c>
      <c r="AE208" s="55" t="e">
        <f t="shared" ca="1" si="42"/>
        <v>#N/A</v>
      </c>
    </row>
    <row r="209" spans="18:31">
      <c r="R209" s="83" t="e">
        <f ca="1"/>
        <v>#N/A</v>
      </c>
      <c r="S209" s="55" t="e">
        <f t="shared" ca="1" si="37"/>
        <v>#N/A</v>
      </c>
      <c r="T209" s="55" t="e">
        <f t="shared" ca="1" si="31"/>
        <v>#N/A</v>
      </c>
      <c r="U209" s="55" t="e">
        <f t="shared" ca="1" si="32"/>
        <v>#N/A</v>
      </c>
      <c r="V209" s="55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3" t="e">
        <f ca="1"/>
        <v>#N/A</v>
      </c>
      <c r="AB209" s="55" t="e">
        <f t="shared" ca="1" si="39"/>
        <v>#N/A</v>
      </c>
      <c r="AC209" s="55" t="e">
        <f t="shared" ca="1" si="40"/>
        <v>#N/A</v>
      </c>
      <c r="AD209" s="55" t="e">
        <f t="shared" ca="1" si="41"/>
        <v>#N/A</v>
      </c>
      <c r="AE209" s="55" t="e">
        <f t="shared" ca="1" si="42"/>
        <v>#N/A</v>
      </c>
    </row>
    <row r="210" spans="18:31">
      <c r="R210" s="83" t="e">
        <f ca="1"/>
        <v>#N/A</v>
      </c>
      <c r="S210" s="55" t="e">
        <f t="shared" ca="1" si="37"/>
        <v>#N/A</v>
      </c>
      <c r="T210" s="55" t="e">
        <f t="shared" ref="T210:T273" ca="1" si="43">VLOOKUP(S210,ModelOutputs,2,FALSE)</f>
        <v>#N/A</v>
      </c>
      <c r="U210" s="55" t="e">
        <f t="shared" ref="U210:U273" ca="1" si="44">VLOOKUP(S210,ModelOutputs,7,FALSE)</f>
        <v>#N/A</v>
      </c>
      <c r="V210" s="55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3" t="e">
        <f ca="1"/>
        <v>#N/A</v>
      </c>
      <c r="AB210" s="55" t="e">
        <f t="shared" ca="1" si="39"/>
        <v>#N/A</v>
      </c>
      <c r="AC210" s="55" t="e">
        <f t="shared" ca="1" si="40"/>
        <v>#N/A</v>
      </c>
      <c r="AD210" s="55" t="e">
        <f t="shared" ca="1" si="41"/>
        <v>#N/A</v>
      </c>
      <c r="AE210" s="55" t="e">
        <f t="shared" ca="1" si="42"/>
        <v>#N/A</v>
      </c>
    </row>
    <row r="211" spans="18:31">
      <c r="R211" s="83" t="e">
        <f ca="1"/>
        <v>#N/A</v>
      </c>
      <c r="S211" s="55" t="e">
        <f t="shared" ref="S211:S274" ca="1" si="49">IF(R211&gt;1,R211,"")</f>
        <v>#N/A</v>
      </c>
      <c r="T211" s="55" t="e">
        <f t="shared" ca="1" si="43"/>
        <v>#N/A</v>
      </c>
      <c r="U211" s="55" t="e">
        <f t="shared" ca="1" si="44"/>
        <v>#N/A</v>
      </c>
      <c r="V211" s="55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3" t="e">
        <f ca="1"/>
        <v>#N/A</v>
      </c>
      <c r="AB211" s="55" t="e">
        <f t="shared" ca="1" si="39"/>
        <v>#N/A</v>
      </c>
      <c r="AC211" s="55" t="e">
        <f t="shared" ca="1" si="40"/>
        <v>#N/A</v>
      </c>
      <c r="AD211" s="55" t="e">
        <f t="shared" ca="1" si="41"/>
        <v>#N/A</v>
      </c>
      <c r="AE211" s="55" t="e">
        <f t="shared" ca="1" si="42"/>
        <v>#N/A</v>
      </c>
    </row>
    <row r="212" spans="18:31">
      <c r="R212" s="83" t="e">
        <f ca="1"/>
        <v>#N/A</v>
      </c>
      <c r="S212" s="55" t="e">
        <f t="shared" ca="1" si="49"/>
        <v>#N/A</v>
      </c>
      <c r="T212" s="55" t="e">
        <f t="shared" ca="1" si="43"/>
        <v>#N/A</v>
      </c>
      <c r="U212" s="55" t="e">
        <f t="shared" ca="1" si="44"/>
        <v>#N/A</v>
      </c>
      <c r="V212" s="55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3" t="e">
        <f ca="1"/>
        <v>#N/A</v>
      </c>
      <c r="AB212" s="55" t="e">
        <f t="shared" ca="1" si="39"/>
        <v>#N/A</v>
      </c>
      <c r="AC212" s="55" t="e">
        <f t="shared" ca="1" si="40"/>
        <v>#N/A</v>
      </c>
      <c r="AD212" s="55" t="e">
        <f t="shared" ca="1" si="41"/>
        <v>#N/A</v>
      </c>
      <c r="AE212" s="55" t="e">
        <f t="shared" ca="1" si="42"/>
        <v>#N/A</v>
      </c>
    </row>
    <row r="213" spans="18:31">
      <c r="R213" s="83" t="e">
        <f ca="1"/>
        <v>#N/A</v>
      </c>
      <c r="S213" s="55" t="e">
        <f t="shared" ca="1" si="49"/>
        <v>#N/A</v>
      </c>
      <c r="T213" s="55" t="e">
        <f t="shared" ca="1" si="43"/>
        <v>#N/A</v>
      </c>
      <c r="U213" s="55" t="e">
        <f t="shared" ca="1" si="44"/>
        <v>#N/A</v>
      </c>
      <c r="V213" s="55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3" t="e">
        <f ca="1"/>
        <v>#N/A</v>
      </c>
      <c r="AB213" s="55" t="e">
        <f t="shared" ref="AB213:AB276" ca="1" si="51">IF(AA213&gt;1,AA213,"")</f>
        <v>#N/A</v>
      </c>
      <c r="AC213" s="55" t="e">
        <f t="shared" ref="AC213:AC276" ca="1" si="52">VLOOKUP(AB213,ModelOutputs,2,FALSE)</f>
        <v>#N/A</v>
      </c>
      <c r="AD213" s="55" t="e">
        <f t="shared" ref="AD213:AD276" ca="1" si="53">VLOOKUP(AB213,ModelOutputs,7,FALSE)</f>
        <v>#N/A</v>
      </c>
      <c r="AE213" s="55" t="e">
        <f t="shared" ref="AE213:AE276" ca="1" si="54">VLOOKUP(AB213,ModelOutputs,6,FALSE)</f>
        <v>#N/A</v>
      </c>
    </row>
    <row r="214" spans="18:31">
      <c r="R214" s="83" t="e">
        <f ca="1"/>
        <v>#N/A</v>
      </c>
      <c r="S214" s="55" t="e">
        <f t="shared" ca="1" si="49"/>
        <v>#N/A</v>
      </c>
      <c r="T214" s="55" t="e">
        <f t="shared" ca="1" si="43"/>
        <v>#N/A</v>
      </c>
      <c r="U214" s="55" t="e">
        <f t="shared" ca="1" si="44"/>
        <v>#N/A</v>
      </c>
      <c r="V214" s="55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3" t="e">
        <f ca="1"/>
        <v>#N/A</v>
      </c>
      <c r="AB214" s="55" t="e">
        <f t="shared" ca="1" si="51"/>
        <v>#N/A</v>
      </c>
      <c r="AC214" s="55" t="e">
        <f t="shared" ca="1" si="52"/>
        <v>#N/A</v>
      </c>
      <c r="AD214" s="55" t="e">
        <f t="shared" ca="1" si="53"/>
        <v>#N/A</v>
      </c>
      <c r="AE214" s="55" t="e">
        <f t="shared" ca="1" si="54"/>
        <v>#N/A</v>
      </c>
    </row>
    <row r="215" spans="18:31">
      <c r="R215" s="83" t="e">
        <f ca="1"/>
        <v>#N/A</v>
      </c>
      <c r="S215" s="55" t="e">
        <f t="shared" ca="1" si="49"/>
        <v>#N/A</v>
      </c>
      <c r="T215" s="55" t="e">
        <f t="shared" ca="1" si="43"/>
        <v>#N/A</v>
      </c>
      <c r="U215" s="55" t="e">
        <f t="shared" ca="1" si="44"/>
        <v>#N/A</v>
      </c>
      <c r="V215" s="55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3" t="e">
        <f ca="1"/>
        <v>#N/A</v>
      </c>
      <c r="AB215" s="55" t="e">
        <f t="shared" ca="1" si="51"/>
        <v>#N/A</v>
      </c>
      <c r="AC215" s="55" t="e">
        <f t="shared" ca="1" si="52"/>
        <v>#N/A</v>
      </c>
      <c r="AD215" s="55" t="e">
        <f t="shared" ca="1" si="53"/>
        <v>#N/A</v>
      </c>
      <c r="AE215" s="55" t="e">
        <f t="shared" ca="1" si="54"/>
        <v>#N/A</v>
      </c>
    </row>
    <row r="216" spans="18:31">
      <c r="R216" s="83" t="e">
        <f ca="1"/>
        <v>#N/A</v>
      </c>
      <c r="S216" s="55" t="e">
        <f t="shared" ca="1" si="49"/>
        <v>#N/A</v>
      </c>
      <c r="T216" s="55" t="e">
        <f t="shared" ca="1" si="43"/>
        <v>#N/A</v>
      </c>
      <c r="U216" s="55" t="e">
        <f t="shared" ca="1" si="44"/>
        <v>#N/A</v>
      </c>
      <c r="V216" s="55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3" t="e">
        <f ca="1"/>
        <v>#N/A</v>
      </c>
      <c r="AB216" s="55" t="e">
        <f t="shared" ca="1" si="51"/>
        <v>#N/A</v>
      </c>
      <c r="AC216" s="55" t="e">
        <f t="shared" ca="1" si="52"/>
        <v>#N/A</v>
      </c>
      <c r="AD216" s="55" t="e">
        <f t="shared" ca="1" si="53"/>
        <v>#N/A</v>
      </c>
      <c r="AE216" s="55" t="e">
        <f t="shared" ca="1" si="54"/>
        <v>#N/A</v>
      </c>
    </row>
    <row r="217" spans="18:31">
      <c r="R217" s="83" t="e">
        <f ca="1"/>
        <v>#N/A</v>
      </c>
      <c r="S217" s="55" t="e">
        <f t="shared" ca="1" si="49"/>
        <v>#N/A</v>
      </c>
      <c r="T217" s="55" t="e">
        <f t="shared" ca="1" si="43"/>
        <v>#N/A</v>
      </c>
      <c r="U217" s="55" t="e">
        <f t="shared" ca="1" si="44"/>
        <v>#N/A</v>
      </c>
      <c r="V217" s="55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3" t="e">
        <f ca="1"/>
        <v>#N/A</v>
      </c>
      <c r="AB217" s="55" t="e">
        <f t="shared" ca="1" si="51"/>
        <v>#N/A</v>
      </c>
      <c r="AC217" s="55" t="e">
        <f t="shared" ca="1" si="52"/>
        <v>#N/A</v>
      </c>
      <c r="AD217" s="55" t="e">
        <f t="shared" ca="1" si="53"/>
        <v>#N/A</v>
      </c>
      <c r="AE217" s="55" t="e">
        <f t="shared" ca="1" si="54"/>
        <v>#N/A</v>
      </c>
    </row>
    <row r="218" spans="18:31">
      <c r="R218" s="83" t="e">
        <f ca="1"/>
        <v>#N/A</v>
      </c>
      <c r="S218" s="55" t="e">
        <f t="shared" ca="1" si="49"/>
        <v>#N/A</v>
      </c>
      <c r="T218" s="55" t="e">
        <f t="shared" ca="1" si="43"/>
        <v>#N/A</v>
      </c>
      <c r="U218" s="55" t="e">
        <f t="shared" ca="1" si="44"/>
        <v>#N/A</v>
      </c>
      <c r="V218" s="55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3" t="e">
        <f ca="1"/>
        <v>#N/A</v>
      </c>
      <c r="AB218" s="55" t="e">
        <f t="shared" ca="1" si="51"/>
        <v>#N/A</v>
      </c>
      <c r="AC218" s="55" t="e">
        <f t="shared" ca="1" si="52"/>
        <v>#N/A</v>
      </c>
      <c r="AD218" s="55" t="e">
        <f t="shared" ca="1" si="53"/>
        <v>#N/A</v>
      </c>
      <c r="AE218" s="55" t="e">
        <f t="shared" ca="1" si="54"/>
        <v>#N/A</v>
      </c>
    </row>
    <row r="219" spans="18:31">
      <c r="R219" s="83" t="e">
        <f ca="1"/>
        <v>#N/A</v>
      </c>
      <c r="S219" s="55" t="e">
        <f t="shared" ca="1" si="49"/>
        <v>#N/A</v>
      </c>
      <c r="T219" s="55" t="e">
        <f t="shared" ca="1" si="43"/>
        <v>#N/A</v>
      </c>
      <c r="U219" s="55" t="e">
        <f t="shared" ca="1" si="44"/>
        <v>#N/A</v>
      </c>
      <c r="V219" s="55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3" t="e">
        <f ca="1"/>
        <v>#N/A</v>
      </c>
      <c r="AB219" s="55" t="e">
        <f t="shared" ca="1" si="51"/>
        <v>#N/A</v>
      </c>
      <c r="AC219" s="55" t="e">
        <f t="shared" ca="1" si="52"/>
        <v>#N/A</v>
      </c>
      <c r="AD219" s="55" t="e">
        <f t="shared" ca="1" si="53"/>
        <v>#N/A</v>
      </c>
      <c r="AE219" s="55" t="e">
        <f t="shared" ca="1" si="54"/>
        <v>#N/A</v>
      </c>
    </row>
    <row r="220" spans="18:31">
      <c r="R220" s="83" t="e">
        <f ca="1"/>
        <v>#N/A</v>
      </c>
      <c r="S220" s="55" t="e">
        <f t="shared" ca="1" si="49"/>
        <v>#N/A</v>
      </c>
      <c r="T220" s="55" t="e">
        <f t="shared" ca="1" si="43"/>
        <v>#N/A</v>
      </c>
      <c r="U220" s="55" t="e">
        <f t="shared" ca="1" si="44"/>
        <v>#N/A</v>
      </c>
      <c r="V220" s="55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3" t="e">
        <f ca="1"/>
        <v>#N/A</v>
      </c>
      <c r="AB220" s="55" t="e">
        <f t="shared" ca="1" si="51"/>
        <v>#N/A</v>
      </c>
      <c r="AC220" s="55" t="e">
        <f t="shared" ca="1" si="52"/>
        <v>#N/A</v>
      </c>
      <c r="AD220" s="55" t="e">
        <f t="shared" ca="1" si="53"/>
        <v>#N/A</v>
      </c>
      <c r="AE220" s="55" t="e">
        <f t="shared" ca="1" si="54"/>
        <v>#N/A</v>
      </c>
    </row>
    <row r="221" spans="18:31">
      <c r="R221" s="83" t="e">
        <f ca="1"/>
        <v>#N/A</v>
      </c>
      <c r="S221" s="55" t="e">
        <f t="shared" ca="1" si="49"/>
        <v>#N/A</v>
      </c>
      <c r="T221" s="55" t="e">
        <f t="shared" ca="1" si="43"/>
        <v>#N/A</v>
      </c>
      <c r="U221" s="55" t="e">
        <f t="shared" ca="1" si="44"/>
        <v>#N/A</v>
      </c>
      <c r="V221" s="55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3" t="e">
        <f ca="1"/>
        <v>#N/A</v>
      </c>
      <c r="AB221" s="55" t="e">
        <f t="shared" ca="1" si="51"/>
        <v>#N/A</v>
      </c>
      <c r="AC221" s="55" t="e">
        <f t="shared" ca="1" si="52"/>
        <v>#N/A</v>
      </c>
      <c r="AD221" s="55" t="e">
        <f t="shared" ca="1" si="53"/>
        <v>#N/A</v>
      </c>
      <c r="AE221" s="55" t="e">
        <f t="shared" ca="1" si="54"/>
        <v>#N/A</v>
      </c>
    </row>
    <row r="222" spans="18:31">
      <c r="R222" s="83" t="e">
        <f ca="1"/>
        <v>#N/A</v>
      </c>
      <c r="S222" s="55" t="e">
        <f t="shared" ca="1" si="49"/>
        <v>#N/A</v>
      </c>
      <c r="T222" s="55" t="e">
        <f t="shared" ca="1" si="43"/>
        <v>#N/A</v>
      </c>
      <c r="U222" s="55" t="e">
        <f t="shared" ca="1" si="44"/>
        <v>#N/A</v>
      </c>
      <c r="V222" s="55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3" t="e">
        <f ca="1"/>
        <v>#N/A</v>
      </c>
      <c r="AB222" s="55" t="e">
        <f t="shared" ca="1" si="51"/>
        <v>#N/A</v>
      </c>
      <c r="AC222" s="55" t="e">
        <f t="shared" ca="1" si="52"/>
        <v>#N/A</v>
      </c>
      <c r="AD222" s="55" t="e">
        <f t="shared" ca="1" si="53"/>
        <v>#N/A</v>
      </c>
      <c r="AE222" s="55" t="e">
        <f t="shared" ca="1" si="54"/>
        <v>#N/A</v>
      </c>
    </row>
    <row r="223" spans="18:31">
      <c r="R223" s="83" t="e">
        <f ca="1"/>
        <v>#N/A</v>
      </c>
      <c r="S223" s="55" t="e">
        <f t="shared" ca="1" si="49"/>
        <v>#N/A</v>
      </c>
      <c r="T223" s="55" t="e">
        <f t="shared" ca="1" si="43"/>
        <v>#N/A</v>
      </c>
      <c r="U223" s="55" t="e">
        <f t="shared" ca="1" si="44"/>
        <v>#N/A</v>
      </c>
      <c r="V223" s="55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3" t="e">
        <f ca="1"/>
        <v>#N/A</v>
      </c>
      <c r="AB223" s="55" t="e">
        <f t="shared" ca="1" si="51"/>
        <v>#N/A</v>
      </c>
      <c r="AC223" s="55" t="e">
        <f t="shared" ca="1" si="52"/>
        <v>#N/A</v>
      </c>
      <c r="AD223" s="55" t="e">
        <f t="shared" ca="1" si="53"/>
        <v>#N/A</v>
      </c>
      <c r="AE223" s="55" t="e">
        <f t="shared" ca="1" si="54"/>
        <v>#N/A</v>
      </c>
    </row>
    <row r="224" spans="18:31">
      <c r="R224" s="83" t="e">
        <f ca="1"/>
        <v>#N/A</v>
      </c>
      <c r="S224" s="55" t="e">
        <f t="shared" ca="1" si="49"/>
        <v>#N/A</v>
      </c>
      <c r="T224" s="55" t="e">
        <f t="shared" ca="1" si="43"/>
        <v>#N/A</v>
      </c>
      <c r="U224" s="55" t="e">
        <f t="shared" ca="1" si="44"/>
        <v>#N/A</v>
      </c>
      <c r="V224" s="55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3" t="e">
        <f ca="1"/>
        <v>#N/A</v>
      </c>
      <c r="AB224" s="55" t="e">
        <f t="shared" ca="1" si="51"/>
        <v>#N/A</v>
      </c>
      <c r="AC224" s="55" t="e">
        <f t="shared" ca="1" si="52"/>
        <v>#N/A</v>
      </c>
      <c r="AD224" s="55" t="e">
        <f t="shared" ca="1" si="53"/>
        <v>#N/A</v>
      </c>
      <c r="AE224" s="55" t="e">
        <f t="shared" ca="1" si="54"/>
        <v>#N/A</v>
      </c>
    </row>
    <row r="225" spans="18:31">
      <c r="R225" s="83" t="e">
        <f ca="1"/>
        <v>#N/A</v>
      </c>
      <c r="S225" s="55" t="e">
        <f t="shared" ca="1" si="49"/>
        <v>#N/A</v>
      </c>
      <c r="T225" s="55" t="e">
        <f t="shared" ca="1" si="43"/>
        <v>#N/A</v>
      </c>
      <c r="U225" s="55" t="e">
        <f t="shared" ca="1" si="44"/>
        <v>#N/A</v>
      </c>
      <c r="V225" s="55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3" t="e">
        <f ca="1"/>
        <v>#N/A</v>
      </c>
      <c r="AB225" s="55" t="e">
        <f t="shared" ca="1" si="51"/>
        <v>#N/A</v>
      </c>
      <c r="AC225" s="55" t="e">
        <f t="shared" ca="1" si="52"/>
        <v>#N/A</v>
      </c>
      <c r="AD225" s="55" t="e">
        <f t="shared" ca="1" si="53"/>
        <v>#N/A</v>
      </c>
      <c r="AE225" s="55" t="e">
        <f t="shared" ca="1" si="54"/>
        <v>#N/A</v>
      </c>
    </row>
    <row r="226" spans="18:31">
      <c r="R226" s="83" t="e">
        <f ca="1"/>
        <v>#N/A</v>
      </c>
      <c r="S226" s="55" t="e">
        <f t="shared" ca="1" si="49"/>
        <v>#N/A</v>
      </c>
      <c r="T226" s="55" t="e">
        <f t="shared" ca="1" si="43"/>
        <v>#N/A</v>
      </c>
      <c r="U226" s="55" t="e">
        <f t="shared" ca="1" si="44"/>
        <v>#N/A</v>
      </c>
      <c r="V226" s="55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3" t="e">
        <f ca="1"/>
        <v>#N/A</v>
      </c>
      <c r="AB226" s="55" t="e">
        <f t="shared" ca="1" si="51"/>
        <v>#N/A</v>
      </c>
      <c r="AC226" s="55" t="e">
        <f t="shared" ca="1" si="52"/>
        <v>#N/A</v>
      </c>
      <c r="AD226" s="55" t="e">
        <f t="shared" ca="1" si="53"/>
        <v>#N/A</v>
      </c>
      <c r="AE226" s="55" t="e">
        <f t="shared" ca="1" si="54"/>
        <v>#N/A</v>
      </c>
    </row>
    <row r="227" spans="18:31">
      <c r="R227" s="83" t="e">
        <f ca="1"/>
        <v>#N/A</v>
      </c>
      <c r="S227" s="55" t="e">
        <f t="shared" ca="1" si="49"/>
        <v>#N/A</v>
      </c>
      <c r="T227" s="55" t="e">
        <f t="shared" ca="1" si="43"/>
        <v>#N/A</v>
      </c>
      <c r="U227" s="55" t="e">
        <f t="shared" ca="1" si="44"/>
        <v>#N/A</v>
      </c>
      <c r="V227" s="55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3" t="e">
        <f ca="1"/>
        <v>#N/A</v>
      </c>
      <c r="AB227" s="55" t="e">
        <f t="shared" ca="1" si="51"/>
        <v>#N/A</v>
      </c>
      <c r="AC227" s="55" t="e">
        <f t="shared" ca="1" si="52"/>
        <v>#N/A</v>
      </c>
      <c r="AD227" s="55" t="e">
        <f t="shared" ca="1" si="53"/>
        <v>#N/A</v>
      </c>
      <c r="AE227" s="55" t="e">
        <f t="shared" ca="1" si="54"/>
        <v>#N/A</v>
      </c>
    </row>
    <row r="228" spans="18:31">
      <c r="R228" s="83" t="e">
        <f ca="1"/>
        <v>#N/A</v>
      </c>
      <c r="S228" s="55" t="e">
        <f t="shared" ca="1" si="49"/>
        <v>#N/A</v>
      </c>
      <c r="T228" s="55" t="e">
        <f t="shared" ca="1" si="43"/>
        <v>#N/A</v>
      </c>
      <c r="U228" s="55" t="e">
        <f t="shared" ca="1" si="44"/>
        <v>#N/A</v>
      </c>
      <c r="V228" s="55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3" t="e">
        <f ca="1"/>
        <v>#N/A</v>
      </c>
      <c r="AB228" s="55" t="e">
        <f t="shared" ca="1" si="51"/>
        <v>#N/A</v>
      </c>
      <c r="AC228" s="55" t="e">
        <f t="shared" ca="1" si="52"/>
        <v>#N/A</v>
      </c>
      <c r="AD228" s="55" t="e">
        <f t="shared" ca="1" si="53"/>
        <v>#N/A</v>
      </c>
      <c r="AE228" s="55" t="e">
        <f t="shared" ca="1" si="54"/>
        <v>#N/A</v>
      </c>
    </row>
    <row r="229" spans="18:31">
      <c r="R229" s="83" t="e">
        <f ca="1"/>
        <v>#N/A</v>
      </c>
      <c r="S229" s="55" t="e">
        <f t="shared" ca="1" si="49"/>
        <v>#N/A</v>
      </c>
      <c r="T229" s="55" t="e">
        <f t="shared" ca="1" si="43"/>
        <v>#N/A</v>
      </c>
      <c r="U229" s="55" t="e">
        <f t="shared" ca="1" si="44"/>
        <v>#N/A</v>
      </c>
      <c r="V229" s="55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3" t="e">
        <f ca="1"/>
        <v>#N/A</v>
      </c>
      <c r="AB229" s="55" t="e">
        <f t="shared" ca="1" si="51"/>
        <v>#N/A</v>
      </c>
      <c r="AC229" s="55" t="e">
        <f t="shared" ca="1" si="52"/>
        <v>#N/A</v>
      </c>
      <c r="AD229" s="55" t="e">
        <f t="shared" ca="1" si="53"/>
        <v>#N/A</v>
      </c>
      <c r="AE229" s="55" t="e">
        <f t="shared" ca="1" si="54"/>
        <v>#N/A</v>
      </c>
    </row>
    <row r="230" spans="18:31">
      <c r="R230" s="83" t="e">
        <f ca="1"/>
        <v>#N/A</v>
      </c>
      <c r="S230" s="55" t="e">
        <f t="shared" ca="1" si="49"/>
        <v>#N/A</v>
      </c>
      <c r="T230" s="55" t="e">
        <f t="shared" ca="1" si="43"/>
        <v>#N/A</v>
      </c>
      <c r="U230" s="55" t="e">
        <f t="shared" ca="1" si="44"/>
        <v>#N/A</v>
      </c>
      <c r="V230" s="55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3" t="e">
        <f ca="1"/>
        <v>#N/A</v>
      </c>
      <c r="AB230" s="55" t="e">
        <f t="shared" ca="1" si="51"/>
        <v>#N/A</v>
      </c>
      <c r="AC230" s="55" t="e">
        <f t="shared" ca="1" si="52"/>
        <v>#N/A</v>
      </c>
      <c r="AD230" s="55" t="e">
        <f t="shared" ca="1" si="53"/>
        <v>#N/A</v>
      </c>
      <c r="AE230" s="55" t="e">
        <f t="shared" ca="1" si="54"/>
        <v>#N/A</v>
      </c>
    </row>
    <row r="231" spans="18:31">
      <c r="R231" s="83" t="e">
        <f ca="1"/>
        <v>#N/A</v>
      </c>
      <c r="S231" s="55" t="e">
        <f t="shared" ca="1" si="49"/>
        <v>#N/A</v>
      </c>
      <c r="T231" s="55" t="e">
        <f t="shared" ca="1" si="43"/>
        <v>#N/A</v>
      </c>
      <c r="U231" s="55" t="e">
        <f t="shared" ca="1" si="44"/>
        <v>#N/A</v>
      </c>
      <c r="V231" s="55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3" t="e">
        <f ca="1"/>
        <v>#N/A</v>
      </c>
      <c r="AB231" s="55" t="e">
        <f t="shared" ca="1" si="51"/>
        <v>#N/A</v>
      </c>
      <c r="AC231" s="55" t="e">
        <f t="shared" ca="1" si="52"/>
        <v>#N/A</v>
      </c>
      <c r="AD231" s="55" t="e">
        <f t="shared" ca="1" si="53"/>
        <v>#N/A</v>
      </c>
      <c r="AE231" s="55" t="e">
        <f t="shared" ca="1" si="54"/>
        <v>#N/A</v>
      </c>
    </row>
    <row r="232" spans="18:31">
      <c r="R232" s="83" t="e">
        <f ca="1"/>
        <v>#N/A</v>
      </c>
      <c r="S232" s="55" t="e">
        <f t="shared" ca="1" si="49"/>
        <v>#N/A</v>
      </c>
      <c r="T232" s="55" t="e">
        <f t="shared" ca="1" si="43"/>
        <v>#N/A</v>
      </c>
      <c r="U232" s="55" t="e">
        <f t="shared" ca="1" si="44"/>
        <v>#N/A</v>
      </c>
      <c r="V232" s="55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3" t="e">
        <f ca="1"/>
        <v>#N/A</v>
      </c>
      <c r="AB232" s="55" t="e">
        <f t="shared" ca="1" si="51"/>
        <v>#N/A</v>
      </c>
      <c r="AC232" s="55" t="e">
        <f t="shared" ca="1" si="52"/>
        <v>#N/A</v>
      </c>
      <c r="AD232" s="55" t="e">
        <f t="shared" ca="1" si="53"/>
        <v>#N/A</v>
      </c>
      <c r="AE232" s="55" t="e">
        <f t="shared" ca="1" si="54"/>
        <v>#N/A</v>
      </c>
    </row>
    <row r="233" spans="18:31">
      <c r="R233" s="83" t="e">
        <f ca="1"/>
        <v>#N/A</v>
      </c>
      <c r="S233" s="55" t="e">
        <f t="shared" ca="1" si="49"/>
        <v>#N/A</v>
      </c>
      <c r="T233" s="55" t="e">
        <f t="shared" ca="1" si="43"/>
        <v>#N/A</v>
      </c>
      <c r="U233" s="55" t="e">
        <f t="shared" ca="1" si="44"/>
        <v>#N/A</v>
      </c>
      <c r="V233" s="55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3" t="e">
        <f ca="1"/>
        <v>#N/A</v>
      </c>
      <c r="AB233" s="55" t="e">
        <f t="shared" ca="1" si="51"/>
        <v>#N/A</v>
      </c>
      <c r="AC233" s="55" t="e">
        <f t="shared" ca="1" si="52"/>
        <v>#N/A</v>
      </c>
      <c r="AD233" s="55" t="e">
        <f t="shared" ca="1" si="53"/>
        <v>#N/A</v>
      </c>
      <c r="AE233" s="55" t="e">
        <f t="shared" ca="1" si="54"/>
        <v>#N/A</v>
      </c>
    </row>
    <row r="234" spans="18:31">
      <c r="R234" s="83" t="e">
        <f ca="1"/>
        <v>#N/A</v>
      </c>
      <c r="S234" s="55" t="e">
        <f t="shared" ca="1" si="49"/>
        <v>#N/A</v>
      </c>
      <c r="T234" s="55" t="e">
        <f t="shared" ca="1" si="43"/>
        <v>#N/A</v>
      </c>
      <c r="U234" s="55" t="e">
        <f t="shared" ca="1" si="44"/>
        <v>#N/A</v>
      </c>
      <c r="V234" s="55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3" t="e">
        <f ca="1"/>
        <v>#N/A</v>
      </c>
      <c r="AB234" s="55" t="e">
        <f t="shared" ca="1" si="51"/>
        <v>#N/A</v>
      </c>
      <c r="AC234" s="55" t="e">
        <f t="shared" ca="1" si="52"/>
        <v>#N/A</v>
      </c>
      <c r="AD234" s="55" t="e">
        <f t="shared" ca="1" si="53"/>
        <v>#N/A</v>
      </c>
      <c r="AE234" s="55" t="e">
        <f t="shared" ca="1" si="54"/>
        <v>#N/A</v>
      </c>
    </row>
    <row r="235" spans="18:31">
      <c r="R235" s="83" t="e">
        <f ca="1"/>
        <v>#N/A</v>
      </c>
      <c r="S235" s="55" t="e">
        <f t="shared" ca="1" si="49"/>
        <v>#N/A</v>
      </c>
      <c r="T235" s="55" t="e">
        <f t="shared" ca="1" si="43"/>
        <v>#N/A</v>
      </c>
      <c r="U235" s="55" t="e">
        <f t="shared" ca="1" si="44"/>
        <v>#N/A</v>
      </c>
      <c r="V235" s="55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3" t="e">
        <f ca="1"/>
        <v>#N/A</v>
      </c>
      <c r="AB235" s="55" t="e">
        <f t="shared" ca="1" si="51"/>
        <v>#N/A</v>
      </c>
      <c r="AC235" s="55" t="e">
        <f t="shared" ca="1" si="52"/>
        <v>#N/A</v>
      </c>
      <c r="AD235" s="55" t="e">
        <f t="shared" ca="1" si="53"/>
        <v>#N/A</v>
      </c>
      <c r="AE235" s="55" t="e">
        <f t="shared" ca="1" si="54"/>
        <v>#N/A</v>
      </c>
    </row>
    <row r="236" spans="18:31">
      <c r="R236" s="83" t="e">
        <f ca="1"/>
        <v>#N/A</v>
      </c>
      <c r="S236" s="55" t="e">
        <f t="shared" ca="1" si="49"/>
        <v>#N/A</v>
      </c>
      <c r="T236" s="55" t="e">
        <f t="shared" ca="1" si="43"/>
        <v>#N/A</v>
      </c>
      <c r="U236" s="55" t="e">
        <f t="shared" ca="1" si="44"/>
        <v>#N/A</v>
      </c>
      <c r="V236" s="55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3" t="e">
        <f ca="1"/>
        <v>#N/A</v>
      </c>
      <c r="AB236" s="55" t="e">
        <f t="shared" ca="1" si="51"/>
        <v>#N/A</v>
      </c>
      <c r="AC236" s="55" t="e">
        <f t="shared" ca="1" si="52"/>
        <v>#N/A</v>
      </c>
      <c r="AD236" s="55" t="e">
        <f t="shared" ca="1" si="53"/>
        <v>#N/A</v>
      </c>
      <c r="AE236" s="55" t="e">
        <f t="shared" ca="1" si="54"/>
        <v>#N/A</v>
      </c>
    </row>
    <row r="237" spans="18:31">
      <c r="R237" s="83" t="e">
        <f ca="1"/>
        <v>#N/A</v>
      </c>
      <c r="S237" s="55" t="e">
        <f t="shared" ca="1" si="49"/>
        <v>#N/A</v>
      </c>
      <c r="T237" s="55" t="e">
        <f t="shared" ca="1" si="43"/>
        <v>#N/A</v>
      </c>
      <c r="U237" s="55" t="e">
        <f t="shared" ca="1" si="44"/>
        <v>#N/A</v>
      </c>
      <c r="V237" s="55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3" t="e">
        <f ca="1"/>
        <v>#N/A</v>
      </c>
      <c r="AB237" s="55" t="e">
        <f t="shared" ca="1" si="51"/>
        <v>#N/A</v>
      </c>
      <c r="AC237" s="55" t="e">
        <f t="shared" ca="1" si="52"/>
        <v>#N/A</v>
      </c>
      <c r="AD237" s="55" t="e">
        <f t="shared" ca="1" si="53"/>
        <v>#N/A</v>
      </c>
      <c r="AE237" s="55" t="e">
        <f t="shared" ca="1" si="54"/>
        <v>#N/A</v>
      </c>
    </row>
    <row r="238" spans="18:31">
      <c r="R238" s="83" t="e">
        <f ca="1"/>
        <v>#N/A</v>
      </c>
      <c r="S238" s="55" t="e">
        <f t="shared" ca="1" si="49"/>
        <v>#N/A</v>
      </c>
      <c r="T238" s="55" t="e">
        <f t="shared" ca="1" si="43"/>
        <v>#N/A</v>
      </c>
      <c r="U238" s="55" t="e">
        <f t="shared" ca="1" si="44"/>
        <v>#N/A</v>
      </c>
      <c r="V238" s="55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3" t="e">
        <f ca="1"/>
        <v>#N/A</v>
      </c>
      <c r="AB238" s="55" t="e">
        <f t="shared" ca="1" si="51"/>
        <v>#N/A</v>
      </c>
      <c r="AC238" s="55" t="e">
        <f t="shared" ca="1" si="52"/>
        <v>#N/A</v>
      </c>
      <c r="AD238" s="55" t="e">
        <f t="shared" ca="1" si="53"/>
        <v>#N/A</v>
      </c>
      <c r="AE238" s="55" t="e">
        <f t="shared" ca="1" si="54"/>
        <v>#N/A</v>
      </c>
    </row>
    <row r="239" spans="18:31">
      <c r="R239" s="83" t="e">
        <f ca="1"/>
        <v>#N/A</v>
      </c>
      <c r="S239" s="55" t="e">
        <f t="shared" ca="1" si="49"/>
        <v>#N/A</v>
      </c>
      <c r="T239" s="55" t="e">
        <f t="shared" ca="1" si="43"/>
        <v>#N/A</v>
      </c>
      <c r="U239" s="55" t="e">
        <f t="shared" ca="1" si="44"/>
        <v>#N/A</v>
      </c>
      <c r="V239" s="55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3" t="e">
        <f ca="1"/>
        <v>#N/A</v>
      </c>
      <c r="AB239" s="55" t="e">
        <f t="shared" ca="1" si="51"/>
        <v>#N/A</v>
      </c>
      <c r="AC239" s="55" t="e">
        <f t="shared" ca="1" si="52"/>
        <v>#N/A</v>
      </c>
      <c r="AD239" s="55" t="e">
        <f t="shared" ca="1" si="53"/>
        <v>#N/A</v>
      </c>
      <c r="AE239" s="55" t="e">
        <f t="shared" ca="1" si="54"/>
        <v>#N/A</v>
      </c>
    </row>
    <row r="240" spans="18:31">
      <c r="R240" s="83" t="e">
        <f ca="1"/>
        <v>#N/A</v>
      </c>
      <c r="S240" s="55" t="e">
        <f t="shared" ca="1" si="49"/>
        <v>#N/A</v>
      </c>
      <c r="T240" s="55" t="e">
        <f t="shared" ca="1" si="43"/>
        <v>#N/A</v>
      </c>
      <c r="U240" s="55" t="e">
        <f t="shared" ca="1" si="44"/>
        <v>#N/A</v>
      </c>
      <c r="V240" s="55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3" t="e">
        <f ca="1"/>
        <v>#N/A</v>
      </c>
      <c r="AB240" s="55" t="e">
        <f t="shared" ca="1" si="51"/>
        <v>#N/A</v>
      </c>
      <c r="AC240" s="55" t="e">
        <f t="shared" ca="1" si="52"/>
        <v>#N/A</v>
      </c>
      <c r="AD240" s="55" t="e">
        <f t="shared" ca="1" si="53"/>
        <v>#N/A</v>
      </c>
      <c r="AE240" s="55" t="e">
        <f t="shared" ca="1" si="54"/>
        <v>#N/A</v>
      </c>
    </row>
    <row r="241" spans="18:31">
      <c r="R241" s="83" t="e">
        <f ca="1"/>
        <v>#N/A</v>
      </c>
      <c r="S241" s="55" t="e">
        <f t="shared" ca="1" si="49"/>
        <v>#N/A</v>
      </c>
      <c r="T241" s="55" t="e">
        <f t="shared" ca="1" si="43"/>
        <v>#N/A</v>
      </c>
      <c r="U241" s="55" t="e">
        <f t="shared" ca="1" si="44"/>
        <v>#N/A</v>
      </c>
      <c r="V241" s="55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3" t="e">
        <f ca="1"/>
        <v>#N/A</v>
      </c>
      <c r="AB241" s="55" t="e">
        <f t="shared" ca="1" si="51"/>
        <v>#N/A</v>
      </c>
      <c r="AC241" s="55" t="e">
        <f t="shared" ca="1" si="52"/>
        <v>#N/A</v>
      </c>
      <c r="AD241" s="55" t="e">
        <f t="shared" ca="1" si="53"/>
        <v>#N/A</v>
      </c>
      <c r="AE241" s="55" t="e">
        <f t="shared" ca="1" si="54"/>
        <v>#N/A</v>
      </c>
    </row>
    <row r="242" spans="18:31">
      <c r="R242" s="83" t="e">
        <f ca="1"/>
        <v>#N/A</v>
      </c>
      <c r="S242" s="55" t="e">
        <f t="shared" ca="1" si="49"/>
        <v>#N/A</v>
      </c>
      <c r="T242" s="55" t="e">
        <f t="shared" ca="1" si="43"/>
        <v>#N/A</v>
      </c>
      <c r="U242" s="55" t="e">
        <f t="shared" ca="1" si="44"/>
        <v>#N/A</v>
      </c>
      <c r="V242" s="55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3" t="e">
        <f ca="1"/>
        <v>#N/A</v>
      </c>
      <c r="AB242" s="55" t="e">
        <f t="shared" ca="1" si="51"/>
        <v>#N/A</v>
      </c>
      <c r="AC242" s="55" t="e">
        <f t="shared" ca="1" si="52"/>
        <v>#N/A</v>
      </c>
      <c r="AD242" s="55" t="e">
        <f t="shared" ca="1" si="53"/>
        <v>#N/A</v>
      </c>
      <c r="AE242" s="55" t="e">
        <f t="shared" ca="1" si="54"/>
        <v>#N/A</v>
      </c>
    </row>
    <row r="243" spans="18:31">
      <c r="R243" s="83" t="e">
        <f ca="1"/>
        <v>#N/A</v>
      </c>
      <c r="S243" s="55" t="e">
        <f t="shared" ca="1" si="49"/>
        <v>#N/A</v>
      </c>
      <c r="T243" s="55" t="e">
        <f t="shared" ca="1" si="43"/>
        <v>#N/A</v>
      </c>
      <c r="U243" s="55" t="e">
        <f t="shared" ca="1" si="44"/>
        <v>#N/A</v>
      </c>
      <c r="V243" s="55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3" t="e">
        <f ca="1"/>
        <v>#N/A</v>
      </c>
      <c r="AB243" s="55" t="e">
        <f t="shared" ca="1" si="51"/>
        <v>#N/A</v>
      </c>
      <c r="AC243" s="55" t="e">
        <f t="shared" ca="1" si="52"/>
        <v>#N/A</v>
      </c>
      <c r="AD243" s="55" t="e">
        <f t="shared" ca="1" si="53"/>
        <v>#N/A</v>
      </c>
      <c r="AE243" s="55" t="e">
        <f t="shared" ca="1" si="54"/>
        <v>#N/A</v>
      </c>
    </row>
    <row r="244" spans="18:31">
      <c r="R244" s="83" t="e">
        <f ca="1"/>
        <v>#N/A</v>
      </c>
      <c r="S244" s="55" t="e">
        <f t="shared" ca="1" si="49"/>
        <v>#N/A</v>
      </c>
      <c r="T244" s="55" t="e">
        <f t="shared" ca="1" si="43"/>
        <v>#N/A</v>
      </c>
      <c r="U244" s="55" t="e">
        <f t="shared" ca="1" si="44"/>
        <v>#N/A</v>
      </c>
      <c r="V244" s="55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3" t="e">
        <f ca="1"/>
        <v>#N/A</v>
      </c>
      <c r="AB244" s="55" t="e">
        <f t="shared" ca="1" si="51"/>
        <v>#N/A</v>
      </c>
      <c r="AC244" s="55" t="e">
        <f t="shared" ca="1" si="52"/>
        <v>#N/A</v>
      </c>
      <c r="AD244" s="55" t="e">
        <f t="shared" ca="1" si="53"/>
        <v>#N/A</v>
      </c>
      <c r="AE244" s="55" t="e">
        <f t="shared" ca="1" si="54"/>
        <v>#N/A</v>
      </c>
    </row>
    <row r="245" spans="18:31">
      <c r="R245" s="83" t="e">
        <f ca="1"/>
        <v>#N/A</v>
      </c>
      <c r="S245" s="55" t="e">
        <f t="shared" ca="1" si="49"/>
        <v>#N/A</v>
      </c>
      <c r="T245" s="55" t="e">
        <f t="shared" ca="1" si="43"/>
        <v>#N/A</v>
      </c>
      <c r="U245" s="55" t="e">
        <f t="shared" ca="1" si="44"/>
        <v>#N/A</v>
      </c>
      <c r="V245" s="55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3" t="e">
        <f ca="1"/>
        <v>#N/A</v>
      </c>
      <c r="AB245" s="55" t="e">
        <f t="shared" ca="1" si="51"/>
        <v>#N/A</v>
      </c>
      <c r="AC245" s="55" t="e">
        <f t="shared" ca="1" si="52"/>
        <v>#N/A</v>
      </c>
      <c r="AD245" s="55" t="e">
        <f t="shared" ca="1" si="53"/>
        <v>#N/A</v>
      </c>
      <c r="AE245" s="55" t="e">
        <f t="shared" ca="1" si="54"/>
        <v>#N/A</v>
      </c>
    </row>
    <row r="246" spans="18:31">
      <c r="R246" s="83" t="e">
        <f ca="1"/>
        <v>#N/A</v>
      </c>
      <c r="S246" s="55" t="e">
        <f t="shared" ca="1" si="49"/>
        <v>#N/A</v>
      </c>
      <c r="T246" s="55" t="e">
        <f t="shared" ca="1" si="43"/>
        <v>#N/A</v>
      </c>
      <c r="U246" s="55" t="e">
        <f t="shared" ca="1" si="44"/>
        <v>#N/A</v>
      </c>
      <c r="V246" s="55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3" t="e">
        <f ca="1"/>
        <v>#N/A</v>
      </c>
      <c r="AB246" s="55" t="e">
        <f t="shared" ca="1" si="51"/>
        <v>#N/A</v>
      </c>
      <c r="AC246" s="55" t="e">
        <f t="shared" ca="1" si="52"/>
        <v>#N/A</v>
      </c>
      <c r="AD246" s="55" t="e">
        <f t="shared" ca="1" si="53"/>
        <v>#N/A</v>
      </c>
      <c r="AE246" s="55" t="e">
        <f t="shared" ca="1" si="54"/>
        <v>#N/A</v>
      </c>
    </row>
    <row r="247" spans="18:31">
      <c r="R247" s="83" t="e">
        <f ca="1"/>
        <v>#N/A</v>
      </c>
      <c r="S247" s="55" t="e">
        <f t="shared" ca="1" si="49"/>
        <v>#N/A</v>
      </c>
      <c r="T247" s="55" t="e">
        <f t="shared" ca="1" si="43"/>
        <v>#N/A</v>
      </c>
      <c r="U247" s="55" t="e">
        <f t="shared" ca="1" si="44"/>
        <v>#N/A</v>
      </c>
      <c r="V247" s="55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3" t="e">
        <f ca="1"/>
        <v>#N/A</v>
      </c>
      <c r="AB247" s="55" t="e">
        <f t="shared" ca="1" si="51"/>
        <v>#N/A</v>
      </c>
      <c r="AC247" s="55" t="e">
        <f t="shared" ca="1" si="52"/>
        <v>#N/A</v>
      </c>
      <c r="AD247" s="55" t="e">
        <f t="shared" ca="1" si="53"/>
        <v>#N/A</v>
      </c>
      <c r="AE247" s="55" t="e">
        <f t="shared" ca="1" si="54"/>
        <v>#N/A</v>
      </c>
    </row>
    <row r="248" spans="18:31">
      <c r="R248" s="83" t="e">
        <f ca="1"/>
        <v>#N/A</v>
      </c>
      <c r="S248" s="55" t="e">
        <f t="shared" ca="1" si="49"/>
        <v>#N/A</v>
      </c>
      <c r="T248" s="55" t="e">
        <f t="shared" ca="1" si="43"/>
        <v>#N/A</v>
      </c>
      <c r="U248" s="55" t="e">
        <f t="shared" ca="1" si="44"/>
        <v>#N/A</v>
      </c>
      <c r="V248" s="55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3" t="e">
        <f ca="1"/>
        <v>#N/A</v>
      </c>
      <c r="AB248" s="55" t="e">
        <f t="shared" ca="1" si="51"/>
        <v>#N/A</v>
      </c>
      <c r="AC248" s="55" t="e">
        <f t="shared" ca="1" si="52"/>
        <v>#N/A</v>
      </c>
      <c r="AD248" s="55" t="e">
        <f t="shared" ca="1" si="53"/>
        <v>#N/A</v>
      </c>
      <c r="AE248" s="55" t="e">
        <f t="shared" ca="1" si="54"/>
        <v>#N/A</v>
      </c>
    </row>
    <row r="249" spans="18:31">
      <c r="R249" s="83" t="e">
        <f ca="1"/>
        <v>#N/A</v>
      </c>
      <c r="S249" s="55" t="e">
        <f t="shared" ca="1" si="49"/>
        <v>#N/A</v>
      </c>
      <c r="T249" s="55" t="e">
        <f t="shared" ca="1" si="43"/>
        <v>#N/A</v>
      </c>
      <c r="U249" s="55" t="e">
        <f t="shared" ca="1" si="44"/>
        <v>#N/A</v>
      </c>
      <c r="V249" s="55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3" t="e">
        <f ca="1"/>
        <v>#N/A</v>
      </c>
      <c r="AB249" s="55" t="e">
        <f t="shared" ca="1" si="51"/>
        <v>#N/A</v>
      </c>
      <c r="AC249" s="55" t="e">
        <f t="shared" ca="1" si="52"/>
        <v>#N/A</v>
      </c>
      <c r="AD249" s="55" t="e">
        <f t="shared" ca="1" si="53"/>
        <v>#N/A</v>
      </c>
      <c r="AE249" s="55" t="e">
        <f t="shared" ca="1" si="54"/>
        <v>#N/A</v>
      </c>
    </row>
    <row r="250" spans="18:31">
      <c r="R250" s="83" t="e">
        <f ca="1"/>
        <v>#N/A</v>
      </c>
      <c r="S250" s="55" t="e">
        <f t="shared" ca="1" si="49"/>
        <v>#N/A</v>
      </c>
      <c r="T250" s="55" t="e">
        <f t="shared" ca="1" si="43"/>
        <v>#N/A</v>
      </c>
      <c r="U250" s="55" t="e">
        <f t="shared" ca="1" si="44"/>
        <v>#N/A</v>
      </c>
      <c r="V250" s="55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3" t="e">
        <f ca="1"/>
        <v>#N/A</v>
      </c>
      <c r="AB250" s="55" t="e">
        <f t="shared" ca="1" si="51"/>
        <v>#N/A</v>
      </c>
      <c r="AC250" s="55" t="e">
        <f t="shared" ca="1" si="52"/>
        <v>#N/A</v>
      </c>
      <c r="AD250" s="55" t="e">
        <f t="shared" ca="1" si="53"/>
        <v>#N/A</v>
      </c>
      <c r="AE250" s="55" t="e">
        <f t="shared" ca="1" si="54"/>
        <v>#N/A</v>
      </c>
    </row>
    <row r="251" spans="18:31">
      <c r="R251" s="83" t="e">
        <f ca="1"/>
        <v>#N/A</v>
      </c>
      <c r="S251" s="55" t="e">
        <f t="shared" ca="1" si="49"/>
        <v>#N/A</v>
      </c>
      <c r="T251" s="55" t="e">
        <f t="shared" ca="1" si="43"/>
        <v>#N/A</v>
      </c>
      <c r="U251" s="55" t="e">
        <f t="shared" ca="1" si="44"/>
        <v>#N/A</v>
      </c>
      <c r="V251" s="55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3" t="e">
        <f ca="1"/>
        <v>#N/A</v>
      </c>
      <c r="AB251" s="55" t="e">
        <f t="shared" ca="1" si="51"/>
        <v>#N/A</v>
      </c>
      <c r="AC251" s="55" t="e">
        <f t="shared" ca="1" si="52"/>
        <v>#N/A</v>
      </c>
      <c r="AD251" s="55" t="e">
        <f t="shared" ca="1" si="53"/>
        <v>#N/A</v>
      </c>
      <c r="AE251" s="55" t="e">
        <f t="shared" ca="1" si="54"/>
        <v>#N/A</v>
      </c>
    </row>
    <row r="252" spans="18:31">
      <c r="R252" s="83" t="e">
        <f ca="1"/>
        <v>#N/A</v>
      </c>
      <c r="S252" s="55" t="e">
        <f t="shared" ca="1" si="49"/>
        <v>#N/A</v>
      </c>
      <c r="T252" s="55" t="e">
        <f t="shared" ca="1" si="43"/>
        <v>#N/A</v>
      </c>
      <c r="U252" s="55" t="e">
        <f t="shared" ca="1" si="44"/>
        <v>#N/A</v>
      </c>
      <c r="V252" s="55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3" t="e">
        <f ca="1"/>
        <v>#N/A</v>
      </c>
      <c r="AB252" s="55" t="e">
        <f t="shared" ca="1" si="51"/>
        <v>#N/A</v>
      </c>
      <c r="AC252" s="55" t="e">
        <f t="shared" ca="1" si="52"/>
        <v>#N/A</v>
      </c>
      <c r="AD252" s="55" t="e">
        <f t="shared" ca="1" si="53"/>
        <v>#N/A</v>
      </c>
      <c r="AE252" s="55" t="e">
        <f t="shared" ca="1" si="54"/>
        <v>#N/A</v>
      </c>
    </row>
    <row r="253" spans="18:31">
      <c r="R253" s="83" t="e">
        <f ca="1"/>
        <v>#N/A</v>
      </c>
      <c r="S253" s="55" t="e">
        <f t="shared" ca="1" si="49"/>
        <v>#N/A</v>
      </c>
      <c r="T253" s="55" t="e">
        <f t="shared" ca="1" si="43"/>
        <v>#N/A</v>
      </c>
      <c r="U253" s="55" t="e">
        <f t="shared" ca="1" si="44"/>
        <v>#N/A</v>
      </c>
      <c r="V253" s="55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3" t="e">
        <f ca="1"/>
        <v>#N/A</v>
      </c>
      <c r="AB253" s="55" t="e">
        <f t="shared" ca="1" si="51"/>
        <v>#N/A</v>
      </c>
      <c r="AC253" s="55" t="e">
        <f t="shared" ca="1" si="52"/>
        <v>#N/A</v>
      </c>
      <c r="AD253" s="55" t="e">
        <f t="shared" ca="1" si="53"/>
        <v>#N/A</v>
      </c>
      <c r="AE253" s="55" t="e">
        <f t="shared" ca="1" si="54"/>
        <v>#N/A</v>
      </c>
    </row>
    <row r="254" spans="18:31">
      <c r="R254" s="83" t="e">
        <f ca="1"/>
        <v>#N/A</v>
      </c>
      <c r="S254" s="55" t="e">
        <f t="shared" ca="1" si="49"/>
        <v>#N/A</v>
      </c>
      <c r="T254" s="55" t="e">
        <f t="shared" ca="1" si="43"/>
        <v>#N/A</v>
      </c>
      <c r="U254" s="55" t="e">
        <f t="shared" ca="1" si="44"/>
        <v>#N/A</v>
      </c>
      <c r="V254" s="55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3" t="e">
        <f ca="1"/>
        <v>#N/A</v>
      </c>
      <c r="AB254" s="55" t="e">
        <f t="shared" ca="1" si="51"/>
        <v>#N/A</v>
      </c>
      <c r="AC254" s="55" t="e">
        <f t="shared" ca="1" si="52"/>
        <v>#N/A</v>
      </c>
      <c r="AD254" s="55" t="e">
        <f t="shared" ca="1" si="53"/>
        <v>#N/A</v>
      </c>
      <c r="AE254" s="55" t="e">
        <f t="shared" ca="1" si="54"/>
        <v>#N/A</v>
      </c>
    </row>
    <row r="255" spans="18:31">
      <c r="R255" s="83" t="e">
        <f ca="1"/>
        <v>#N/A</v>
      </c>
      <c r="S255" s="55" t="e">
        <f t="shared" ca="1" si="49"/>
        <v>#N/A</v>
      </c>
      <c r="T255" s="55" t="e">
        <f t="shared" ca="1" si="43"/>
        <v>#N/A</v>
      </c>
      <c r="U255" s="55" t="e">
        <f t="shared" ca="1" si="44"/>
        <v>#N/A</v>
      </c>
      <c r="V255" s="55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3" t="e">
        <f ca="1"/>
        <v>#N/A</v>
      </c>
      <c r="AB255" s="55" t="e">
        <f t="shared" ca="1" si="51"/>
        <v>#N/A</v>
      </c>
      <c r="AC255" s="55" t="e">
        <f t="shared" ca="1" si="52"/>
        <v>#N/A</v>
      </c>
      <c r="AD255" s="55" t="e">
        <f t="shared" ca="1" si="53"/>
        <v>#N/A</v>
      </c>
      <c r="AE255" s="55" t="e">
        <f t="shared" ca="1" si="54"/>
        <v>#N/A</v>
      </c>
    </row>
    <row r="256" spans="18:31">
      <c r="R256" s="83" t="e">
        <f ca="1"/>
        <v>#N/A</v>
      </c>
      <c r="S256" s="55" t="e">
        <f t="shared" ca="1" si="49"/>
        <v>#N/A</v>
      </c>
      <c r="T256" s="55" t="e">
        <f t="shared" ca="1" si="43"/>
        <v>#N/A</v>
      </c>
      <c r="U256" s="55" t="e">
        <f t="shared" ca="1" si="44"/>
        <v>#N/A</v>
      </c>
      <c r="V256" s="55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3" t="e">
        <f ca="1"/>
        <v>#N/A</v>
      </c>
      <c r="AB256" s="55" t="e">
        <f t="shared" ca="1" si="51"/>
        <v>#N/A</v>
      </c>
      <c r="AC256" s="55" t="e">
        <f t="shared" ca="1" si="52"/>
        <v>#N/A</v>
      </c>
      <c r="AD256" s="55" t="e">
        <f t="shared" ca="1" si="53"/>
        <v>#N/A</v>
      </c>
      <c r="AE256" s="55" t="e">
        <f t="shared" ca="1" si="54"/>
        <v>#N/A</v>
      </c>
    </row>
    <row r="257" spans="18:31">
      <c r="R257" s="83" t="e">
        <f ca="1"/>
        <v>#N/A</v>
      </c>
      <c r="S257" s="55" t="e">
        <f t="shared" ca="1" si="49"/>
        <v>#N/A</v>
      </c>
      <c r="T257" s="55" t="e">
        <f t="shared" ca="1" si="43"/>
        <v>#N/A</v>
      </c>
      <c r="U257" s="55" t="e">
        <f t="shared" ca="1" si="44"/>
        <v>#N/A</v>
      </c>
      <c r="V257" s="55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3" t="e">
        <f ca="1"/>
        <v>#N/A</v>
      </c>
      <c r="AB257" s="55" t="e">
        <f t="shared" ca="1" si="51"/>
        <v>#N/A</v>
      </c>
      <c r="AC257" s="55" t="e">
        <f t="shared" ca="1" si="52"/>
        <v>#N/A</v>
      </c>
      <c r="AD257" s="55" t="e">
        <f t="shared" ca="1" si="53"/>
        <v>#N/A</v>
      </c>
      <c r="AE257" s="55" t="e">
        <f t="shared" ca="1" si="54"/>
        <v>#N/A</v>
      </c>
    </row>
    <row r="258" spans="18:31">
      <c r="R258" s="83" t="e">
        <f ca="1"/>
        <v>#N/A</v>
      </c>
      <c r="S258" s="55" t="e">
        <f t="shared" ca="1" si="49"/>
        <v>#N/A</v>
      </c>
      <c r="T258" s="55" t="e">
        <f t="shared" ca="1" si="43"/>
        <v>#N/A</v>
      </c>
      <c r="U258" s="55" t="e">
        <f t="shared" ca="1" si="44"/>
        <v>#N/A</v>
      </c>
      <c r="V258" s="55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3" t="e">
        <f ca="1"/>
        <v>#N/A</v>
      </c>
      <c r="AB258" s="55" t="e">
        <f t="shared" ca="1" si="51"/>
        <v>#N/A</v>
      </c>
      <c r="AC258" s="55" t="e">
        <f t="shared" ca="1" si="52"/>
        <v>#N/A</v>
      </c>
      <c r="AD258" s="55" t="e">
        <f t="shared" ca="1" si="53"/>
        <v>#N/A</v>
      </c>
      <c r="AE258" s="55" t="e">
        <f t="shared" ca="1" si="54"/>
        <v>#N/A</v>
      </c>
    </row>
    <row r="259" spans="18:31">
      <c r="R259" s="83" t="e">
        <f ca="1"/>
        <v>#N/A</v>
      </c>
      <c r="S259" s="55" t="e">
        <f t="shared" ca="1" si="49"/>
        <v>#N/A</v>
      </c>
      <c r="T259" s="55" t="e">
        <f t="shared" ca="1" si="43"/>
        <v>#N/A</v>
      </c>
      <c r="U259" s="55" t="e">
        <f t="shared" ca="1" si="44"/>
        <v>#N/A</v>
      </c>
      <c r="V259" s="55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3" t="e">
        <f ca="1"/>
        <v>#N/A</v>
      </c>
      <c r="AB259" s="55" t="e">
        <f t="shared" ca="1" si="51"/>
        <v>#N/A</v>
      </c>
      <c r="AC259" s="55" t="e">
        <f t="shared" ca="1" si="52"/>
        <v>#N/A</v>
      </c>
      <c r="AD259" s="55" t="e">
        <f t="shared" ca="1" si="53"/>
        <v>#N/A</v>
      </c>
      <c r="AE259" s="55" t="e">
        <f t="shared" ca="1" si="54"/>
        <v>#N/A</v>
      </c>
    </row>
    <row r="260" spans="18:31">
      <c r="R260" s="83" t="e">
        <f ca="1"/>
        <v>#N/A</v>
      </c>
      <c r="S260" s="55" t="e">
        <f t="shared" ca="1" si="49"/>
        <v>#N/A</v>
      </c>
      <c r="T260" s="55" t="e">
        <f t="shared" ca="1" si="43"/>
        <v>#N/A</v>
      </c>
      <c r="U260" s="55" t="e">
        <f t="shared" ca="1" si="44"/>
        <v>#N/A</v>
      </c>
      <c r="V260" s="55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3" t="e">
        <f ca="1"/>
        <v>#N/A</v>
      </c>
      <c r="AB260" s="55" t="e">
        <f t="shared" ca="1" si="51"/>
        <v>#N/A</v>
      </c>
      <c r="AC260" s="55" t="e">
        <f t="shared" ca="1" si="52"/>
        <v>#N/A</v>
      </c>
      <c r="AD260" s="55" t="e">
        <f t="shared" ca="1" si="53"/>
        <v>#N/A</v>
      </c>
      <c r="AE260" s="55" t="e">
        <f t="shared" ca="1" si="54"/>
        <v>#N/A</v>
      </c>
    </row>
    <row r="261" spans="18:31">
      <c r="R261" s="83" t="e">
        <f ca="1"/>
        <v>#N/A</v>
      </c>
      <c r="S261" s="55" t="e">
        <f t="shared" ca="1" si="49"/>
        <v>#N/A</v>
      </c>
      <c r="T261" s="55" t="e">
        <f t="shared" ca="1" si="43"/>
        <v>#N/A</v>
      </c>
      <c r="U261" s="55" t="e">
        <f t="shared" ca="1" si="44"/>
        <v>#N/A</v>
      </c>
      <c r="V261" s="55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3" t="e">
        <f ca="1"/>
        <v>#N/A</v>
      </c>
      <c r="AB261" s="55" t="e">
        <f t="shared" ca="1" si="51"/>
        <v>#N/A</v>
      </c>
      <c r="AC261" s="55" t="e">
        <f t="shared" ca="1" si="52"/>
        <v>#N/A</v>
      </c>
      <c r="AD261" s="55" t="e">
        <f t="shared" ca="1" si="53"/>
        <v>#N/A</v>
      </c>
      <c r="AE261" s="55" t="e">
        <f t="shared" ca="1" si="54"/>
        <v>#N/A</v>
      </c>
    </row>
    <row r="262" spans="18:31">
      <c r="R262" s="83" t="e">
        <f ca="1"/>
        <v>#N/A</v>
      </c>
      <c r="S262" s="55" t="e">
        <f t="shared" ca="1" si="49"/>
        <v>#N/A</v>
      </c>
      <c r="T262" s="55" t="e">
        <f t="shared" ca="1" si="43"/>
        <v>#N/A</v>
      </c>
      <c r="U262" s="55" t="e">
        <f t="shared" ca="1" si="44"/>
        <v>#N/A</v>
      </c>
      <c r="V262" s="55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3" t="e">
        <f ca="1"/>
        <v>#N/A</v>
      </c>
      <c r="AB262" s="55" t="e">
        <f t="shared" ca="1" si="51"/>
        <v>#N/A</v>
      </c>
      <c r="AC262" s="55" t="e">
        <f t="shared" ca="1" si="52"/>
        <v>#N/A</v>
      </c>
      <c r="AD262" s="55" t="e">
        <f t="shared" ca="1" si="53"/>
        <v>#N/A</v>
      </c>
      <c r="AE262" s="55" t="e">
        <f t="shared" ca="1" si="54"/>
        <v>#N/A</v>
      </c>
    </row>
    <row r="263" spans="18:31">
      <c r="R263" s="83" t="e">
        <f ca="1"/>
        <v>#N/A</v>
      </c>
      <c r="S263" s="55" t="e">
        <f t="shared" ca="1" si="49"/>
        <v>#N/A</v>
      </c>
      <c r="T263" s="55" t="e">
        <f t="shared" ca="1" si="43"/>
        <v>#N/A</v>
      </c>
      <c r="U263" s="55" t="e">
        <f t="shared" ca="1" si="44"/>
        <v>#N/A</v>
      </c>
      <c r="V263" s="55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3" t="e">
        <f ca="1"/>
        <v>#N/A</v>
      </c>
      <c r="AB263" s="55" t="e">
        <f t="shared" ca="1" si="51"/>
        <v>#N/A</v>
      </c>
      <c r="AC263" s="55" t="e">
        <f t="shared" ca="1" si="52"/>
        <v>#N/A</v>
      </c>
      <c r="AD263" s="55" t="e">
        <f t="shared" ca="1" si="53"/>
        <v>#N/A</v>
      </c>
      <c r="AE263" s="55" t="e">
        <f t="shared" ca="1" si="54"/>
        <v>#N/A</v>
      </c>
    </row>
    <row r="264" spans="18:31">
      <c r="R264" s="83" t="e">
        <f ca="1"/>
        <v>#N/A</v>
      </c>
      <c r="S264" s="55" t="e">
        <f t="shared" ca="1" si="49"/>
        <v>#N/A</v>
      </c>
      <c r="T264" s="55" t="e">
        <f t="shared" ca="1" si="43"/>
        <v>#N/A</v>
      </c>
      <c r="U264" s="55" t="e">
        <f t="shared" ca="1" si="44"/>
        <v>#N/A</v>
      </c>
      <c r="V264" s="55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3" t="e">
        <f ca="1"/>
        <v>#N/A</v>
      </c>
      <c r="AB264" s="55" t="e">
        <f t="shared" ca="1" si="51"/>
        <v>#N/A</v>
      </c>
      <c r="AC264" s="55" t="e">
        <f t="shared" ca="1" si="52"/>
        <v>#N/A</v>
      </c>
      <c r="AD264" s="55" t="e">
        <f t="shared" ca="1" si="53"/>
        <v>#N/A</v>
      </c>
      <c r="AE264" s="55" t="e">
        <f t="shared" ca="1" si="54"/>
        <v>#N/A</v>
      </c>
    </row>
    <row r="265" spans="18:31">
      <c r="R265" s="83" t="e">
        <f ca="1"/>
        <v>#N/A</v>
      </c>
      <c r="S265" s="55" t="e">
        <f t="shared" ca="1" si="49"/>
        <v>#N/A</v>
      </c>
      <c r="T265" s="55" t="e">
        <f t="shared" ca="1" si="43"/>
        <v>#N/A</v>
      </c>
      <c r="U265" s="55" t="e">
        <f t="shared" ca="1" si="44"/>
        <v>#N/A</v>
      </c>
      <c r="V265" s="55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3" t="e">
        <f ca="1"/>
        <v>#N/A</v>
      </c>
      <c r="AB265" s="55" t="e">
        <f t="shared" ca="1" si="51"/>
        <v>#N/A</v>
      </c>
      <c r="AC265" s="55" t="e">
        <f t="shared" ca="1" si="52"/>
        <v>#N/A</v>
      </c>
      <c r="AD265" s="55" t="e">
        <f t="shared" ca="1" si="53"/>
        <v>#N/A</v>
      </c>
      <c r="AE265" s="55" t="e">
        <f t="shared" ca="1" si="54"/>
        <v>#N/A</v>
      </c>
    </row>
    <row r="266" spans="18:31">
      <c r="R266" s="83" t="e">
        <f ca="1"/>
        <v>#N/A</v>
      </c>
      <c r="S266" s="55" t="e">
        <f t="shared" ca="1" si="49"/>
        <v>#N/A</v>
      </c>
      <c r="T266" s="55" t="e">
        <f t="shared" ca="1" si="43"/>
        <v>#N/A</v>
      </c>
      <c r="U266" s="55" t="e">
        <f t="shared" ca="1" si="44"/>
        <v>#N/A</v>
      </c>
      <c r="V266" s="55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3" t="e">
        <f ca="1"/>
        <v>#N/A</v>
      </c>
      <c r="AB266" s="55" t="e">
        <f t="shared" ca="1" si="51"/>
        <v>#N/A</v>
      </c>
      <c r="AC266" s="55" t="e">
        <f t="shared" ca="1" si="52"/>
        <v>#N/A</v>
      </c>
      <c r="AD266" s="55" t="e">
        <f t="shared" ca="1" si="53"/>
        <v>#N/A</v>
      </c>
      <c r="AE266" s="55" t="e">
        <f t="shared" ca="1" si="54"/>
        <v>#N/A</v>
      </c>
    </row>
    <row r="267" spans="18:31">
      <c r="R267" s="83" t="e">
        <f ca="1"/>
        <v>#N/A</v>
      </c>
      <c r="S267" s="55" t="e">
        <f t="shared" ca="1" si="49"/>
        <v>#N/A</v>
      </c>
      <c r="T267" s="55" t="e">
        <f t="shared" ca="1" si="43"/>
        <v>#N/A</v>
      </c>
      <c r="U267" s="55" t="e">
        <f t="shared" ca="1" si="44"/>
        <v>#N/A</v>
      </c>
      <c r="V267" s="55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3" t="e">
        <f ca="1"/>
        <v>#N/A</v>
      </c>
      <c r="AB267" s="55" t="e">
        <f t="shared" ca="1" si="51"/>
        <v>#N/A</v>
      </c>
      <c r="AC267" s="55" t="e">
        <f t="shared" ca="1" si="52"/>
        <v>#N/A</v>
      </c>
      <c r="AD267" s="55" t="e">
        <f t="shared" ca="1" si="53"/>
        <v>#N/A</v>
      </c>
      <c r="AE267" s="55" t="e">
        <f t="shared" ca="1" si="54"/>
        <v>#N/A</v>
      </c>
    </row>
    <row r="268" spans="18:31">
      <c r="R268" s="83" t="e">
        <f ca="1"/>
        <v>#N/A</v>
      </c>
      <c r="S268" s="55" t="e">
        <f t="shared" ca="1" si="49"/>
        <v>#N/A</v>
      </c>
      <c r="T268" s="55" t="e">
        <f t="shared" ca="1" si="43"/>
        <v>#N/A</v>
      </c>
      <c r="U268" s="55" t="e">
        <f t="shared" ca="1" si="44"/>
        <v>#N/A</v>
      </c>
      <c r="V268" s="55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3" t="e">
        <f ca="1"/>
        <v>#N/A</v>
      </c>
      <c r="AB268" s="55" t="e">
        <f t="shared" ca="1" si="51"/>
        <v>#N/A</v>
      </c>
      <c r="AC268" s="55" t="e">
        <f t="shared" ca="1" si="52"/>
        <v>#N/A</v>
      </c>
      <c r="AD268" s="55" t="e">
        <f t="shared" ca="1" si="53"/>
        <v>#N/A</v>
      </c>
      <c r="AE268" s="55" t="e">
        <f t="shared" ca="1" si="54"/>
        <v>#N/A</v>
      </c>
    </row>
    <row r="269" spans="18:31">
      <c r="R269" s="83" t="e">
        <f ca="1"/>
        <v>#N/A</v>
      </c>
      <c r="S269" s="55" t="e">
        <f t="shared" ca="1" si="49"/>
        <v>#N/A</v>
      </c>
      <c r="T269" s="55" t="e">
        <f t="shared" ca="1" si="43"/>
        <v>#N/A</v>
      </c>
      <c r="U269" s="55" t="e">
        <f t="shared" ca="1" si="44"/>
        <v>#N/A</v>
      </c>
      <c r="V269" s="55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3" t="e">
        <f ca="1"/>
        <v>#N/A</v>
      </c>
      <c r="AB269" s="55" t="e">
        <f t="shared" ca="1" si="51"/>
        <v>#N/A</v>
      </c>
      <c r="AC269" s="55" t="e">
        <f t="shared" ca="1" si="52"/>
        <v>#N/A</v>
      </c>
      <c r="AD269" s="55" t="e">
        <f t="shared" ca="1" si="53"/>
        <v>#N/A</v>
      </c>
      <c r="AE269" s="55" t="e">
        <f t="shared" ca="1" si="54"/>
        <v>#N/A</v>
      </c>
    </row>
    <row r="270" spans="18:31">
      <c r="R270" s="83" t="e">
        <f ca="1"/>
        <v>#N/A</v>
      </c>
      <c r="S270" s="55" t="e">
        <f t="shared" ca="1" si="49"/>
        <v>#N/A</v>
      </c>
      <c r="T270" s="55" t="e">
        <f t="shared" ca="1" si="43"/>
        <v>#N/A</v>
      </c>
      <c r="U270" s="55" t="e">
        <f t="shared" ca="1" si="44"/>
        <v>#N/A</v>
      </c>
      <c r="V270" s="55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3" t="e">
        <f ca="1"/>
        <v>#N/A</v>
      </c>
      <c r="AB270" s="55" t="e">
        <f t="shared" ca="1" si="51"/>
        <v>#N/A</v>
      </c>
      <c r="AC270" s="55" t="e">
        <f t="shared" ca="1" si="52"/>
        <v>#N/A</v>
      </c>
      <c r="AD270" s="55" t="e">
        <f t="shared" ca="1" si="53"/>
        <v>#N/A</v>
      </c>
      <c r="AE270" s="55" t="e">
        <f t="shared" ca="1" si="54"/>
        <v>#N/A</v>
      </c>
    </row>
    <row r="271" spans="18:31">
      <c r="R271" s="83" t="e">
        <f ca="1"/>
        <v>#N/A</v>
      </c>
      <c r="S271" s="55" t="e">
        <f t="shared" ca="1" si="49"/>
        <v>#N/A</v>
      </c>
      <c r="T271" s="55" t="e">
        <f t="shared" ca="1" si="43"/>
        <v>#N/A</v>
      </c>
      <c r="U271" s="55" t="e">
        <f t="shared" ca="1" si="44"/>
        <v>#N/A</v>
      </c>
      <c r="V271" s="55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3" t="e">
        <f ca="1"/>
        <v>#N/A</v>
      </c>
      <c r="AB271" s="55" t="e">
        <f t="shared" ca="1" si="51"/>
        <v>#N/A</v>
      </c>
      <c r="AC271" s="55" t="e">
        <f t="shared" ca="1" si="52"/>
        <v>#N/A</v>
      </c>
      <c r="AD271" s="55" t="e">
        <f t="shared" ca="1" si="53"/>
        <v>#N/A</v>
      </c>
      <c r="AE271" s="55" t="e">
        <f t="shared" ca="1" si="54"/>
        <v>#N/A</v>
      </c>
    </row>
    <row r="272" spans="18:31">
      <c r="R272" s="83" t="e">
        <f ca="1"/>
        <v>#N/A</v>
      </c>
      <c r="S272" s="55" t="e">
        <f t="shared" ca="1" si="49"/>
        <v>#N/A</v>
      </c>
      <c r="T272" s="55" t="e">
        <f t="shared" ca="1" si="43"/>
        <v>#N/A</v>
      </c>
      <c r="U272" s="55" t="e">
        <f t="shared" ca="1" si="44"/>
        <v>#N/A</v>
      </c>
      <c r="V272" s="55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3" t="e">
        <f ca="1"/>
        <v>#N/A</v>
      </c>
      <c r="AB272" s="55" t="e">
        <f t="shared" ca="1" si="51"/>
        <v>#N/A</v>
      </c>
      <c r="AC272" s="55" t="e">
        <f t="shared" ca="1" si="52"/>
        <v>#N/A</v>
      </c>
      <c r="AD272" s="55" t="e">
        <f t="shared" ca="1" si="53"/>
        <v>#N/A</v>
      </c>
      <c r="AE272" s="55" t="e">
        <f t="shared" ca="1" si="54"/>
        <v>#N/A</v>
      </c>
    </row>
    <row r="273" spans="18:31">
      <c r="R273" s="83" t="e">
        <f ca="1"/>
        <v>#N/A</v>
      </c>
      <c r="S273" s="55" t="e">
        <f t="shared" ca="1" si="49"/>
        <v>#N/A</v>
      </c>
      <c r="T273" s="55" t="e">
        <f t="shared" ca="1" si="43"/>
        <v>#N/A</v>
      </c>
      <c r="U273" s="55" t="e">
        <f t="shared" ca="1" si="44"/>
        <v>#N/A</v>
      </c>
      <c r="V273" s="55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3" t="e">
        <f ca="1"/>
        <v>#N/A</v>
      </c>
      <c r="AB273" s="55" t="e">
        <f t="shared" ca="1" si="51"/>
        <v>#N/A</v>
      </c>
      <c r="AC273" s="55" t="e">
        <f t="shared" ca="1" si="52"/>
        <v>#N/A</v>
      </c>
      <c r="AD273" s="55" t="e">
        <f t="shared" ca="1" si="53"/>
        <v>#N/A</v>
      </c>
      <c r="AE273" s="55" t="e">
        <f t="shared" ca="1" si="54"/>
        <v>#N/A</v>
      </c>
    </row>
    <row r="274" spans="18:31">
      <c r="R274" s="83" t="e">
        <f ca="1"/>
        <v>#N/A</v>
      </c>
      <c r="S274" s="55" t="e">
        <f t="shared" ca="1" si="49"/>
        <v>#N/A</v>
      </c>
      <c r="T274" s="55" t="e">
        <f t="shared" ref="T274:T337" ca="1" si="55">VLOOKUP(S274,ModelOutputs,2,FALSE)</f>
        <v>#N/A</v>
      </c>
      <c r="U274" s="55" t="e">
        <f t="shared" ref="U274:U337" ca="1" si="56">VLOOKUP(S274,ModelOutputs,7,FALSE)</f>
        <v>#N/A</v>
      </c>
      <c r="V274" s="55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3" t="e">
        <f ca="1"/>
        <v>#N/A</v>
      </c>
      <c r="AB274" s="55" t="e">
        <f t="shared" ca="1" si="51"/>
        <v>#N/A</v>
      </c>
      <c r="AC274" s="55" t="e">
        <f t="shared" ca="1" si="52"/>
        <v>#N/A</v>
      </c>
      <c r="AD274" s="55" t="e">
        <f t="shared" ca="1" si="53"/>
        <v>#N/A</v>
      </c>
      <c r="AE274" s="55" t="e">
        <f t="shared" ca="1" si="54"/>
        <v>#N/A</v>
      </c>
    </row>
    <row r="275" spans="18:31">
      <c r="R275" s="83" t="e">
        <f ca="1"/>
        <v>#N/A</v>
      </c>
      <c r="S275" s="55" t="e">
        <f t="shared" ref="S275:S338" ca="1" si="61">IF(R275&gt;1,R275,"")</f>
        <v>#N/A</v>
      </c>
      <c r="T275" s="55" t="e">
        <f t="shared" ca="1" si="55"/>
        <v>#N/A</v>
      </c>
      <c r="U275" s="55" t="e">
        <f t="shared" ca="1" si="56"/>
        <v>#N/A</v>
      </c>
      <c r="V275" s="55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3" t="e">
        <f ca="1"/>
        <v>#N/A</v>
      </c>
      <c r="AB275" s="55" t="e">
        <f t="shared" ca="1" si="51"/>
        <v>#N/A</v>
      </c>
      <c r="AC275" s="55" t="e">
        <f t="shared" ca="1" si="52"/>
        <v>#N/A</v>
      </c>
      <c r="AD275" s="55" t="e">
        <f t="shared" ca="1" si="53"/>
        <v>#N/A</v>
      </c>
      <c r="AE275" s="55" t="e">
        <f t="shared" ca="1" si="54"/>
        <v>#N/A</v>
      </c>
    </row>
    <row r="276" spans="18:31">
      <c r="R276" s="83" t="e">
        <f ca="1"/>
        <v>#N/A</v>
      </c>
      <c r="S276" s="55" t="e">
        <f t="shared" ca="1" si="61"/>
        <v>#N/A</v>
      </c>
      <c r="T276" s="55" t="e">
        <f t="shared" ca="1" si="55"/>
        <v>#N/A</v>
      </c>
      <c r="U276" s="55" t="e">
        <f t="shared" ca="1" si="56"/>
        <v>#N/A</v>
      </c>
      <c r="V276" s="55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3" t="e">
        <f ca="1"/>
        <v>#N/A</v>
      </c>
      <c r="AB276" s="55" t="e">
        <f t="shared" ca="1" si="51"/>
        <v>#N/A</v>
      </c>
      <c r="AC276" s="55" t="e">
        <f t="shared" ca="1" si="52"/>
        <v>#N/A</v>
      </c>
      <c r="AD276" s="55" t="e">
        <f t="shared" ca="1" si="53"/>
        <v>#N/A</v>
      </c>
      <c r="AE276" s="55" t="e">
        <f t="shared" ca="1" si="54"/>
        <v>#N/A</v>
      </c>
    </row>
    <row r="277" spans="18:31">
      <c r="R277" s="83" t="e">
        <f ca="1"/>
        <v>#N/A</v>
      </c>
      <c r="S277" s="55" t="e">
        <f t="shared" ca="1" si="61"/>
        <v>#N/A</v>
      </c>
      <c r="T277" s="55" t="e">
        <f t="shared" ca="1" si="55"/>
        <v>#N/A</v>
      </c>
      <c r="U277" s="55" t="e">
        <f t="shared" ca="1" si="56"/>
        <v>#N/A</v>
      </c>
      <c r="V277" s="55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3" t="e">
        <f ca="1"/>
        <v>#N/A</v>
      </c>
      <c r="AB277" s="55" t="e">
        <f t="shared" ref="AB277:AB340" ca="1" si="63">IF(AA277&gt;1,AA277,"")</f>
        <v>#N/A</v>
      </c>
      <c r="AC277" s="55" t="e">
        <f t="shared" ref="AC277:AC340" ca="1" si="64">VLOOKUP(AB277,ModelOutputs,2,FALSE)</f>
        <v>#N/A</v>
      </c>
      <c r="AD277" s="55" t="e">
        <f t="shared" ref="AD277:AD340" ca="1" si="65">VLOOKUP(AB277,ModelOutputs,7,FALSE)</f>
        <v>#N/A</v>
      </c>
      <c r="AE277" s="55" t="e">
        <f t="shared" ref="AE277:AE340" ca="1" si="66">VLOOKUP(AB277,ModelOutputs,6,FALSE)</f>
        <v>#N/A</v>
      </c>
    </row>
    <row r="278" spans="18:31">
      <c r="R278" s="83" t="e">
        <f ca="1"/>
        <v>#N/A</v>
      </c>
      <c r="S278" s="55" t="e">
        <f t="shared" ca="1" si="61"/>
        <v>#N/A</v>
      </c>
      <c r="T278" s="55" t="e">
        <f t="shared" ca="1" si="55"/>
        <v>#N/A</v>
      </c>
      <c r="U278" s="55" t="e">
        <f t="shared" ca="1" si="56"/>
        <v>#N/A</v>
      </c>
      <c r="V278" s="55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3" t="e">
        <f ca="1"/>
        <v>#N/A</v>
      </c>
      <c r="AB278" s="55" t="e">
        <f t="shared" ca="1" si="63"/>
        <v>#N/A</v>
      </c>
      <c r="AC278" s="55" t="e">
        <f t="shared" ca="1" si="64"/>
        <v>#N/A</v>
      </c>
      <c r="AD278" s="55" t="e">
        <f t="shared" ca="1" si="65"/>
        <v>#N/A</v>
      </c>
      <c r="AE278" s="55" t="e">
        <f t="shared" ca="1" si="66"/>
        <v>#N/A</v>
      </c>
    </row>
    <row r="279" spans="18:31">
      <c r="R279" s="83" t="e">
        <f ca="1"/>
        <v>#N/A</v>
      </c>
      <c r="S279" s="55" t="e">
        <f t="shared" ca="1" si="61"/>
        <v>#N/A</v>
      </c>
      <c r="T279" s="55" t="e">
        <f t="shared" ca="1" si="55"/>
        <v>#N/A</v>
      </c>
      <c r="U279" s="55" t="e">
        <f t="shared" ca="1" si="56"/>
        <v>#N/A</v>
      </c>
      <c r="V279" s="55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3" t="e">
        <f ca="1"/>
        <v>#N/A</v>
      </c>
      <c r="AB279" s="55" t="e">
        <f t="shared" ca="1" si="63"/>
        <v>#N/A</v>
      </c>
      <c r="AC279" s="55" t="e">
        <f t="shared" ca="1" si="64"/>
        <v>#N/A</v>
      </c>
      <c r="AD279" s="55" t="e">
        <f t="shared" ca="1" si="65"/>
        <v>#N/A</v>
      </c>
      <c r="AE279" s="55" t="e">
        <f t="shared" ca="1" si="66"/>
        <v>#N/A</v>
      </c>
    </row>
    <row r="280" spans="18:31">
      <c r="R280" s="83" t="e">
        <f ca="1"/>
        <v>#N/A</v>
      </c>
      <c r="S280" s="55" t="e">
        <f t="shared" ca="1" si="61"/>
        <v>#N/A</v>
      </c>
      <c r="T280" s="55" t="e">
        <f t="shared" ca="1" si="55"/>
        <v>#N/A</v>
      </c>
      <c r="U280" s="55" t="e">
        <f t="shared" ca="1" si="56"/>
        <v>#N/A</v>
      </c>
      <c r="V280" s="55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3" t="e">
        <f ca="1"/>
        <v>#N/A</v>
      </c>
      <c r="AB280" s="55" t="e">
        <f t="shared" ca="1" si="63"/>
        <v>#N/A</v>
      </c>
      <c r="AC280" s="55" t="e">
        <f t="shared" ca="1" si="64"/>
        <v>#N/A</v>
      </c>
      <c r="AD280" s="55" t="e">
        <f t="shared" ca="1" si="65"/>
        <v>#N/A</v>
      </c>
      <c r="AE280" s="55" t="e">
        <f t="shared" ca="1" si="66"/>
        <v>#N/A</v>
      </c>
    </row>
    <row r="281" spans="18:31">
      <c r="R281" s="83" t="e">
        <f ca="1"/>
        <v>#N/A</v>
      </c>
      <c r="S281" s="55" t="e">
        <f t="shared" ca="1" si="61"/>
        <v>#N/A</v>
      </c>
      <c r="T281" s="55" t="e">
        <f t="shared" ca="1" si="55"/>
        <v>#N/A</v>
      </c>
      <c r="U281" s="55" t="e">
        <f t="shared" ca="1" si="56"/>
        <v>#N/A</v>
      </c>
      <c r="V281" s="55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3" t="e">
        <f ca="1"/>
        <v>#N/A</v>
      </c>
      <c r="AB281" s="55" t="e">
        <f t="shared" ca="1" si="63"/>
        <v>#N/A</v>
      </c>
      <c r="AC281" s="55" t="e">
        <f t="shared" ca="1" si="64"/>
        <v>#N/A</v>
      </c>
      <c r="AD281" s="55" t="e">
        <f t="shared" ca="1" si="65"/>
        <v>#N/A</v>
      </c>
      <c r="AE281" s="55" t="e">
        <f t="shared" ca="1" si="66"/>
        <v>#N/A</v>
      </c>
    </row>
    <row r="282" spans="18:31">
      <c r="R282" s="83" t="e">
        <f ca="1"/>
        <v>#N/A</v>
      </c>
      <c r="S282" s="55" t="e">
        <f t="shared" ca="1" si="61"/>
        <v>#N/A</v>
      </c>
      <c r="T282" s="55" t="e">
        <f t="shared" ca="1" si="55"/>
        <v>#N/A</v>
      </c>
      <c r="U282" s="55" t="e">
        <f t="shared" ca="1" si="56"/>
        <v>#N/A</v>
      </c>
      <c r="V282" s="55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3" t="e">
        <f ca="1"/>
        <v>#N/A</v>
      </c>
      <c r="AB282" s="55" t="e">
        <f t="shared" ca="1" si="63"/>
        <v>#N/A</v>
      </c>
      <c r="AC282" s="55" t="e">
        <f t="shared" ca="1" si="64"/>
        <v>#N/A</v>
      </c>
      <c r="AD282" s="55" t="e">
        <f t="shared" ca="1" si="65"/>
        <v>#N/A</v>
      </c>
      <c r="AE282" s="55" t="e">
        <f t="shared" ca="1" si="66"/>
        <v>#N/A</v>
      </c>
    </row>
    <row r="283" spans="18:31">
      <c r="R283" s="83" t="e">
        <f ca="1"/>
        <v>#N/A</v>
      </c>
      <c r="S283" s="55" t="e">
        <f t="shared" ca="1" si="61"/>
        <v>#N/A</v>
      </c>
      <c r="T283" s="55" t="e">
        <f t="shared" ca="1" si="55"/>
        <v>#N/A</v>
      </c>
      <c r="U283" s="55" t="e">
        <f t="shared" ca="1" si="56"/>
        <v>#N/A</v>
      </c>
      <c r="V283" s="55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3" t="e">
        <f ca="1"/>
        <v>#N/A</v>
      </c>
      <c r="AB283" s="55" t="e">
        <f t="shared" ca="1" si="63"/>
        <v>#N/A</v>
      </c>
      <c r="AC283" s="55" t="e">
        <f t="shared" ca="1" si="64"/>
        <v>#N/A</v>
      </c>
      <c r="AD283" s="55" t="e">
        <f t="shared" ca="1" si="65"/>
        <v>#N/A</v>
      </c>
      <c r="AE283" s="55" t="e">
        <f t="shared" ca="1" si="66"/>
        <v>#N/A</v>
      </c>
    </row>
    <row r="284" spans="18:31">
      <c r="R284" s="83" t="e">
        <f ca="1"/>
        <v>#N/A</v>
      </c>
      <c r="S284" s="55" t="e">
        <f t="shared" ca="1" si="61"/>
        <v>#N/A</v>
      </c>
      <c r="T284" s="55" t="e">
        <f t="shared" ca="1" si="55"/>
        <v>#N/A</v>
      </c>
      <c r="U284" s="55" t="e">
        <f t="shared" ca="1" si="56"/>
        <v>#N/A</v>
      </c>
      <c r="V284" s="55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3" t="e">
        <f ca="1"/>
        <v>#N/A</v>
      </c>
      <c r="AB284" s="55" t="e">
        <f t="shared" ca="1" si="63"/>
        <v>#N/A</v>
      </c>
      <c r="AC284" s="55" t="e">
        <f t="shared" ca="1" si="64"/>
        <v>#N/A</v>
      </c>
      <c r="AD284" s="55" t="e">
        <f t="shared" ca="1" si="65"/>
        <v>#N/A</v>
      </c>
      <c r="AE284" s="55" t="e">
        <f t="shared" ca="1" si="66"/>
        <v>#N/A</v>
      </c>
    </row>
    <row r="285" spans="18:31">
      <c r="R285" s="83" t="e">
        <f ca="1"/>
        <v>#N/A</v>
      </c>
      <c r="S285" s="55" t="e">
        <f t="shared" ca="1" si="61"/>
        <v>#N/A</v>
      </c>
      <c r="T285" s="55" t="e">
        <f t="shared" ca="1" si="55"/>
        <v>#N/A</v>
      </c>
      <c r="U285" s="55" t="e">
        <f t="shared" ca="1" si="56"/>
        <v>#N/A</v>
      </c>
      <c r="V285" s="55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3" t="e">
        <f ca="1"/>
        <v>#N/A</v>
      </c>
      <c r="AB285" s="55" t="e">
        <f t="shared" ca="1" si="63"/>
        <v>#N/A</v>
      </c>
      <c r="AC285" s="55" t="e">
        <f t="shared" ca="1" si="64"/>
        <v>#N/A</v>
      </c>
      <c r="AD285" s="55" t="e">
        <f t="shared" ca="1" si="65"/>
        <v>#N/A</v>
      </c>
      <c r="AE285" s="55" t="e">
        <f t="shared" ca="1" si="66"/>
        <v>#N/A</v>
      </c>
    </row>
    <row r="286" spans="18:31">
      <c r="R286" s="83" t="e">
        <f ca="1"/>
        <v>#N/A</v>
      </c>
      <c r="S286" s="55" t="e">
        <f t="shared" ca="1" si="61"/>
        <v>#N/A</v>
      </c>
      <c r="T286" s="55" t="e">
        <f t="shared" ca="1" si="55"/>
        <v>#N/A</v>
      </c>
      <c r="U286" s="55" t="e">
        <f t="shared" ca="1" si="56"/>
        <v>#N/A</v>
      </c>
      <c r="V286" s="55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3" t="e">
        <f ca="1"/>
        <v>#N/A</v>
      </c>
      <c r="AB286" s="55" t="e">
        <f t="shared" ca="1" si="63"/>
        <v>#N/A</v>
      </c>
      <c r="AC286" s="55" t="e">
        <f t="shared" ca="1" si="64"/>
        <v>#N/A</v>
      </c>
      <c r="AD286" s="55" t="e">
        <f t="shared" ca="1" si="65"/>
        <v>#N/A</v>
      </c>
      <c r="AE286" s="55" t="e">
        <f t="shared" ca="1" si="66"/>
        <v>#N/A</v>
      </c>
    </row>
    <row r="287" spans="18:31">
      <c r="R287" s="83" t="e">
        <f ca="1"/>
        <v>#N/A</v>
      </c>
      <c r="S287" s="55" t="e">
        <f t="shared" ca="1" si="61"/>
        <v>#N/A</v>
      </c>
      <c r="T287" s="55" t="e">
        <f t="shared" ca="1" si="55"/>
        <v>#N/A</v>
      </c>
      <c r="U287" s="55" t="e">
        <f t="shared" ca="1" si="56"/>
        <v>#N/A</v>
      </c>
      <c r="V287" s="55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3" t="e">
        <f ca="1"/>
        <v>#N/A</v>
      </c>
      <c r="AB287" s="55" t="e">
        <f t="shared" ca="1" si="63"/>
        <v>#N/A</v>
      </c>
      <c r="AC287" s="55" t="e">
        <f t="shared" ca="1" si="64"/>
        <v>#N/A</v>
      </c>
      <c r="AD287" s="55" t="e">
        <f t="shared" ca="1" si="65"/>
        <v>#N/A</v>
      </c>
      <c r="AE287" s="55" t="e">
        <f t="shared" ca="1" si="66"/>
        <v>#N/A</v>
      </c>
    </row>
    <row r="288" spans="18:31">
      <c r="R288" s="83" t="e">
        <f ca="1"/>
        <v>#N/A</v>
      </c>
      <c r="S288" s="55" t="e">
        <f t="shared" ca="1" si="61"/>
        <v>#N/A</v>
      </c>
      <c r="T288" s="55" t="e">
        <f t="shared" ca="1" si="55"/>
        <v>#N/A</v>
      </c>
      <c r="U288" s="55" t="e">
        <f t="shared" ca="1" si="56"/>
        <v>#N/A</v>
      </c>
      <c r="V288" s="55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3" t="e">
        <f ca="1"/>
        <v>#N/A</v>
      </c>
      <c r="AB288" s="55" t="e">
        <f t="shared" ca="1" si="63"/>
        <v>#N/A</v>
      </c>
      <c r="AC288" s="55" t="e">
        <f t="shared" ca="1" si="64"/>
        <v>#N/A</v>
      </c>
      <c r="AD288" s="55" t="e">
        <f t="shared" ca="1" si="65"/>
        <v>#N/A</v>
      </c>
      <c r="AE288" s="55" t="e">
        <f t="shared" ca="1" si="66"/>
        <v>#N/A</v>
      </c>
    </row>
    <row r="289" spans="18:31">
      <c r="R289" s="83" t="e">
        <f ca="1"/>
        <v>#N/A</v>
      </c>
      <c r="S289" s="55" t="e">
        <f t="shared" ca="1" si="61"/>
        <v>#N/A</v>
      </c>
      <c r="T289" s="55" t="e">
        <f t="shared" ca="1" si="55"/>
        <v>#N/A</v>
      </c>
      <c r="U289" s="55" t="e">
        <f t="shared" ca="1" si="56"/>
        <v>#N/A</v>
      </c>
      <c r="V289" s="55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3" t="e">
        <f ca="1"/>
        <v>#N/A</v>
      </c>
      <c r="AB289" s="55" t="e">
        <f t="shared" ca="1" si="63"/>
        <v>#N/A</v>
      </c>
      <c r="AC289" s="55" t="e">
        <f t="shared" ca="1" si="64"/>
        <v>#N/A</v>
      </c>
      <c r="AD289" s="55" t="e">
        <f t="shared" ca="1" si="65"/>
        <v>#N/A</v>
      </c>
      <c r="AE289" s="55" t="e">
        <f t="shared" ca="1" si="66"/>
        <v>#N/A</v>
      </c>
    </row>
    <row r="290" spans="18:31">
      <c r="R290" s="83" t="e">
        <f ca="1"/>
        <v>#N/A</v>
      </c>
      <c r="S290" s="55" t="e">
        <f t="shared" ca="1" si="61"/>
        <v>#N/A</v>
      </c>
      <c r="T290" s="55" t="e">
        <f t="shared" ca="1" si="55"/>
        <v>#N/A</v>
      </c>
      <c r="U290" s="55" t="e">
        <f t="shared" ca="1" si="56"/>
        <v>#N/A</v>
      </c>
      <c r="V290" s="55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3" t="e">
        <f ca="1"/>
        <v>#N/A</v>
      </c>
      <c r="AB290" s="55" t="e">
        <f t="shared" ca="1" si="63"/>
        <v>#N/A</v>
      </c>
      <c r="AC290" s="55" t="e">
        <f t="shared" ca="1" si="64"/>
        <v>#N/A</v>
      </c>
      <c r="AD290" s="55" t="e">
        <f t="shared" ca="1" si="65"/>
        <v>#N/A</v>
      </c>
      <c r="AE290" s="55" t="e">
        <f t="shared" ca="1" si="66"/>
        <v>#N/A</v>
      </c>
    </row>
    <row r="291" spans="18:31">
      <c r="R291" s="83" t="e">
        <f ca="1"/>
        <v>#N/A</v>
      </c>
      <c r="S291" s="55" t="e">
        <f t="shared" ca="1" si="61"/>
        <v>#N/A</v>
      </c>
      <c r="T291" s="55" t="e">
        <f t="shared" ca="1" si="55"/>
        <v>#N/A</v>
      </c>
      <c r="U291" s="55" t="e">
        <f t="shared" ca="1" si="56"/>
        <v>#N/A</v>
      </c>
      <c r="V291" s="55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3" t="e">
        <f ca="1"/>
        <v>#N/A</v>
      </c>
      <c r="AB291" s="55" t="e">
        <f t="shared" ca="1" si="63"/>
        <v>#N/A</v>
      </c>
      <c r="AC291" s="55" t="e">
        <f t="shared" ca="1" si="64"/>
        <v>#N/A</v>
      </c>
      <c r="AD291" s="55" t="e">
        <f t="shared" ca="1" si="65"/>
        <v>#N/A</v>
      </c>
      <c r="AE291" s="55" t="e">
        <f t="shared" ca="1" si="66"/>
        <v>#N/A</v>
      </c>
    </row>
    <row r="292" spans="18:31">
      <c r="R292" s="83" t="e">
        <f ca="1"/>
        <v>#N/A</v>
      </c>
      <c r="S292" s="55" t="e">
        <f t="shared" ca="1" si="61"/>
        <v>#N/A</v>
      </c>
      <c r="T292" s="55" t="e">
        <f t="shared" ca="1" si="55"/>
        <v>#N/A</v>
      </c>
      <c r="U292" s="55" t="e">
        <f t="shared" ca="1" si="56"/>
        <v>#N/A</v>
      </c>
      <c r="V292" s="55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3" t="e">
        <f ca="1"/>
        <v>#N/A</v>
      </c>
      <c r="AB292" s="55" t="e">
        <f t="shared" ca="1" si="63"/>
        <v>#N/A</v>
      </c>
      <c r="AC292" s="55" t="e">
        <f t="shared" ca="1" si="64"/>
        <v>#N/A</v>
      </c>
      <c r="AD292" s="55" t="e">
        <f t="shared" ca="1" si="65"/>
        <v>#N/A</v>
      </c>
      <c r="AE292" s="55" t="e">
        <f t="shared" ca="1" si="66"/>
        <v>#N/A</v>
      </c>
    </row>
    <row r="293" spans="18:31">
      <c r="R293" s="83" t="e">
        <f ca="1"/>
        <v>#N/A</v>
      </c>
      <c r="S293" s="55" t="e">
        <f t="shared" ca="1" si="61"/>
        <v>#N/A</v>
      </c>
      <c r="T293" s="55" t="e">
        <f t="shared" ca="1" si="55"/>
        <v>#N/A</v>
      </c>
      <c r="U293" s="55" t="e">
        <f t="shared" ca="1" si="56"/>
        <v>#N/A</v>
      </c>
      <c r="V293" s="55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3" t="e">
        <f ca="1"/>
        <v>#N/A</v>
      </c>
      <c r="AB293" s="55" t="e">
        <f t="shared" ca="1" si="63"/>
        <v>#N/A</v>
      </c>
      <c r="AC293" s="55" t="e">
        <f t="shared" ca="1" si="64"/>
        <v>#N/A</v>
      </c>
      <c r="AD293" s="55" t="e">
        <f t="shared" ca="1" si="65"/>
        <v>#N/A</v>
      </c>
      <c r="AE293" s="55" t="e">
        <f t="shared" ca="1" si="66"/>
        <v>#N/A</v>
      </c>
    </row>
    <row r="294" spans="18:31">
      <c r="R294" s="83" t="e">
        <f ca="1"/>
        <v>#N/A</v>
      </c>
      <c r="S294" s="55" t="e">
        <f t="shared" ca="1" si="61"/>
        <v>#N/A</v>
      </c>
      <c r="T294" s="55" t="e">
        <f t="shared" ca="1" si="55"/>
        <v>#N/A</v>
      </c>
      <c r="U294" s="55" t="e">
        <f t="shared" ca="1" si="56"/>
        <v>#N/A</v>
      </c>
      <c r="V294" s="55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3" t="e">
        <f ca="1"/>
        <v>#N/A</v>
      </c>
      <c r="AB294" s="55" t="e">
        <f t="shared" ca="1" si="63"/>
        <v>#N/A</v>
      </c>
      <c r="AC294" s="55" t="e">
        <f t="shared" ca="1" si="64"/>
        <v>#N/A</v>
      </c>
      <c r="AD294" s="55" t="e">
        <f t="shared" ca="1" si="65"/>
        <v>#N/A</v>
      </c>
      <c r="AE294" s="55" t="e">
        <f t="shared" ca="1" si="66"/>
        <v>#N/A</v>
      </c>
    </row>
    <row r="295" spans="18:31">
      <c r="R295" s="83" t="e">
        <f ca="1"/>
        <v>#N/A</v>
      </c>
      <c r="S295" s="55" t="e">
        <f t="shared" ca="1" si="61"/>
        <v>#N/A</v>
      </c>
      <c r="T295" s="55" t="e">
        <f t="shared" ca="1" si="55"/>
        <v>#N/A</v>
      </c>
      <c r="U295" s="55" t="e">
        <f t="shared" ca="1" si="56"/>
        <v>#N/A</v>
      </c>
      <c r="V295" s="55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3" t="e">
        <f ca="1"/>
        <v>#N/A</v>
      </c>
      <c r="AB295" s="55" t="e">
        <f t="shared" ca="1" si="63"/>
        <v>#N/A</v>
      </c>
      <c r="AC295" s="55" t="e">
        <f t="shared" ca="1" si="64"/>
        <v>#N/A</v>
      </c>
      <c r="AD295" s="55" t="e">
        <f t="shared" ca="1" si="65"/>
        <v>#N/A</v>
      </c>
      <c r="AE295" s="55" t="e">
        <f t="shared" ca="1" si="66"/>
        <v>#N/A</v>
      </c>
    </row>
    <row r="296" spans="18:31">
      <c r="R296" s="83" t="e">
        <f ca="1"/>
        <v>#N/A</v>
      </c>
      <c r="S296" s="55" t="e">
        <f t="shared" ca="1" si="61"/>
        <v>#N/A</v>
      </c>
      <c r="T296" s="55" t="e">
        <f t="shared" ca="1" si="55"/>
        <v>#N/A</v>
      </c>
      <c r="U296" s="55" t="e">
        <f t="shared" ca="1" si="56"/>
        <v>#N/A</v>
      </c>
      <c r="V296" s="55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3" t="e">
        <f ca="1"/>
        <v>#N/A</v>
      </c>
      <c r="AB296" s="55" t="e">
        <f t="shared" ca="1" si="63"/>
        <v>#N/A</v>
      </c>
      <c r="AC296" s="55" t="e">
        <f t="shared" ca="1" si="64"/>
        <v>#N/A</v>
      </c>
      <c r="AD296" s="55" t="e">
        <f t="shared" ca="1" si="65"/>
        <v>#N/A</v>
      </c>
      <c r="AE296" s="55" t="e">
        <f t="shared" ca="1" si="66"/>
        <v>#N/A</v>
      </c>
    </row>
    <row r="297" spans="18:31">
      <c r="R297" s="83" t="e">
        <f ca="1"/>
        <v>#N/A</v>
      </c>
      <c r="S297" s="55" t="e">
        <f t="shared" ca="1" si="61"/>
        <v>#N/A</v>
      </c>
      <c r="T297" s="55" t="e">
        <f t="shared" ca="1" si="55"/>
        <v>#N/A</v>
      </c>
      <c r="U297" s="55" t="e">
        <f t="shared" ca="1" si="56"/>
        <v>#N/A</v>
      </c>
      <c r="V297" s="55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3" t="e">
        <f ca="1"/>
        <v>#N/A</v>
      </c>
      <c r="AB297" s="55" t="e">
        <f t="shared" ca="1" si="63"/>
        <v>#N/A</v>
      </c>
      <c r="AC297" s="55" t="e">
        <f t="shared" ca="1" si="64"/>
        <v>#N/A</v>
      </c>
      <c r="AD297" s="55" t="e">
        <f t="shared" ca="1" si="65"/>
        <v>#N/A</v>
      </c>
      <c r="AE297" s="55" t="e">
        <f t="shared" ca="1" si="66"/>
        <v>#N/A</v>
      </c>
    </row>
    <row r="298" spans="18:31">
      <c r="R298" s="83" t="e">
        <f ca="1"/>
        <v>#N/A</v>
      </c>
      <c r="S298" s="55" t="e">
        <f t="shared" ca="1" si="61"/>
        <v>#N/A</v>
      </c>
      <c r="T298" s="55" t="e">
        <f t="shared" ca="1" si="55"/>
        <v>#N/A</v>
      </c>
      <c r="U298" s="55" t="e">
        <f t="shared" ca="1" si="56"/>
        <v>#N/A</v>
      </c>
      <c r="V298" s="55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3" t="e">
        <f ca="1"/>
        <v>#N/A</v>
      </c>
      <c r="AB298" s="55" t="e">
        <f t="shared" ca="1" si="63"/>
        <v>#N/A</v>
      </c>
      <c r="AC298" s="55" t="e">
        <f t="shared" ca="1" si="64"/>
        <v>#N/A</v>
      </c>
      <c r="AD298" s="55" t="e">
        <f t="shared" ca="1" si="65"/>
        <v>#N/A</v>
      </c>
      <c r="AE298" s="55" t="e">
        <f t="shared" ca="1" si="66"/>
        <v>#N/A</v>
      </c>
    </row>
    <row r="299" spans="18:31">
      <c r="R299" s="83" t="e">
        <f ca="1"/>
        <v>#N/A</v>
      </c>
      <c r="S299" s="55" t="e">
        <f t="shared" ca="1" si="61"/>
        <v>#N/A</v>
      </c>
      <c r="T299" s="55" t="e">
        <f t="shared" ca="1" si="55"/>
        <v>#N/A</v>
      </c>
      <c r="U299" s="55" t="e">
        <f t="shared" ca="1" si="56"/>
        <v>#N/A</v>
      </c>
      <c r="V299" s="55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3" t="e">
        <f ca="1"/>
        <v>#N/A</v>
      </c>
      <c r="AB299" s="55" t="e">
        <f t="shared" ca="1" si="63"/>
        <v>#N/A</v>
      </c>
      <c r="AC299" s="55" t="e">
        <f t="shared" ca="1" si="64"/>
        <v>#N/A</v>
      </c>
      <c r="AD299" s="55" t="e">
        <f t="shared" ca="1" si="65"/>
        <v>#N/A</v>
      </c>
      <c r="AE299" s="55" t="e">
        <f t="shared" ca="1" si="66"/>
        <v>#N/A</v>
      </c>
    </row>
    <row r="300" spans="18:31">
      <c r="R300" s="83" t="e">
        <f ca="1"/>
        <v>#N/A</v>
      </c>
      <c r="S300" s="55" t="e">
        <f t="shared" ca="1" si="61"/>
        <v>#N/A</v>
      </c>
      <c r="T300" s="55" t="e">
        <f t="shared" ca="1" si="55"/>
        <v>#N/A</v>
      </c>
      <c r="U300" s="55" t="e">
        <f t="shared" ca="1" si="56"/>
        <v>#N/A</v>
      </c>
      <c r="V300" s="55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3" t="e">
        <f ca="1"/>
        <v>#N/A</v>
      </c>
      <c r="AB300" s="55" t="e">
        <f t="shared" ca="1" si="63"/>
        <v>#N/A</v>
      </c>
      <c r="AC300" s="55" t="e">
        <f t="shared" ca="1" si="64"/>
        <v>#N/A</v>
      </c>
      <c r="AD300" s="55" t="e">
        <f t="shared" ca="1" si="65"/>
        <v>#N/A</v>
      </c>
      <c r="AE300" s="55" t="e">
        <f t="shared" ca="1" si="66"/>
        <v>#N/A</v>
      </c>
    </row>
    <row r="301" spans="18:31">
      <c r="R301" s="83" t="e">
        <f ca="1"/>
        <v>#N/A</v>
      </c>
      <c r="S301" s="55" t="e">
        <f t="shared" ca="1" si="61"/>
        <v>#N/A</v>
      </c>
      <c r="T301" s="55" t="e">
        <f t="shared" ca="1" si="55"/>
        <v>#N/A</v>
      </c>
      <c r="U301" s="55" t="e">
        <f t="shared" ca="1" si="56"/>
        <v>#N/A</v>
      </c>
      <c r="V301" s="55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3" t="e">
        <f ca="1"/>
        <v>#N/A</v>
      </c>
      <c r="AB301" s="55" t="e">
        <f t="shared" ca="1" si="63"/>
        <v>#N/A</v>
      </c>
      <c r="AC301" s="55" t="e">
        <f t="shared" ca="1" si="64"/>
        <v>#N/A</v>
      </c>
      <c r="AD301" s="55" t="e">
        <f t="shared" ca="1" si="65"/>
        <v>#N/A</v>
      </c>
      <c r="AE301" s="55" t="e">
        <f t="shared" ca="1" si="66"/>
        <v>#N/A</v>
      </c>
    </row>
    <row r="302" spans="18:31">
      <c r="R302" s="83" t="e">
        <f ca="1"/>
        <v>#N/A</v>
      </c>
      <c r="S302" s="55" t="e">
        <f t="shared" ca="1" si="61"/>
        <v>#N/A</v>
      </c>
      <c r="T302" s="55" t="e">
        <f t="shared" ca="1" si="55"/>
        <v>#N/A</v>
      </c>
      <c r="U302" s="55" t="e">
        <f t="shared" ca="1" si="56"/>
        <v>#N/A</v>
      </c>
      <c r="V302" s="55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3" t="e">
        <f ca="1"/>
        <v>#N/A</v>
      </c>
      <c r="AB302" s="55" t="e">
        <f t="shared" ca="1" si="63"/>
        <v>#N/A</v>
      </c>
      <c r="AC302" s="55" t="e">
        <f t="shared" ca="1" si="64"/>
        <v>#N/A</v>
      </c>
      <c r="AD302" s="55" t="e">
        <f t="shared" ca="1" si="65"/>
        <v>#N/A</v>
      </c>
      <c r="AE302" s="55" t="e">
        <f t="shared" ca="1" si="66"/>
        <v>#N/A</v>
      </c>
    </row>
    <row r="303" spans="18:31">
      <c r="R303" s="83" t="e">
        <f ca="1"/>
        <v>#N/A</v>
      </c>
      <c r="S303" s="55" t="e">
        <f t="shared" ca="1" si="61"/>
        <v>#N/A</v>
      </c>
      <c r="T303" s="55" t="e">
        <f t="shared" ca="1" si="55"/>
        <v>#N/A</v>
      </c>
      <c r="U303" s="55" t="e">
        <f t="shared" ca="1" si="56"/>
        <v>#N/A</v>
      </c>
      <c r="V303" s="55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3" t="e">
        <f ca="1"/>
        <v>#N/A</v>
      </c>
      <c r="AB303" s="55" t="e">
        <f t="shared" ca="1" si="63"/>
        <v>#N/A</v>
      </c>
      <c r="AC303" s="55" t="e">
        <f t="shared" ca="1" si="64"/>
        <v>#N/A</v>
      </c>
      <c r="AD303" s="55" t="e">
        <f t="shared" ca="1" si="65"/>
        <v>#N/A</v>
      </c>
      <c r="AE303" s="55" t="e">
        <f t="shared" ca="1" si="66"/>
        <v>#N/A</v>
      </c>
    </row>
    <row r="304" spans="18:31">
      <c r="R304" s="83" t="e">
        <f ca="1"/>
        <v>#N/A</v>
      </c>
      <c r="S304" s="55" t="e">
        <f t="shared" ca="1" si="61"/>
        <v>#N/A</v>
      </c>
      <c r="T304" s="55" t="e">
        <f t="shared" ca="1" si="55"/>
        <v>#N/A</v>
      </c>
      <c r="U304" s="55" t="e">
        <f t="shared" ca="1" si="56"/>
        <v>#N/A</v>
      </c>
      <c r="V304" s="55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3" t="e">
        <f ca="1"/>
        <v>#N/A</v>
      </c>
      <c r="AB304" s="55" t="e">
        <f t="shared" ca="1" si="63"/>
        <v>#N/A</v>
      </c>
      <c r="AC304" s="55" t="e">
        <f t="shared" ca="1" si="64"/>
        <v>#N/A</v>
      </c>
      <c r="AD304" s="55" t="e">
        <f t="shared" ca="1" si="65"/>
        <v>#N/A</v>
      </c>
      <c r="AE304" s="55" t="e">
        <f t="shared" ca="1" si="66"/>
        <v>#N/A</v>
      </c>
    </row>
    <row r="305" spans="18:31">
      <c r="R305" s="83" t="e">
        <f ca="1"/>
        <v>#N/A</v>
      </c>
      <c r="S305" s="55" t="e">
        <f t="shared" ca="1" si="61"/>
        <v>#N/A</v>
      </c>
      <c r="T305" s="55" t="e">
        <f t="shared" ca="1" si="55"/>
        <v>#N/A</v>
      </c>
      <c r="U305" s="55" t="e">
        <f t="shared" ca="1" si="56"/>
        <v>#N/A</v>
      </c>
      <c r="V305" s="55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3" t="e">
        <f ca="1"/>
        <v>#N/A</v>
      </c>
      <c r="AB305" s="55" t="e">
        <f t="shared" ca="1" si="63"/>
        <v>#N/A</v>
      </c>
      <c r="AC305" s="55" t="e">
        <f t="shared" ca="1" si="64"/>
        <v>#N/A</v>
      </c>
      <c r="AD305" s="55" t="e">
        <f t="shared" ca="1" si="65"/>
        <v>#N/A</v>
      </c>
      <c r="AE305" s="55" t="e">
        <f t="shared" ca="1" si="66"/>
        <v>#N/A</v>
      </c>
    </row>
    <row r="306" spans="18:31">
      <c r="R306" s="83" t="e">
        <f ca="1"/>
        <v>#N/A</v>
      </c>
      <c r="S306" s="55" t="e">
        <f t="shared" ca="1" si="61"/>
        <v>#N/A</v>
      </c>
      <c r="T306" s="55" t="e">
        <f t="shared" ca="1" si="55"/>
        <v>#N/A</v>
      </c>
      <c r="U306" s="55" t="e">
        <f t="shared" ca="1" si="56"/>
        <v>#N/A</v>
      </c>
      <c r="V306" s="55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3" t="e">
        <f ca="1"/>
        <v>#N/A</v>
      </c>
      <c r="AB306" s="55" t="e">
        <f t="shared" ca="1" si="63"/>
        <v>#N/A</v>
      </c>
      <c r="AC306" s="55" t="e">
        <f t="shared" ca="1" si="64"/>
        <v>#N/A</v>
      </c>
      <c r="AD306" s="55" t="e">
        <f t="shared" ca="1" si="65"/>
        <v>#N/A</v>
      </c>
      <c r="AE306" s="55" t="e">
        <f t="shared" ca="1" si="66"/>
        <v>#N/A</v>
      </c>
    </row>
    <row r="307" spans="18:31">
      <c r="R307" s="83" t="e">
        <f ca="1"/>
        <v>#N/A</v>
      </c>
      <c r="S307" s="55" t="e">
        <f t="shared" ca="1" si="61"/>
        <v>#N/A</v>
      </c>
      <c r="T307" s="55" t="e">
        <f t="shared" ca="1" si="55"/>
        <v>#N/A</v>
      </c>
      <c r="U307" s="55" t="e">
        <f t="shared" ca="1" si="56"/>
        <v>#N/A</v>
      </c>
      <c r="V307" s="55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3" t="e">
        <f ca="1"/>
        <v>#N/A</v>
      </c>
      <c r="AB307" s="55" t="e">
        <f t="shared" ca="1" si="63"/>
        <v>#N/A</v>
      </c>
      <c r="AC307" s="55" t="e">
        <f t="shared" ca="1" si="64"/>
        <v>#N/A</v>
      </c>
      <c r="AD307" s="55" t="e">
        <f t="shared" ca="1" si="65"/>
        <v>#N/A</v>
      </c>
      <c r="AE307" s="55" t="e">
        <f t="shared" ca="1" si="66"/>
        <v>#N/A</v>
      </c>
    </row>
    <row r="308" spans="18:31">
      <c r="R308" s="83" t="e">
        <f ca="1"/>
        <v>#N/A</v>
      </c>
      <c r="S308" s="55" t="e">
        <f t="shared" ca="1" si="61"/>
        <v>#N/A</v>
      </c>
      <c r="T308" s="55" t="e">
        <f t="shared" ca="1" si="55"/>
        <v>#N/A</v>
      </c>
      <c r="U308" s="55" t="e">
        <f t="shared" ca="1" si="56"/>
        <v>#N/A</v>
      </c>
      <c r="V308" s="55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3" t="e">
        <f ca="1"/>
        <v>#N/A</v>
      </c>
      <c r="AB308" s="55" t="e">
        <f t="shared" ca="1" si="63"/>
        <v>#N/A</v>
      </c>
      <c r="AC308" s="55" t="e">
        <f t="shared" ca="1" si="64"/>
        <v>#N/A</v>
      </c>
      <c r="AD308" s="55" t="e">
        <f t="shared" ca="1" si="65"/>
        <v>#N/A</v>
      </c>
      <c r="AE308" s="55" t="e">
        <f t="shared" ca="1" si="66"/>
        <v>#N/A</v>
      </c>
    </row>
    <row r="309" spans="18:31">
      <c r="R309" s="83" t="e">
        <f ca="1"/>
        <v>#N/A</v>
      </c>
      <c r="S309" s="55" t="e">
        <f t="shared" ca="1" si="61"/>
        <v>#N/A</v>
      </c>
      <c r="T309" s="55" t="e">
        <f t="shared" ca="1" si="55"/>
        <v>#N/A</v>
      </c>
      <c r="U309" s="55" t="e">
        <f t="shared" ca="1" si="56"/>
        <v>#N/A</v>
      </c>
      <c r="V309" s="55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3" t="e">
        <f ca="1"/>
        <v>#N/A</v>
      </c>
      <c r="AB309" s="55" t="e">
        <f t="shared" ca="1" si="63"/>
        <v>#N/A</v>
      </c>
      <c r="AC309" s="55" t="e">
        <f t="shared" ca="1" si="64"/>
        <v>#N/A</v>
      </c>
      <c r="AD309" s="55" t="e">
        <f t="shared" ca="1" si="65"/>
        <v>#N/A</v>
      </c>
      <c r="AE309" s="55" t="e">
        <f t="shared" ca="1" si="66"/>
        <v>#N/A</v>
      </c>
    </row>
    <row r="310" spans="18:31">
      <c r="R310" s="83" t="e">
        <f ca="1"/>
        <v>#N/A</v>
      </c>
      <c r="S310" s="55" t="e">
        <f t="shared" ca="1" si="61"/>
        <v>#N/A</v>
      </c>
      <c r="T310" s="55" t="e">
        <f t="shared" ca="1" si="55"/>
        <v>#N/A</v>
      </c>
      <c r="U310" s="55" t="e">
        <f t="shared" ca="1" si="56"/>
        <v>#N/A</v>
      </c>
      <c r="V310" s="55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3" t="e">
        <f ca="1"/>
        <v>#N/A</v>
      </c>
      <c r="AB310" s="55" t="e">
        <f t="shared" ca="1" si="63"/>
        <v>#N/A</v>
      </c>
      <c r="AC310" s="55" t="e">
        <f t="shared" ca="1" si="64"/>
        <v>#N/A</v>
      </c>
      <c r="AD310" s="55" t="e">
        <f t="shared" ca="1" si="65"/>
        <v>#N/A</v>
      </c>
      <c r="AE310" s="55" t="e">
        <f t="shared" ca="1" si="66"/>
        <v>#N/A</v>
      </c>
    </row>
    <row r="311" spans="18:31">
      <c r="R311" s="83" t="e">
        <f ca="1"/>
        <v>#N/A</v>
      </c>
      <c r="S311" s="55" t="e">
        <f t="shared" ca="1" si="61"/>
        <v>#N/A</v>
      </c>
      <c r="T311" s="55" t="e">
        <f t="shared" ca="1" si="55"/>
        <v>#N/A</v>
      </c>
      <c r="U311" s="55" t="e">
        <f t="shared" ca="1" si="56"/>
        <v>#N/A</v>
      </c>
      <c r="V311" s="55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3" t="e">
        <f ca="1"/>
        <v>#N/A</v>
      </c>
      <c r="AB311" s="55" t="e">
        <f t="shared" ca="1" si="63"/>
        <v>#N/A</v>
      </c>
      <c r="AC311" s="55" t="e">
        <f t="shared" ca="1" si="64"/>
        <v>#N/A</v>
      </c>
      <c r="AD311" s="55" t="e">
        <f t="shared" ca="1" si="65"/>
        <v>#N/A</v>
      </c>
      <c r="AE311" s="55" t="e">
        <f t="shared" ca="1" si="66"/>
        <v>#N/A</v>
      </c>
    </row>
    <row r="312" spans="18:31">
      <c r="R312" s="83" t="e">
        <f ca="1"/>
        <v>#N/A</v>
      </c>
      <c r="S312" s="55" t="e">
        <f t="shared" ca="1" si="61"/>
        <v>#N/A</v>
      </c>
      <c r="T312" s="55" t="e">
        <f t="shared" ca="1" si="55"/>
        <v>#N/A</v>
      </c>
      <c r="U312" s="55" t="e">
        <f t="shared" ca="1" si="56"/>
        <v>#N/A</v>
      </c>
      <c r="V312" s="55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3" t="e">
        <f ca="1"/>
        <v>#N/A</v>
      </c>
      <c r="AB312" s="55" t="e">
        <f t="shared" ca="1" si="63"/>
        <v>#N/A</v>
      </c>
      <c r="AC312" s="55" t="e">
        <f t="shared" ca="1" si="64"/>
        <v>#N/A</v>
      </c>
      <c r="AD312" s="55" t="e">
        <f t="shared" ca="1" si="65"/>
        <v>#N/A</v>
      </c>
      <c r="AE312" s="55" t="e">
        <f t="shared" ca="1" si="66"/>
        <v>#N/A</v>
      </c>
    </row>
    <row r="313" spans="18:31">
      <c r="R313" s="83" t="e">
        <f ca="1"/>
        <v>#N/A</v>
      </c>
      <c r="S313" s="55" t="e">
        <f t="shared" ca="1" si="61"/>
        <v>#N/A</v>
      </c>
      <c r="T313" s="55" t="e">
        <f t="shared" ca="1" si="55"/>
        <v>#N/A</v>
      </c>
      <c r="U313" s="55" t="e">
        <f t="shared" ca="1" si="56"/>
        <v>#N/A</v>
      </c>
      <c r="V313" s="55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3" t="e">
        <f ca="1"/>
        <v>#N/A</v>
      </c>
      <c r="AB313" s="55" t="e">
        <f t="shared" ca="1" si="63"/>
        <v>#N/A</v>
      </c>
      <c r="AC313" s="55" t="e">
        <f t="shared" ca="1" si="64"/>
        <v>#N/A</v>
      </c>
      <c r="AD313" s="55" t="e">
        <f t="shared" ca="1" si="65"/>
        <v>#N/A</v>
      </c>
      <c r="AE313" s="55" t="e">
        <f t="shared" ca="1" si="66"/>
        <v>#N/A</v>
      </c>
    </row>
    <row r="314" spans="18:31">
      <c r="R314" s="83" t="e">
        <f ca="1"/>
        <v>#N/A</v>
      </c>
      <c r="S314" s="55" t="e">
        <f t="shared" ca="1" si="61"/>
        <v>#N/A</v>
      </c>
      <c r="T314" s="55" t="e">
        <f t="shared" ca="1" si="55"/>
        <v>#N/A</v>
      </c>
      <c r="U314" s="55" t="e">
        <f t="shared" ca="1" si="56"/>
        <v>#N/A</v>
      </c>
      <c r="V314" s="55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3" t="e">
        <f ca="1"/>
        <v>#N/A</v>
      </c>
      <c r="AB314" s="55" t="e">
        <f t="shared" ca="1" si="63"/>
        <v>#N/A</v>
      </c>
      <c r="AC314" s="55" t="e">
        <f t="shared" ca="1" si="64"/>
        <v>#N/A</v>
      </c>
      <c r="AD314" s="55" t="e">
        <f t="shared" ca="1" si="65"/>
        <v>#N/A</v>
      </c>
      <c r="AE314" s="55" t="e">
        <f t="shared" ca="1" si="66"/>
        <v>#N/A</v>
      </c>
    </row>
    <row r="315" spans="18:31">
      <c r="R315" s="83" t="e">
        <f ca="1"/>
        <v>#N/A</v>
      </c>
      <c r="S315" s="55" t="e">
        <f t="shared" ca="1" si="61"/>
        <v>#N/A</v>
      </c>
      <c r="T315" s="55" t="e">
        <f t="shared" ca="1" si="55"/>
        <v>#N/A</v>
      </c>
      <c r="U315" s="55" t="e">
        <f t="shared" ca="1" si="56"/>
        <v>#N/A</v>
      </c>
      <c r="V315" s="55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3" t="e">
        <f ca="1"/>
        <v>#N/A</v>
      </c>
      <c r="AB315" s="55" t="e">
        <f t="shared" ca="1" si="63"/>
        <v>#N/A</v>
      </c>
      <c r="AC315" s="55" t="e">
        <f t="shared" ca="1" si="64"/>
        <v>#N/A</v>
      </c>
      <c r="AD315" s="55" t="e">
        <f t="shared" ca="1" si="65"/>
        <v>#N/A</v>
      </c>
      <c r="AE315" s="55" t="e">
        <f t="shared" ca="1" si="66"/>
        <v>#N/A</v>
      </c>
    </row>
    <row r="316" spans="18:31">
      <c r="R316" s="83" t="e">
        <f ca="1"/>
        <v>#N/A</v>
      </c>
      <c r="S316" s="55" t="e">
        <f t="shared" ca="1" si="61"/>
        <v>#N/A</v>
      </c>
      <c r="T316" s="55" t="e">
        <f t="shared" ca="1" si="55"/>
        <v>#N/A</v>
      </c>
      <c r="U316" s="55" t="e">
        <f t="shared" ca="1" si="56"/>
        <v>#N/A</v>
      </c>
      <c r="V316" s="55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3" t="e">
        <f ca="1"/>
        <v>#N/A</v>
      </c>
      <c r="AB316" s="55" t="e">
        <f t="shared" ca="1" si="63"/>
        <v>#N/A</v>
      </c>
      <c r="AC316" s="55" t="e">
        <f t="shared" ca="1" si="64"/>
        <v>#N/A</v>
      </c>
      <c r="AD316" s="55" t="e">
        <f t="shared" ca="1" si="65"/>
        <v>#N/A</v>
      </c>
      <c r="AE316" s="55" t="e">
        <f t="shared" ca="1" si="66"/>
        <v>#N/A</v>
      </c>
    </row>
    <row r="317" spans="18:31">
      <c r="R317" s="83" t="e">
        <f ca="1"/>
        <v>#N/A</v>
      </c>
      <c r="S317" s="55" t="e">
        <f t="shared" ca="1" si="61"/>
        <v>#N/A</v>
      </c>
      <c r="T317" s="55" t="e">
        <f t="shared" ca="1" si="55"/>
        <v>#N/A</v>
      </c>
      <c r="U317" s="55" t="e">
        <f t="shared" ca="1" si="56"/>
        <v>#N/A</v>
      </c>
      <c r="V317" s="55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3" t="e">
        <f ca="1"/>
        <v>#N/A</v>
      </c>
      <c r="AB317" s="55" t="e">
        <f t="shared" ca="1" si="63"/>
        <v>#N/A</v>
      </c>
      <c r="AC317" s="55" t="e">
        <f t="shared" ca="1" si="64"/>
        <v>#N/A</v>
      </c>
      <c r="AD317" s="55" t="e">
        <f t="shared" ca="1" si="65"/>
        <v>#N/A</v>
      </c>
      <c r="AE317" s="55" t="e">
        <f t="shared" ca="1" si="66"/>
        <v>#N/A</v>
      </c>
    </row>
    <row r="318" spans="18:31">
      <c r="R318" s="83" t="e">
        <f ca="1"/>
        <v>#N/A</v>
      </c>
      <c r="S318" s="55" t="e">
        <f t="shared" ca="1" si="61"/>
        <v>#N/A</v>
      </c>
      <c r="T318" s="55" t="e">
        <f t="shared" ca="1" si="55"/>
        <v>#N/A</v>
      </c>
      <c r="U318" s="55" t="e">
        <f t="shared" ca="1" si="56"/>
        <v>#N/A</v>
      </c>
      <c r="V318" s="55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3" t="e">
        <f ca="1"/>
        <v>#N/A</v>
      </c>
      <c r="AB318" s="55" t="e">
        <f t="shared" ca="1" si="63"/>
        <v>#N/A</v>
      </c>
      <c r="AC318" s="55" t="e">
        <f t="shared" ca="1" si="64"/>
        <v>#N/A</v>
      </c>
      <c r="AD318" s="55" t="e">
        <f t="shared" ca="1" si="65"/>
        <v>#N/A</v>
      </c>
      <c r="AE318" s="55" t="e">
        <f t="shared" ca="1" si="66"/>
        <v>#N/A</v>
      </c>
    </row>
    <row r="319" spans="18:31">
      <c r="R319" s="83" t="e">
        <f ca="1"/>
        <v>#N/A</v>
      </c>
      <c r="S319" s="55" t="e">
        <f t="shared" ca="1" si="61"/>
        <v>#N/A</v>
      </c>
      <c r="T319" s="55" t="e">
        <f t="shared" ca="1" si="55"/>
        <v>#N/A</v>
      </c>
      <c r="U319" s="55" t="e">
        <f t="shared" ca="1" si="56"/>
        <v>#N/A</v>
      </c>
      <c r="V319" s="55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3" t="e">
        <f ca="1"/>
        <v>#N/A</v>
      </c>
      <c r="AB319" s="55" t="e">
        <f t="shared" ca="1" si="63"/>
        <v>#N/A</v>
      </c>
      <c r="AC319" s="55" t="e">
        <f t="shared" ca="1" si="64"/>
        <v>#N/A</v>
      </c>
      <c r="AD319" s="55" t="e">
        <f t="shared" ca="1" si="65"/>
        <v>#N/A</v>
      </c>
      <c r="AE319" s="55" t="e">
        <f t="shared" ca="1" si="66"/>
        <v>#N/A</v>
      </c>
    </row>
    <row r="320" spans="18:31">
      <c r="R320" s="83" t="e">
        <f ca="1"/>
        <v>#N/A</v>
      </c>
      <c r="S320" s="55" t="e">
        <f t="shared" ca="1" si="61"/>
        <v>#N/A</v>
      </c>
      <c r="T320" s="55" t="e">
        <f t="shared" ca="1" si="55"/>
        <v>#N/A</v>
      </c>
      <c r="U320" s="55" t="e">
        <f t="shared" ca="1" si="56"/>
        <v>#N/A</v>
      </c>
      <c r="V320" s="55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3" t="e">
        <f ca="1"/>
        <v>#N/A</v>
      </c>
      <c r="AB320" s="55" t="e">
        <f t="shared" ca="1" si="63"/>
        <v>#N/A</v>
      </c>
      <c r="AC320" s="55" t="e">
        <f t="shared" ca="1" si="64"/>
        <v>#N/A</v>
      </c>
      <c r="AD320" s="55" t="e">
        <f t="shared" ca="1" si="65"/>
        <v>#N/A</v>
      </c>
      <c r="AE320" s="55" t="e">
        <f t="shared" ca="1" si="66"/>
        <v>#N/A</v>
      </c>
    </row>
    <row r="321" spans="18:31">
      <c r="R321" s="83" t="e">
        <f ca="1"/>
        <v>#N/A</v>
      </c>
      <c r="S321" s="55" t="e">
        <f t="shared" ca="1" si="61"/>
        <v>#N/A</v>
      </c>
      <c r="T321" s="55" t="e">
        <f t="shared" ca="1" si="55"/>
        <v>#N/A</v>
      </c>
      <c r="U321" s="55" t="e">
        <f t="shared" ca="1" si="56"/>
        <v>#N/A</v>
      </c>
      <c r="V321" s="55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3" t="e">
        <f ca="1"/>
        <v>#N/A</v>
      </c>
      <c r="AB321" s="55" t="e">
        <f t="shared" ca="1" si="63"/>
        <v>#N/A</v>
      </c>
      <c r="AC321" s="55" t="e">
        <f t="shared" ca="1" si="64"/>
        <v>#N/A</v>
      </c>
      <c r="AD321" s="55" t="e">
        <f t="shared" ca="1" si="65"/>
        <v>#N/A</v>
      </c>
      <c r="AE321" s="55" t="e">
        <f t="shared" ca="1" si="66"/>
        <v>#N/A</v>
      </c>
    </row>
    <row r="322" spans="18:31">
      <c r="R322" s="83" t="e">
        <f ca="1"/>
        <v>#N/A</v>
      </c>
      <c r="S322" s="55" t="e">
        <f t="shared" ca="1" si="61"/>
        <v>#N/A</v>
      </c>
      <c r="T322" s="55" t="e">
        <f t="shared" ca="1" si="55"/>
        <v>#N/A</v>
      </c>
      <c r="U322" s="55" t="e">
        <f t="shared" ca="1" si="56"/>
        <v>#N/A</v>
      </c>
      <c r="V322" s="55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3" t="e">
        <f ca="1"/>
        <v>#N/A</v>
      </c>
      <c r="AB322" s="55" t="e">
        <f t="shared" ca="1" si="63"/>
        <v>#N/A</v>
      </c>
      <c r="AC322" s="55" t="e">
        <f t="shared" ca="1" si="64"/>
        <v>#N/A</v>
      </c>
      <c r="AD322" s="55" t="e">
        <f t="shared" ca="1" si="65"/>
        <v>#N/A</v>
      </c>
      <c r="AE322" s="55" t="e">
        <f t="shared" ca="1" si="66"/>
        <v>#N/A</v>
      </c>
    </row>
    <row r="323" spans="18:31">
      <c r="R323" s="83" t="e">
        <f ca="1"/>
        <v>#N/A</v>
      </c>
      <c r="S323" s="55" t="e">
        <f t="shared" ca="1" si="61"/>
        <v>#N/A</v>
      </c>
      <c r="T323" s="55" t="e">
        <f t="shared" ca="1" si="55"/>
        <v>#N/A</v>
      </c>
      <c r="U323" s="55" t="e">
        <f t="shared" ca="1" si="56"/>
        <v>#N/A</v>
      </c>
      <c r="V323" s="55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3" t="e">
        <f ca="1"/>
        <v>#N/A</v>
      </c>
      <c r="AB323" s="55" t="e">
        <f t="shared" ca="1" si="63"/>
        <v>#N/A</v>
      </c>
      <c r="AC323" s="55" t="e">
        <f t="shared" ca="1" si="64"/>
        <v>#N/A</v>
      </c>
      <c r="AD323" s="55" t="e">
        <f t="shared" ca="1" si="65"/>
        <v>#N/A</v>
      </c>
      <c r="AE323" s="55" t="e">
        <f t="shared" ca="1" si="66"/>
        <v>#N/A</v>
      </c>
    </row>
    <row r="324" spans="18:31">
      <c r="R324" s="83" t="e">
        <f ca="1"/>
        <v>#N/A</v>
      </c>
      <c r="S324" s="55" t="e">
        <f t="shared" ca="1" si="61"/>
        <v>#N/A</v>
      </c>
      <c r="T324" s="55" t="e">
        <f t="shared" ca="1" si="55"/>
        <v>#N/A</v>
      </c>
      <c r="U324" s="55" t="e">
        <f t="shared" ca="1" si="56"/>
        <v>#N/A</v>
      </c>
      <c r="V324" s="55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3" t="e">
        <f ca="1"/>
        <v>#N/A</v>
      </c>
      <c r="AB324" s="55" t="e">
        <f t="shared" ca="1" si="63"/>
        <v>#N/A</v>
      </c>
      <c r="AC324" s="55" t="e">
        <f t="shared" ca="1" si="64"/>
        <v>#N/A</v>
      </c>
      <c r="AD324" s="55" t="e">
        <f t="shared" ca="1" si="65"/>
        <v>#N/A</v>
      </c>
      <c r="AE324" s="55" t="e">
        <f t="shared" ca="1" si="66"/>
        <v>#N/A</v>
      </c>
    </row>
    <row r="325" spans="18:31">
      <c r="R325" s="83" t="e">
        <f ca="1"/>
        <v>#N/A</v>
      </c>
      <c r="S325" s="55" t="e">
        <f t="shared" ca="1" si="61"/>
        <v>#N/A</v>
      </c>
      <c r="T325" s="55" t="e">
        <f t="shared" ca="1" si="55"/>
        <v>#N/A</v>
      </c>
      <c r="U325" s="55" t="e">
        <f t="shared" ca="1" si="56"/>
        <v>#N/A</v>
      </c>
      <c r="V325" s="55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3" t="e">
        <f ca="1"/>
        <v>#N/A</v>
      </c>
      <c r="AB325" s="55" t="e">
        <f t="shared" ca="1" si="63"/>
        <v>#N/A</v>
      </c>
      <c r="AC325" s="55" t="e">
        <f t="shared" ca="1" si="64"/>
        <v>#N/A</v>
      </c>
      <c r="AD325" s="55" t="e">
        <f t="shared" ca="1" si="65"/>
        <v>#N/A</v>
      </c>
      <c r="AE325" s="55" t="e">
        <f t="shared" ca="1" si="66"/>
        <v>#N/A</v>
      </c>
    </row>
    <row r="326" spans="18:31">
      <c r="R326" s="83" t="e">
        <f ca="1"/>
        <v>#N/A</v>
      </c>
      <c r="S326" s="55" t="e">
        <f t="shared" ca="1" si="61"/>
        <v>#N/A</v>
      </c>
      <c r="T326" s="55" t="e">
        <f t="shared" ca="1" si="55"/>
        <v>#N/A</v>
      </c>
      <c r="U326" s="55" t="e">
        <f t="shared" ca="1" si="56"/>
        <v>#N/A</v>
      </c>
      <c r="V326" s="55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3" t="e">
        <f ca="1"/>
        <v>#N/A</v>
      </c>
      <c r="AB326" s="55" t="e">
        <f t="shared" ca="1" si="63"/>
        <v>#N/A</v>
      </c>
      <c r="AC326" s="55" t="e">
        <f t="shared" ca="1" si="64"/>
        <v>#N/A</v>
      </c>
      <c r="AD326" s="55" t="e">
        <f t="shared" ca="1" si="65"/>
        <v>#N/A</v>
      </c>
      <c r="AE326" s="55" t="e">
        <f t="shared" ca="1" si="66"/>
        <v>#N/A</v>
      </c>
    </row>
    <row r="327" spans="18:31">
      <c r="R327" s="83" t="e">
        <f ca="1"/>
        <v>#N/A</v>
      </c>
      <c r="S327" s="55" t="e">
        <f t="shared" ca="1" si="61"/>
        <v>#N/A</v>
      </c>
      <c r="T327" s="55" t="e">
        <f t="shared" ca="1" si="55"/>
        <v>#N/A</v>
      </c>
      <c r="U327" s="55" t="e">
        <f t="shared" ca="1" si="56"/>
        <v>#N/A</v>
      </c>
      <c r="V327" s="55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3" t="e">
        <f ca="1"/>
        <v>#N/A</v>
      </c>
      <c r="AB327" s="55" t="e">
        <f t="shared" ca="1" si="63"/>
        <v>#N/A</v>
      </c>
      <c r="AC327" s="55" t="e">
        <f t="shared" ca="1" si="64"/>
        <v>#N/A</v>
      </c>
      <c r="AD327" s="55" t="e">
        <f t="shared" ca="1" si="65"/>
        <v>#N/A</v>
      </c>
      <c r="AE327" s="55" t="e">
        <f t="shared" ca="1" si="66"/>
        <v>#N/A</v>
      </c>
    </row>
    <row r="328" spans="18:31">
      <c r="R328" s="83" t="e">
        <f ca="1"/>
        <v>#N/A</v>
      </c>
      <c r="S328" s="55" t="e">
        <f t="shared" ca="1" si="61"/>
        <v>#N/A</v>
      </c>
      <c r="T328" s="55" t="e">
        <f t="shared" ca="1" si="55"/>
        <v>#N/A</v>
      </c>
      <c r="U328" s="55" t="e">
        <f t="shared" ca="1" si="56"/>
        <v>#N/A</v>
      </c>
      <c r="V328" s="55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3" t="e">
        <f ca="1"/>
        <v>#N/A</v>
      </c>
      <c r="AB328" s="55" t="e">
        <f t="shared" ca="1" si="63"/>
        <v>#N/A</v>
      </c>
      <c r="AC328" s="55" t="e">
        <f t="shared" ca="1" si="64"/>
        <v>#N/A</v>
      </c>
      <c r="AD328" s="55" t="e">
        <f t="shared" ca="1" si="65"/>
        <v>#N/A</v>
      </c>
      <c r="AE328" s="55" t="e">
        <f t="shared" ca="1" si="66"/>
        <v>#N/A</v>
      </c>
    </row>
    <row r="329" spans="18:31">
      <c r="R329" s="83" t="e">
        <f ca="1"/>
        <v>#N/A</v>
      </c>
      <c r="S329" s="55" t="e">
        <f t="shared" ca="1" si="61"/>
        <v>#N/A</v>
      </c>
      <c r="T329" s="55" t="e">
        <f t="shared" ca="1" si="55"/>
        <v>#N/A</v>
      </c>
      <c r="U329" s="55" t="e">
        <f t="shared" ca="1" si="56"/>
        <v>#N/A</v>
      </c>
      <c r="V329" s="55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3" t="e">
        <f ca="1"/>
        <v>#N/A</v>
      </c>
      <c r="AB329" s="55" t="e">
        <f t="shared" ca="1" si="63"/>
        <v>#N/A</v>
      </c>
      <c r="AC329" s="55" t="e">
        <f t="shared" ca="1" si="64"/>
        <v>#N/A</v>
      </c>
      <c r="AD329" s="55" t="e">
        <f t="shared" ca="1" si="65"/>
        <v>#N/A</v>
      </c>
      <c r="AE329" s="55" t="e">
        <f t="shared" ca="1" si="66"/>
        <v>#N/A</v>
      </c>
    </row>
    <row r="330" spans="18:31">
      <c r="R330" s="83" t="e">
        <f ca="1"/>
        <v>#N/A</v>
      </c>
      <c r="S330" s="55" t="e">
        <f t="shared" ca="1" si="61"/>
        <v>#N/A</v>
      </c>
      <c r="T330" s="55" t="e">
        <f t="shared" ca="1" si="55"/>
        <v>#N/A</v>
      </c>
      <c r="U330" s="55" t="e">
        <f t="shared" ca="1" si="56"/>
        <v>#N/A</v>
      </c>
      <c r="V330" s="55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3" t="e">
        <f ca="1"/>
        <v>#N/A</v>
      </c>
      <c r="AB330" s="55" t="e">
        <f t="shared" ca="1" si="63"/>
        <v>#N/A</v>
      </c>
      <c r="AC330" s="55" t="e">
        <f t="shared" ca="1" si="64"/>
        <v>#N/A</v>
      </c>
      <c r="AD330" s="55" t="e">
        <f t="shared" ca="1" si="65"/>
        <v>#N/A</v>
      </c>
      <c r="AE330" s="55" t="e">
        <f t="shared" ca="1" si="66"/>
        <v>#N/A</v>
      </c>
    </row>
    <row r="331" spans="18:31">
      <c r="R331" s="83" t="e">
        <f ca="1"/>
        <v>#N/A</v>
      </c>
      <c r="S331" s="55" t="e">
        <f t="shared" ca="1" si="61"/>
        <v>#N/A</v>
      </c>
      <c r="T331" s="55" t="e">
        <f t="shared" ca="1" si="55"/>
        <v>#N/A</v>
      </c>
      <c r="U331" s="55" t="e">
        <f t="shared" ca="1" si="56"/>
        <v>#N/A</v>
      </c>
      <c r="V331" s="55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3" t="e">
        <f ca="1"/>
        <v>#N/A</v>
      </c>
      <c r="AB331" s="55" t="e">
        <f t="shared" ca="1" si="63"/>
        <v>#N/A</v>
      </c>
      <c r="AC331" s="55" t="e">
        <f t="shared" ca="1" si="64"/>
        <v>#N/A</v>
      </c>
      <c r="AD331" s="55" t="e">
        <f t="shared" ca="1" si="65"/>
        <v>#N/A</v>
      </c>
      <c r="AE331" s="55" t="e">
        <f t="shared" ca="1" si="66"/>
        <v>#N/A</v>
      </c>
    </row>
    <row r="332" spans="18:31">
      <c r="R332" s="83" t="e">
        <f ca="1"/>
        <v>#N/A</v>
      </c>
      <c r="S332" s="55" t="e">
        <f t="shared" ca="1" si="61"/>
        <v>#N/A</v>
      </c>
      <c r="T332" s="55" t="e">
        <f t="shared" ca="1" si="55"/>
        <v>#N/A</v>
      </c>
      <c r="U332" s="55" t="e">
        <f t="shared" ca="1" si="56"/>
        <v>#N/A</v>
      </c>
      <c r="V332" s="55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3" t="e">
        <f ca="1"/>
        <v>#N/A</v>
      </c>
      <c r="AB332" s="55" t="e">
        <f t="shared" ca="1" si="63"/>
        <v>#N/A</v>
      </c>
      <c r="AC332" s="55" t="e">
        <f t="shared" ca="1" si="64"/>
        <v>#N/A</v>
      </c>
      <c r="AD332" s="55" t="e">
        <f t="shared" ca="1" si="65"/>
        <v>#N/A</v>
      </c>
      <c r="AE332" s="55" t="e">
        <f t="shared" ca="1" si="66"/>
        <v>#N/A</v>
      </c>
    </row>
    <row r="333" spans="18:31">
      <c r="R333" s="83" t="e">
        <f ca="1"/>
        <v>#N/A</v>
      </c>
      <c r="S333" s="55" t="e">
        <f t="shared" ca="1" si="61"/>
        <v>#N/A</v>
      </c>
      <c r="T333" s="55" t="e">
        <f t="shared" ca="1" si="55"/>
        <v>#N/A</v>
      </c>
      <c r="U333" s="55" t="e">
        <f t="shared" ca="1" si="56"/>
        <v>#N/A</v>
      </c>
      <c r="V333" s="55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3" t="e">
        <f ca="1"/>
        <v>#N/A</v>
      </c>
      <c r="AB333" s="55" t="e">
        <f t="shared" ca="1" si="63"/>
        <v>#N/A</v>
      </c>
      <c r="AC333" s="55" t="e">
        <f t="shared" ca="1" si="64"/>
        <v>#N/A</v>
      </c>
      <c r="AD333" s="55" t="e">
        <f t="shared" ca="1" si="65"/>
        <v>#N/A</v>
      </c>
      <c r="AE333" s="55" t="e">
        <f t="shared" ca="1" si="66"/>
        <v>#N/A</v>
      </c>
    </row>
    <row r="334" spans="18:31">
      <c r="R334" s="83" t="e">
        <f ca="1"/>
        <v>#N/A</v>
      </c>
      <c r="S334" s="55" t="e">
        <f t="shared" ca="1" si="61"/>
        <v>#N/A</v>
      </c>
      <c r="T334" s="55" t="e">
        <f t="shared" ca="1" si="55"/>
        <v>#N/A</v>
      </c>
      <c r="U334" s="55" t="e">
        <f t="shared" ca="1" si="56"/>
        <v>#N/A</v>
      </c>
      <c r="V334" s="55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3" t="e">
        <f ca="1"/>
        <v>#N/A</v>
      </c>
      <c r="AB334" s="55" t="e">
        <f t="shared" ca="1" si="63"/>
        <v>#N/A</v>
      </c>
      <c r="AC334" s="55" t="e">
        <f t="shared" ca="1" si="64"/>
        <v>#N/A</v>
      </c>
      <c r="AD334" s="55" t="e">
        <f t="shared" ca="1" si="65"/>
        <v>#N/A</v>
      </c>
      <c r="AE334" s="55" t="e">
        <f t="shared" ca="1" si="66"/>
        <v>#N/A</v>
      </c>
    </row>
    <row r="335" spans="18:31">
      <c r="R335" s="83" t="e">
        <f ca="1"/>
        <v>#N/A</v>
      </c>
      <c r="S335" s="55" t="e">
        <f t="shared" ca="1" si="61"/>
        <v>#N/A</v>
      </c>
      <c r="T335" s="55" t="e">
        <f t="shared" ca="1" si="55"/>
        <v>#N/A</v>
      </c>
      <c r="U335" s="55" t="e">
        <f t="shared" ca="1" si="56"/>
        <v>#N/A</v>
      </c>
      <c r="V335" s="55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3" t="e">
        <f ca="1"/>
        <v>#N/A</v>
      </c>
      <c r="AB335" s="55" t="e">
        <f t="shared" ca="1" si="63"/>
        <v>#N/A</v>
      </c>
      <c r="AC335" s="55" t="e">
        <f t="shared" ca="1" si="64"/>
        <v>#N/A</v>
      </c>
      <c r="AD335" s="55" t="e">
        <f t="shared" ca="1" si="65"/>
        <v>#N/A</v>
      </c>
      <c r="AE335" s="55" t="e">
        <f t="shared" ca="1" si="66"/>
        <v>#N/A</v>
      </c>
    </row>
    <row r="336" spans="18:31">
      <c r="R336" s="83" t="e">
        <f ca="1"/>
        <v>#N/A</v>
      </c>
      <c r="S336" s="55" t="e">
        <f t="shared" ca="1" si="61"/>
        <v>#N/A</v>
      </c>
      <c r="T336" s="55" t="e">
        <f t="shared" ca="1" si="55"/>
        <v>#N/A</v>
      </c>
      <c r="U336" s="55" t="e">
        <f t="shared" ca="1" si="56"/>
        <v>#N/A</v>
      </c>
      <c r="V336" s="55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3" t="e">
        <f ca="1"/>
        <v>#N/A</v>
      </c>
      <c r="AB336" s="55" t="e">
        <f t="shared" ca="1" si="63"/>
        <v>#N/A</v>
      </c>
      <c r="AC336" s="55" t="e">
        <f t="shared" ca="1" si="64"/>
        <v>#N/A</v>
      </c>
      <c r="AD336" s="55" t="e">
        <f t="shared" ca="1" si="65"/>
        <v>#N/A</v>
      </c>
      <c r="AE336" s="55" t="e">
        <f t="shared" ca="1" si="66"/>
        <v>#N/A</v>
      </c>
    </row>
    <row r="337" spans="18:31">
      <c r="R337" s="83" t="e">
        <f ca="1"/>
        <v>#N/A</v>
      </c>
      <c r="S337" s="55" t="e">
        <f t="shared" ca="1" si="61"/>
        <v>#N/A</v>
      </c>
      <c r="T337" s="55" t="e">
        <f t="shared" ca="1" si="55"/>
        <v>#N/A</v>
      </c>
      <c r="U337" s="55" t="e">
        <f t="shared" ca="1" si="56"/>
        <v>#N/A</v>
      </c>
      <c r="V337" s="55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3" t="e">
        <f ca="1"/>
        <v>#N/A</v>
      </c>
      <c r="AB337" s="55" t="e">
        <f t="shared" ca="1" si="63"/>
        <v>#N/A</v>
      </c>
      <c r="AC337" s="55" t="e">
        <f t="shared" ca="1" si="64"/>
        <v>#N/A</v>
      </c>
      <c r="AD337" s="55" t="e">
        <f t="shared" ca="1" si="65"/>
        <v>#N/A</v>
      </c>
      <c r="AE337" s="55" t="e">
        <f t="shared" ca="1" si="66"/>
        <v>#N/A</v>
      </c>
    </row>
    <row r="338" spans="18:31">
      <c r="R338" s="83" t="e">
        <f ca="1"/>
        <v>#N/A</v>
      </c>
      <c r="S338" s="55" t="e">
        <f t="shared" ca="1" si="61"/>
        <v>#N/A</v>
      </c>
      <c r="T338" s="55" t="e">
        <f t="shared" ref="T338:T395" ca="1" si="67">VLOOKUP(S338,ModelOutputs,2,FALSE)</f>
        <v>#N/A</v>
      </c>
      <c r="U338" s="55" t="e">
        <f t="shared" ref="U338:U395" ca="1" si="68">VLOOKUP(S338,ModelOutputs,7,FALSE)</f>
        <v>#N/A</v>
      </c>
      <c r="V338" s="55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3" t="e">
        <f ca="1"/>
        <v>#N/A</v>
      </c>
      <c r="AB338" s="55" t="e">
        <f t="shared" ca="1" si="63"/>
        <v>#N/A</v>
      </c>
      <c r="AC338" s="55" t="e">
        <f t="shared" ca="1" si="64"/>
        <v>#N/A</v>
      </c>
      <c r="AD338" s="55" t="e">
        <f t="shared" ca="1" si="65"/>
        <v>#N/A</v>
      </c>
      <c r="AE338" s="55" t="e">
        <f t="shared" ca="1" si="66"/>
        <v>#N/A</v>
      </c>
    </row>
    <row r="339" spans="18:31">
      <c r="R339" s="83" t="e">
        <f ca="1"/>
        <v>#N/A</v>
      </c>
      <c r="S339" s="55" t="e">
        <f t="shared" ref="S339:S395" ca="1" si="73">IF(R339&gt;1,R339,"")</f>
        <v>#N/A</v>
      </c>
      <c r="T339" s="55" t="e">
        <f t="shared" ca="1" si="67"/>
        <v>#N/A</v>
      </c>
      <c r="U339" s="55" t="e">
        <f t="shared" ca="1" si="68"/>
        <v>#N/A</v>
      </c>
      <c r="V339" s="55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3" t="e">
        <f ca="1"/>
        <v>#N/A</v>
      </c>
      <c r="AB339" s="55" t="e">
        <f t="shared" ca="1" si="63"/>
        <v>#N/A</v>
      </c>
      <c r="AC339" s="55" t="e">
        <f t="shared" ca="1" si="64"/>
        <v>#N/A</v>
      </c>
      <c r="AD339" s="55" t="e">
        <f t="shared" ca="1" si="65"/>
        <v>#N/A</v>
      </c>
      <c r="AE339" s="55" t="e">
        <f t="shared" ca="1" si="66"/>
        <v>#N/A</v>
      </c>
    </row>
    <row r="340" spans="18:31">
      <c r="R340" s="83" t="e">
        <f ca="1"/>
        <v>#N/A</v>
      </c>
      <c r="S340" s="55" t="e">
        <f t="shared" ca="1" si="73"/>
        <v>#N/A</v>
      </c>
      <c r="T340" s="55" t="e">
        <f t="shared" ca="1" si="67"/>
        <v>#N/A</v>
      </c>
      <c r="U340" s="55" t="e">
        <f t="shared" ca="1" si="68"/>
        <v>#N/A</v>
      </c>
      <c r="V340" s="55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3" t="e">
        <f ca="1"/>
        <v>#N/A</v>
      </c>
      <c r="AB340" s="55" t="e">
        <f t="shared" ca="1" si="63"/>
        <v>#N/A</v>
      </c>
      <c r="AC340" s="55" t="e">
        <f t="shared" ca="1" si="64"/>
        <v>#N/A</v>
      </c>
      <c r="AD340" s="55" t="e">
        <f t="shared" ca="1" si="65"/>
        <v>#N/A</v>
      </c>
      <c r="AE340" s="55" t="e">
        <f t="shared" ca="1" si="66"/>
        <v>#N/A</v>
      </c>
    </row>
    <row r="341" spans="18:31">
      <c r="R341" s="83" t="e">
        <f ca="1"/>
        <v>#N/A</v>
      </c>
      <c r="S341" s="55" t="e">
        <f t="shared" ca="1" si="73"/>
        <v>#N/A</v>
      </c>
      <c r="T341" s="55" t="e">
        <f t="shared" ca="1" si="67"/>
        <v>#N/A</v>
      </c>
      <c r="U341" s="55" t="e">
        <f t="shared" ca="1" si="68"/>
        <v>#N/A</v>
      </c>
      <c r="V341" s="55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3" t="e">
        <f ca="1"/>
        <v>#N/A</v>
      </c>
      <c r="AB341" s="55" t="e">
        <f t="shared" ref="AB341:AB395" ca="1" si="75">IF(AA341&gt;1,AA341,"")</f>
        <v>#N/A</v>
      </c>
      <c r="AC341" s="55" t="e">
        <f t="shared" ref="AC341:AC395" ca="1" si="76">VLOOKUP(AB341,ModelOutputs,2,FALSE)</f>
        <v>#N/A</v>
      </c>
      <c r="AD341" s="55" t="e">
        <f t="shared" ref="AD341:AD395" ca="1" si="77">VLOOKUP(AB341,ModelOutputs,7,FALSE)</f>
        <v>#N/A</v>
      </c>
      <c r="AE341" s="55" t="e">
        <f t="shared" ref="AE341:AE395" ca="1" si="78">VLOOKUP(AB341,ModelOutputs,6,FALSE)</f>
        <v>#N/A</v>
      </c>
    </row>
    <row r="342" spans="18:31">
      <c r="R342" s="83" t="e">
        <f ca="1"/>
        <v>#N/A</v>
      </c>
      <c r="S342" s="55" t="e">
        <f t="shared" ca="1" si="73"/>
        <v>#N/A</v>
      </c>
      <c r="T342" s="55" t="e">
        <f t="shared" ca="1" si="67"/>
        <v>#N/A</v>
      </c>
      <c r="U342" s="55" t="e">
        <f t="shared" ca="1" si="68"/>
        <v>#N/A</v>
      </c>
      <c r="V342" s="55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3" t="e">
        <f ca="1"/>
        <v>#N/A</v>
      </c>
      <c r="AB342" s="55" t="e">
        <f t="shared" ca="1" si="75"/>
        <v>#N/A</v>
      </c>
      <c r="AC342" s="55" t="e">
        <f t="shared" ca="1" si="76"/>
        <v>#N/A</v>
      </c>
      <c r="AD342" s="55" t="e">
        <f t="shared" ca="1" si="77"/>
        <v>#N/A</v>
      </c>
      <c r="AE342" s="55" t="e">
        <f t="shared" ca="1" si="78"/>
        <v>#N/A</v>
      </c>
    </row>
    <row r="343" spans="18:31">
      <c r="R343" s="83" t="e">
        <f ca="1"/>
        <v>#N/A</v>
      </c>
      <c r="S343" s="55" t="e">
        <f t="shared" ca="1" si="73"/>
        <v>#N/A</v>
      </c>
      <c r="T343" s="55" t="e">
        <f t="shared" ca="1" si="67"/>
        <v>#N/A</v>
      </c>
      <c r="U343" s="55" t="e">
        <f t="shared" ca="1" si="68"/>
        <v>#N/A</v>
      </c>
      <c r="V343" s="55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3" t="e">
        <f ca="1"/>
        <v>#N/A</v>
      </c>
      <c r="AB343" s="55" t="e">
        <f t="shared" ca="1" si="75"/>
        <v>#N/A</v>
      </c>
      <c r="AC343" s="55" t="e">
        <f t="shared" ca="1" si="76"/>
        <v>#N/A</v>
      </c>
      <c r="AD343" s="55" t="e">
        <f t="shared" ca="1" si="77"/>
        <v>#N/A</v>
      </c>
      <c r="AE343" s="55" t="e">
        <f t="shared" ca="1" si="78"/>
        <v>#N/A</v>
      </c>
    </row>
    <row r="344" spans="18:31">
      <c r="R344" s="83" t="e">
        <f ca="1"/>
        <v>#N/A</v>
      </c>
      <c r="S344" s="55" t="e">
        <f t="shared" ca="1" si="73"/>
        <v>#N/A</v>
      </c>
      <c r="T344" s="55" t="e">
        <f t="shared" ca="1" si="67"/>
        <v>#N/A</v>
      </c>
      <c r="U344" s="55" t="e">
        <f t="shared" ca="1" si="68"/>
        <v>#N/A</v>
      </c>
      <c r="V344" s="55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3" t="e">
        <f ca="1"/>
        <v>#N/A</v>
      </c>
      <c r="AB344" s="55" t="e">
        <f t="shared" ca="1" si="75"/>
        <v>#N/A</v>
      </c>
      <c r="AC344" s="55" t="e">
        <f t="shared" ca="1" si="76"/>
        <v>#N/A</v>
      </c>
      <c r="AD344" s="55" t="e">
        <f t="shared" ca="1" si="77"/>
        <v>#N/A</v>
      </c>
      <c r="AE344" s="55" t="e">
        <f t="shared" ca="1" si="78"/>
        <v>#N/A</v>
      </c>
    </row>
    <row r="345" spans="18:31">
      <c r="R345" s="83" t="e">
        <f ca="1"/>
        <v>#N/A</v>
      </c>
      <c r="S345" s="55" t="e">
        <f t="shared" ca="1" si="73"/>
        <v>#N/A</v>
      </c>
      <c r="T345" s="55" t="e">
        <f t="shared" ca="1" si="67"/>
        <v>#N/A</v>
      </c>
      <c r="U345" s="55" t="e">
        <f t="shared" ca="1" si="68"/>
        <v>#N/A</v>
      </c>
      <c r="V345" s="55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3" t="e">
        <f ca="1"/>
        <v>#N/A</v>
      </c>
      <c r="AB345" s="55" t="e">
        <f t="shared" ca="1" si="75"/>
        <v>#N/A</v>
      </c>
      <c r="AC345" s="55" t="e">
        <f t="shared" ca="1" si="76"/>
        <v>#N/A</v>
      </c>
      <c r="AD345" s="55" t="e">
        <f t="shared" ca="1" si="77"/>
        <v>#N/A</v>
      </c>
      <c r="AE345" s="55" t="e">
        <f t="shared" ca="1" si="78"/>
        <v>#N/A</v>
      </c>
    </row>
    <row r="346" spans="18:31">
      <c r="R346" s="83" t="e">
        <f ca="1"/>
        <v>#N/A</v>
      </c>
      <c r="S346" s="55" t="e">
        <f t="shared" ca="1" si="73"/>
        <v>#N/A</v>
      </c>
      <c r="T346" s="55" t="e">
        <f t="shared" ca="1" si="67"/>
        <v>#N/A</v>
      </c>
      <c r="U346" s="55" t="e">
        <f t="shared" ca="1" si="68"/>
        <v>#N/A</v>
      </c>
      <c r="V346" s="55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3" t="e">
        <f ca="1"/>
        <v>#N/A</v>
      </c>
      <c r="AB346" s="55" t="e">
        <f t="shared" ca="1" si="75"/>
        <v>#N/A</v>
      </c>
      <c r="AC346" s="55" t="e">
        <f t="shared" ca="1" si="76"/>
        <v>#N/A</v>
      </c>
      <c r="AD346" s="55" t="e">
        <f t="shared" ca="1" si="77"/>
        <v>#N/A</v>
      </c>
      <c r="AE346" s="55" t="e">
        <f t="shared" ca="1" si="78"/>
        <v>#N/A</v>
      </c>
    </row>
    <row r="347" spans="18:31">
      <c r="R347" s="83" t="e">
        <f ca="1"/>
        <v>#N/A</v>
      </c>
      <c r="S347" s="55" t="e">
        <f t="shared" ca="1" si="73"/>
        <v>#N/A</v>
      </c>
      <c r="T347" s="55" t="e">
        <f t="shared" ca="1" si="67"/>
        <v>#N/A</v>
      </c>
      <c r="U347" s="55" t="e">
        <f t="shared" ca="1" si="68"/>
        <v>#N/A</v>
      </c>
      <c r="V347" s="55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3" t="e">
        <f ca="1"/>
        <v>#N/A</v>
      </c>
      <c r="AB347" s="55" t="e">
        <f t="shared" ca="1" si="75"/>
        <v>#N/A</v>
      </c>
      <c r="AC347" s="55" t="e">
        <f t="shared" ca="1" si="76"/>
        <v>#N/A</v>
      </c>
      <c r="AD347" s="55" t="e">
        <f t="shared" ca="1" si="77"/>
        <v>#N/A</v>
      </c>
      <c r="AE347" s="55" t="e">
        <f t="shared" ca="1" si="78"/>
        <v>#N/A</v>
      </c>
    </row>
    <row r="348" spans="18:31">
      <c r="R348" s="83" t="e">
        <f ca="1"/>
        <v>#N/A</v>
      </c>
      <c r="S348" s="55" t="e">
        <f t="shared" ca="1" si="73"/>
        <v>#N/A</v>
      </c>
      <c r="T348" s="55" t="e">
        <f t="shared" ca="1" si="67"/>
        <v>#N/A</v>
      </c>
      <c r="U348" s="55" t="e">
        <f t="shared" ca="1" si="68"/>
        <v>#N/A</v>
      </c>
      <c r="V348" s="55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3" t="e">
        <f ca="1"/>
        <v>#N/A</v>
      </c>
      <c r="AB348" s="55" t="e">
        <f t="shared" ca="1" si="75"/>
        <v>#N/A</v>
      </c>
      <c r="AC348" s="55" t="e">
        <f t="shared" ca="1" si="76"/>
        <v>#N/A</v>
      </c>
      <c r="AD348" s="55" t="e">
        <f t="shared" ca="1" si="77"/>
        <v>#N/A</v>
      </c>
      <c r="AE348" s="55" t="e">
        <f t="shared" ca="1" si="78"/>
        <v>#N/A</v>
      </c>
    </row>
    <row r="349" spans="18:31">
      <c r="R349" s="83" t="e">
        <f ca="1"/>
        <v>#N/A</v>
      </c>
      <c r="S349" s="55" t="e">
        <f t="shared" ca="1" si="73"/>
        <v>#N/A</v>
      </c>
      <c r="T349" s="55" t="e">
        <f t="shared" ca="1" si="67"/>
        <v>#N/A</v>
      </c>
      <c r="U349" s="55" t="e">
        <f t="shared" ca="1" si="68"/>
        <v>#N/A</v>
      </c>
      <c r="V349" s="55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3" t="e">
        <f ca="1"/>
        <v>#N/A</v>
      </c>
      <c r="AB349" s="55" t="e">
        <f t="shared" ca="1" si="75"/>
        <v>#N/A</v>
      </c>
      <c r="AC349" s="55" t="e">
        <f t="shared" ca="1" si="76"/>
        <v>#N/A</v>
      </c>
      <c r="AD349" s="55" t="e">
        <f t="shared" ca="1" si="77"/>
        <v>#N/A</v>
      </c>
      <c r="AE349" s="55" t="e">
        <f t="shared" ca="1" si="78"/>
        <v>#N/A</v>
      </c>
    </row>
    <row r="350" spans="18:31">
      <c r="R350" s="83" t="e">
        <f ca="1"/>
        <v>#N/A</v>
      </c>
      <c r="S350" s="55" t="e">
        <f t="shared" ca="1" si="73"/>
        <v>#N/A</v>
      </c>
      <c r="T350" s="55" t="e">
        <f t="shared" ca="1" si="67"/>
        <v>#N/A</v>
      </c>
      <c r="U350" s="55" t="e">
        <f t="shared" ca="1" si="68"/>
        <v>#N/A</v>
      </c>
      <c r="V350" s="55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3" t="e">
        <f ca="1"/>
        <v>#N/A</v>
      </c>
      <c r="AB350" s="55" t="e">
        <f t="shared" ca="1" si="75"/>
        <v>#N/A</v>
      </c>
      <c r="AC350" s="55" t="e">
        <f t="shared" ca="1" si="76"/>
        <v>#N/A</v>
      </c>
      <c r="AD350" s="55" t="e">
        <f t="shared" ca="1" si="77"/>
        <v>#N/A</v>
      </c>
      <c r="AE350" s="55" t="e">
        <f t="shared" ca="1" si="78"/>
        <v>#N/A</v>
      </c>
    </row>
    <row r="351" spans="18:31">
      <c r="R351" s="83" t="e">
        <f ca="1"/>
        <v>#N/A</v>
      </c>
      <c r="S351" s="55" t="e">
        <f t="shared" ca="1" si="73"/>
        <v>#N/A</v>
      </c>
      <c r="T351" s="55" t="e">
        <f t="shared" ca="1" si="67"/>
        <v>#N/A</v>
      </c>
      <c r="U351" s="55" t="e">
        <f t="shared" ca="1" si="68"/>
        <v>#N/A</v>
      </c>
      <c r="V351" s="55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3" t="e">
        <f ca="1"/>
        <v>#N/A</v>
      </c>
      <c r="AB351" s="55" t="e">
        <f t="shared" ca="1" si="75"/>
        <v>#N/A</v>
      </c>
      <c r="AC351" s="55" t="e">
        <f t="shared" ca="1" si="76"/>
        <v>#N/A</v>
      </c>
      <c r="AD351" s="55" t="e">
        <f t="shared" ca="1" si="77"/>
        <v>#N/A</v>
      </c>
      <c r="AE351" s="55" t="e">
        <f t="shared" ca="1" si="78"/>
        <v>#N/A</v>
      </c>
    </row>
    <row r="352" spans="18:31">
      <c r="R352" s="83" t="e">
        <f ca="1"/>
        <v>#N/A</v>
      </c>
      <c r="S352" s="55" t="e">
        <f t="shared" ca="1" si="73"/>
        <v>#N/A</v>
      </c>
      <c r="T352" s="55" t="e">
        <f t="shared" ca="1" si="67"/>
        <v>#N/A</v>
      </c>
      <c r="U352" s="55" t="e">
        <f t="shared" ca="1" si="68"/>
        <v>#N/A</v>
      </c>
      <c r="V352" s="55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3" t="e">
        <f ca="1"/>
        <v>#N/A</v>
      </c>
      <c r="AB352" s="55" t="e">
        <f t="shared" ca="1" si="75"/>
        <v>#N/A</v>
      </c>
      <c r="AC352" s="55" t="e">
        <f t="shared" ca="1" si="76"/>
        <v>#N/A</v>
      </c>
      <c r="AD352" s="55" t="e">
        <f t="shared" ca="1" si="77"/>
        <v>#N/A</v>
      </c>
      <c r="AE352" s="55" t="e">
        <f t="shared" ca="1" si="78"/>
        <v>#N/A</v>
      </c>
    </row>
    <row r="353" spans="18:31">
      <c r="R353" s="83" t="e">
        <f ca="1"/>
        <v>#N/A</v>
      </c>
      <c r="S353" s="55" t="e">
        <f t="shared" ca="1" si="73"/>
        <v>#N/A</v>
      </c>
      <c r="T353" s="55" t="e">
        <f t="shared" ca="1" si="67"/>
        <v>#N/A</v>
      </c>
      <c r="U353" s="55" t="e">
        <f t="shared" ca="1" si="68"/>
        <v>#N/A</v>
      </c>
      <c r="V353" s="55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3" t="e">
        <f ca="1"/>
        <v>#N/A</v>
      </c>
      <c r="AB353" s="55" t="e">
        <f t="shared" ca="1" si="75"/>
        <v>#N/A</v>
      </c>
      <c r="AC353" s="55" t="e">
        <f t="shared" ca="1" si="76"/>
        <v>#N/A</v>
      </c>
      <c r="AD353" s="55" t="e">
        <f t="shared" ca="1" si="77"/>
        <v>#N/A</v>
      </c>
      <c r="AE353" s="55" t="e">
        <f t="shared" ca="1" si="78"/>
        <v>#N/A</v>
      </c>
    </row>
    <row r="354" spans="18:31">
      <c r="R354" s="83" t="e">
        <f ca="1"/>
        <v>#N/A</v>
      </c>
      <c r="S354" s="55" t="e">
        <f t="shared" ca="1" si="73"/>
        <v>#N/A</v>
      </c>
      <c r="T354" s="55" t="e">
        <f t="shared" ca="1" si="67"/>
        <v>#N/A</v>
      </c>
      <c r="U354" s="55" t="e">
        <f t="shared" ca="1" si="68"/>
        <v>#N/A</v>
      </c>
      <c r="V354" s="55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3" t="e">
        <f ca="1"/>
        <v>#N/A</v>
      </c>
      <c r="AB354" s="55" t="e">
        <f t="shared" ca="1" si="75"/>
        <v>#N/A</v>
      </c>
      <c r="AC354" s="55" t="e">
        <f t="shared" ca="1" si="76"/>
        <v>#N/A</v>
      </c>
      <c r="AD354" s="55" t="e">
        <f t="shared" ca="1" si="77"/>
        <v>#N/A</v>
      </c>
      <c r="AE354" s="55" t="e">
        <f t="shared" ca="1" si="78"/>
        <v>#N/A</v>
      </c>
    </row>
    <row r="355" spans="18:31">
      <c r="R355" s="83" t="e">
        <f ca="1"/>
        <v>#N/A</v>
      </c>
      <c r="S355" s="55" t="e">
        <f t="shared" ca="1" si="73"/>
        <v>#N/A</v>
      </c>
      <c r="T355" s="55" t="e">
        <f t="shared" ca="1" si="67"/>
        <v>#N/A</v>
      </c>
      <c r="U355" s="55" t="e">
        <f t="shared" ca="1" si="68"/>
        <v>#N/A</v>
      </c>
      <c r="V355" s="55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3" t="e">
        <f ca="1"/>
        <v>#N/A</v>
      </c>
      <c r="AB355" s="55" t="e">
        <f t="shared" ca="1" si="75"/>
        <v>#N/A</v>
      </c>
      <c r="AC355" s="55" t="e">
        <f t="shared" ca="1" si="76"/>
        <v>#N/A</v>
      </c>
      <c r="AD355" s="55" t="e">
        <f t="shared" ca="1" si="77"/>
        <v>#N/A</v>
      </c>
      <c r="AE355" s="55" t="e">
        <f t="shared" ca="1" si="78"/>
        <v>#N/A</v>
      </c>
    </row>
    <row r="356" spans="18:31">
      <c r="R356" s="83" t="e">
        <f ca="1"/>
        <v>#N/A</v>
      </c>
      <c r="S356" s="55" t="e">
        <f t="shared" ca="1" si="73"/>
        <v>#N/A</v>
      </c>
      <c r="T356" s="55" t="e">
        <f t="shared" ca="1" si="67"/>
        <v>#N/A</v>
      </c>
      <c r="U356" s="55" t="e">
        <f t="shared" ca="1" si="68"/>
        <v>#N/A</v>
      </c>
      <c r="V356" s="55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3" t="e">
        <f ca="1"/>
        <v>#N/A</v>
      </c>
      <c r="AB356" s="55" t="e">
        <f t="shared" ca="1" si="75"/>
        <v>#N/A</v>
      </c>
      <c r="AC356" s="55" t="e">
        <f t="shared" ca="1" si="76"/>
        <v>#N/A</v>
      </c>
      <c r="AD356" s="55" t="e">
        <f t="shared" ca="1" si="77"/>
        <v>#N/A</v>
      </c>
      <c r="AE356" s="55" t="e">
        <f t="shared" ca="1" si="78"/>
        <v>#N/A</v>
      </c>
    </row>
    <row r="357" spans="18:31">
      <c r="R357" s="83" t="e">
        <f ca="1"/>
        <v>#N/A</v>
      </c>
      <c r="S357" s="55" t="e">
        <f t="shared" ca="1" si="73"/>
        <v>#N/A</v>
      </c>
      <c r="T357" s="55" t="e">
        <f t="shared" ca="1" si="67"/>
        <v>#N/A</v>
      </c>
      <c r="U357" s="55" t="e">
        <f t="shared" ca="1" si="68"/>
        <v>#N/A</v>
      </c>
      <c r="V357" s="55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3" t="e">
        <f ca="1"/>
        <v>#N/A</v>
      </c>
      <c r="AB357" s="55" t="e">
        <f t="shared" ca="1" si="75"/>
        <v>#N/A</v>
      </c>
      <c r="AC357" s="55" t="e">
        <f t="shared" ca="1" si="76"/>
        <v>#N/A</v>
      </c>
      <c r="AD357" s="55" t="e">
        <f t="shared" ca="1" si="77"/>
        <v>#N/A</v>
      </c>
      <c r="AE357" s="55" t="e">
        <f t="shared" ca="1" si="78"/>
        <v>#N/A</v>
      </c>
    </row>
    <row r="358" spans="18:31">
      <c r="R358" s="83" t="e">
        <f ca="1"/>
        <v>#N/A</v>
      </c>
      <c r="S358" s="55" t="e">
        <f t="shared" ca="1" si="73"/>
        <v>#N/A</v>
      </c>
      <c r="T358" s="55" t="e">
        <f t="shared" ca="1" si="67"/>
        <v>#N/A</v>
      </c>
      <c r="U358" s="55" t="e">
        <f t="shared" ca="1" si="68"/>
        <v>#N/A</v>
      </c>
      <c r="V358" s="55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3" t="e">
        <f ca="1"/>
        <v>#N/A</v>
      </c>
      <c r="AB358" s="55" t="e">
        <f t="shared" ca="1" si="75"/>
        <v>#N/A</v>
      </c>
      <c r="AC358" s="55" t="e">
        <f t="shared" ca="1" si="76"/>
        <v>#N/A</v>
      </c>
      <c r="AD358" s="55" t="e">
        <f t="shared" ca="1" si="77"/>
        <v>#N/A</v>
      </c>
      <c r="AE358" s="55" t="e">
        <f t="shared" ca="1" si="78"/>
        <v>#N/A</v>
      </c>
    </row>
    <row r="359" spans="18:31">
      <c r="R359" s="83" t="e">
        <f ca="1"/>
        <v>#N/A</v>
      </c>
      <c r="S359" s="55" t="e">
        <f t="shared" ca="1" si="73"/>
        <v>#N/A</v>
      </c>
      <c r="T359" s="55" t="e">
        <f t="shared" ca="1" si="67"/>
        <v>#N/A</v>
      </c>
      <c r="U359" s="55" t="e">
        <f t="shared" ca="1" si="68"/>
        <v>#N/A</v>
      </c>
      <c r="V359" s="55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3" t="e">
        <f ca="1"/>
        <v>#N/A</v>
      </c>
      <c r="AB359" s="55" t="e">
        <f t="shared" ca="1" si="75"/>
        <v>#N/A</v>
      </c>
      <c r="AC359" s="55" t="e">
        <f t="shared" ca="1" si="76"/>
        <v>#N/A</v>
      </c>
      <c r="AD359" s="55" t="e">
        <f t="shared" ca="1" si="77"/>
        <v>#N/A</v>
      </c>
      <c r="AE359" s="55" t="e">
        <f t="shared" ca="1" si="78"/>
        <v>#N/A</v>
      </c>
    </row>
    <row r="360" spans="18:31">
      <c r="R360" s="83" t="e">
        <f ca="1"/>
        <v>#N/A</v>
      </c>
      <c r="S360" s="55" t="e">
        <f t="shared" ca="1" si="73"/>
        <v>#N/A</v>
      </c>
      <c r="T360" s="55" t="e">
        <f t="shared" ca="1" si="67"/>
        <v>#N/A</v>
      </c>
      <c r="U360" s="55" t="e">
        <f t="shared" ca="1" si="68"/>
        <v>#N/A</v>
      </c>
      <c r="V360" s="55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3" t="e">
        <f ca="1"/>
        <v>#N/A</v>
      </c>
      <c r="AB360" s="55" t="e">
        <f t="shared" ca="1" si="75"/>
        <v>#N/A</v>
      </c>
      <c r="AC360" s="55" t="e">
        <f t="shared" ca="1" si="76"/>
        <v>#N/A</v>
      </c>
      <c r="AD360" s="55" t="e">
        <f t="shared" ca="1" si="77"/>
        <v>#N/A</v>
      </c>
      <c r="AE360" s="55" t="e">
        <f t="shared" ca="1" si="78"/>
        <v>#N/A</v>
      </c>
    </row>
    <row r="361" spans="18:31">
      <c r="R361" s="83" t="e">
        <f ca="1"/>
        <v>#N/A</v>
      </c>
      <c r="S361" s="55" t="e">
        <f t="shared" ca="1" si="73"/>
        <v>#N/A</v>
      </c>
      <c r="T361" s="55" t="e">
        <f t="shared" ca="1" si="67"/>
        <v>#N/A</v>
      </c>
      <c r="U361" s="55" t="e">
        <f t="shared" ca="1" si="68"/>
        <v>#N/A</v>
      </c>
      <c r="V361" s="55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3" t="e">
        <f ca="1"/>
        <v>#N/A</v>
      </c>
      <c r="AB361" s="55" t="e">
        <f t="shared" ca="1" si="75"/>
        <v>#N/A</v>
      </c>
      <c r="AC361" s="55" t="e">
        <f t="shared" ca="1" si="76"/>
        <v>#N/A</v>
      </c>
      <c r="AD361" s="55" t="e">
        <f t="shared" ca="1" si="77"/>
        <v>#N/A</v>
      </c>
      <c r="AE361" s="55" t="e">
        <f t="shared" ca="1" si="78"/>
        <v>#N/A</v>
      </c>
    </row>
    <row r="362" spans="18:31">
      <c r="R362" s="83" t="e">
        <f ca="1"/>
        <v>#N/A</v>
      </c>
      <c r="S362" s="55" t="e">
        <f t="shared" ca="1" si="73"/>
        <v>#N/A</v>
      </c>
      <c r="T362" s="55" t="e">
        <f t="shared" ca="1" si="67"/>
        <v>#N/A</v>
      </c>
      <c r="U362" s="55" t="e">
        <f t="shared" ca="1" si="68"/>
        <v>#N/A</v>
      </c>
      <c r="V362" s="55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3" t="e">
        <f ca="1"/>
        <v>#N/A</v>
      </c>
      <c r="AB362" s="55" t="e">
        <f t="shared" ca="1" si="75"/>
        <v>#N/A</v>
      </c>
      <c r="AC362" s="55" t="e">
        <f t="shared" ca="1" si="76"/>
        <v>#N/A</v>
      </c>
      <c r="AD362" s="55" t="e">
        <f t="shared" ca="1" si="77"/>
        <v>#N/A</v>
      </c>
      <c r="AE362" s="55" t="e">
        <f t="shared" ca="1" si="78"/>
        <v>#N/A</v>
      </c>
    </row>
    <row r="363" spans="18:31">
      <c r="R363" s="83" t="e">
        <f ca="1"/>
        <v>#N/A</v>
      </c>
      <c r="S363" s="55" t="e">
        <f t="shared" ca="1" si="73"/>
        <v>#N/A</v>
      </c>
      <c r="T363" s="55" t="e">
        <f t="shared" ca="1" si="67"/>
        <v>#N/A</v>
      </c>
      <c r="U363" s="55" t="e">
        <f t="shared" ca="1" si="68"/>
        <v>#N/A</v>
      </c>
      <c r="V363" s="55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3" t="e">
        <f ca="1"/>
        <v>#N/A</v>
      </c>
      <c r="AB363" s="55" t="e">
        <f t="shared" ca="1" si="75"/>
        <v>#N/A</v>
      </c>
      <c r="AC363" s="55" t="e">
        <f t="shared" ca="1" si="76"/>
        <v>#N/A</v>
      </c>
      <c r="AD363" s="55" t="e">
        <f t="shared" ca="1" si="77"/>
        <v>#N/A</v>
      </c>
      <c r="AE363" s="55" t="e">
        <f t="shared" ca="1" si="78"/>
        <v>#N/A</v>
      </c>
    </row>
    <row r="364" spans="18:31">
      <c r="R364" s="83" t="e">
        <f ca="1"/>
        <v>#N/A</v>
      </c>
      <c r="S364" s="55" t="e">
        <f t="shared" ca="1" si="73"/>
        <v>#N/A</v>
      </c>
      <c r="T364" s="55" t="e">
        <f t="shared" ca="1" si="67"/>
        <v>#N/A</v>
      </c>
      <c r="U364" s="55" t="e">
        <f t="shared" ca="1" si="68"/>
        <v>#N/A</v>
      </c>
      <c r="V364" s="55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3" t="e">
        <f ca="1"/>
        <v>#N/A</v>
      </c>
      <c r="AB364" s="55" t="e">
        <f t="shared" ca="1" si="75"/>
        <v>#N/A</v>
      </c>
      <c r="AC364" s="55" t="e">
        <f t="shared" ca="1" si="76"/>
        <v>#N/A</v>
      </c>
      <c r="AD364" s="55" t="e">
        <f t="shared" ca="1" si="77"/>
        <v>#N/A</v>
      </c>
      <c r="AE364" s="55" t="e">
        <f t="shared" ca="1" si="78"/>
        <v>#N/A</v>
      </c>
    </row>
    <row r="365" spans="18:31">
      <c r="R365" s="83" t="e">
        <f ca="1"/>
        <v>#N/A</v>
      </c>
      <c r="S365" s="55" t="e">
        <f t="shared" ca="1" si="73"/>
        <v>#N/A</v>
      </c>
      <c r="T365" s="55" t="e">
        <f t="shared" ca="1" si="67"/>
        <v>#N/A</v>
      </c>
      <c r="U365" s="55" t="e">
        <f t="shared" ca="1" si="68"/>
        <v>#N/A</v>
      </c>
      <c r="V365" s="55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3" t="e">
        <f ca="1"/>
        <v>#N/A</v>
      </c>
      <c r="AB365" s="55" t="e">
        <f t="shared" ca="1" si="75"/>
        <v>#N/A</v>
      </c>
      <c r="AC365" s="55" t="e">
        <f t="shared" ca="1" si="76"/>
        <v>#N/A</v>
      </c>
      <c r="AD365" s="55" t="e">
        <f t="shared" ca="1" si="77"/>
        <v>#N/A</v>
      </c>
      <c r="AE365" s="55" t="e">
        <f t="shared" ca="1" si="78"/>
        <v>#N/A</v>
      </c>
    </row>
    <row r="366" spans="18:31">
      <c r="R366" s="83" t="e">
        <f ca="1"/>
        <v>#N/A</v>
      </c>
      <c r="S366" s="55" t="e">
        <f t="shared" ca="1" si="73"/>
        <v>#N/A</v>
      </c>
      <c r="T366" s="55" t="e">
        <f t="shared" ca="1" si="67"/>
        <v>#N/A</v>
      </c>
      <c r="U366" s="55" t="e">
        <f t="shared" ca="1" si="68"/>
        <v>#N/A</v>
      </c>
      <c r="V366" s="55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3" t="e">
        <f ca="1"/>
        <v>#N/A</v>
      </c>
      <c r="AB366" s="55" t="e">
        <f t="shared" ca="1" si="75"/>
        <v>#N/A</v>
      </c>
      <c r="AC366" s="55" t="e">
        <f t="shared" ca="1" si="76"/>
        <v>#N/A</v>
      </c>
      <c r="AD366" s="55" t="e">
        <f t="shared" ca="1" si="77"/>
        <v>#N/A</v>
      </c>
      <c r="AE366" s="55" t="e">
        <f t="shared" ca="1" si="78"/>
        <v>#N/A</v>
      </c>
    </row>
    <row r="367" spans="18:31">
      <c r="R367" s="83" t="e">
        <f ca="1"/>
        <v>#N/A</v>
      </c>
      <c r="S367" s="55" t="e">
        <f t="shared" ca="1" si="73"/>
        <v>#N/A</v>
      </c>
      <c r="T367" s="55" t="e">
        <f t="shared" ca="1" si="67"/>
        <v>#N/A</v>
      </c>
      <c r="U367" s="55" t="e">
        <f t="shared" ca="1" si="68"/>
        <v>#N/A</v>
      </c>
      <c r="V367" s="55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3" t="e">
        <f ca="1"/>
        <v>#N/A</v>
      </c>
      <c r="AB367" s="55" t="e">
        <f t="shared" ca="1" si="75"/>
        <v>#N/A</v>
      </c>
      <c r="AC367" s="55" t="e">
        <f t="shared" ca="1" si="76"/>
        <v>#N/A</v>
      </c>
      <c r="AD367" s="55" t="e">
        <f t="shared" ca="1" si="77"/>
        <v>#N/A</v>
      </c>
      <c r="AE367" s="55" t="e">
        <f t="shared" ca="1" si="78"/>
        <v>#N/A</v>
      </c>
    </row>
    <row r="368" spans="18:31">
      <c r="R368" s="83" t="e">
        <f ca="1"/>
        <v>#N/A</v>
      </c>
      <c r="S368" s="55" t="e">
        <f t="shared" ca="1" si="73"/>
        <v>#N/A</v>
      </c>
      <c r="T368" s="55" t="e">
        <f t="shared" ca="1" si="67"/>
        <v>#N/A</v>
      </c>
      <c r="U368" s="55" t="e">
        <f t="shared" ca="1" si="68"/>
        <v>#N/A</v>
      </c>
      <c r="V368" s="55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3" t="e">
        <f ca="1"/>
        <v>#N/A</v>
      </c>
      <c r="AB368" s="55" t="e">
        <f t="shared" ca="1" si="75"/>
        <v>#N/A</v>
      </c>
      <c r="AC368" s="55" t="e">
        <f t="shared" ca="1" si="76"/>
        <v>#N/A</v>
      </c>
      <c r="AD368" s="55" t="e">
        <f t="shared" ca="1" si="77"/>
        <v>#N/A</v>
      </c>
      <c r="AE368" s="55" t="e">
        <f t="shared" ca="1" si="78"/>
        <v>#N/A</v>
      </c>
    </row>
    <row r="369" spans="18:31">
      <c r="R369" s="83" t="e">
        <f ca="1"/>
        <v>#N/A</v>
      </c>
      <c r="S369" s="55" t="e">
        <f t="shared" ca="1" si="73"/>
        <v>#N/A</v>
      </c>
      <c r="T369" s="55" t="e">
        <f t="shared" ca="1" si="67"/>
        <v>#N/A</v>
      </c>
      <c r="U369" s="55" t="e">
        <f t="shared" ca="1" si="68"/>
        <v>#N/A</v>
      </c>
      <c r="V369" s="55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3" t="e">
        <f ca="1"/>
        <v>#N/A</v>
      </c>
      <c r="AB369" s="55" t="e">
        <f t="shared" ca="1" si="75"/>
        <v>#N/A</v>
      </c>
      <c r="AC369" s="55" t="e">
        <f t="shared" ca="1" si="76"/>
        <v>#N/A</v>
      </c>
      <c r="AD369" s="55" t="e">
        <f t="shared" ca="1" si="77"/>
        <v>#N/A</v>
      </c>
      <c r="AE369" s="55" t="e">
        <f t="shared" ca="1" si="78"/>
        <v>#N/A</v>
      </c>
    </row>
    <row r="370" spans="18:31">
      <c r="R370" s="83" t="e">
        <f ca="1"/>
        <v>#N/A</v>
      </c>
      <c r="S370" s="55" t="e">
        <f t="shared" ca="1" si="73"/>
        <v>#N/A</v>
      </c>
      <c r="T370" s="55" t="e">
        <f t="shared" ca="1" si="67"/>
        <v>#N/A</v>
      </c>
      <c r="U370" s="55" t="e">
        <f t="shared" ca="1" si="68"/>
        <v>#N/A</v>
      </c>
      <c r="V370" s="55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3" t="e">
        <f ca="1"/>
        <v>#N/A</v>
      </c>
      <c r="AB370" s="55" t="e">
        <f t="shared" ca="1" si="75"/>
        <v>#N/A</v>
      </c>
      <c r="AC370" s="55" t="e">
        <f t="shared" ca="1" si="76"/>
        <v>#N/A</v>
      </c>
      <c r="AD370" s="55" t="e">
        <f t="shared" ca="1" si="77"/>
        <v>#N/A</v>
      </c>
      <c r="AE370" s="55" t="e">
        <f t="shared" ca="1" si="78"/>
        <v>#N/A</v>
      </c>
    </row>
    <row r="371" spans="18:31">
      <c r="R371" s="83" t="e">
        <f ca="1"/>
        <v>#N/A</v>
      </c>
      <c r="S371" s="55" t="e">
        <f t="shared" ca="1" si="73"/>
        <v>#N/A</v>
      </c>
      <c r="T371" s="55" t="e">
        <f t="shared" ca="1" si="67"/>
        <v>#N/A</v>
      </c>
      <c r="U371" s="55" t="e">
        <f t="shared" ca="1" si="68"/>
        <v>#N/A</v>
      </c>
      <c r="V371" s="55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3" t="e">
        <f ca="1"/>
        <v>#N/A</v>
      </c>
      <c r="AB371" s="55" t="e">
        <f t="shared" ca="1" si="75"/>
        <v>#N/A</v>
      </c>
      <c r="AC371" s="55" t="e">
        <f t="shared" ca="1" si="76"/>
        <v>#N/A</v>
      </c>
      <c r="AD371" s="55" t="e">
        <f t="shared" ca="1" si="77"/>
        <v>#N/A</v>
      </c>
      <c r="AE371" s="55" t="e">
        <f t="shared" ca="1" si="78"/>
        <v>#N/A</v>
      </c>
    </row>
    <row r="372" spans="18:31">
      <c r="R372" s="83" t="e">
        <f ca="1"/>
        <v>#N/A</v>
      </c>
      <c r="S372" s="55" t="e">
        <f t="shared" ca="1" si="73"/>
        <v>#N/A</v>
      </c>
      <c r="T372" s="55" t="e">
        <f t="shared" ca="1" si="67"/>
        <v>#N/A</v>
      </c>
      <c r="U372" s="55" t="e">
        <f t="shared" ca="1" si="68"/>
        <v>#N/A</v>
      </c>
      <c r="V372" s="55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3" t="e">
        <f ca="1"/>
        <v>#N/A</v>
      </c>
      <c r="AB372" s="55" t="e">
        <f t="shared" ca="1" si="75"/>
        <v>#N/A</v>
      </c>
      <c r="AC372" s="55" t="e">
        <f t="shared" ca="1" si="76"/>
        <v>#N/A</v>
      </c>
      <c r="AD372" s="55" t="e">
        <f t="shared" ca="1" si="77"/>
        <v>#N/A</v>
      </c>
      <c r="AE372" s="55" t="e">
        <f t="shared" ca="1" si="78"/>
        <v>#N/A</v>
      </c>
    </row>
    <row r="373" spans="18:31">
      <c r="R373" s="83" t="e">
        <f ca="1"/>
        <v>#N/A</v>
      </c>
      <c r="S373" s="55" t="e">
        <f t="shared" ca="1" si="73"/>
        <v>#N/A</v>
      </c>
      <c r="T373" s="55" t="e">
        <f t="shared" ca="1" si="67"/>
        <v>#N/A</v>
      </c>
      <c r="U373" s="55" t="e">
        <f t="shared" ca="1" si="68"/>
        <v>#N/A</v>
      </c>
      <c r="V373" s="55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3" t="e">
        <f ca="1"/>
        <v>#N/A</v>
      </c>
      <c r="AB373" s="55" t="e">
        <f t="shared" ca="1" si="75"/>
        <v>#N/A</v>
      </c>
      <c r="AC373" s="55" t="e">
        <f t="shared" ca="1" si="76"/>
        <v>#N/A</v>
      </c>
      <c r="AD373" s="55" t="e">
        <f t="shared" ca="1" si="77"/>
        <v>#N/A</v>
      </c>
      <c r="AE373" s="55" t="e">
        <f t="shared" ca="1" si="78"/>
        <v>#N/A</v>
      </c>
    </row>
    <row r="374" spans="18:31">
      <c r="R374" s="83" t="e">
        <f ca="1"/>
        <v>#N/A</v>
      </c>
      <c r="S374" s="55" t="e">
        <f t="shared" ca="1" si="73"/>
        <v>#N/A</v>
      </c>
      <c r="T374" s="55" t="e">
        <f t="shared" ca="1" si="67"/>
        <v>#N/A</v>
      </c>
      <c r="U374" s="55" t="e">
        <f t="shared" ca="1" si="68"/>
        <v>#N/A</v>
      </c>
      <c r="V374" s="55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3" t="e">
        <f ca="1"/>
        <v>#N/A</v>
      </c>
      <c r="AB374" s="55" t="e">
        <f t="shared" ca="1" si="75"/>
        <v>#N/A</v>
      </c>
      <c r="AC374" s="55" t="e">
        <f t="shared" ca="1" si="76"/>
        <v>#N/A</v>
      </c>
      <c r="AD374" s="55" t="e">
        <f t="shared" ca="1" si="77"/>
        <v>#N/A</v>
      </c>
      <c r="AE374" s="55" t="e">
        <f t="shared" ca="1" si="78"/>
        <v>#N/A</v>
      </c>
    </row>
    <row r="375" spans="18:31">
      <c r="R375" s="83" t="e">
        <f ca="1"/>
        <v>#N/A</v>
      </c>
      <c r="S375" s="55" t="e">
        <f t="shared" ca="1" si="73"/>
        <v>#N/A</v>
      </c>
      <c r="T375" s="55" t="e">
        <f t="shared" ca="1" si="67"/>
        <v>#N/A</v>
      </c>
      <c r="U375" s="55" t="e">
        <f t="shared" ca="1" si="68"/>
        <v>#N/A</v>
      </c>
      <c r="V375" s="55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3" t="e">
        <f ca="1"/>
        <v>#N/A</v>
      </c>
      <c r="AB375" s="55" t="e">
        <f t="shared" ca="1" si="75"/>
        <v>#N/A</v>
      </c>
      <c r="AC375" s="55" t="e">
        <f t="shared" ca="1" si="76"/>
        <v>#N/A</v>
      </c>
      <c r="AD375" s="55" t="e">
        <f t="shared" ca="1" si="77"/>
        <v>#N/A</v>
      </c>
      <c r="AE375" s="55" t="e">
        <f t="shared" ca="1" si="78"/>
        <v>#N/A</v>
      </c>
    </row>
    <row r="376" spans="18:31">
      <c r="R376" s="83" t="e">
        <f ca="1"/>
        <v>#N/A</v>
      </c>
      <c r="S376" s="55" t="e">
        <f t="shared" ca="1" si="73"/>
        <v>#N/A</v>
      </c>
      <c r="T376" s="55" t="e">
        <f t="shared" ca="1" si="67"/>
        <v>#N/A</v>
      </c>
      <c r="U376" s="55" t="e">
        <f t="shared" ca="1" si="68"/>
        <v>#N/A</v>
      </c>
      <c r="V376" s="55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3" t="e">
        <f ca="1"/>
        <v>#N/A</v>
      </c>
      <c r="AB376" s="55" t="e">
        <f t="shared" ca="1" si="75"/>
        <v>#N/A</v>
      </c>
      <c r="AC376" s="55" t="e">
        <f t="shared" ca="1" si="76"/>
        <v>#N/A</v>
      </c>
      <c r="AD376" s="55" t="e">
        <f t="shared" ca="1" si="77"/>
        <v>#N/A</v>
      </c>
      <c r="AE376" s="55" t="e">
        <f t="shared" ca="1" si="78"/>
        <v>#N/A</v>
      </c>
    </row>
    <row r="377" spans="18:31">
      <c r="R377" s="83" t="e">
        <f ca="1"/>
        <v>#N/A</v>
      </c>
      <c r="S377" s="55" t="e">
        <f t="shared" ca="1" si="73"/>
        <v>#N/A</v>
      </c>
      <c r="T377" s="55" t="e">
        <f t="shared" ca="1" si="67"/>
        <v>#N/A</v>
      </c>
      <c r="U377" s="55" t="e">
        <f t="shared" ca="1" si="68"/>
        <v>#N/A</v>
      </c>
      <c r="V377" s="55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3" t="e">
        <f ca="1"/>
        <v>#N/A</v>
      </c>
      <c r="AB377" s="55" t="e">
        <f t="shared" ca="1" si="75"/>
        <v>#N/A</v>
      </c>
      <c r="AC377" s="55" t="e">
        <f t="shared" ca="1" si="76"/>
        <v>#N/A</v>
      </c>
      <c r="AD377" s="55" t="e">
        <f t="shared" ca="1" si="77"/>
        <v>#N/A</v>
      </c>
      <c r="AE377" s="55" t="e">
        <f t="shared" ca="1" si="78"/>
        <v>#N/A</v>
      </c>
    </row>
    <row r="378" spans="18:31">
      <c r="R378" s="83" t="e">
        <f ca="1"/>
        <v>#N/A</v>
      </c>
      <c r="S378" s="55" t="e">
        <f t="shared" ca="1" si="73"/>
        <v>#N/A</v>
      </c>
      <c r="T378" s="55" t="e">
        <f t="shared" ca="1" si="67"/>
        <v>#N/A</v>
      </c>
      <c r="U378" s="55" t="e">
        <f t="shared" ca="1" si="68"/>
        <v>#N/A</v>
      </c>
      <c r="V378" s="55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3" t="e">
        <f ca="1"/>
        <v>#N/A</v>
      </c>
      <c r="AB378" s="55" t="e">
        <f t="shared" ca="1" si="75"/>
        <v>#N/A</v>
      </c>
      <c r="AC378" s="55" t="e">
        <f t="shared" ca="1" si="76"/>
        <v>#N/A</v>
      </c>
      <c r="AD378" s="55" t="e">
        <f t="shared" ca="1" si="77"/>
        <v>#N/A</v>
      </c>
      <c r="AE378" s="55" t="e">
        <f t="shared" ca="1" si="78"/>
        <v>#N/A</v>
      </c>
    </row>
    <row r="379" spans="18:31">
      <c r="R379" s="83" t="e">
        <f ca="1"/>
        <v>#N/A</v>
      </c>
      <c r="S379" s="55" t="e">
        <f t="shared" ca="1" si="73"/>
        <v>#N/A</v>
      </c>
      <c r="T379" s="55" t="e">
        <f t="shared" ca="1" si="67"/>
        <v>#N/A</v>
      </c>
      <c r="U379" s="55" t="e">
        <f t="shared" ca="1" si="68"/>
        <v>#N/A</v>
      </c>
      <c r="V379" s="55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3" t="e">
        <f ca="1"/>
        <v>#N/A</v>
      </c>
      <c r="AB379" s="55" t="e">
        <f t="shared" ca="1" si="75"/>
        <v>#N/A</v>
      </c>
      <c r="AC379" s="55" t="e">
        <f t="shared" ca="1" si="76"/>
        <v>#N/A</v>
      </c>
      <c r="AD379" s="55" t="e">
        <f t="shared" ca="1" si="77"/>
        <v>#N/A</v>
      </c>
      <c r="AE379" s="55" t="e">
        <f t="shared" ca="1" si="78"/>
        <v>#N/A</v>
      </c>
    </row>
    <row r="380" spans="18:31">
      <c r="R380" s="83" t="e">
        <f ca="1"/>
        <v>#N/A</v>
      </c>
      <c r="S380" s="55" t="e">
        <f t="shared" ca="1" si="73"/>
        <v>#N/A</v>
      </c>
      <c r="T380" s="55" t="e">
        <f t="shared" ca="1" si="67"/>
        <v>#N/A</v>
      </c>
      <c r="U380" s="55" t="e">
        <f t="shared" ca="1" si="68"/>
        <v>#N/A</v>
      </c>
      <c r="V380" s="55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3" t="e">
        <f ca="1"/>
        <v>#N/A</v>
      </c>
      <c r="AB380" s="55" t="e">
        <f t="shared" ca="1" si="75"/>
        <v>#N/A</v>
      </c>
      <c r="AC380" s="55" t="e">
        <f t="shared" ca="1" si="76"/>
        <v>#N/A</v>
      </c>
      <c r="AD380" s="55" t="e">
        <f t="shared" ca="1" si="77"/>
        <v>#N/A</v>
      </c>
      <c r="AE380" s="55" t="e">
        <f t="shared" ca="1" si="78"/>
        <v>#N/A</v>
      </c>
    </row>
    <row r="381" spans="18:31">
      <c r="R381" s="83" t="e">
        <f ca="1"/>
        <v>#N/A</v>
      </c>
      <c r="S381" s="55" t="e">
        <f t="shared" ca="1" si="73"/>
        <v>#N/A</v>
      </c>
      <c r="T381" s="55" t="e">
        <f t="shared" ca="1" si="67"/>
        <v>#N/A</v>
      </c>
      <c r="U381" s="55" t="e">
        <f t="shared" ca="1" si="68"/>
        <v>#N/A</v>
      </c>
      <c r="V381" s="55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3" t="e">
        <f ca="1"/>
        <v>#N/A</v>
      </c>
      <c r="AB381" s="55" t="e">
        <f t="shared" ca="1" si="75"/>
        <v>#N/A</v>
      </c>
      <c r="AC381" s="55" t="e">
        <f t="shared" ca="1" si="76"/>
        <v>#N/A</v>
      </c>
      <c r="AD381" s="55" t="e">
        <f t="shared" ca="1" si="77"/>
        <v>#N/A</v>
      </c>
      <c r="AE381" s="55" t="e">
        <f t="shared" ca="1" si="78"/>
        <v>#N/A</v>
      </c>
    </row>
    <row r="382" spans="18:31">
      <c r="R382" s="83" t="e">
        <f ca="1"/>
        <v>#N/A</v>
      </c>
      <c r="S382" s="55" t="e">
        <f t="shared" ca="1" si="73"/>
        <v>#N/A</v>
      </c>
      <c r="T382" s="55" t="e">
        <f t="shared" ca="1" si="67"/>
        <v>#N/A</v>
      </c>
      <c r="U382" s="55" t="e">
        <f t="shared" ca="1" si="68"/>
        <v>#N/A</v>
      </c>
      <c r="V382" s="55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3" t="e">
        <f ca="1"/>
        <v>#N/A</v>
      </c>
      <c r="AB382" s="55" t="e">
        <f t="shared" ca="1" si="75"/>
        <v>#N/A</v>
      </c>
      <c r="AC382" s="55" t="e">
        <f t="shared" ca="1" si="76"/>
        <v>#N/A</v>
      </c>
      <c r="AD382" s="55" t="e">
        <f t="shared" ca="1" si="77"/>
        <v>#N/A</v>
      </c>
      <c r="AE382" s="55" t="e">
        <f t="shared" ca="1" si="78"/>
        <v>#N/A</v>
      </c>
    </row>
    <row r="383" spans="18:31">
      <c r="R383" s="83" t="e">
        <f ca="1"/>
        <v>#N/A</v>
      </c>
      <c r="S383" s="55" t="e">
        <f t="shared" ca="1" si="73"/>
        <v>#N/A</v>
      </c>
      <c r="T383" s="55" t="e">
        <f t="shared" ca="1" si="67"/>
        <v>#N/A</v>
      </c>
      <c r="U383" s="55" t="e">
        <f t="shared" ca="1" si="68"/>
        <v>#N/A</v>
      </c>
      <c r="V383" s="55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3" t="e">
        <f ca="1"/>
        <v>#N/A</v>
      </c>
      <c r="AB383" s="55" t="e">
        <f t="shared" ca="1" si="75"/>
        <v>#N/A</v>
      </c>
      <c r="AC383" s="55" t="e">
        <f t="shared" ca="1" si="76"/>
        <v>#N/A</v>
      </c>
      <c r="AD383" s="55" t="e">
        <f t="shared" ca="1" si="77"/>
        <v>#N/A</v>
      </c>
      <c r="AE383" s="55" t="e">
        <f t="shared" ca="1" si="78"/>
        <v>#N/A</v>
      </c>
    </row>
    <row r="384" spans="18:31">
      <c r="R384" s="83" t="e">
        <f ca="1"/>
        <v>#N/A</v>
      </c>
      <c r="S384" s="55" t="e">
        <f t="shared" ca="1" si="73"/>
        <v>#N/A</v>
      </c>
      <c r="T384" s="55" t="e">
        <f t="shared" ca="1" si="67"/>
        <v>#N/A</v>
      </c>
      <c r="U384" s="55" t="e">
        <f t="shared" ca="1" si="68"/>
        <v>#N/A</v>
      </c>
      <c r="V384" s="55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3" t="e">
        <f ca="1"/>
        <v>#N/A</v>
      </c>
      <c r="AB384" s="55" t="e">
        <f t="shared" ca="1" si="75"/>
        <v>#N/A</v>
      </c>
      <c r="AC384" s="55" t="e">
        <f t="shared" ca="1" si="76"/>
        <v>#N/A</v>
      </c>
      <c r="AD384" s="55" t="e">
        <f t="shared" ca="1" si="77"/>
        <v>#N/A</v>
      </c>
      <c r="AE384" s="55" t="e">
        <f t="shared" ca="1" si="78"/>
        <v>#N/A</v>
      </c>
    </row>
    <row r="385" spans="18:31">
      <c r="R385" s="83" t="e">
        <f ca="1"/>
        <v>#N/A</v>
      </c>
      <c r="S385" s="55" t="e">
        <f t="shared" ca="1" si="73"/>
        <v>#N/A</v>
      </c>
      <c r="T385" s="55" t="e">
        <f t="shared" ca="1" si="67"/>
        <v>#N/A</v>
      </c>
      <c r="U385" s="55" t="e">
        <f t="shared" ca="1" si="68"/>
        <v>#N/A</v>
      </c>
      <c r="V385" s="55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3" t="e">
        <f ca="1"/>
        <v>#N/A</v>
      </c>
      <c r="AB385" s="55" t="e">
        <f t="shared" ca="1" si="75"/>
        <v>#N/A</v>
      </c>
      <c r="AC385" s="55" t="e">
        <f t="shared" ca="1" si="76"/>
        <v>#N/A</v>
      </c>
      <c r="AD385" s="55" t="e">
        <f t="shared" ca="1" si="77"/>
        <v>#N/A</v>
      </c>
      <c r="AE385" s="55" t="e">
        <f t="shared" ca="1" si="78"/>
        <v>#N/A</v>
      </c>
    </row>
    <row r="386" spans="18:31">
      <c r="R386" s="83" t="e">
        <f ca="1"/>
        <v>#N/A</v>
      </c>
      <c r="S386" s="55" t="e">
        <f t="shared" ca="1" si="73"/>
        <v>#N/A</v>
      </c>
      <c r="T386" s="55" t="e">
        <f t="shared" ca="1" si="67"/>
        <v>#N/A</v>
      </c>
      <c r="U386" s="55" t="e">
        <f t="shared" ca="1" si="68"/>
        <v>#N/A</v>
      </c>
      <c r="V386" s="55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3" t="e">
        <f ca="1"/>
        <v>#N/A</v>
      </c>
      <c r="AB386" s="55" t="e">
        <f t="shared" ca="1" si="75"/>
        <v>#N/A</v>
      </c>
      <c r="AC386" s="55" t="e">
        <f t="shared" ca="1" si="76"/>
        <v>#N/A</v>
      </c>
      <c r="AD386" s="55" t="e">
        <f t="shared" ca="1" si="77"/>
        <v>#N/A</v>
      </c>
      <c r="AE386" s="55" t="e">
        <f t="shared" ca="1" si="78"/>
        <v>#N/A</v>
      </c>
    </row>
    <row r="387" spans="18:31">
      <c r="R387" s="83" t="e">
        <f ca="1"/>
        <v>#N/A</v>
      </c>
      <c r="S387" s="55" t="e">
        <f t="shared" ca="1" si="73"/>
        <v>#N/A</v>
      </c>
      <c r="T387" s="55" t="e">
        <f t="shared" ca="1" si="67"/>
        <v>#N/A</v>
      </c>
      <c r="U387" s="55" t="e">
        <f t="shared" ca="1" si="68"/>
        <v>#N/A</v>
      </c>
      <c r="V387" s="55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3" t="e">
        <f ca="1"/>
        <v>#N/A</v>
      </c>
      <c r="AB387" s="55" t="e">
        <f t="shared" ca="1" si="75"/>
        <v>#N/A</v>
      </c>
      <c r="AC387" s="55" t="e">
        <f t="shared" ca="1" si="76"/>
        <v>#N/A</v>
      </c>
      <c r="AD387" s="55" t="e">
        <f t="shared" ca="1" si="77"/>
        <v>#N/A</v>
      </c>
      <c r="AE387" s="55" t="e">
        <f t="shared" ca="1" si="78"/>
        <v>#N/A</v>
      </c>
    </row>
    <row r="388" spans="18:31">
      <c r="R388" s="83" t="e">
        <f ca="1"/>
        <v>#N/A</v>
      </c>
      <c r="S388" s="55" t="e">
        <f t="shared" ca="1" si="73"/>
        <v>#N/A</v>
      </c>
      <c r="T388" s="55" t="e">
        <f t="shared" ca="1" si="67"/>
        <v>#N/A</v>
      </c>
      <c r="U388" s="55" t="e">
        <f t="shared" ca="1" si="68"/>
        <v>#N/A</v>
      </c>
      <c r="V388" s="55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3" t="e">
        <f ca="1"/>
        <v>#N/A</v>
      </c>
      <c r="AB388" s="55" t="e">
        <f t="shared" ca="1" si="75"/>
        <v>#N/A</v>
      </c>
      <c r="AC388" s="55" t="e">
        <f t="shared" ca="1" si="76"/>
        <v>#N/A</v>
      </c>
      <c r="AD388" s="55" t="e">
        <f t="shared" ca="1" si="77"/>
        <v>#N/A</v>
      </c>
      <c r="AE388" s="55" t="e">
        <f t="shared" ca="1" si="78"/>
        <v>#N/A</v>
      </c>
    </row>
    <row r="389" spans="18:31">
      <c r="R389" s="83" t="e">
        <f ca="1"/>
        <v>#N/A</v>
      </c>
      <c r="S389" s="55" t="e">
        <f t="shared" ca="1" si="73"/>
        <v>#N/A</v>
      </c>
      <c r="T389" s="55" t="e">
        <f t="shared" ca="1" si="67"/>
        <v>#N/A</v>
      </c>
      <c r="U389" s="55" t="e">
        <f t="shared" ca="1" si="68"/>
        <v>#N/A</v>
      </c>
      <c r="V389" s="55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3" t="e">
        <f ca="1"/>
        <v>#N/A</v>
      </c>
      <c r="AB389" s="55" t="e">
        <f t="shared" ca="1" si="75"/>
        <v>#N/A</v>
      </c>
      <c r="AC389" s="55" t="e">
        <f t="shared" ca="1" si="76"/>
        <v>#N/A</v>
      </c>
      <c r="AD389" s="55" t="e">
        <f t="shared" ca="1" si="77"/>
        <v>#N/A</v>
      </c>
      <c r="AE389" s="55" t="e">
        <f t="shared" ca="1" si="78"/>
        <v>#N/A</v>
      </c>
    </row>
    <row r="390" spans="18:31">
      <c r="R390" s="83" t="e">
        <f ca="1"/>
        <v>#N/A</v>
      </c>
      <c r="S390" s="55" t="e">
        <f t="shared" ca="1" si="73"/>
        <v>#N/A</v>
      </c>
      <c r="T390" s="55" t="e">
        <f t="shared" ca="1" si="67"/>
        <v>#N/A</v>
      </c>
      <c r="U390" s="55" t="e">
        <f t="shared" ca="1" si="68"/>
        <v>#N/A</v>
      </c>
      <c r="V390" s="55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3" t="e">
        <f ca="1"/>
        <v>#N/A</v>
      </c>
      <c r="AB390" s="55" t="e">
        <f t="shared" ca="1" si="75"/>
        <v>#N/A</v>
      </c>
      <c r="AC390" s="55" t="e">
        <f t="shared" ca="1" si="76"/>
        <v>#N/A</v>
      </c>
      <c r="AD390" s="55" t="e">
        <f t="shared" ca="1" si="77"/>
        <v>#N/A</v>
      </c>
      <c r="AE390" s="55" t="e">
        <f t="shared" ca="1" si="78"/>
        <v>#N/A</v>
      </c>
    </row>
    <row r="391" spans="18:31">
      <c r="R391" s="83" t="e">
        <f ca="1"/>
        <v>#N/A</v>
      </c>
      <c r="S391" s="55" t="e">
        <f t="shared" ca="1" si="73"/>
        <v>#N/A</v>
      </c>
      <c r="T391" s="55" t="e">
        <f t="shared" ca="1" si="67"/>
        <v>#N/A</v>
      </c>
      <c r="U391" s="55" t="e">
        <f t="shared" ca="1" si="68"/>
        <v>#N/A</v>
      </c>
      <c r="V391" s="55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3" t="e">
        <f ca="1"/>
        <v>#N/A</v>
      </c>
      <c r="AB391" s="55" t="e">
        <f t="shared" ca="1" si="75"/>
        <v>#N/A</v>
      </c>
      <c r="AC391" s="55" t="e">
        <f t="shared" ca="1" si="76"/>
        <v>#N/A</v>
      </c>
      <c r="AD391" s="55" t="e">
        <f t="shared" ca="1" si="77"/>
        <v>#N/A</v>
      </c>
      <c r="AE391" s="55" t="e">
        <f t="shared" ca="1" si="78"/>
        <v>#N/A</v>
      </c>
    </row>
    <row r="392" spans="18:31">
      <c r="R392" s="83" t="e">
        <f ca="1"/>
        <v>#N/A</v>
      </c>
      <c r="S392" s="55" t="e">
        <f t="shared" ca="1" si="73"/>
        <v>#N/A</v>
      </c>
      <c r="T392" s="55" t="e">
        <f t="shared" ca="1" si="67"/>
        <v>#N/A</v>
      </c>
      <c r="U392" s="55" t="e">
        <f t="shared" ca="1" si="68"/>
        <v>#N/A</v>
      </c>
      <c r="V392" s="55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3" t="e">
        <f ca="1"/>
        <v>#N/A</v>
      </c>
      <c r="AB392" s="55" t="e">
        <f t="shared" ca="1" si="75"/>
        <v>#N/A</v>
      </c>
      <c r="AC392" s="55" t="e">
        <f t="shared" ca="1" si="76"/>
        <v>#N/A</v>
      </c>
      <c r="AD392" s="55" t="e">
        <f t="shared" ca="1" si="77"/>
        <v>#N/A</v>
      </c>
      <c r="AE392" s="55" t="e">
        <f t="shared" ca="1" si="78"/>
        <v>#N/A</v>
      </c>
    </row>
    <row r="393" spans="18:31">
      <c r="R393" s="83" t="e">
        <f ca="1"/>
        <v>#N/A</v>
      </c>
      <c r="S393" s="55" t="e">
        <f t="shared" ca="1" si="73"/>
        <v>#N/A</v>
      </c>
      <c r="T393" s="55" t="e">
        <f t="shared" ca="1" si="67"/>
        <v>#N/A</v>
      </c>
      <c r="U393" s="55" t="e">
        <f t="shared" ca="1" si="68"/>
        <v>#N/A</v>
      </c>
      <c r="V393" s="55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3" t="e">
        <f ca="1"/>
        <v>#N/A</v>
      </c>
      <c r="AB393" s="55" t="e">
        <f t="shared" ca="1" si="75"/>
        <v>#N/A</v>
      </c>
      <c r="AC393" s="55" t="e">
        <f t="shared" ca="1" si="76"/>
        <v>#N/A</v>
      </c>
      <c r="AD393" s="55" t="e">
        <f t="shared" ca="1" si="77"/>
        <v>#N/A</v>
      </c>
      <c r="AE393" s="55" t="e">
        <f t="shared" ca="1" si="78"/>
        <v>#N/A</v>
      </c>
    </row>
    <row r="394" spans="18:31">
      <c r="R394" s="83" t="e">
        <f ca="1"/>
        <v>#N/A</v>
      </c>
      <c r="S394" s="55" t="e">
        <f t="shared" ca="1" si="73"/>
        <v>#N/A</v>
      </c>
      <c r="T394" s="55" t="e">
        <f t="shared" ca="1" si="67"/>
        <v>#N/A</v>
      </c>
      <c r="U394" s="55" t="e">
        <f t="shared" ca="1" si="68"/>
        <v>#N/A</v>
      </c>
      <c r="V394" s="55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3" t="e">
        <f ca="1"/>
        <v>#N/A</v>
      </c>
      <c r="AB394" s="55" t="e">
        <f t="shared" ca="1" si="75"/>
        <v>#N/A</v>
      </c>
      <c r="AC394" s="55" t="e">
        <f t="shared" ca="1" si="76"/>
        <v>#N/A</v>
      </c>
      <c r="AD394" s="55" t="e">
        <f t="shared" ca="1" si="77"/>
        <v>#N/A</v>
      </c>
      <c r="AE394" s="55" t="e">
        <f t="shared" ca="1" si="78"/>
        <v>#N/A</v>
      </c>
    </row>
    <row r="395" spans="18:31">
      <c r="R395" s="83" t="e">
        <f ca="1"/>
        <v>#N/A</v>
      </c>
      <c r="S395" s="55" t="e">
        <f t="shared" ca="1" si="73"/>
        <v>#N/A</v>
      </c>
      <c r="T395" s="55" t="e">
        <f t="shared" ca="1" si="67"/>
        <v>#N/A</v>
      </c>
      <c r="U395" s="55" t="e">
        <f t="shared" ca="1" si="68"/>
        <v>#N/A</v>
      </c>
      <c r="V395" s="55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3" t="e">
        <f ca="1"/>
        <v>#N/A</v>
      </c>
      <c r="AB395" s="55" t="e">
        <f t="shared" ca="1" si="75"/>
        <v>#N/A</v>
      </c>
      <c r="AC395" s="55" t="e">
        <f t="shared" ca="1" si="76"/>
        <v>#N/A</v>
      </c>
      <c r="AD395" s="55" t="e">
        <f t="shared" ca="1" si="77"/>
        <v>#N/A</v>
      </c>
      <c r="AE395" s="55" t="e">
        <f t="shared" ca="1" si="78"/>
        <v>#N/A</v>
      </c>
    </row>
    <row r="396" spans="18:31">
      <c r="R396" s="55" t="e">
        <f ca="1"/>
        <v>#N/A</v>
      </c>
      <c r="S396" s="55" t="e">
        <f t="shared" ref="S396:S459" ca="1" si="79">IF(R396&gt;1,R396,"")</f>
        <v>#N/A</v>
      </c>
      <c r="T396" s="55" t="e">
        <f t="shared" ref="T396:T459" ca="1" si="80">VLOOKUP(S396,ModelOutputs,2,FALSE)</f>
        <v>#N/A</v>
      </c>
      <c r="U396" s="55" t="e">
        <f t="shared" ref="U396:U459" ca="1" si="81">VLOOKUP(S396,ModelOutputs,7,FALSE)</f>
        <v>#N/A</v>
      </c>
      <c r="V396" s="55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3" t="e">
        <f ca="1"/>
        <v>#N/A</v>
      </c>
      <c r="AB396" s="55" t="e">
        <f t="shared" ref="AB396:AB459" ca="1" si="87">IF(AA396&gt;1,AA396,"")</f>
        <v>#N/A</v>
      </c>
      <c r="AC396" s="55" t="e">
        <f t="shared" ref="AC396:AC459" ca="1" si="88">VLOOKUP(AB396,ModelOutputs,2,FALSE)</f>
        <v>#N/A</v>
      </c>
      <c r="AD396" s="55" t="e">
        <f t="shared" ref="AD396:AD459" ca="1" si="89">VLOOKUP(AB396,ModelOutputs,7,FALSE)</f>
        <v>#N/A</v>
      </c>
      <c r="AE396" s="55" t="e">
        <f t="shared" ref="AE396:AE459" ca="1" si="90">VLOOKUP(AB396,ModelOutputs,6,FALSE)</f>
        <v>#N/A</v>
      </c>
    </row>
    <row r="397" spans="18:31">
      <c r="R397" s="55" t="e">
        <f ca="1"/>
        <v>#N/A</v>
      </c>
      <c r="S397" s="55" t="e">
        <f t="shared" ca="1" si="79"/>
        <v>#N/A</v>
      </c>
      <c r="T397" s="55" t="e">
        <f t="shared" ca="1" si="80"/>
        <v>#N/A</v>
      </c>
      <c r="U397" s="55" t="e">
        <f t="shared" ca="1" si="81"/>
        <v>#N/A</v>
      </c>
      <c r="V397" s="55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3" t="e">
        <f ca="1"/>
        <v>#N/A</v>
      </c>
      <c r="AB397" s="55" t="e">
        <f t="shared" ca="1" si="87"/>
        <v>#N/A</v>
      </c>
      <c r="AC397" s="55" t="e">
        <f t="shared" ca="1" si="88"/>
        <v>#N/A</v>
      </c>
      <c r="AD397" s="55" t="e">
        <f t="shared" ca="1" si="89"/>
        <v>#N/A</v>
      </c>
      <c r="AE397" s="55" t="e">
        <f t="shared" ca="1" si="90"/>
        <v>#N/A</v>
      </c>
    </row>
    <row r="398" spans="18:31">
      <c r="R398" s="55" t="e">
        <f ca="1"/>
        <v>#N/A</v>
      </c>
      <c r="S398" s="55" t="e">
        <f t="shared" ca="1" si="79"/>
        <v>#N/A</v>
      </c>
      <c r="T398" s="55" t="e">
        <f t="shared" ca="1" si="80"/>
        <v>#N/A</v>
      </c>
      <c r="U398" s="55" t="e">
        <f t="shared" ca="1" si="81"/>
        <v>#N/A</v>
      </c>
      <c r="V398" s="55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3" t="e">
        <f ca="1"/>
        <v>#N/A</v>
      </c>
      <c r="AB398" s="55" t="e">
        <f t="shared" ca="1" si="87"/>
        <v>#N/A</v>
      </c>
      <c r="AC398" s="55" t="e">
        <f t="shared" ca="1" si="88"/>
        <v>#N/A</v>
      </c>
      <c r="AD398" s="55" t="e">
        <f t="shared" ca="1" si="89"/>
        <v>#N/A</v>
      </c>
      <c r="AE398" s="55" t="e">
        <f t="shared" ca="1" si="90"/>
        <v>#N/A</v>
      </c>
    </row>
    <row r="399" spans="18:31">
      <c r="R399" s="55" t="e">
        <f ca="1"/>
        <v>#N/A</v>
      </c>
      <c r="S399" s="55" t="e">
        <f t="shared" ca="1" si="79"/>
        <v>#N/A</v>
      </c>
      <c r="T399" s="55" t="e">
        <f t="shared" ca="1" si="80"/>
        <v>#N/A</v>
      </c>
      <c r="U399" s="55" t="e">
        <f t="shared" ca="1" si="81"/>
        <v>#N/A</v>
      </c>
      <c r="V399" s="55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3" t="e">
        <f ca="1"/>
        <v>#N/A</v>
      </c>
      <c r="AB399" s="55" t="e">
        <f t="shared" ca="1" si="87"/>
        <v>#N/A</v>
      </c>
      <c r="AC399" s="55" t="e">
        <f t="shared" ca="1" si="88"/>
        <v>#N/A</v>
      </c>
      <c r="AD399" s="55" t="e">
        <f t="shared" ca="1" si="89"/>
        <v>#N/A</v>
      </c>
      <c r="AE399" s="55" t="e">
        <f t="shared" ca="1" si="90"/>
        <v>#N/A</v>
      </c>
    </row>
    <row r="400" spans="18:31">
      <c r="R400" s="55" t="e">
        <f ca="1"/>
        <v>#N/A</v>
      </c>
      <c r="S400" s="55" t="e">
        <f t="shared" ca="1" si="79"/>
        <v>#N/A</v>
      </c>
      <c r="T400" s="55" t="e">
        <f t="shared" ca="1" si="80"/>
        <v>#N/A</v>
      </c>
      <c r="U400" s="55" t="e">
        <f t="shared" ca="1" si="81"/>
        <v>#N/A</v>
      </c>
      <c r="V400" s="55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3" t="e">
        <f ca="1"/>
        <v>#N/A</v>
      </c>
      <c r="AB400" s="55" t="e">
        <f t="shared" ca="1" si="87"/>
        <v>#N/A</v>
      </c>
      <c r="AC400" s="55" t="e">
        <f t="shared" ca="1" si="88"/>
        <v>#N/A</v>
      </c>
      <c r="AD400" s="55" t="e">
        <f t="shared" ca="1" si="89"/>
        <v>#N/A</v>
      </c>
      <c r="AE400" s="55" t="e">
        <f t="shared" ca="1" si="90"/>
        <v>#N/A</v>
      </c>
    </row>
    <row r="401" spans="18:31">
      <c r="R401" s="55" t="e">
        <f ca="1"/>
        <v>#N/A</v>
      </c>
      <c r="S401" s="55" t="e">
        <f t="shared" ca="1" si="79"/>
        <v>#N/A</v>
      </c>
      <c r="T401" s="55" t="e">
        <f t="shared" ca="1" si="80"/>
        <v>#N/A</v>
      </c>
      <c r="U401" s="55" t="e">
        <f t="shared" ca="1" si="81"/>
        <v>#N/A</v>
      </c>
      <c r="V401" s="55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3" t="e">
        <f ca="1"/>
        <v>#N/A</v>
      </c>
      <c r="AB401" s="55" t="e">
        <f t="shared" ca="1" si="87"/>
        <v>#N/A</v>
      </c>
      <c r="AC401" s="55" t="e">
        <f t="shared" ca="1" si="88"/>
        <v>#N/A</v>
      </c>
      <c r="AD401" s="55" t="e">
        <f t="shared" ca="1" si="89"/>
        <v>#N/A</v>
      </c>
      <c r="AE401" s="55" t="e">
        <f t="shared" ca="1" si="90"/>
        <v>#N/A</v>
      </c>
    </row>
    <row r="402" spans="18:31">
      <c r="R402" s="55" t="e">
        <f ca="1"/>
        <v>#N/A</v>
      </c>
      <c r="S402" s="55" t="e">
        <f t="shared" ca="1" si="79"/>
        <v>#N/A</v>
      </c>
      <c r="T402" s="55" t="e">
        <f t="shared" ca="1" si="80"/>
        <v>#N/A</v>
      </c>
      <c r="U402" s="55" t="e">
        <f t="shared" ca="1" si="81"/>
        <v>#N/A</v>
      </c>
      <c r="V402" s="55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3" t="e">
        <f ca="1"/>
        <v>#N/A</v>
      </c>
      <c r="AB402" s="55" t="e">
        <f t="shared" ca="1" si="87"/>
        <v>#N/A</v>
      </c>
      <c r="AC402" s="55" t="e">
        <f t="shared" ca="1" si="88"/>
        <v>#N/A</v>
      </c>
      <c r="AD402" s="55" t="e">
        <f t="shared" ca="1" si="89"/>
        <v>#N/A</v>
      </c>
      <c r="AE402" s="55" t="e">
        <f t="shared" ca="1" si="90"/>
        <v>#N/A</v>
      </c>
    </row>
    <row r="403" spans="18:31">
      <c r="R403" s="55" t="e">
        <f ca="1"/>
        <v>#N/A</v>
      </c>
      <c r="S403" s="55" t="e">
        <f t="shared" ca="1" si="79"/>
        <v>#N/A</v>
      </c>
      <c r="T403" s="55" t="e">
        <f t="shared" ca="1" si="80"/>
        <v>#N/A</v>
      </c>
      <c r="U403" s="55" t="e">
        <f t="shared" ca="1" si="81"/>
        <v>#N/A</v>
      </c>
      <c r="V403" s="55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3" t="e">
        <f ca="1"/>
        <v>#N/A</v>
      </c>
      <c r="AB403" s="55" t="e">
        <f t="shared" ca="1" si="87"/>
        <v>#N/A</v>
      </c>
      <c r="AC403" s="55" t="e">
        <f t="shared" ca="1" si="88"/>
        <v>#N/A</v>
      </c>
      <c r="AD403" s="55" t="e">
        <f t="shared" ca="1" si="89"/>
        <v>#N/A</v>
      </c>
      <c r="AE403" s="55" t="e">
        <f t="shared" ca="1" si="90"/>
        <v>#N/A</v>
      </c>
    </row>
    <row r="404" spans="18:31">
      <c r="R404" s="55" t="e">
        <f ca="1"/>
        <v>#N/A</v>
      </c>
      <c r="S404" s="55" t="e">
        <f t="shared" ca="1" si="79"/>
        <v>#N/A</v>
      </c>
      <c r="T404" s="55" t="e">
        <f t="shared" ca="1" si="80"/>
        <v>#N/A</v>
      </c>
      <c r="U404" s="55" t="e">
        <f t="shared" ca="1" si="81"/>
        <v>#N/A</v>
      </c>
      <c r="V404" s="55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3" t="e">
        <f ca="1"/>
        <v>#N/A</v>
      </c>
      <c r="AB404" s="55" t="e">
        <f t="shared" ca="1" si="87"/>
        <v>#N/A</v>
      </c>
      <c r="AC404" s="55" t="e">
        <f t="shared" ca="1" si="88"/>
        <v>#N/A</v>
      </c>
      <c r="AD404" s="55" t="e">
        <f t="shared" ca="1" si="89"/>
        <v>#N/A</v>
      </c>
      <c r="AE404" s="55" t="e">
        <f t="shared" ca="1" si="90"/>
        <v>#N/A</v>
      </c>
    </row>
    <row r="405" spans="18:31">
      <c r="R405" s="55" t="e">
        <f ca="1"/>
        <v>#N/A</v>
      </c>
      <c r="S405" s="55" t="e">
        <f t="shared" ca="1" si="79"/>
        <v>#N/A</v>
      </c>
      <c r="T405" s="55" t="e">
        <f t="shared" ca="1" si="80"/>
        <v>#N/A</v>
      </c>
      <c r="U405" s="55" t="e">
        <f t="shared" ca="1" si="81"/>
        <v>#N/A</v>
      </c>
      <c r="V405" s="55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3" t="e">
        <f ca="1"/>
        <v>#N/A</v>
      </c>
      <c r="AB405" s="55" t="e">
        <f t="shared" ca="1" si="87"/>
        <v>#N/A</v>
      </c>
      <c r="AC405" s="55" t="e">
        <f t="shared" ca="1" si="88"/>
        <v>#N/A</v>
      </c>
      <c r="AD405" s="55" t="e">
        <f t="shared" ca="1" si="89"/>
        <v>#N/A</v>
      </c>
      <c r="AE405" s="55" t="e">
        <f t="shared" ca="1" si="90"/>
        <v>#N/A</v>
      </c>
    </row>
    <row r="406" spans="18:31">
      <c r="R406" s="55" t="e">
        <f ca="1"/>
        <v>#N/A</v>
      </c>
      <c r="S406" s="55" t="e">
        <f t="shared" ca="1" si="79"/>
        <v>#N/A</v>
      </c>
      <c r="T406" s="55" t="e">
        <f t="shared" ca="1" si="80"/>
        <v>#N/A</v>
      </c>
      <c r="U406" s="55" t="e">
        <f t="shared" ca="1" si="81"/>
        <v>#N/A</v>
      </c>
      <c r="V406" s="55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3" t="e">
        <f ca="1"/>
        <v>#N/A</v>
      </c>
      <c r="AB406" s="55" t="e">
        <f t="shared" ca="1" si="87"/>
        <v>#N/A</v>
      </c>
      <c r="AC406" s="55" t="e">
        <f t="shared" ca="1" si="88"/>
        <v>#N/A</v>
      </c>
      <c r="AD406" s="55" t="e">
        <f t="shared" ca="1" si="89"/>
        <v>#N/A</v>
      </c>
      <c r="AE406" s="55" t="e">
        <f t="shared" ca="1" si="90"/>
        <v>#N/A</v>
      </c>
    </row>
    <row r="407" spans="18:31">
      <c r="R407" s="55" t="e">
        <f ca="1"/>
        <v>#N/A</v>
      </c>
      <c r="S407" s="55" t="e">
        <f t="shared" ca="1" si="79"/>
        <v>#N/A</v>
      </c>
      <c r="T407" s="55" t="e">
        <f t="shared" ca="1" si="80"/>
        <v>#N/A</v>
      </c>
      <c r="U407" s="55" t="e">
        <f t="shared" ca="1" si="81"/>
        <v>#N/A</v>
      </c>
      <c r="V407" s="55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3" t="e">
        <f ca="1"/>
        <v>#N/A</v>
      </c>
      <c r="AB407" s="55" t="e">
        <f t="shared" ca="1" si="87"/>
        <v>#N/A</v>
      </c>
      <c r="AC407" s="55" t="e">
        <f t="shared" ca="1" si="88"/>
        <v>#N/A</v>
      </c>
      <c r="AD407" s="55" t="e">
        <f t="shared" ca="1" si="89"/>
        <v>#N/A</v>
      </c>
      <c r="AE407" s="55" t="e">
        <f t="shared" ca="1" si="90"/>
        <v>#N/A</v>
      </c>
    </row>
    <row r="408" spans="18:31">
      <c r="R408" s="55" t="e">
        <f ca="1"/>
        <v>#N/A</v>
      </c>
      <c r="S408" s="55" t="e">
        <f t="shared" ca="1" si="79"/>
        <v>#N/A</v>
      </c>
      <c r="T408" s="55" t="e">
        <f t="shared" ca="1" si="80"/>
        <v>#N/A</v>
      </c>
      <c r="U408" s="55" t="e">
        <f t="shared" ca="1" si="81"/>
        <v>#N/A</v>
      </c>
      <c r="V408" s="55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3" t="e">
        <f ca="1"/>
        <v>#N/A</v>
      </c>
      <c r="AB408" s="55" t="e">
        <f t="shared" ca="1" si="87"/>
        <v>#N/A</v>
      </c>
      <c r="AC408" s="55" t="e">
        <f t="shared" ca="1" si="88"/>
        <v>#N/A</v>
      </c>
      <c r="AD408" s="55" t="e">
        <f t="shared" ca="1" si="89"/>
        <v>#N/A</v>
      </c>
      <c r="AE408" s="55" t="e">
        <f t="shared" ca="1" si="90"/>
        <v>#N/A</v>
      </c>
    </row>
    <row r="409" spans="18:31">
      <c r="R409" s="55" t="e">
        <f ca="1"/>
        <v>#N/A</v>
      </c>
      <c r="S409" s="55" t="e">
        <f t="shared" ca="1" si="79"/>
        <v>#N/A</v>
      </c>
      <c r="T409" s="55" t="e">
        <f t="shared" ca="1" si="80"/>
        <v>#N/A</v>
      </c>
      <c r="U409" s="55" t="e">
        <f t="shared" ca="1" si="81"/>
        <v>#N/A</v>
      </c>
      <c r="V409" s="55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3" t="e">
        <f ca="1"/>
        <v>#N/A</v>
      </c>
      <c r="AB409" s="55" t="e">
        <f t="shared" ca="1" si="87"/>
        <v>#N/A</v>
      </c>
      <c r="AC409" s="55" t="e">
        <f t="shared" ca="1" si="88"/>
        <v>#N/A</v>
      </c>
      <c r="AD409" s="55" t="e">
        <f t="shared" ca="1" si="89"/>
        <v>#N/A</v>
      </c>
      <c r="AE409" s="55" t="e">
        <f t="shared" ca="1" si="90"/>
        <v>#N/A</v>
      </c>
    </row>
    <row r="410" spans="18:31">
      <c r="R410" s="55" t="e">
        <f ca="1"/>
        <v>#N/A</v>
      </c>
      <c r="S410" s="55" t="e">
        <f t="shared" ca="1" si="79"/>
        <v>#N/A</v>
      </c>
      <c r="T410" s="55" t="e">
        <f t="shared" ca="1" si="80"/>
        <v>#N/A</v>
      </c>
      <c r="U410" s="55" t="e">
        <f t="shared" ca="1" si="81"/>
        <v>#N/A</v>
      </c>
      <c r="V410" s="55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3" t="e">
        <f ca="1"/>
        <v>#N/A</v>
      </c>
      <c r="AB410" s="55" t="e">
        <f t="shared" ca="1" si="87"/>
        <v>#N/A</v>
      </c>
      <c r="AC410" s="55" t="e">
        <f t="shared" ca="1" si="88"/>
        <v>#N/A</v>
      </c>
      <c r="AD410" s="55" t="e">
        <f t="shared" ca="1" si="89"/>
        <v>#N/A</v>
      </c>
      <c r="AE410" s="55" t="e">
        <f t="shared" ca="1" si="90"/>
        <v>#N/A</v>
      </c>
    </row>
    <row r="411" spans="18:31">
      <c r="R411" s="55" t="e">
        <f ca="1"/>
        <v>#N/A</v>
      </c>
      <c r="S411" s="55" t="e">
        <f t="shared" ca="1" si="79"/>
        <v>#N/A</v>
      </c>
      <c r="T411" s="55" t="e">
        <f t="shared" ca="1" si="80"/>
        <v>#N/A</v>
      </c>
      <c r="U411" s="55" t="e">
        <f t="shared" ca="1" si="81"/>
        <v>#N/A</v>
      </c>
      <c r="V411" s="55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3" t="e">
        <f ca="1"/>
        <v>#N/A</v>
      </c>
      <c r="AB411" s="55" t="e">
        <f t="shared" ca="1" si="87"/>
        <v>#N/A</v>
      </c>
      <c r="AC411" s="55" t="e">
        <f t="shared" ca="1" si="88"/>
        <v>#N/A</v>
      </c>
      <c r="AD411" s="55" t="e">
        <f t="shared" ca="1" si="89"/>
        <v>#N/A</v>
      </c>
      <c r="AE411" s="55" t="e">
        <f t="shared" ca="1" si="90"/>
        <v>#N/A</v>
      </c>
    </row>
    <row r="412" spans="18:31">
      <c r="R412" s="55" t="e">
        <f ca="1"/>
        <v>#N/A</v>
      </c>
      <c r="S412" s="55" t="e">
        <f t="shared" ca="1" si="79"/>
        <v>#N/A</v>
      </c>
      <c r="T412" s="55" t="e">
        <f t="shared" ca="1" si="80"/>
        <v>#N/A</v>
      </c>
      <c r="U412" s="55" t="e">
        <f t="shared" ca="1" si="81"/>
        <v>#N/A</v>
      </c>
      <c r="V412" s="55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3" t="e">
        <f ca="1"/>
        <v>#N/A</v>
      </c>
      <c r="AB412" s="55" t="e">
        <f t="shared" ca="1" si="87"/>
        <v>#N/A</v>
      </c>
      <c r="AC412" s="55" t="e">
        <f t="shared" ca="1" si="88"/>
        <v>#N/A</v>
      </c>
      <c r="AD412" s="55" t="e">
        <f t="shared" ca="1" si="89"/>
        <v>#N/A</v>
      </c>
      <c r="AE412" s="55" t="e">
        <f t="shared" ca="1" si="90"/>
        <v>#N/A</v>
      </c>
    </row>
    <row r="413" spans="18:31">
      <c r="R413" s="55" t="e">
        <f ca="1"/>
        <v>#N/A</v>
      </c>
      <c r="S413" s="55" t="e">
        <f t="shared" ca="1" si="79"/>
        <v>#N/A</v>
      </c>
      <c r="T413" s="55" t="e">
        <f t="shared" ca="1" si="80"/>
        <v>#N/A</v>
      </c>
      <c r="U413" s="55" t="e">
        <f t="shared" ca="1" si="81"/>
        <v>#N/A</v>
      </c>
      <c r="V413" s="55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3" t="e">
        <f ca="1"/>
        <v>#N/A</v>
      </c>
      <c r="AB413" s="55" t="e">
        <f t="shared" ca="1" si="87"/>
        <v>#N/A</v>
      </c>
      <c r="AC413" s="55" t="e">
        <f t="shared" ca="1" si="88"/>
        <v>#N/A</v>
      </c>
      <c r="AD413" s="55" t="e">
        <f t="shared" ca="1" si="89"/>
        <v>#N/A</v>
      </c>
      <c r="AE413" s="55" t="e">
        <f t="shared" ca="1" si="90"/>
        <v>#N/A</v>
      </c>
    </row>
    <row r="414" spans="18:31">
      <c r="R414" s="55" t="e">
        <f ca="1"/>
        <v>#N/A</v>
      </c>
      <c r="S414" s="55" t="e">
        <f t="shared" ca="1" si="79"/>
        <v>#N/A</v>
      </c>
      <c r="T414" s="55" t="e">
        <f t="shared" ca="1" si="80"/>
        <v>#N/A</v>
      </c>
      <c r="U414" s="55" t="e">
        <f t="shared" ca="1" si="81"/>
        <v>#N/A</v>
      </c>
      <c r="V414" s="55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3" t="e">
        <f ca="1"/>
        <v>#N/A</v>
      </c>
      <c r="AB414" s="55" t="e">
        <f t="shared" ca="1" si="87"/>
        <v>#N/A</v>
      </c>
      <c r="AC414" s="55" t="e">
        <f t="shared" ca="1" si="88"/>
        <v>#N/A</v>
      </c>
      <c r="AD414" s="55" t="e">
        <f t="shared" ca="1" si="89"/>
        <v>#N/A</v>
      </c>
      <c r="AE414" s="55" t="e">
        <f t="shared" ca="1" si="90"/>
        <v>#N/A</v>
      </c>
    </row>
    <row r="415" spans="18:31">
      <c r="R415" s="55" t="e">
        <f ca="1"/>
        <v>#N/A</v>
      </c>
      <c r="S415" s="55" t="e">
        <f t="shared" ca="1" si="79"/>
        <v>#N/A</v>
      </c>
      <c r="T415" s="55" t="e">
        <f t="shared" ca="1" si="80"/>
        <v>#N/A</v>
      </c>
      <c r="U415" s="55" t="e">
        <f t="shared" ca="1" si="81"/>
        <v>#N/A</v>
      </c>
      <c r="V415" s="55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3" t="e">
        <f ca="1"/>
        <v>#N/A</v>
      </c>
      <c r="AB415" s="55" t="e">
        <f t="shared" ca="1" si="87"/>
        <v>#N/A</v>
      </c>
      <c r="AC415" s="55" t="e">
        <f t="shared" ca="1" si="88"/>
        <v>#N/A</v>
      </c>
      <c r="AD415" s="55" t="e">
        <f t="shared" ca="1" si="89"/>
        <v>#N/A</v>
      </c>
      <c r="AE415" s="55" t="e">
        <f t="shared" ca="1" si="90"/>
        <v>#N/A</v>
      </c>
    </row>
    <row r="416" spans="18:31">
      <c r="R416" s="55" t="e">
        <f ca="1"/>
        <v>#N/A</v>
      </c>
      <c r="S416" s="55" t="e">
        <f t="shared" ca="1" si="79"/>
        <v>#N/A</v>
      </c>
      <c r="T416" s="55" t="e">
        <f t="shared" ca="1" si="80"/>
        <v>#N/A</v>
      </c>
      <c r="U416" s="55" t="e">
        <f t="shared" ca="1" si="81"/>
        <v>#N/A</v>
      </c>
      <c r="V416" s="55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3" t="e">
        <f ca="1"/>
        <v>#N/A</v>
      </c>
      <c r="AB416" s="55" t="e">
        <f t="shared" ca="1" si="87"/>
        <v>#N/A</v>
      </c>
      <c r="AC416" s="55" t="e">
        <f t="shared" ca="1" si="88"/>
        <v>#N/A</v>
      </c>
      <c r="AD416" s="55" t="e">
        <f t="shared" ca="1" si="89"/>
        <v>#N/A</v>
      </c>
      <c r="AE416" s="55" t="e">
        <f t="shared" ca="1" si="90"/>
        <v>#N/A</v>
      </c>
    </row>
    <row r="417" spans="18:31">
      <c r="R417" s="55" t="e">
        <f ca="1"/>
        <v>#N/A</v>
      </c>
      <c r="S417" s="55" t="e">
        <f t="shared" ca="1" si="79"/>
        <v>#N/A</v>
      </c>
      <c r="T417" s="55" t="e">
        <f t="shared" ca="1" si="80"/>
        <v>#N/A</v>
      </c>
      <c r="U417" s="55" t="e">
        <f t="shared" ca="1" si="81"/>
        <v>#N/A</v>
      </c>
      <c r="V417" s="55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3" t="e">
        <f ca="1"/>
        <v>#N/A</v>
      </c>
      <c r="AB417" s="55" t="e">
        <f t="shared" ca="1" si="87"/>
        <v>#N/A</v>
      </c>
      <c r="AC417" s="55" t="e">
        <f t="shared" ca="1" si="88"/>
        <v>#N/A</v>
      </c>
      <c r="AD417" s="55" t="e">
        <f t="shared" ca="1" si="89"/>
        <v>#N/A</v>
      </c>
      <c r="AE417" s="55" t="e">
        <f t="shared" ca="1" si="90"/>
        <v>#N/A</v>
      </c>
    </row>
    <row r="418" spans="18:31">
      <c r="R418" s="55" t="e">
        <f ca="1"/>
        <v>#N/A</v>
      </c>
      <c r="S418" s="55" t="e">
        <f t="shared" ca="1" si="79"/>
        <v>#N/A</v>
      </c>
      <c r="T418" s="55" t="e">
        <f t="shared" ca="1" si="80"/>
        <v>#N/A</v>
      </c>
      <c r="U418" s="55" t="e">
        <f t="shared" ca="1" si="81"/>
        <v>#N/A</v>
      </c>
      <c r="V418" s="55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3" t="e">
        <f ca="1"/>
        <v>#N/A</v>
      </c>
      <c r="AB418" s="55" t="e">
        <f t="shared" ca="1" si="87"/>
        <v>#N/A</v>
      </c>
      <c r="AC418" s="55" t="e">
        <f t="shared" ca="1" si="88"/>
        <v>#N/A</v>
      </c>
      <c r="AD418" s="55" t="e">
        <f t="shared" ca="1" si="89"/>
        <v>#N/A</v>
      </c>
      <c r="AE418" s="55" t="e">
        <f t="shared" ca="1" si="90"/>
        <v>#N/A</v>
      </c>
    </row>
    <row r="419" spans="18:31">
      <c r="R419" s="55" t="e">
        <f ca="1"/>
        <v>#N/A</v>
      </c>
      <c r="S419" s="55" t="e">
        <f t="shared" ca="1" si="79"/>
        <v>#N/A</v>
      </c>
      <c r="T419" s="55" t="e">
        <f t="shared" ca="1" si="80"/>
        <v>#N/A</v>
      </c>
      <c r="U419" s="55" t="e">
        <f t="shared" ca="1" si="81"/>
        <v>#N/A</v>
      </c>
      <c r="V419" s="55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3" t="e">
        <f ca="1"/>
        <v>#N/A</v>
      </c>
      <c r="AB419" s="55" t="e">
        <f t="shared" ca="1" si="87"/>
        <v>#N/A</v>
      </c>
      <c r="AC419" s="55" t="e">
        <f t="shared" ca="1" si="88"/>
        <v>#N/A</v>
      </c>
      <c r="AD419" s="55" t="e">
        <f t="shared" ca="1" si="89"/>
        <v>#N/A</v>
      </c>
      <c r="AE419" s="55" t="e">
        <f t="shared" ca="1" si="90"/>
        <v>#N/A</v>
      </c>
    </row>
    <row r="420" spans="18:31">
      <c r="R420" s="55" t="e">
        <f ca="1"/>
        <v>#N/A</v>
      </c>
      <c r="S420" s="55" t="e">
        <f t="shared" ca="1" si="79"/>
        <v>#N/A</v>
      </c>
      <c r="T420" s="55" t="e">
        <f t="shared" ca="1" si="80"/>
        <v>#N/A</v>
      </c>
      <c r="U420" s="55" t="e">
        <f t="shared" ca="1" si="81"/>
        <v>#N/A</v>
      </c>
      <c r="V420" s="55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3" t="e">
        <f ca="1"/>
        <v>#N/A</v>
      </c>
      <c r="AB420" s="55" t="e">
        <f t="shared" ca="1" si="87"/>
        <v>#N/A</v>
      </c>
      <c r="AC420" s="55" t="e">
        <f t="shared" ca="1" si="88"/>
        <v>#N/A</v>
      </c>
      <c r="AD420" s="55" t="e">
        <f t="shared" ca="1" si="89"/>
        <v>#N/A</v>
      </c>
      <c r="AE420" s="55" t="e">
        <f t="shared" ca="1" si="90"/>
        <v>#N/A</v>
      </c>
    </row>
    <row r="421" spans="18:31">
      <c r="R421" s="55" t="e">
        <f ca="1"/>
        <v>#N/A</v>
      </c>
      <c r="S421" s="55" t="e">
        <f t="shared" ca="1" si="79"/>
        <v>#N/A</v>
      </c>
      <c r="T421" s="55" t="e">
        <f t="shared" ca="1" si="80"/>
        <v>#N/A</v>
      </c>
      <c r="U421" s="55" t="e">
        <f t="shared" ca="1" si="81"/>
        <v>#N/A</v>
      </c>
      <c r="V421" s="55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3" t="e">
        <f ca="1"/>
        <v>#N/A</v>
      </c>
      <c r="AB421" s="55" t="e">
        <f t="shared" ca="1" si="87"/>
        <v>#N/A</v>
      </c>
      <c r="AC421" s="55" t="e">
        <f t="shared" ca="1" si="88"/>
        <v>#N/A</v>
      </c>
      <c r="AD421" s="55" t="e">
        <f t="shared" ca="1" si="89"/>
        <v>#N/A</v>
      </c>
      <c r="AE421" s="55" t="e">
        <f t="shared" ca="1" si="90"/>
        <v>#N/A</v>
      </c>
    </row>
    <row r="422" spans="18:31">
      <c r="R422" s="55" t="e">
        <f ca="1"/>
        <v>#N/A</v>
      </c>
      <c r="S422" s="55" t="e">
        <f t="shared" ca="1" si="79"/>
        <v>#N/A</v>
      </c>
      <c r="T422" s="55" t="e">
        <f t="shared" ca="1" si="80"/>
        <v>#N/A</v>
      </c>
      <c r="U422" s="55" t="e">
        <f t="shared" ca="1" si="81"/>
        <v>#N/A</v>
      </c>
      <c r="V422" s="55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3" t="e">
        <f ca="1"/>
        <v>#N/A</v>
      </c>
      <c r="AB422" s="55" t="e">
        <f t="shared" ca="1" si="87"/>
        <v>#N/A</v>
      </c>
      <c r="AC422" s="55" t="e">
        <f t="shared" ca="1" si="88"/>
        <v>#N/A</v>
      </c>
      <c r="AD422" s="55" t="e">
        <f t="shared" ca="1" si="89"/>
        <v>#N/A</v>
      </c>
      <c r="AE422" s="55" t="e">
        <f t="shared" ca="1" si="90"/>
        <v>#N/A</v>
      </c>
    </row>
    <row r="423" spans="18:31">
      <c r="R423" s="55" t="e">
        <f ca="1"/>
        <v>#N/A</v>
      </c>
      <c r="S423" s="55" t="e">
        <f t="shared" ca="1" si="79"/>
        <v>#N/A</v>
      </c>
      <c r="T423" s="55" t="e">
        <f t="shared" ca="1" si="80"/>
        <v>#N/A</v>
      </c>
      <c r="U423" s="55" t="e">
        <f t="shared" ca="1" si="81"/>
        <v>#N/A</v>
      </c>
      <c r="V423" s="55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3" t="e">
        <f ca="1"/>
        <v>#N/A</v>
      </c>
      <c r="AB423" s="55" t="e">
        <f t="shared" ca="1" si="87"/>
        <v>#N/A</v>
      </c>
      <c r="AC423" s="55" t="e">
        <f t="shared" ca="1" si="88"/>
        <v>#N/A</v>
      </c>
      <c r="AD423" s="55" t="e">
        <f t="shared" ca="1" si="89"/>
        <v>#N/A</v>
      </c>
      <c r="AE423" s="55" t="e">
        <f t="shared" ca="1" si="90"/>
        <v>#N/A</v>
      </c>
    </row>
    <row r="424" spans="18:31">
      <c r="R424" s="55" t="e">
        <f ca="1"/>
        <v>#N/A</v>
      </c>
      <c r="S424" s="55" t="e">
        <f t="shared" ca="1" si="79"/>
        <v>#N/A</v>
      </c>
      <c r="T424" s="55" t="e">
        <f t="shared" ca="1" si="80"/>
        <v>#N/A</v>
      </c>
      <c r="U424" s="55" t="e">
        <f t="shared" ca="1" si="81"/>
        <v>#N/A</v>
      </c>
      <c r="V424" s="55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3" t="e">
        <f ca="1"/>
        <v>#N/A</v>
      </c>
      <c r="AB424" s="55" t="e">
        <f t="shared" ca="1" si="87"/>
        <v>#N/A</v>
      </c>
      <c r="AC424" s="55" t="e">
        <f t="shared" ca="1" si="88"/>
        <v>#N/A</v>
      </c>
      <c r="AD424" s="55" t="e">
        <f t="shared" ca="1" si="89"/>
        <v>#N/A</v>
      </c>
      <c r="AE424" s="55" t="e">
        <f t="shared" ca="1" si="90"/>
        <v>#N/A</v>
      </c>
    </row>
    <row r="425" spans="18:31">
      <c r="R425" s="55" t="e">
        <f ca="1"/>
        <v>#N/A</v>
      </c>
      <c r="S425" s="55" t="e">
        <f t="shared" ca="1" si="79"/>
        <v>#N/A</v>
      </c>
      <c r="T425" s="55" t="e">
        <f t="shared" ca="1" si="80"/>
        <v>#N/A</v>
      </c>
      <c r="U425" s="55" t="e">
        <f t="shared" ca="1" si="81"/>
        <v>#N/A</v>
      </c>
      <c r="V425" s="55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3" t="e">
        <f ca="1"/>
        <v>#N/A</v>
      </c>
      <c r="AB425" s="55" t="e">
        <f t="shared" ca="1" si="87"/>
        <v>#N/A</v>
      </c>
      <c r="AC425" s="55" t="e">
        <f t="shared" ca="1" si="88"/>
        <v>#N/A</v>
      </c>
      <c r="AD425" s="55" t="e">
        <f t="shared" ca="1" si="89"/>
        <v>#N/A</v>
      </c>
      <c r="AE425" s="55" t="e">
        <f t="shared" ca="1" si="90"/>
        <v>#N/A</v>
      </c>
    </row>
    <row r="426" spans="18:31">
      <c r="R426" s="55" t="e">
        <f ca="1"/>
        <v>#N/A</v>
      </c>
      <c r="S426" s="55" t="e">
        <f t="shared" ca="1" si="79"/>
        <v>#N/A</v>
      </c>
      <c r="T426" s="55" t="e">
        <f t="shared" ca="1" si="80"/>
        <v>#N/A</v>
      </c>
      <c r="U426" s="55" t="e">
        <f t="shared" ca="1" si="81"/>
        <v>#N/A</v>
      </c>
      <c r="V426" s="55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3" t="e">
        <f ca="1"/>
        <v>#N/A</v>
      </c>
      <c r="AB426" s="55" t="e">
        <f t="shared" ca="1" si="87"/>
        <v>#N/A</v>
      </c>
      <c r="AC426" s="55" t="e">
        <f t="shared" ca="1" si="88"/>
        <v>#N/A</v>
      </c>
      <c r="AD426" s="55" t="e">
        <f t="shared" ca="1" si="89"/>
        <v>#N/A</v>
      </c>
      <c r="AE426" s="55" t="e">
        <f t="shared" ca="1" si="90"/>
        <v>#N/A</v>
      </c>
    </row>
    <row r="427" spans="18:31">
      <c r="R427" s="55" t="e">
        <f ca="1"/>
        <v>#N/A</v>
      </c>
      <c r="S427" s="55" t="e">
        <f t="shared" ca="1" si="79"/>
        <v>#N/A</v>
      </c>
      <c r="T427" s="55" t="e">
        <f t="shared" ca="1" si="80"/>
        <v>#N/A</v>
      </c>
      <c r="U427" s="55" t="e">
        <f t="shared" ca="1" si="81"/>
        <v>#N/A</v>
      </c>
      <c r="V427" s="55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3" t="e">
        <f ca="1"/>
        <v>#N/A</v>
      </c>
      <c r="AB427" s="55" t="e">
        <f t="shared" ca="1" si="87"/>
        <v>#N/A</v>
      </c>
      <c r="AC427" s="55" t="e">
        <f t="shared" ca="1" si="88"/>
        <v>#N/A</v>
      </c>
      <c r="AD427" s="55" t="e">
        <f t="shared" ca="1" si="89"/>
        <v>#N/A</v>
      </c>
      <c r="AE427" s="55" t="e">
        <f t="shared" ca="1" si="90"/>
        <v>#N/A</v>
      </c>
    </row>
    <row r="428" spans="18:31">
      <c r="R428" s="55" t="e">
        <f ca="1"/>
        <v>#N/A</v>
      </c>
      <c r="S428" s="55" t="e">
        <f t="shared" ca="1" si="79"/>
        <v>#N/A</v>
      </c>
      <c r="T428" s="55" t="e">
        <f t="shared" ca="1" si="80"/>
        <v>#N/A</v>
      </c>
      <c r="U428" s="55" t="e">
        <f t="shared" ca="1" si="81"/>
        <v>#N/A</v>
      </c>
      <c r="V428" s="55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3" t="e">
        <f ca="1"/>
        <v>#N/A</v>
      </c>
      <c r="AB428" s="55" t="e">
        <f t="shared" ca="1" si="87"/>
        <v>#N/A</v>
      </c>
      <c r="AC428" s="55" t="e">
        <f t="shared" ca="1" si="88"/>
        <v>#N/A</v>
      </c>
      <c r="AD428" s="55" t="e">
        <f t="shared" ca="1" si="89"/>
        <v>#N/A</v>
      </c>
      <c r="AE428" s="55" t="e">
        <f t="shared" ca="1" si="90"/>
        <v>#N/A</v>
      </c>
    </row>
    <row r="429" spans="18:31">
      <c r="R429" s="55" t="e">
        <f ca="1"/>
        <v>#N/A</v>
      </c>
      <c r="S429" s="55" t="e">
        <f t="shared" ca="1" si="79"/>
        <v>#N/A</v>
      </c>
      <c r="T429" s="55" t="e">
        <f t="shared" ca="1" si="80"/>
        <v>#N/A</v>
      </c>
      <c r="U429" s="55" t="e">
        <f t="shared" ca="1" si="81"/>
        <v>#N/A</v>
      </c>
      <c r="V429" s="55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3" t="e">
        <f ca="1"/>
        <v>#N/A</v>
      </c>
      <c r="AB429" s="55" t="e">
        <f t="shared" ca="1" si="87"/>
        <v>#N/A</v>
      </c>
      <c r="AC429" s="55" t="e">
        <f t="shared" ca="1" si="88"/>
        <v>#N/A</v>
      </c>
      <c r="AD429" s="55" t="e">
        <f t="shared" ca="1" si="89"/>
        <v>#N/A</v>
      </c>
      <c r="AE429" s="55" t="e">
        <f t="shared" ca="1" si="90"/>
        <v>#N/A</v>
      </c>
    </row>
    <row r="430" spans="18:31">
      <c r="R430" s="55" t="e">
        <f ca="1"/>
        <v>#N/A</v>
      </c>
      <c r="S430" s="55" t="e">
        <f t="shared" ca="1" si="79"/>
        <v>#N/A</v>
      </c>
      <c r="T430" s="55" t="e">
        <f t="shared" ca="1" si="80"/>
        <v>#N/A</v>
      </c>
      <c r="U430" s="55" t="e">
        <f t="shared" ca="1" si="81"/>
        <v>#N/A</v>
      </c>
      <c r="V430" s="55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3" t="e">
        <f ca="1"/>
        <v>#N/A</v>
      </c>
      <c r="AB430" s="55" t="e">
        <f t="shared" ca="1" si="87"/>
        <v>#N/A</v>
      </c>
      <c r="AC430" s="55" t="e">
        <f t="shared" ca="1" si="88"/>
        <v>#N/A</v>
      </c>
      <c r="AD430" s="55" t="e">
        <f t="shared" ca="1" si="89"/>
        <v>#N/A</v>
      </c>
      <c r="AE430" s="55" t="e">
        <f t="shared" ca="1" si="90"/>
        <v>#N/A</v>
      </c>
    </row>
    <row r="431" spans="18:31">
      <c r="R431" s="55" t="e">
        <f ca="1"/>
        <v>#N/A</v>
      </c>
      <c r="S431" s="55" t="e">
        <f t="shared" ca="1" si="79"/>
        <v>#N/A</v>
      </c>
      <c r="T431" s="55" t="e">
        <f t="shared" ca="1" si="80"/>
        <v>#N/A</v>
      </c>
      <c r="U431" s="55" t="e">
        <f t="shared" ca="1" si="81"/>
        <v>#N/A</v>
      </c>
      <c r="V431" s="55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3" t="e">
        <f ca="1"/>
        <v>#N/A</v>
      </c>
      <c r="AB431" s="55" t="e">
        <f t="shared" ca="1" si="87"/>
        <v>#N/A</v>
      </c>
      <c r="AC431" s="55" t="e">
        <f t="shared" ca="1" si="88"/>
        <v>#N/A</v>
      </c>
      <c r="AD431" s="55" t="e">
        <f t="shared" ca="1" si="89"/>
        <v>#N/A</v>
      </c>
      <c r="AE431" s="55" t="e">
        <f t="shared" ca="1" si="90"/>
        <v>#N/A</v>
      </c>
    </row>
    <row r="432" spans="18:31">
      <c r="R432" s="55" t="e">
        <f ca="1"/>
        <v>#N/A</v>
      </c>
      <c r="S432" s="55" t="e">
        <f t="shared" ca="1" si="79"/>
        <v>#N/A</v>
      </c>
      <c r="T432" s="55" t="e">
        <f t="shared" ca="1" si="80"/>
        <v>#N/A</v>
      </c>
      <c r="U432" s="55" t="e">
        <f t="shared" ca="1" si="81"/>
        <v>#N/A</v>
      </c>
      <c r="V432" s="55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3" t="e">
        <f ca="1"/>
        <v>#N/A</v>
      </c>
      <c r="AB432" s="55" t="e">
        <f t="shared" ca="1" si="87"/>
        <v>#N/A</v>
      </c>
      <c r="AC432" s="55" t="e">
        <f t="shared" ca="1" si="88"/>
        <v>#N/A</v>
      </c>
      <c r="AD432" s="55" t="e">
        <f t="shared" ca="1" si="89"/>
        <v>#N/A</v>
      </c>
      <c r="AE432" s="55" t="e">
        <f t="shared" ca="1" si="90"/>
        <v>#N/A</v>
      </c>
    </row>
    <row r="433" spans="18:31">
      <c r="R433" s="55" t="e">
        <f ca="1"/>
        <v>#N/A</v>
      </c>
      <c r="S433" s="55" t="e">
        <f t="shared" ca="1" si="79"/>
        <v>#N/A</v>
      </c>
      <c r="T433" s="55" t="e">
        <f t="shared" ca="1" si="80"/>
        <v>#N/A</v>
      </c>
      <c r="U433" s="55" t="e">
        <f t="shared" ca="1" si="81"/>
        <v>#N/A</v>
      </c>
      <c r="V433" s="55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3" t="e">
        <f ca="1"/>
        <v>#N/A</v>
      </c>
      <c r="AB433" s="55" t="e">
        <f t="shared" ca="1" si="87"/>
        <v>#N/A</v>
      </c>
      <c r="AC433" s="55" t="e">
        <f t="shared" ca="1" si="88"/>
        <v>#N/A</v>
      </c>
      <c r="AD433" s="55" t="e">
        <f t="shared" ca="1" si="89"/>
        <v>#N/A</v>
      </c>
      <c r="AE433" s="55" t="e">
        <f t="shared" ca="1" si="90"/>
        <v>#N/A</v>
      </c>
    </row>
    <row r="434" spans="18:31">
      <c r="R434" s="55" t="e">
        <f ca="1"/>
        <v>#N/A</v>
      </c>
      <c r="S434" s="55" t="e">
        <f t="shared" ca="1" si="79"/>
        <v>#N/A</v>
      </c>
      <c r="T434" s="55" t="e">
        <f t="shared" ca="1" si="80"/>
        <v>#N/A</v>
      </c>
      <c r="U434" s="55" t="e">
        <f t="shared" ca="1" si="81"/>
        <v>#N/A</v>
      </c>
      <c r="V434" s="55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3" t="e">
        <f ca="1"/>
        <v>#N/A</v>
      </c>
      <c r="AB434" s="55" t="e">
        <f t="shared" ca="1" si="87"/>
        <v>#N/A</v>
      </c>
      <c r="AC434" s="55" t="e">
        <f t="shared" ca="1" si="88"/>
        <v>#N/A</v>
      </c>
      <c r="AD434" s="55" t="e">
        <f t="shared" ca="1" si="89"/>
        <v>#N/A</v>
      </c>
      <c r="AE434" s="55" t="e">
        <f t="shared" ca="1" si="90"/>
        <v>#N/A</v>
      </c>
    </row>
    <row r="435" spans="18:31">
      <c r="R435" s="55" t="e">
        <f ca="1"/>
        <v>#N/A</v>
      </c>
      <c r="S435" s="55" t="e">
        <f t="shared" ca="1" si="79"/>
        <v>#N/A</v>
      </c>
      <c r="T435" s="55" t="e">
        <f t="shared" ca="1" si="80"/>
        <v>#N/A</v>
      </c>
      <c r="U435" s="55" t="e">
        <f t="shared" ca="1" si="81"/>
        <v>#N/A</v>
      </c>
      <c r="V435" s="55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3" t="e">
        <f ca="1"/>
        <v>#N/A</v>
      </c>
      <c r="AB435" s="55" t="e">
        <f t="shared" ca="1" si="87"/>
        <v>#N/A</v>
      </c>
      <c r="AC435" s="55" t="e">
        <f t="shared" ca="1" si="88"/>
        <v>#N/A</v>
      </c>
      <c r="AD435" s="55" t="e">
        <f t="shared" ca="1" si="89"/>
        <v>#N/A</v>
      </c>
      <c r="AE435" s="55" t="e">
        <f t="shared" ca="1" si="90"/>
        <v>#N/A</v>
      </c>
    </row>
    <row r="436" spans="18:31">
      <c r="R436" s="55" t="e">
        <f ca="1"/>
        <v>#N/A</v>
      </c>
      <c r="S436" s="55" t="e">
        <f t="shared" ca="1" si="79"/>
        <v>#N/A</v>
      </c>
      <c r="T436" s="55" t="e">
        <f t="shared" ca="1" si="80"/>
        <v>#N/A</v>
      </c>
      <c r="U436" s="55" t="e">
        <f t="shared" ca="1" si="81"/>
        <v>#N/A</v>
      </c>
      <c r="V436" s="55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3" t="e">
        <f ca="1"/>
        <v>#N/A</v>
      </c>
      <c r="AB436" s="55" t="e">
        <f t="shared" ca="1" si="87"/>
        <v>#N/A</v>
      </c>
      <c r="AC436" s="55" t="e">
        <f t="shared" ca="1" si="88"/>
        <v>#N/A</v>
      </c>
      <c r="AD436" s="55" t="e">
        <f t="shared" ca="1" si="89"/>
        <v>#N/A</v>
      </c>
      <c r="AE436" s="55" t="e">
        <f t="shared" ca="1" si="90"/>
        <v>#N/A</v>
      </c>
    </row>
    <row r="437" spans="18:31">
      <c r="R437" s="55" t="e">
        <f ca="1"/>
        <v>#N/A</v>
      </c>
      <c r="S437" s="55" t="e">
        <f t="shared" ca="1" si="79"/>
        <v>#N/A</v>
      </c>
      <c r="T437" s="55" t="e">
        <f t="shared" ca="1" si="80"/>
        <v>#N/A</v>
      </c>
      <c r="U437" s="55" t="e">
        <f t="shared" ca="1" si="81"/>
        <v>#N/A</v>
      </c>
      <c r="V437" s="55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3" t="e">
        <f ca="1"/>
        <v>#N/A</v>
      </c>
      <c r="AB437" s="55" t="e">
        <f t="shared" ca="1" si="87"/>
        <v>#N/A</v>
      </c>
      <c r="AC437" s="55" t="e">
        <f t="shared" ca="1" si="88"/>
        <v>#N/A</v>
      </c>
      <c r="AD437" s="55" t="e">
        <f t="shared" ca="1" si="89"/>
        <v>#N/A</v>
      </c>
      <c r="AE437" s="55" t="e">
        <f t="shared" ca="1" si="90"/>
        <v>#N/A</v>
      </c>
    </row>
    <row r="438" spans="18:31">
      <c r="R438" s="55" t="e">
        <f ca="1"/>
        <v>#N/A</v>
      </c>
      <c r="S438" s="55" t="e">
        <f t="shared" ca="1" si="79"/>
        <v>#N/A</v>
      </c>
      <c r="T438" s="55" t="e">
        <f t="shared" ca="1" si="80"/>
        <v>#N/A</v>
      </c>
      <c r="U438" s="55" t="e">
        <f t="shared" ca="1" si="81"/>
        <v>#N/A</v>
      </c>
      <c r="V438" s="55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3" t="e">
        <f ca="1"/>
        <v>#N/A</v>
      </c>
      <c r="AB438" s="55" t="e">
        <f t="shared" ca="1" si="87"/>
        <v>#N/A</v>
      </c>
      <c r="AC438" s="55" t="e">
        <f t="shared" ca="1" si="88"/>
        <v>#N/A</v>
      </c>
      <c r="AD438" s="55" t="e">
        <f t="shared" ca="1" si="89"/>
        <v>#N/A</v>
      </c>
      <c r="AE438" s="55" t="e">
        <f t="shared" ca="1" si="90"/>
        <v>#N/A</v>
      </c>
    </row>
    <row r="439" spans="18:31">
      <c r="R439" s="55" t="e">
        <f ca="1"/>
        <v>#N/A</v>
      </c>
      <c r="S439" s="55" t="e">
        <f t="shared" ca="1" si="79"/>
        <v>#N/A</v>
      </c>
      <c r="T439" s="55" t="e">
        <f t="shared" ca="1" si="80"/>
        <v>#N/A</v>
      </c>
      <c r="U439" s="55" t="e">
        <f t="shared" ca="1" si="81"/>
        <v>#N/A</v>
      </c>
      <c r="V439" s="55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3" t="e">
        <f ca="1"/>
        <v>#N/A</v>
      </c>
      <c r="AB439" s="55" t="e">
        <f t="shared" ca="1" si="87"/>
        <v>#N/A</v>
      </c>
      <c r="AC439" s="55" t="e">
        <f t="shared" ca="1" si="88"/>
        <v>#N/A</v>
      </c>
      <c r="AD439" s="55" t="e">
        <f t="shared" ca="1" si="89"/>
        <v>#N/A</v>
      </c>
      <c r="AE439" s="55" t="e">
        <f t="shared" ca="1" si="90"/>
        <v>#N/A</v>
      </c>
    </row>
    <row r="440" spans="18:31">
      <c r="R440" s="55" t="e">
        <f ca="1"/>
        <v>#N/A</v>
      </c>
      <c r="S440" s="55" t="e">
        <f t="shared" ca="1" si="79"/>
        <v>#N/A</v>
      </c>
      <c r="T440" s="55" t="e">
        <f t="shared" ca="1" si="80"/>
        <v>#N/A</v>
      </c>
      <c r="U440" s="55" t="e">
        <f t="shared" ca="1" si="81"/>
        <v>#N/A</v>
      </c>
      <c r="V440" s="55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3" t="e">
        <f ca="1"/>
        <v>#N/A</v>
      </c>
      <c r="AB440" s="55" t="e">
        <f t="shared" ca="1" si="87"/>
        <v>#N/A</v>
      </c>
      <c r="AC440" s="55" t="e">
        <f t="shared" ca="1" si="88"/>
        <v>#N/A</v>
      </c>
      <c r="AD440" s="55" t="e">
        <f t="shared" ca="1" si="89"/>
        <v>#N/A</v>
      </c>
      <c r="AE440" s="55" t="e">
        <f t="shared" ca="1" si="90"/>
        <v>#N/A</v>
      </c>
    </row>
    <row r="441" spans="18:31">
      <c r="R441" s="55" t="e">
        <f ca="1"/>
        <v>#N/A</v>
      </c>
      <c r="S441" s="55" t="e">
        <f t="shared" ca="1" si="79"/>
        <v>#N/A</v>
      </c>
      <c r="T441" s="55" t="e">
        <f t="shared" ca="1" si="80"/>
        <v>#N/A</v>
      </c>
      <c r="U441" s="55" t="e">
        <f t="shared" ca="1" si="81"/>
        <v>#N/A</v>
      </c>
      <c r="V441" s="55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3" t="e">
        <f ca="1"/>
        <v>#N/A</v>
      </c>
      <c r="AB441" s="55" t="e">
        <f t="shared" ca="1" si="87"/>
        <v>#N/A</v>
      </c>
      <c r="AC441" s="55" t="e">
        <f t="shared" ca="1" si="88"/>
        <v>#N/A</v>
      </c>
      <c r="AD441" s="55" t="e">
        <f t="shared" ca="1" si="89"/>
        <v>#N/A</v>
      </c>
      <c r="AE441" s="55" t="e">
        <f t="shared" ca="1" si="90"/>
        <v>#N/A</v>
      </c>
    </row>
    <row r="442" spans="18:31">
      <c r="R442" s="55" t="e">
        <f ca="1"/>
        <v>#N/A</v>
      </c>
      <c r="S442" s="55" t="e">
        <f t="shared" ca="1" si="79"/>
        <v>#N/A</v>
      </c>
      <c r="T442" s="55" t="e">
        <f t="shared" ca="1" si="80"/>
        <v>#N/A</v>
      </c>
      <c r="U442" s="55" t="e">
        <f t="shared" ca="1" si="81"/>
        <v>#N/A</v>
      </c>
      <c r="V442" s="55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3" t="e">
        <f ca="1"/>
        <v>#N/A</v>
      </c>
      <c r="AB442" s="55" t="e">
        <f t="shared" ca="1" si="87"/>
        <v>#N/A</v>
      </c>
      <c r="AC442" s="55" t="e">
        <f t="shared" ca="1" si="88"/>
        <v>#N/A</v>
      </c>
      <c r="AD442" s="55" t="e">
        <f t="shared" ca="1" si="89"/>
        <v>#N/A</v>
      </c>
      <c r="AE442" s="55" t="e">
        <f t="shared" ca="1" si="90"/>
        <v>#N/A</v>
      </c>
    </row>
    <row r="443" spans="18:31">
      <c r="R443" s="55" t="e">
        <f ca="1"/>
        <v>#N/A</v>
      </c>
      <c r="S443" s="55" t="e">
        <f t="shared" ca="1" si="79"/>
        <v>#N/A</v>
      </c>
      <c r="T443" s="55" t="e">
        <f t="shared" ca="1" si="80"/>
        <v>#N/A</v>
      </c>
      <c r="U443" s="55" t="e">
        <f t="shared" ca="1" si="81"/>
        <v>#N/A</v>
      </c>
      <c r="V443" s="55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3" t="e">
        <f ca="1"/>
        <v>#N/A</v>
      </c>
      <c r="AB443" s="55" t="e">
        <f t="shared" ca="1" si="87"/>
        <v>#N/A</v>
      </c>
      <c r="AC443" s="55" t="e">
        <f t="shared" ca="1" si="88"/>
        <v>#N/A</v>
      </c>
      <c r="AD443" s="55" t="e">
        <f t="shared" ca="1" si="89"/>
        <v>#N/A</v>
      </c>
      <c r="AE443" s="55" t="e">
        <f t="shared" ca="1" si="90"/>
        <v>#N/A</v>
      </c>
    </row>
    <row r="444" spans="18:31">
      <c r="R444" s="55" t="e">
        <f ca="1"/>
        <v>#N/A</v>
      </c>
      <c r="S444" s="55" t="e">
        <f t="shared" ca="1" si="79"/>
        <v>#N/A</v>
      </c>
      <c r="T444" s="55" t="e">
        <f t="shared" ca="1" si="80"/>
        <v>#N/A</v>
      </c>
      <c r="U444" s="55" t="e">
        <f t="shared" ca="1" si="81"/>
        <v>#N/A</v>
      </c>
      <c r="V444" s="55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3" t="e">
        <f ca="1"/>
        <v>#N/A</v>
      </c>
      <c r="AB444" s="55" t="e">
        <f t="shared" ca="1" si="87"/>
        <v>#N/A</v>
      </c>
      <c r="AC444" s="55" t="e">
        <f t="shared" ca="1" si="88"/>
        <v>#N/A</v>
      </c>
      <c r="AD444" s="55" t="e">
        <f t="shared" ca="1" si="89"/>
        <v>#N/A</v>
      </c>
      <c r="AE444" s="55" t="e">
        <f t="shared" ca="1" si="90"/>
        <v>#N/A</v>
      </c>
    </row>
    <row r="445" spans="18:31">
      <c r="R445" s="55" t="e">
        <f ca="1"/>
        <v>#N/A</v>
      </c>
      <c r="S445" s="55" t="e">
        <f t="shared" ca="1" si="79"/>
        <v>#N/A</v>
      </c>
      <c r="T445" s="55" t="e">
        <f t="shared" ca="1" si="80"/>
        <v>#N/A</v>
      </c>
      <c r="U445" s="55" t="e">
        <f t="shared" ca="1" si="81"/>
        <v>#N/A</v>
      </c>
      <c r="V445" s="55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3" t="e">
        <f ca="1"/>
        <v>#N/A</v>
      </c>
      <c r="AB445" s="55" t="e">
        <f t="shared" ca="1" si="87"/>
        <v>#N/A</v>
      </c>
      <c r="AC445" s="55" t="e">
        <f t="shared" ca="1" si="88"/>
        <v>#N/A</v>
      </c>
      <c r="AD445" s="55" t="e">
        <f t="shared" ca="1" si="89"/>
        <v>#N/A</v>
      </c>
      <c r="AE445" s="55" t="e">
        <f t="shared" ca="1" si="90"/>
        <v>#N/A</v>
      </c>
    </row>
    <row r="446" spans="18:31">
      <c r="R446" s="55" t="e">
        <f ca="1"/>
        <v>#N/A</v>
      </c>
      <c r="S446" s="55" t="e">
        <f t="shared" ca="1" si="79"/>
        <v>#N/A</v>
      </c>
      <c r="T446" s="55" t="e">
        <f t="shared" ca="1" si="80"/>
        <v>#N/A</v>
      </c>
      <c r="U446" s="55" t="e">
        <f t="shared" ca="1" si="81"/>
        <v>#N/A</v>
      </c>
      <c r="V446" s="55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3" t="e">
        <f ca="1"/>
        <v>#N/A</v>
      </c>
      <c r="AB446" s="55" t="e">
        <f t="shared" ca="1" si="87"/>
        <v>#N/A</v>
      </c>
      <c r="AC446" s="55" t="e">
        <f t="shared" ca="1" si="88"/>
        <v>#N/A</v>
      </c>
      <c r="AD446" s="55" t="e">
        <f t="shared" ca="1" si="89"/>
        <v>#N/A</v>
      </c>
      <c r="AE446" s="55" t="e">
        <f t="shared" ca="1" si="90"/>
        <v>#N/A</v>
      </c>
    </row>
    <row r="447" spans="18:31">
      <c r="R447" s="55" t="e">
        <f ca="1"/>
        <v>#N/A</v>
      </c>
      <c r="S447" s="55" t="e">
        <f t="shared" ca="1" si="79"/>
        <v>#N/A</v>
      </c>
      <c r="T447" s="55" t="e">
        <f t="shared" ca="1" si="80"/>
        <v>#N/A</v>
      </c>
      <c r="U447" s="55" t="e">
        <f t="shared" ca="1" si="81"/>
        <v>#N/A</v>
      </c>
      <c r="V447" s="55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3" t="e">
        <f ca="1"/>
        <v>#N/A</v>
      </c>
      <c r="AB447" s="55" t="e">
        <f t="shared" ca="1" si="87"/>
        <v>#N/A</v>
      </c>
      <c r="AC447" s="55" t="e">
        <f t="shared" ca="1" si="88"/>
        <v>#N/A</v>
      </c>
      <c r="AD447" s="55" t="e">
        <f t="shared" ca="1" si="89"/>
        <v>#N/A</v>
      </c>
      <c r="AE447" s="55" t="e">
        <f t="shared" ca="1" si="90"/>
        <v>#N/A</v>
      </c>
    </row>
    <row r="448" spans="18:31">
      <c r="R448" s="55" t="e">
        <f ca="1"/>
        <v>#N/A</v>
      </c>
      <c r="S448" s="55" t="e">
        <f t="shared" ca="1" si="79"/>
        <v>#N/A</v>
      </c>
      <c r="T448" s="55" t="e">
        <f t="shared" ca="1" si="80"/>
        <v>#N/A</v>
      </c>
      <c r="U448" s="55" t="e">
        <f t="shared" ca="1" si="81"/>
        <v>#N/A</v>
      </c>
      <c r="V448" s="55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3" t="e">
        <f ca="1"/>
        <v>#N/A</v>
      </c>
      <c r="AB448" s="55" t="e">
        <f t="shared" ca="1" si="87"/>
        <v>#N/A</v>
      </c>
      <c r="AC448" s="55" t="e">
        <f t="shared" ca="1" si="88"/>
        <v>#N/A</v>
      </c>
      <c r="AD448" s="55" t="e">
        <f t="shared" ca="1" si="89"/>
        <v>#N/A</v>
      </c>
      <c r="AE448" s="55" t="e">
        <f t="shared" ca="1" si="90"/>
        <v>#N/A</v>
      </c>
    </row>
    <row r="449" spans="18:31">
      <c r="R449" s="55" t="e">
        <f ca="1"/>
        <v>#N/A</v>
      </c>
      <c r="S449" s="55" t="e">
        <f t="shared" ca="1" si="79"/>
        <v>#N/A</v>
      </c>
      <c r="T449" s="55" t="e">
        <f t="shared" ca="1" si="80"/>
        <v>#N/A</v>
      </c>
      <c r="U449" s="55" t="e">
        <f t="shared" ca="1" si="81"/>
        <v>#N/A</v>
      </c>
      <c r="V449" s="55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3" t="e">
        <f ca="1"/>
        <v>#N/A</v>
      </c>
      <c r="AB449" s="55" t="e">
        <f t="shared" ca="1" si="87"/>
        <v>#N/A</v>
      </c>
      <c r="AC449" s="55" t="e">
        <f t="shared" ca="1" si="88"/>
        <v>#N/A</v>
      </c>
      <c r="AD449" s="55" t="e">
        <f t="shared" ca="1" si="89"/>
        <v>#N/A</v>
      </c>
      <c r="AE449" s="55" t="e">
        <f t="shared" ca="1" si="90"/>
        <v>#N/A</v>
      </c>
    </row>
    <row r="450" spans="18:31">
      <c r="R450" s="55" t="e">
        <f ca="1"/>
        <v>#N/A</v>
      </c>
      <c r="S450" s="55" t="e">
        <f t="shared" ca="1" si="79"/>
        <v>#N/A</v>
      </c>
      <c r="T450" s="55" t="e">
        <f t="shared" ca="1" si="80"/>
        <v>#N/A</v>
      </c>
      <c r="U450" s="55" t="e">
        <f t="shared" ca="1" si="81"/>
        <v>#N/A</v>
      </c>
      <c r="V450" s="55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3" t="e">
        <f ca="1"/>
        <v>#N/A</v>
      </c>
      <c r="AB450" s="55" t="e">
        <f t="shared" ca="1" si="87"/>
        <v>#N/A</v>
      </c>
      <c r="AC450" s="55" t="e">
        <f t="shared" ca="1" si="88"/>
        <v>#N/A</v>
      </c>
      <c r="AD450" s="55" t="e">
        <f t="shared" ca="1" si="89"/>
        <v>#N/A</v>
      </c>
      <c r="AE450" s="55" t="e">
        <f t="shared" ca="1" si="90"/>
        <v>#N/A</v>
      </c>
    </row>
    <row r="451" spans="18:31">
      <c r="R451" s="55" t="e">
        <f ca="1"/>
        <v>#N/A</v>
      </c>
      <c r="S451" s="55" t="e">
        <f t="shared" ca="1" si="79"/>
        <v>#N/A</v>
      </c>
      <c r="T451" s="55" t="e">
        <f t="shared" ca="1" si="80"/>
        <v>#N/A</v>
      </c>
      <c r="U451" s="55" t="e">
        <f t="shared" ca="1" si="81"/>
        <v>#N/A</v>
      </c>
      <c r="V451" s="55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3" t="e">
        <f ca="1"/>
        <v>#N/A</v>
      </c>
      <c r="AB451" s="55" t="e">
        <f t="shared" ca="1" si="87"/>
        <v>#N/A</v>
      </c>
      <c r="AC451" s="55" t="e">
        <f t="shared" ca="1" si="88"/>
        <v>#N/A</v>
      </c>
      <c r="AD451" s="55" t="e">
        <f t="shared" ca="1" si="89"/>
        <v>#N/A</v>
      </c>
      <c r="AE451" s="55" t="e">
        <f t="shared" ca="1" si="90"/>
        <v>#N/A</v>
      </c>
    </row>
    <row r="452" spans="18:31">
      <c r="R452" s="55" t="e">
        <f ca="1"/>
        <v>#N/A</v>
      </c>
      <c r="S452" s="55" t="e">
        <f t="shared" ca="1" si="79"/>
        <v>#N/A</v>
      </c>
      <c r="T452" s="55" t="e">
        <f t="shared" ca="1" si="80"/>
        <v>#N/A</v>
      </c>
      <c r="U452" s="55" t="e">
        <f t="shared" ca="1" si="81"/>
        <v>#N/A</v>
      </c>
      <c r="V452" s="55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3" t="e">
        <f ca="1"/>
        <v>#N/A</v>
      </c>
      <c r="AB452" s="55" t="e">
        <f t="shared" ca="1" si="87"/>
        <v>#N/A</v>
      </c>
      <c r="AC452" s="55" t="e">
        <f t="shared" ca="1" si="88"/>
        <v>#N/A</v>
      </c>
      <c r="AD452" s="55" t="e">
        <f t="shared" ca="1" si="89"/>
        <v>#N/A</v>
      </c>
      <c r="AE452" s="55" t="e">
        <f t="shared" ca="1" si="90"/>
        <v>#N/A</v>
      </c>
    </row>
    <row r="453" spans="18:31">
      <c r="R453" s="55" t="e">
        <f ca="1"/>
        <v>#N/A</v>
      </c>
      <c r="S453" s="55" t="e">
        <f t="shared" ca="1" si="79"/>
        <v>#N/A</v>
      </c>
      <c r="T453" s="55" t="e">
        <f t="shared" ca="1" si="80"/>
        <v>#N/A</v>
      </c>
      <c r="U453" s="55" t="e">
        <f t="shared" ca="1" si="81"/>
        <v>#N/A</v>
      </c>
      <c r="V453" s="55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3" t="e">
        <f ca="1"/>
        <v>#N/A</v>
      </c>
      <c r="AB453" s="55" t="e">
        <f t="shared" ca="1" si="87"/>
        <v>#N/A</v>
      </c>
      <c r="AC453" s="55" t="e">
        <f t="shared" ca="1" si="88"/>
        <v>#N/A</v>
      </c>
      <c r="AD453" s="55" t="e">
        <f t="shared" ca="1" si="89"/>
        <v>#N/A</v>
      </c>
      <c r="AE453" s="55" t="e">
        <f t="shared" ca="1" si="90"/>
        <v>#N/A</v>
      </c>
    </row>
    <row r="454" spans="18:31">
      <c r="R454" s="55" t="e">
        <f ca="1"/>
        <v>#N/A</v>
      </c>
      <c r="S454" s="55" t="e">
        <f t="shared" ca="1" si="79"/>
        <v>#N/A</v>
      </c>
      <c r="T454" s="55" t="e">
        <f t="shared" ca="1" si="80"/>
        <v>#N/A</v>
      </c>
      <c r="U454" s="55" t="e">
        <f t="shared" ca="1" si="81"/>
        <v>#N/A</v>
      </c>
      <c r="V454" s="55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3" t="e">
        <f ca="1"/>
        <v>#N/A</v>
      </c>
      <c r="AB454" s="55" t="e">
        <f t="shared" ca="1" si="87"/>
        <v>#N/A</v>
      </c>
      <c r="AC454" s="55" t="e">
        <f t="shared" ca="1" si="88"/>
        <v>#N/A</v>
      </c>
      <c r="AD454" s="55" t="e">
        <f t="shared" ca="1" si="89"/>
        <v>#N/A</v>
      </c>
      <c r="AE454" s="55" t="e">
        <f t="shared" ca="1" si="90"/>
        <v>#N/A</v>
      </c>
    </row>
    <row r="455" spans="18:31">
      <c r="R455" s="55" t="e">
        <f ca="1"/>
        <v>#N/A</v>
      </c>
      <c r="S455" s="55" t="e">
        <f t="shared" ca="1" si="79"/>
        <v>#N/A</v>
      </c>
      <c r="T455" s="55" t="e">
        <f t="shared" ca="1" si="80"/>
        <v>#N/A</v>
      </c>
      <c r="U455" s="55" t="e">
        <f t="shared" ca="1" si="81"/>
        <v>#N/A</v>
      </c>
      <c r="V455" s="55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3" t="e">
        <f ca="1"/>
        <v>#N/A</v>
      </c>
      <c r="AB455" s="55" t="e">
        <f t="shared" ca="1" si="87"/>
        <v>#N/A</v>
      </c>
      <c r="AC455" s="55" t="e">
        <f t="shared" ca="1" si="88"/>
        <v>#N/A</v>
      </c>
      <c r="AD455" s="55" t="e">
        <f t="shared" ca="1" si="89"/>
        <v>#N/A</v>
      </c>
      <c r="AE455" s="55" t="e">
        <f t="shared" ca="1" si="90"/>
        <v>#N/A</v>
      </c>
    </row>
    <row r="456" spans="18:31">
      <c r="R456" s="55" t="e">
        <f ca="1"/>
        <v>#N/A</v>
      </c>
      <c r="S456" s="55" t="e">
        <f t="shared" ca="1" si="79"/>
        <v>#N/A</v>
      </c>
      <c r="T456" s="55" t="e">
        <f t="shared" ca="1" si="80"/>
        <v>#N/A</v>
      </c>
      <c r="U456" s="55" t="e">
        <f t="shared" ca="1" si="81"/>
        <v>#N/A</v>
      </c>
      <c r="V456" s="55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3" t="e">
        <f ca="1"/>
        <v>#N/A</v>
      </c>
      <c r="AB456" s="55" t="e">
        <f t="shared" ca="1" si="87"/>
        <v>#N/A</v>
      </c>
      <c r="AC456" s="55" t="e">
        <f t="shared" ca="1" si="88"/>
        <v>#N/A</v>
      </c>
      <c r="AD456" s="55" t="e">
        <f t="shared" ca="1" si="89"/>
        <v>#N/A</v>
      </c>
      <c r="AE456" s="55" t="e">
        <f t="shared" ca="1" si="90"/>
        <v>#N/A</v>
      </c>
    </row>
    <row r="457" spans="18:31">
      <c r="R457" s="55" t="e">
        <f ca="1"/>
        <v>#N/A</v>
      </c>
      <c r="S457" s="55" t="e">
        <f t="shared" ca="1" si="79"/>
        <v>#N/A</v>
      </c>
      <c r="T457" s="55" t="e">
        <f t="shared" ca="1" si="80"/>
        <v>#N/A</v>
      </c>
      <c r="U457" s="55" t="e">
        <f t="shared" ca="1" si="81"/>
        <v>#N/A</v>
      </c>
      <c r="V457" s="55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3" t="e">
        <f ca="1"/>
        <v>#N/A</v>
      </c>
      <c r="AB457" s="55" t="e">
        <f t="shared" ca="1" si="87"/>
        <v>#N/A</v>
      </c>
      <c r="AC457" s="55" t="e">
        <f t="shared" ca="1" si="88"/>
        <v>#N/A</v>
      </c>
      <c r="AD457" s="55" t="e">
        <f t="shared" ca="1" si="89"/>
        <v>#N/A</v>
      </c>
      <c r="AE457" s="55" t="e">
        <f t="shared" ca="1" si="90"/>
        <v>#N/A</v>
      </c>
    </row>
    <row r="458" spans="18:31">
      <c r="R458" s="55" t="e">
        <f ca="1"/>
        <v>#N/A</v>
      </c>
      <c r="S458" s="55" t="e">
        <f t="shared" ca="1" si="79"/>
        <v>#N/A</v>
      </c>
      <c r="T458" s="55" t="e">
        <f t="shared" ca="1" si="80"/>
        <v>#N/A</v>
      </c>
      <c r="U458" s="55" t="e">
        <f t="shared" ca="1" si="81"/>
        <v>#N/A</v>
      </c>
      <c r="V458" s="55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3" t="e">
        <f ca="1"/>
        <v>#N/A</v>
      </c>
      <c r="AB458" s="55" t="e">
        <f t="shared" ca="1" si="87"/>
        <v>#N/A</v>
      </c>
      <c r="AC458" s="55" t="e">
        <f t="shared" ca="1" si="88"/>
        <v>#N/A</v>
      </c>
      <c r="AD458" s="55" t="e">
        <f t="shared" ca="1" si="89"/>
        <v>#N/A</v>
      </c>
      <c r="AE458" s="55" t="e">
        <f t="shared" ca="1" si="90"/>
        <v>#N/A</v>
      </c>
    </row>
    <row r="459" spans="18:31">
      <c r="R459" s="55" t="e">
        <f ca="1"/>
        <v>#N/A</v>
      </c>
      <c r="S459" s="55" t="e">
        <f t="shared" ca="1" si="79"/>
        <v>#N/A</v>
      </c>
      <c r="T459" s="55" t="e">
        <f t="shared" ca="1" si="80"/>
        <v>#N/A</v>
      </c>
      <c r="U459" s="55" t="e">
        <f t="shared" ca="1" si="81"/>
        <v>#N/A</v>
      </c>
      <c r="V459" s="55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3" t="e">
        <f ca="1"/>
        <v>#N/A</v>
      </c>
      <c r="AB459" s="55" t="e">
        <f t="shared" ca="1" si="87"/>
        <v>#N/A</v>
      </c>
      <c r="AC459" s="55" t="e">
        <f t="shared" ca="1" si="88"/>
        <v>#N/A</v>
      </c>
      <c r="AD459" s="55" t="e">
        <f t="shared" ca="1" si="89"/>
        <v>#N/A</v>
      </c>
      <c r="AE459" s="55" t="e">
        <f t="shared" ca="1" si="90"/>
        <v>#N/A</v>
      </c>
    </row>
    <row r="460" spans="18:31">
      <c r="R460" s="55" t="e">
        <f ca="1"/>
        <v>#N/A</v>
      </c>
      <c r="S460" s="55" t="e">
        <f t="shared" ref="S460:S523" ca="1" si="91">IF(R460&gt;1,R460,"")</f>
        <v>#N/A</v>
      </c>
      <c r="T460" s="55" t="e">
        <f t="shared" ref="T460:T523" ca="1" si="92">VLOOKUP(S460,ModelOutputs,2,FALSE)</f>
        <v>#N/A</v>
      </c>
      <c r="U460" s="55" t="e">
        <f t="shared" ref="U460:U523" ca="1" si="93">VLOOKUP(S460,ModelOutputs,7,FALSE)</f>
        <v>#N/A</v>
      </c>
      <c r="V460" s="55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3" t="e">
        <f ca="1"/>
        <v>#N/A</v>
      </c>
      <c r="AB460" s="55" t="e">
        <f t="shared" ref="AB460:AB523" ca="1" si="99">IF(AA460&gt;1,AA460,"")</f>
        <v>#N/A</v>
      </c>
      <c r="AC460" s="55" t="e">
        <f t="shared" ref="AC460:AC523" ca="1" si="100">VLOOKUP(AB460,ModelOutputs,2,FALSE)</f>
        <v>#N/A</v>
      </c>
      <c r="AD460" s="55" t="e">
        <f t="shared" ref="AD460:AD523" ca="1" si="101">VLOOKUP(AB460,ModelOutputs,7,FALSE)</f>
        <v>#N/A</v>
      </c>
      <c r="AE460" s="55" t="e">
        <f t="shared" ref="AE460:AE523" ca="1" si="102">VLOOKUP(AB460,ModelOutputs,6,FALSE)</f>
        <v>#N/A</v>
      </c>
    </row>
    <row r="461" spans="18:31">
      <c r="R461" s="55" t="e">
        <f ca="1"/>
        <v>#N/A</v>
      </c>
      <c r="S461" s="55" t="e">
        <f t="shared" ca="1" si="91"/>
        <v>#N/A</v>
      </c>
      <c r="T461" s="55" t="e">
        <f t="shared" ca="1" si="92"/>
        <v>#N/A</v>
      </c>
      <c r="U461" s="55" t="e">
        <f t="shared" ca="1" si="93"/>
        <v>#N/A</v>
      </c>
      <c r="V461" s="55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3" t="e">
        <f ca="1"/>
        <v>#N/A</v>
      </c>
      <c r="AB461" s="55" t="e">
        <f t="shared" ca="1" si="99"/>
        <v>#N/A</v>
      </c>
      <c r="AC461" s="55" t="e">
        <f t="shared" ca="1" si="100"/>
        <v>#N/A</v>
      </c>
      <c r="AD461" s="55" t="e">
        <f t="shared" ca="1" si="101"/>
        <v>#N/A</v>
      </c>
      <c r="AE461" s="55" t="e">
        <f t="shared" ca="1" si="102"/>
        <v>#N/A</v>
      </c>
    </row>
    <row r="462" spans="18:31">
      <c r="R462" s="55" t="e">
        <f ca="1"/>
        <v>#N/A</v>
      </c>
      <c r="S462" s="55" t="e">
        <f t="shared" ca="1" si="91"/>
        <v>#N/A</v>
      </c>
      <c r="T462" s="55" t="e">
        <f t="shared" ca="1" si="92"/>
        <v>#N/A</v>
      </c>
      <c r="U462" s="55" t="e">
        <f t="shared" ca="1" si="93"/>
        <v>#N/A</v>
      </c>
      <c r="V462" s="55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3" t="e">
        <f ca="1"/>
        <v>#N/A</v>
      </c>
      <c r="AB462" s="55" t="e">
        <f t="shared" ca="1" si="99"/>
        <v>#N/A</v>
      </c>
      <c r="AC462" s="55" t="e">
        <f t="shared" ca="1" si="100"/>
        <v>#N/A</v>
      </c>
      <c r="AD462" s="55" t="e">
        <f t="shared" ca="1" si="101"/>
        <v>#N/A</v>
      </c>
      <c r="AE462" s="55" t="e">
        <f t="shared" ca="1" si="102"/>
        <v>#N/A</v>
      </c>
    </row>
    <row r="463" spans="18:31">
      <c r="R463" s="55" t="e">
        <f ca="1"/>
        <v>#N/A</v>
      </c>
      <c r="S463" s="55" t="e">
        <f t="shared" ca="1" si="91"/>
        <v>#N/A</v>
      </c>
      <c r="T463" s="55" t="e">
        <f t="shared" ca="1" si="92"/>
        <v>#N/A</v>
      </c>
      <c r="U463" s="55" t="e">
        <f t="shared" ca="1" si="93"/>
        <v>#N/A</v>
      </c>
      <c r="V463" s="55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3" t="e">
        <f ca="1"/>
        <v>#N/A</v>
      </c>
      <c r="AB463" s="55" t="e">
        <f t="shared" ca="1" si="99"/>
        <v>#N/A</v>
      </c>
      <c r="AC463" s="55" t="e">
        <f t="shared" ca="1" si="100"/>
        <v>#N/A</v>
      </c>
      <c r="AD463" s="55" t="e">
        <f t="shared" ca="1" si="101"/>
        <v>#N/A</v>
      </c>
      <c r="AE463" s="55" t="e">
        <f t="shared" ca="1" si="102"/>
        <v>#N/A</v>
      </c>
    </row>
    <row r="464" spans="18:31">
      <c r="R464" s="55" t="e">
        <f ca="1"/>
        <v>#N/A</v>
      </c>
      <c r="S464" s="55" t="e">
        <f t="shared" ca="1" si="91"/>
        <v>#N/A</v>
      </c>
      <c r="T464" s="55" t="e">
        <f t="shared" ca="1" si="92"/>
        <v>#N/A</v>
      </c>
      <c r="U464" s="55" t="e">
        <f t="shared" ca="1" si="93"/>
        <v>#N/A</v>
      </c>
      <c r="V464" s="55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3" t="e">
        <f ca="1"/>
        <v>#N/A</v>
      </c>
      <c r="AB464" s="55" t="e">
        <f t="shared" ca="1" si="99"/>
        <v>#N/A</v>
      </c>
      <c r="AC464" s="55" t="e">
        <f t="shared" ca="1" si="100"/>
        <v>#N/A</v>
      </c>
      <c r="AD464" s="55" t="e">
        <f t="shared" ca="1" si="101"/>
        <v>#N/A</v>
      </c>
      <c r="AE464" s="55" t="e">
        <f t="shared" ca="1" si="102"/>
        <v>#N/A</v>
      </c>
    </row>
    <row r="465" spans="18:31">
      <c r="R465" s="55" t="e">
        <f ca="1"/>
        <v>#N/A</v>
      </c>
      <c r="S465" s="55" t="e">
        <f t="shared" ca="1" si="91"/>
        <v>#N/A</v>
      </c>
      <c r="T465" s="55" t="e">
        <f t="shared" ca="1" si="92"/>
        <v>#N/A</v>
      </c>
      <c r="U465" s="55" t="e">
        <f t="shared" ca="1" si="93"/>
        <v>#N/A</v>
      </c>
      <c r="V465" s="55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3" t="e">
        <f ca="1"/>
        <v>#N/A</v>
      </c>
      <c r="AB465" s="55" t="e">
        <f t="shared" ca="1" si="99"/>
        <v>#N/A</v>
      </c>
      <c r="AC465" s="55" t="e">
        <f t="shared" ca="1" si="100"/>
        <v>#N/A</v>
      </c>
      <c r="AD465" s="55" t="e">
        <f t="shared" ca="1" si="101"/>
        <v>#N/A</v>
      </c>
      <c r="AE465" s="55" t="e">
        <f t="shared" ca="1" si="102"/>
        <v>#N/A</v>
      </c>
    </row>
    <row r="466" spans="18:31">
      <c r="R466" s="55" t="e">
        <f ca="1"/>
        <v>#N/A</v>
      </c>
      <c r="S466" s="55" t="e">
        <f t="shared" ca="1" si="91"/>
        <v>#N/A</v>
      </c>
      <c r="T466" s="55" t="e">
        <f t="shared" ca="1" si="92"/>
        <v>#N/A</v>
      </c>
      <c r="U466" s="55" t="e">
        <f t="shared" ca="1" si="93"/>
        <v>#N/A</v>
      </c>
      <c r="V466" s="55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3" t="e">
        <f ca="1"/>
        <v>#N/A</v>
      </c>
      <c r="AB466" s="55" t="e">
        <f t="shared" ca="1" si="99"/>
        <v>#N/A</v>
      </c>
      <c r="AC466" s="55" t="e">
        <f t="shared" ca="1" si="100"/>
        <v>#N/A</v>
      </c>
      <c r="AD466" s="55" t="e">
        <f t="shared" ca="1" si="101"/>
        <v>#N/A</v>
      </c>
      <c r="AE466" s="55" t="e">
        <f t="shared" ca="1" si="102"/>
        <v>#N/A</v>
      </c>
    </row>
    <row r="467" spans="18:31">
      <c r="R467" s="55" t="e">
        <f ca="1"/>
        <v>#N/A</v>
      </c>
      <c r="S467" s="55" t="e">
        <f t="shared" ca="1" si="91"/>
        <v>#N/A</v>
      </c>
      <c r="T467" s="55" t="e">
        <f t="shared" ca="1" si="92"/>
        <v>#N/A</v>
      </c>
      <c r="U467" s="55" t="e">
        <f t="shared" ca="1" si="93"/>
        <v>#N/A</v>
      </c>
      <c r="V467" s="55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3" t="e">
        <f ca="1"/>
        <v>#N/A</v>
      </c>
      <c r="AB467" s="55" t="e">
        <f t="shared" ca="1" si="99"/>
        <v>#N/A</v>
      </c>
      <c r="AC467" s="55" t="e">
        <f t="shared" ca="1" si="100"/>
        <v>#N/A</v>
      </c>
      <c r="AD467" s="55" t="e">
        <f t="shared" ca="1" si="101"/>
        <v>#N/A</v>
      </c>
      <c r="AE467" s="55" t="e">
        <f t="shared" ca="1" si="102"/>
        <v>#N/A</v>
      </c>
    </row>
    <row r="468" spans="18:31">
      <c r="R468" s="55" t="e">
        <f ca="1"/>
        <v>#N/A</v>
      </c>
      <c r="S468" s="55" t="e">
        <f t="shared" ca="1" si="91"/>
        <v>#N/A</v>
      </c>
      <c r="T468" s="55" t="e">
        <f t="shared" ca="1" si="92"/>
        <v>#N/A</v>
      </c>
      <c r="U468" s="55" t="e">
        <f t="shared" ca="1" si="93"/>
        <v>#N/A</v>
      </c>
      <c r="V468" s="55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3" t="e">
        <f ca="1"/>
        <v>#N/A</v>
      </c>
      <c r="AB468" s="55" t="e">
        <f t="shared" ca="1" si="99"/>
        <v>#N/A</v>
      </c>
      <c r="AC468" s="55" t="e">
        <f t="shared" ca="1" si="100"/>
        <v>#N/A</v>
      </c>
      <c r="AD468" s="55" t="e">
        <f t="shared" ca="1" si="101"/>
        <v>#N/A</v>
      </c>
      <c r="AE468" s="55" t="e">
        <f t="shared" ca="1" si="102"/>
        <v>#N/A</v>
      </c>
    </row>
    <row r="469" spans="18:31">
      <c r="R469" s="55" t="e">
        <f ca="1"/>
        <v>#N/A</v>
      </c>
      <c r="S469" s="55" t="e">
        <f t="shared" ca="1" si="91"/>
        <v>#N/A</v>
      </c>
      <c r="T469" s="55" t="e">
        <f t="shared" ca="1" si="92"/>
        <v>#N/A</v>
      </c>
      <c r="U469" s="55" t="e">
        <f t="shared" ca="1" si="93"/>
        <v>#N/A</v>
      </c>
      <c r="V469" s="55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3" t="e">
        <f ca="1"/>
        <v>#N/A</v>
      </c>
      <c r="AB469" s="55" t="e">
        <f t="shared" ca="1" si="99"/>
        <v>#N/A</v>
      </c>
      <c r="AC469" s="55" t="e">
        <f t="shared" ca="1" si="100"/>
        <v>#N/A</v>
      </c>
      <c r="AD469" s="55" t="e">
        <f t="shared" ca="1" si="101"/>
        <v>#N/A</v>
      </c>
      <c r="AE469" s="55" t="e">
        <f t="shared" ca="1" si="102"/>
        <v>#N/A</v>
      </c>
    </row>
    <row r="470" spans="18:31">
      <c r="R470" s="55" t="e">
        <f ca="1"/>
        <v>#N/A</v>
      </c>
      <c r="S470" s="55" t="e">
        <f t="shared" ca="1" si="91"/>
        <v>#N/A</v>
      </c>
      <c r="T470" s="55" t="e">
        <f t="shared" ca="1" si="92"/>
        <v>#N/A</v>
      </c>
      <c r="U470" s="55" t="e">
        <f t="shared" ca="1" si="93"/>
        <v>#N/A</v>
      </c>
      <c r="V470" s="55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3" t="e">
        <f ca="1"/>
        <v>#N/A</v>
      </c>
      <c r="AB470" s="55" t="e">
        <f t="shared" ca="1" si="99"/>
        <v>#N/A</v>
      </c>
      <c r="AC470" s="55" t="e">
        <f t="shared" ca="1" si="100"/>
        <v>#N/A</v>
      </c>
      <c r="AD470" s="55" t="e">
        <f t="shared" ca="1" si="101"/>
        <v>#N/A</v>
      </c>
      <c r="AE470" s="55" t="e">
        <f t="shared" ca="1" si="102"/>
        <v>#N/A</v>
      </c>
    </row>
    <row r="471" spans="18:31">
      <c r="R471" s="55" t="e">
        <f ca="1"/>
        <v>#N/A</v>
      </c>
      <c r="S471" s="55" t="e">
        <f t="shared" ca="1" si="91"/>
        <v>#N/A</v>
      </c>
      <c r="T471" s="55" t="e">
        <f t="shared" ca="1" si="92"/>
        <v>#N/A</v>
      </c>
      <c r="U471" s="55" t="e">
        <f t="shared" ca="1" si="93"/>
        <v>#N/A</v>
      </c>
      <c r="V471" s="55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3" t="e">
        <f ca="1"/>
        <v>#N/A</v>
      </c>
      <c r="AB471" s="55" t="e">
        <f t="shared" ca="1" si="99"/>
        <v>#N/A</v>
      </c>
      <c r="AC471" s="55" t="e">
        <f t="shared" ca="1" si="100"/>
        <v>#N/A</v>
      </c>
      <c r="AD471" s="55" t="e">
        <f t="shared" ca="1" si="101"/>
        <v>#N/A</v>
      </c>
      <c r="AE471" s="55" t="e">
        <f t="shared" ca="1" si="102"/>
        <v>#N/A</v>
      </c>
    </row>
    <row r="472" spans="18:31">
      <c r="R472" s="55" t="e">
        <f ca="1"/>
        <v>#N/A</v>
      </c>
      <c r="S472" s="55" t="e">
        <f t="shared" ca="1" si="91"/>
        <v>#N/A</v>
      </c>
      <c r="T472" s="55" t="e">
        <f t="shared" ca="1" si="92"/>
        <v>#N/A</v>
      </c>
      <c r="U472" s="55" t="e">
        <f t="shared" ca="1" si="93"/>
        <v>#N/A</v>
      </c>
      <c r="V472" s="55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3" t="e">
        <f ca="1"/>
        <v>#N/A</v>
      </c>
      <c r="AB472" s="55" t="e">
        <f t="shared" ca="1" si="99"/>
        <v>#N/A</v>
      </c>
      <c r="AC472" s="55" t="e">
        <f t="shared" ca="1" si="100"/>
        <v>#N/A</v>
      </c>
      <c r="AD472" s="55" t="e">
        <f t="shared" ca="1" si="101"/>
        <v>#N/A</v>
      </c>
      <c r="AE472" s="55" t="e">
        <f t="shared" ca="1" si="102"/>
        <v>#N/A</v>
      </c>
    </row>
    <row r="473" spans="18:31">
      <c r="R473" s="55" t="e">
        <f ca="1"/>
        <v>#N/A</v>
      </c>
      <c r="S473" s="55" t="e">
        <f t="shared" ca="1" si="91"/>
        <v>#N/A</v>
      </c>
      <c r="T473" s="55" t="e">
        <f t="shared" ca="1" si="92"/>
        <v>#N/A</v>
      </c>
      <c r="U473" s="55" t="e">
        <f t="shared" ca="1" si="93"/>
        <v>#N/A</v>
      </c>
      <c r="V473" s="55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3" t="e">
        <f ca="1"/>
        <v>#N/A</v>
      </c>
      <c r="AB473" s="55" t="e">
        <f t="shared" ca="1" si="99"/>
        <v>#N/A</v>
      </c>
      <c r="AC473" s="55" t="e">
        <f t="shared" ca="1" si="100"/>
        <v>#N/A</v>
      </c>
      <c r="AD473" s="55" t="e">
        <f t="shared" ca="1" si="101"/>
        <v>#N/A</v>
      </c>
      <c r="AE473" s="55" t="e">
        <f t="shared" ca="1" si="102"/>
        <v>#N/A</v>
      </c>
    </row>
    <row r="474" spans="18:31">
      <c r="R474" s="55" t="e">
        <f ca="1"/>
        <v>#N/A</v>
      </c>
      <c r="S474" s="55" t="e">
        <f t="shared" ca="1" si="91"/>
        <v>#N/A</v>
      </c>
      <c r="T474" s="55" t="e">
        <f t="shared" ca="1" si="92"/>
        <v>#N/A</v>
      </c>
      <c r="U474" s="55" t="e">
        <f t="shared" ca="1" si="93"/>
        <v>#N/A</v>
      </c>
      <c r="V474" s="55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3" t="e">
        <f ca="1"/>
        <v>#N/A</v>
      </c>
      <c r="AB474" s="55" t="e">
        <f t="shared" ca="1" si="99"/>
        <v>#N/A</v>
      </c>
      <c r="AC474" s="55" t="e">
        <f t="shared" ca="1" si="100"/>
        <v>#N/A</v>
      </c>
      <c r="AD474" s="55" t="e">
        <f t="shared" ca="1" si="101"/>
        <v>#N/A</v>
      </c>
      <c r="AE474" s="55" t="e">
        <f t="shared" ca="1" si="102"/>
        <v>#N/A</v>
      </c>
    </row>
    <row r="475" spans="18:31">
      <c r="R475" s="55" t="e">
        <f ca="1"/>
        <v>#N/A</v>
      </c>
      <c r="S475" s="55" t="e">
        <f t="shared" ca="1" si="91"/>
        <v>#N/A</v>
      </c>
      <c r="T475" s="55" t="e">
        <f t="shared" ca="1" si="92"/>
        <v>#N/A</v>
      </c>
      <c r="U475" s="55" t="e">
        <f t="shared" ca="1" si="93"/>
        <v>#N/A</v>
      </c>
      <c r="V475" s="55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3" t="e">
        <f ca="1"/>
        <v>#N/A</v>
      </c>
      <c r="AB475" s="55" t="e">
        <f t="shared" ca="1" si="99"/>
        <v>#N/A</v>
      </c>
      <c r="AC475" s="55" t="e">
        <f t="shared" ca="1" si="100"/>
        <v>#N/A</v>
      </c>
      <c r="AD475" s="55" t="e">
        <f t="shared" ca="1" si="101"/>
        <v>#N/A</v>
      </c>
      <c r="AE475" s="55" t="e">
        <f t="shared" ca="1" si="102"/>
        <v>#N/A</v>
      </c>
    </row>
    <row r="476" spans="18:31">
      <c r="R476" s="55" t="e">
        <f ca="1"/>
        <v>#N/A</v>
      </c>
      <c r="S476" s="55" t="e">
        <f t="shared" ca="1" si="91"/>
        <v>#N/A</v>
      </c>
      <c r="T476" s="55" t="e">
        <f t="shared" ca="1" si="92"/>
        <v>#N/A</v>
      </c>
      <c r="U476" s="55" t="e">
        <f t="shared" ca="1" si="93"/>
        <v>#N/A</v>
      </c>
      <c r="V476" s="55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3" t="e">
        <f ca="1"/>
        <v>#N/A</v>
      </c>
      <c r="AB476" s="55" t="e">
        <f t="shared" ca="1" si="99"/>
        <v>#N/A</v>
      </c>
      <c r="AC476" s="55" t="e">
        <f t="shared" ca="1" si="100"/>
        <v>#N/A</v>
      </c>
      <c r="AD476" s="55" t="e">
        <f t="shared" ca="1" si="101"/>
        <v>#N/A</v>
      </c>
      <c r="AE476" s="55" t="e">
        <f t="shared" ca="1" si="102"/>
        <v>#N/A</v>
      </c>
    </row>
    <row r="477" spans="18:31">
      <c r="R477" s="55" t="e">
        <f ca="1"/>
        <v>#N/A</v>
      </c>
      <c r="S477" s="55" t="e">
        <f t="shared" ca="1" si="91"/>
        <v>#N/A</v>
      </c>
      <c r="T477" s="55" t="e">
        <f t="shared" ca="1" si="92"/>
        <v>#N/A</v>
      </c>
      <c r="U477" s="55" t="e">
        <f t="shared" ca="1" si="93"/>
        <v>#N/A</v>
      </c>
      <c r="V477" s="55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3" t="e">
        <f ca="1"/>
        <v>#N/A</v>
      </c>
      <c r="AB477" s="55" t="e">
        <f t="shared" ca="1" si="99"/>
        <v>#N/A</v>
      </c>
      <c r="AC477" s="55" t="e">
        <f t="shared" ca="1" si="100"/>
        <v>#N/A</v>
      </c>
      <c r="AD477" s="55" t="e">
        <f t="shared" ca="1" si="101"/>
        <v>#N/A</v>
      </c>
      <c r="AE477" s="55" t="e">
        <f t="shared" ca="1" si="102"/>
        <v>#N/A</v>
      </c>
    </row>
    <row r="478" spans="18:31">
      <c r="R478" s="55" t="e">
        <f ca="1"/>
        <v>#N/A</v>
      </c>
      <c r="S478" s="55" t="e">
        <f t="shared" ca="1" si="91"/>
        <v>#N/A</v>
      </c>
      <c r="T478" s="55" t="e">
        <f t="shared" ca="1" si="92"/>
        <v>#N/A</v>
      </c>
      <c r="U478" s="55" t="e">
        <f t="shared" ca="1" si="93"/>
        <v>#N/A</v>
      </c>
      <c r="V478" s="55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3" t="e">
        <f ca="1"/>
        <v>#N/A</v>
      </c>
      <c r="AB478" s="55" t="e">
        <f t="shared" ca="1" si="99"/>
        <v>#N/A</v>
      </c>
      <c r="AC478" s="55" t="e">
        <f t="shared" ca="1" si="100"/>
        <v>#N/A</v>
      </c>
      <c r="AD478" s="55" t="e">
        <f t="shared" ca="1" si="101"/>
        <v>#N/A</v>
      </c>
      <c r="AE478" s="55" t="e">
        <f t="shared" ca="1" si="102"/>
        <v>#N/A</v>
      </c>
    </row>
    <row r="479" spans="18:31">
      <c r="R479" s="55" t="e">
        <f ca="1"/>
        <v>#N/A</v>
      </c>
      <c r="S479" s="55" t="e">
        <f t="shared" ca="1" si="91"/>
        <v>#N/A</v>
      </c>
      <c r="T479" s="55" t="e">
        <f t="shared" ca="1" si="92"/>
        <v>#N/A</v>
      </c>
      <c r="U479" s="55" t="e">
        <f t="shared" ca="1" si="93"/>
        <v>#N/A</v>
      </c>
      <c r="V479" s="55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3" t="e">
        <f ca="1"/>
        <v>#N/A</v>
      </c>
      <c r="AB479" s="55" t="e">
        <f t="shared" ca="1" si="99"/>
        <v>#N/A</v>
      </c>
      <c r="AC479" s="55" t="e">
        <f t="shared" ca="1" si="100"/>
        <v>#N/A</v>
      </c>
      <c r="AD479" s="55" t="e">
        <f t="shared" ca="1" si="101"/>
        <v>#N/A</v>
      </c>
      <c r="AE479" s="55" t="e">
        <f t="shared" ca="1" si="102"/>
        <v>#N/A</v>
      </c>
    </row>
    <row r="480" spans="18:31">
      <c r="R480" s="55" t="e">
        <f ca="1"/>
        <v>#N/A</v>
      </c>
      <c r="S480" s="55" t="e">
        <f t="shared" ca="1" si="91"/>
        <v>#N/A</v>
      </c>
      <c r="T480" s="55" t="e">
        <f t="shared" ca="1" si="92"/>
        <v>#N/A</v>
      </c>
      <c r="U480" s="55" t="e">
        <f t="shared" ca="1" si="93"/>
        <v>#N/A</v>
      </c>
      <c r="V480" s="55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3" t="e">
        <f ca="1"/>
        <v>#N/A</v>
      </c>
      <c r="AB480" s="55" t="e">
        <f t="shared" ca="1" si="99"/>
        <v>#N/A</v>
      </c>
      <c r="AC480" s="55" t="e">
        <f t="shared" ca="1" si="100"/>
        <v>#N/A</v>
      </c>
      <c r="AD480" s="55" t="e">
        <f t="shared" ca="1" si="101"/>
        <v>#N/A</v>
      </c>
      <c r="AE480" s="55" t="e">
        <f t="shared" ca="1" si="102"/>
        <v>#N/A</v>
      </c>
    </row>
    <row r="481" spans="18:31">
      <c r="R481" s="55" t="e">
        <f ca="1"/>
        <v>#N/A</v>
      </c>
      <c r="S481" s="55" t="e">
        <f t="shared" ca="1" si="91"/>
        <v>#N/A</v>
      </c>
      <c r="T481" s="55" t="e">
        <f t="shared" ca="1" si="92"/>
        <v>#N/A</v>
      </c>
      <c r="U481" s="55" t="e">
        <f t="shared" ca="1" si="93"/>
        <v>#N/A</v>
      </c>
      <c r="V481" s="55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3" t="e">
        <f ca="1"/>
        <v>#N/A</v>
      </c>
      <c r="AB481" s="55" t="e">
        <f t="shared" ca="1" si="99"/>
        <v>#N/A</v>
      </c>
      <c r="AC481" s="55" t="e">
        <f t="shared" ca="1" si="100"/>
        <v>#N/A</v>
      </c>
      <c r="AD481" s="55" t="e">
        <f t="shared" ca="1" si="101"/>
        <v>#N/A</v>
      </c>
      <c r="AE481" s="55" t="e">
        <f t="shared" ca="1" si="102"/>
        <v>#N/A</v>
      </c>
    </row>
    <row r="482" spans="18:31">
      <c r="R482" s="55" t="e">
        <f ca="1"/>
        <v>#N/A</v>
      </c>
      <c r="S482" s="55" t="e">
        <f t="shared" ca="1" si="91"/>
        <v>#N/A</v>
      </c>
      <c r="T482" s="55" t="e">
        <f t="shared" ca="1" si="92"/>
        <v>#N/A</v>
      </c>
      <c r="U482" s="55" t="e">
        <f t="shared" ca="1" si="93"/>
        <v>#N/A</v>
      </c>
      <c r="V482" s="55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3" t="e">
        <f ca="1"/>
        <v>#N/A</v>
      </c>
      <c r="AB482" s="55" t="e">
        <f t="shared" ca="1" si="99"/>
        <v>#N/A</v>
      </c>
      <c r="AC482" s="55" t="e">
        <f t="shared" ca="1" si="100"/>
        <v>#N/A</v>
      </c>
      <c r="AD482" s="55" t="e">
        <f t="shared" ca="1" si="101"/>
        <v>#N/A</v>
      </c>
      <c r="AE482" s="55" t="e">
        <f t="shared" ca="1" si="102"/>
        <v>#N/A</v>
      </c>
    </row>
    <row r="483" spans="18:31">
      <c r="R483" s="55" t="e">
        <f ca="1"/>
        <v>#N/A</v>
      </c>
      <c r="S483" s="55" t="e">
        <f t="shared" ca="1" si="91"/>
        <v>#N/A</v>
      </c>
      <c r="T483" s="55" t="e">
        <f t="shared" ca="1" si="92"/>
        <v>#N/A</v>
      </c>
      <c r="U483" s="55" t="e">
        <f t="shared" ca="1" si="93"/>
        <v>#N/A</v>
      </c>
      <c r="V483" s="55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3" t="e">
        <f ca="1"/>
        <v>#N/A</v>
      </c>
      <c r="AB483" s="55" t="e">
        <f t="shared" ca="1" si="99"/>
        <v>#N/A</v>
      </c>
      <c r="AC483" s="55" t="e">
        <f t="shared" ca="1" si="100"/>
        <v>#N/A</v>
      </c>
      <c r="AD483" s="55" t="e">
        <f t="shared" ca="1" si="101"/>
        <v>#N/A</v>
      </c>
      <c r="AE483" s="55" t="e">
        <f t="shared" ca="1" si="102"/>
        <v>#N/A</v>
      </c>
    </row>
    <row r="484" spans="18:31">
      <c r="R484" s="55" t="e">
        <f ca="1"/>
        <v>#N/A</v>
      </c>
      <c r="S484" s="55" t="e">
        <f t="shared" ca="1" si="91"/>
        <v>#N/A</v>
      </c>
      <c r="T484" s="55" t="e">
        <f t="shared" ca="1" si="92"/>
        <v>#N/A</v>
      </c>
      <c r="U484" s="55" t="e">
        <f t="shared" ca="1" si="93"/>
        <v>#N/A</v>
      </c>
      <c r="V484" s="55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3" t="e">
        <f ca="1"/>
        <v>#N/A</v>
      </c>
      <c r="AB484" s="55" t="e">
        <f t="shared" ca="1" si="99"/>
        <v>#N/A</v>
      </c>
      <c r="AC484" s="55" t="e">
        <f t="shared" ca="1" si="100"/>
        <v>#N/A</v>
      </c>
      <c r="AD484" s="55" t="e">
        <f t="shared" ca="1" si="101"/>
        <v>#N/A</v>
      </c>
      <c r="AE484" s="55" t="e">
        <f t="shared" ca="1" si="102"/>
        <v>#N/A</v>
      </c>
    </row>
    <row r="485" spans="18:31">
      <c r="R485" s="55" t="e">
        <f ca="1"/>
        <v>#N/A</v>
      </c>
      <c r="S485" s="55" t="e">
        <f t="shared" ca="1" si="91"/>
        <v>#N/A</v>
      </c>
      <c r="T485" s="55" t="e">
        <f t="shared" ca="1" si="92"/>
        <v>#N/A</v>
      </c>
      <c r="U485" s="55" t="e">
        <f t="shared" ca="1" si="93"/>
        <v>#N/A</v>
      </c>
      <c r="V485" s="55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3" t="e">
        <f ca="1"/>
        <v>#N/A</v>
      </c>
      <c r="AB485" s="55" t="e">
        <f t="shared" ca="1" si="99"/>
        <v>#N/A</v>
      </c>
      <c r="AC485" s="55" t="e">
        <f t="shared" ca="1" si="100"/>
        <v>#N/A</v>
      </c>
      <c r="AD485" s="55" t="e">
        <f t="shared" ca="1" si="101"/>
        <v>#N/A</v>
      </c>
      <c r="AE485" s="55" t="e">
        <f t="shared" ca="1" si="102"/>
        <v>#N/A</v>
      </c>
    </row>
    <row r="486" spans="18:31">
      <c r="R486" s="55" t="e">
        <f ca="1"/>
        <v>#N/A</v>
      </c>
      <c r="S486" s="55" t="e">
        <f t="shared" ca="1" si="91"/>
        <v>#N/A</v>
      </c>
      <c r="T486" s="55" t="e">
        <f t="shared" ca="1" si="92"/>
        <v>#N/A</v>
      </c>
      <c r="U486" s="55" t="e">
        <f t="shared" ca="1" si="93"/>
        <v>#N/A</v>
      </c>
      <c r="V486" s="55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3" t="e">
        <f ca="1"/>
        <v>#N/A</v>
      </c>
      <c r="AB486" s="55" t="e">
        <f t="shared" ca="1" si="99"/>
        <v>#N/A</v>
      </c>
      <c r="AC486" s="55" t="e">
        <f t="shared" ca="1" si="100"/>
        <v>#N/A</v>
      </c>
      <c r="AD486" s="55" t="e">
        <f t="shared" ca="1" si="101"/>
        <v>#N/A</v>
      </c>
      <c r="AE486" s="55" t="e">
        <f t="shared" ca="1" si="102"/>
        <v>#N/A</v>
      </c>
    </row>
    <row r="487" spans="18:31">
      <c r="R487" s="55" t="e">
        <f ca="1"/>
        <v>#N/A</v>
      </c>
      <c r="S487" s="55" t="e">
        <f t="shared" ca="1" si="91"/>
        <v>#N/A</v>
      </c>
      <c r="T487" s="55" t="e">
        <f t="shared" ca="1" si="92"/>
        <v>#N/A</v>
      </c>
      <c r="U487" s="55" t="e">
        <f t="shared" ca="1" si="93"/>
        <v>#N/A</v>
      </c>
      <c r="V487" s="55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3" t="e">
        <f ca="1"/>
        <v>#N/A</v>
      </c>
      <c r="AB487" s="55" t="e">
        <f t="shared" ca="1" si="99"/>
        <v>#N/A</v>
      </c>
      <c r="AC487" s="55" t="e">
        <f t="shared" ca="1" si="100"/>
        <v>#N/A</v>
      </c>
      <c r="AD487" s="55" t="e">
        <f t="shared" ca="1" si="101"/>
        <v>#N/A</v>
      </c>
      <c r="AE487" s="55" t="e">
        <f t="shared" ca="1" si="102"/>
        <v>#N/A</v>
      </c>
    </row>
    <row r="488" spans="18:31">
      <c r="R488" s="55" t="e">
        <f ca="1"/>
        <v>#N/A</v>
      </c>
      <c r="S488" s="55" t="e">
        <f t="shared" ca="1" si="91"/>
        <v>#N/A</v>
      </c>
      <c r="T488" s="55" t="e">
        <f t="shared" ca="1" si="92"/>
        <v>#N/A</v>
      </c>
      <c r="U488" s="55" t="e">
        <f t="shared" ca="1" si="93"/>
        <v>#N/A</v>
      </c>
      <c r="V488" s="55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3" t="e">
        <f ca="1"/>
        <v>#N/A</v>
      </c>
      <c r="AB488" s="55" t="e">
        <f t="shared" ca="1" si="99"/>
        <v>#N/A</v>
      </c>
      <c r="AC488" s="55" t="e">
        <f t="shared" ca="1" si="100"/>
        <v>#N/A</v>
      </c>
      <c r="AD488" s="55" t="e">
        <f t="shared" ca="1" si="101"/>
        <v>#N/A</v>
      </c>
      <c r="AE488" s="55" t="e">
        <f t="shared" ca="1" si="102"/>
        <v>#N/A</v>
      </c>
    </row>
    <row r="489" spans="18:31">
      <c r="R489" s="55" t="e">
        <f ca="1"/>
        <v>#N/A</v>
      </c>
      <c r="S489" s="55" t="e">
        <f t="shared" ca="1" si="91"/>
        <v>#N/A</v>
      </c>
      <c r="T489" s="55" t="e">
        <f t="shared" ca="1" si="92"/>
        <v>#N/A</v>
      </c>
      <c r="U489" s="55" t="e">
        <f t="shared" ca="1" si="93"/>
        <v>#N/A</v>
      </c>
      <c r="V489" s="55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3" t="e">
        <f ca="1"/>
        <v>#N/A</v>
      </c>
      <c r="AB489" s="55" t="e">
        <f t="shared" ca="1" si="99"/>
        <v>#N/A</v>
      </c>
      <c r="AC489" s="55" t="e">
        <f t="shared" ca="1" si="100"/>
        <v>#N/A</v>
      </c>
      <c r="AD489" s="55" t="e">
        <f t="shared" ca="1" si="101"/>
        <v>#N/A</v>
      </c>
      <c r="AE489" s="55" t="e">
        <f t="shared" ca="1" si="102"/>
        <v>#N/A</v>
      </c>
    </row>
    <row r="490" spans="18:31">
      <c r="R490" s="55" t="e">
        <f ca="1"/>
        <v>#N/A</v>
      </c>
      <c r="S490" s="55" t="e">
        <f t="shared" ca="1" si="91"/>
        <v>#N/A</v>
      </c>
      <c r="T490" s="55" t="e">
        <f t="shared" ca="1" si="92"/>
        <v>#N/A</v>
      </c>
      <c r="U490" s="55" t="e">
        <f t="shared" ca="1" si="93"/>
        <v>#N/A</v>
      </c>
      <c r="V490" s="55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3" t="e">
        <f ca="1"/>
        <v>#N/A</v>
      </c>
      <c r="AB490" s="55" t="e">
        <f t="shared" ca="1" si="99"/>
        <v>#N/A</v>
      </c>
      <c r="AC490" s="55" t="e">
        <f t="shared" ca="1" si="100"/>
        <v>#N/A</v>
      </c>
      <c r="AD490" s="55" t="e">
        <f t="shared" ca="1" si="101"/>
        <v>#N/A</v>
      </c>
      <c r="AE490" s="55" t="e">
        <f t="shared" ca="1" si="102"/>
        <v>#N/A</v>
      </c>
    </row>
    <row r="491" spans="18:31">
      <c r="R491" s="55" t="e">
        <f ca="1"/>
        <v>#N/A</v>
      </c>
      <c r="S491" s="55" t="e">
        <f t="shared" ca="1" si="91"/>
        <v>#N/A</v>
      </c>
      <c r="T491" s="55" t="e">
        <f t="shared" ca="1" si="92"/>
        <v>#N/A</v>
      </c>
      <c r="U491" s="55" t="e">
        <f t="shared" ca="1" si="93"/>
        <v>#N/A</v>
      </c>
      <c r="V491" s="55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3" t="e">
        <f ca="1"/>
        <v>#N/A</v>
      </c>
      <c r="AB491" s="55" t="e">
        <f t="shared" ca="1" si="99"/>
        <v>#N/A</v>
      </c>
      <c r="AC491" s="55" t="e">
        <f t="shared" ca="1" si="100"/>
        <v>#N/A</v>
      </c>
      <c r="AD491" s="55" t="e">
        <f t="shared" ca="1" si="101"/>
        <v>#N/A</v>
      </c>
      <c r="AE491" s="55" t="e">
        <f t="shared" ca="1" si="102"/>
        <v>#N/A</v>
      </c>
    </row>
    <row r="492" spans="18:31">
      <c r="R492" s="55" t="e">
        <f ca="1"/>
        <v>#N/A</v>
      </c>
      <c r="S492" s="55" t="e">
        <f t="shared" ca="1" si="91"/>
        <v>#N/A</v>
      </c>
      <c r="T492" s="55" t="e">
        <f t="shared" ca="1" si="92"/>
        <v>#N/A</v>
      </c>
      <c r="U492" s="55" t="e">
        <f t="shared" ca="1" si="93"/>
        <v>#N/A</v>
      </c>
      <c r="V492" s="55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3" t="e">
        <f ca="1"/>
        <v>#N/A</v>
      </c>
      <c r="AB492" s="55" t="e">
        <f t="shared" ca="1" si="99"/>
        <v>#N/A</v>
      </c>
      <c r="AC492" s="55" t="e">
        <f t="shared" ca="1" si="100"/>
        <v>#N/A</v>
      </c>
      <c r="AD492" s="55" t="e">
        <f t="shared" ca="1" si="101"/>
        <v>#N/A</v>
      </c>
      <c r="AE492" s="55" t="e">
        <f t="shared" ca="1" si="102"/>
        <v>#N/A</v>
      </c>
    </row>
    <row r="493" spans="18:31">
      <c r="R493" s="55" t="e">
        <f ca="1"/>
        <v>#N/A</v>
      </c>
      <c r="S493" s="55" t="e">
        <f t="shared" ca="1" si="91"/>
        <v>#N/A</v>
      </c>
      <c r="T493" s="55" t="e">
        <f t="shared" ca="1" si="92"/>
        <v>#N/A</v>
      </c>
      <c r="U493" s="55" t="e">
        <f t="shared" ca="1" si="93"/>
        <v>#N/A</v>
      </c>
      <c r="V493" s="55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3" t="e">
        <f ca="1"/>
        <v>#N/A</v>
      </c>
      <c r="AB493" s="55" t="e">
        <f t="shared" ca="1" si="99"/>
        <v>#N/A</v>
      </c>
      <c r="AC493" s="55" t="e">
        <f t="shared" ca="1" si="100"/>
        <v>#N/A</v>
      </c>
      <c r="AD493" s="55" t="e">
        <f t="shared" ca="1" si="101"/>
        <v>#N/A</v>
      </c>
      <c r="AE493" s="55" t="e">
        <f t="shared" ca="1" si="102"/>
        <v>#N/A</v>
      </c>
    </row>
    <row r="494" spans="18:31">
      <c r="R494" s="55" t="e">
        <f ca="1"/>
        <v>#N/A</v>
      </c>
      <c r="S494" s="55" t="e">
        <f t="shared" ca="1" si="91"/>
        <v>#N/A</v>
      </c>
      <c r="T494" s="55" t="e">
        <f t="shared" ca="1" si="92"/>
        <v>#N/A</v>
      </c>
      <c r="U494" s="55" t="e">
        <f t="shared" ca="1" si="93"/>
        <v>#N/A</v>
      </c>
      <c r="V494" s="55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3" t="e">
        <f ca="1"/>
        <v>#N/A</v>
      </c>
      <c r="AB494" s="55" t="e">
        <f t="shared" ca="1" si="99"/>
        <v>#N/A</v>
      </c>
      <c r="AC494" s="55" t="e">
        <f t="shared" ca="1" si="100"/>
        <v>#N/A</v>
      </c>
      <c r="AD494" s="55" t="e">
        <f t="shared" ca="1" si="101"/>
        <v>#N/A</v>
      </c>
      <c r="AE494" s="55" t="e">
        <f t="shared" ca="1" si="102"/>
        <v>#N/A</v>
      </c>
    </row>
    <row r="495" spans="18:31">
      <c r="R495" s="55" t="e">
        <f ca="1"/>
        <v>#N/A</v>
      </c>
      <c r="S495" s="55" t="e">
        <f t="shared" ca="1" si="91"/>
        <v>#N/A</v>
      </c>
      <c r="T495" s="55" t="e">
        <f t="shared" ca="1" si="92"/>
        <v>#N/A</v>
      </c>
      <c r="U495" s="55" t="e">
        <f t="shared" ca="1" si="93"/>
        <v>#N/A</v>
      </c>
      <c r="V495" s="55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3" t="e">
        <f ca="1"/>
        <v>#N/A</v>
      </c>
      <c r="AB495" s="55" t="e">
        <f t="shared" ca="1" si="99"/>
        <v>#N/A</v>
      </c>
      <c r="AC495" s="55" t="e">
        <f t="shared" ca="1" si="100"/>
        <v>#N/A</v>
      </c>
      <c r="AD495" s="55" t="e">
        <f t="shared" ca="1" si="101"/>
        <v>#N/A</v>
      </c>
      <c r="AE495" s="55" t="e">
        <f t="shared" ca="1" si="102"/>
        <v>#N/A</v>
      </c>
    </row>
    <row r="496" spans="18:31">
      <c r="R496" s="55" t="e">
        <f ca="1"/>
        <v>#N/A</v>
      </c>
      <c r="S496" s="55" t="e">
        <f t="shared" ca="1" si="91"/>
        <v>#N/A</v>
      </c>
      <c r="T496" s="55" t="e">
        <f t="shared" ca="1" si="92"/>
        <v>#N/A</v>
      </c>
      <c r="U496" s="55" t="e">
        <f t="shared" ca="1" si="93"/>
        <v>#N/A</v>
      </c>
      <c r="V496" s="55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3" t="e">
        <f ca="1"/>
        <v>#N/A</v>
      </c>
      <c r="AB496" s="55" t="e">
        <f t="shared" ca="1" si="99"/>
        <v>#N/A</v>
      </c>
      <c r="AC496" s="55" t="e">
        <f t="shared" ca="1" si="100"/>
        <v>#N/A</v>
      </c>
      <c r="AD496" s="55" t="e">
        <f t="shared" ca="1" si="101"/>
        <v>#N/A</v>
      </c>
      <c r="AE496" s="55" t="e">
        <f t="shared" ca="1" si="102"/>
        <v>#N/A</v>
      </c>
    </row>
    <row r="497" spans="18:31">
      <c r="R497" s="55" t="e">
        <f ca="1"/>
        <v>#N/A</v>
      </c>
      <c r="S497" s="55" t="e">
        <f t="shared" ca="1" si="91"/>
        <v>#N/A</v>
      </c>
      <c r="T497" s="55" t="e">
        <f t="shared" ca="1" si="92"/>
        <v>#N/A</v>
      </c>
      <c r="U497" s="55" t="e">
        <f t="shared" ca="1" si="93"/>
        <v>#N/A</v>
      </c>
      <c r="V497" s="55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3" t="e">
        <f ca="1"/>
        <v>#N/A</v>
      </c>
      <c r="AB497" s="55" t="e">
        <f t="shared" ca="1" si="99"/>
        <v>#N/A</v>
      </c>
      <c r="AC497" s="55" t="e">
        <f t="shared" ca="1" si="100"/>
        <v>#N/A</v>
      </c>
      <c r="AD497" s="55" t="e">
        <f t="shared" ca="1" si="101"/>
        <v>#N/A</v>
      </c>
      <c r="AE497" s="55" t="e">
        <f t="shared" ca="1" si="102"/>
        <v>#N/A</v>
      </c>
    </row>
    <row r="498" spans="18:31">
      <c r="R498" s="55" t="e">
        <f ca="1"/>
        <v>#N/A</v>
      </c>
      <c r="S498" s="55" t="e">
        <f t="shared" ca="1" si="91"/>
        <v>#N/A</v>
      </c>
      <c r="T498" s="55" t="e">
        <f t="shared" ca="1" si="92"/>
        <v>#N/A</v>
      </c>
      <c r="U498" s="55" t="e">
        <f t="shared" ca="1" si="93"/>
        <v>#N/A</v>
      </c>
      <c r="V498" s="55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3" t="e">
        <f ca="1"/>
        <v>#N/A</v>
      </c>
      <c r="AB498" s="55" t="e">
        <f t="shared" ca="1" si="99"/>
        <v>#N/A</v>
      </c>
      <c r="AC498" s="55" t="e">
        <f t="shared" ca="1" si="100"/>
        <v>#N/A</v>
      </c>
      <c r="AD498" s="55" t="e">
        <f t="shared" ca="1" si="101"/>
        <v>#N/A</v>
      </c>
      <c r="AE498" s="55" t="e">
        <f t="shared" ca="1" si="102"/>
        <v>#N/A</v>
      </c>
    </row>
    <row r="499" spans="18:31">
      <c r="R499" s="55" t="e">
        <f ca="1"/>
        <v>#N/A</v>
      </c>
      <c r="S499" s="55" t="e">
        <f t="shared" ca="1" si="91"/>
        <v>#N/A</v>
      </c>
      <c r="T499" s="55" t="e">
        <f t="shared" ca="1" si="92"/>
        <v>#N/A</v>
      </c>
      <c r="U499" s="55" t="e">
        <f t="shared" ca="1" si="93"/>
        <v>#N/A</v>
      </c>
      <c r="V499" s="55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3" t="e">
        <f ca="1"/>
        <v>#N/A</v>
      </c>
      <c r="AB499" s="55" t="e">
        <f t="shared" ca="1" si="99"/>
        <v>#N/A</v>
      </c>
      <c r="AC499" s="55" t="e">
        <f t="shared" ca="1" si="100"/>
        <v>#N/A</v>
      </c>
      <c r="AD499" s="55" t="e">
        <f t="shared" ca="1" si="101"/>
        <v>#N/A</v>
      </c>
      <c r="AE499" s="55" t="e">
        <f t="shared" ca="1" si="102"/>
        <v>#N/A</v>
      </c>
    </row>
    <row r="500" spans="18:31">
      <c r="R500" s="55" t="e">
        <f ca="1"/>
        <v>#N/A</v>
      </c>
      <c r="S500" s="55" t="e">
        <f t="shared" ca="1" si="91"/>
        <v>#N/A</v>
      </c>
      <c r="T500" s="55" t="e">
        <f t="shared" ca="1" si="92"/>
        <v>#N/A</v>
      </c>
      <c r="U500" s="55" t="e">
        <f t="shared" ca="1" si="93"/>
        <v>#N/A</v>
      </c>
      <c r="V500" s="55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3" t="e">
        <f ca="1"/>
        <v>#N/A</v>
      </c>
      <c r="AB500" s="55" t="e">
        <f t="shared" ca="1" si="99"/>
        <v>#N/A</v>
      </c>
      <c r="AC500" s="55" t="e">
        <f t="shared" ca="1" si="100"/>
        <v>#N/A</v>
      </c>
      <c r="AD500" s="55" t="e">
        <f t="shared" ca="1" si="101"/>
        <v>#N/A</v>
      </c>
      <c r="AE500" s="55" t="e">
        <f t="shared" ca="1" si="102"/>
        <v>#N/A</v>
      </c>
    </row>
    <row r="501" spans="18:31">
      <c r="R501" s="55" t="e">
        <f ca="1"/>
        <v>#N/A</v>
      </c>
      <c r="S501" s="55" t="e">
        <f t="shared" ca="1" si="91"/>
        <v>#N/A</v>
      </c>
      <c r="T501" s="55" t="e">
        <f t="shared" ca="1" si="92"/>
        <v>#N/A</v>
      </c>
      <c r="U501" s="55" t="e">
        <f t="shared" ca="1" si="93"/>
        <v>#N/A</v>
      </c>
      <c r="V501" s="55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3" t="e">
        <f ca="1"/>
        <v>#N/A</v>
      </c>
      <c r="AB501" s="55" t="e">
        <f t="shared" ca="1" si="99"/>
        <v>#N/A</v>
      </c>
      <c r="AC501" s="55" t="e">
        <f t="shared" ca="1" si="100"/>
        <v>#N/A</v>
      </c>
      <c r="AD501" s="55" t="e">
        <f t="shared" ca="1" si="101"/>
        <v>#N/A</v>
      </c>
      <c r="AE501" s="55" t="e">
        <f t="shared" ca="1" si="102"/>
        <v>#N/A</v>
      </c>
    </row>
    <row r="502" spans="18:31">
      <c r="R502" s="55" t="e">
        <f ca="1"/>
        <v>#N/A</v>
      </c>
      <c r="S502" s="55" t="e">
        <f t="shared" ca="1" si="91"/>
        <v>#N/A</v>
      </c>
      <c r="T502" s="55" t="e">
        <f t="shared" ca="1" si="92"/>
        <v>#N/A</v>
      </c>
      <c r="U502" s="55" t="e">
        <f t="shared" ca="1" si="93"/>
        <v>#N/A</v>
      </c>
      <c r="V502" s="55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3" t="e">
        <f ca="1"/>
        <v>#N/A</v>
      </c>
      <c r="AB502" s="55" t="e">
        <f t="shared" ca="1" si="99"/>
        <v>#N/A</v>
      </c>
      <c r="AC502" s="55" t="e">
        <f t="shared" ca="1" si="100"/>
        <v>#N/A</v>
      </c>
      <c r="AD502" s="55" t="e">
        <f t="shared" ca="1" si="101"/>
        <v>#N/A</v>
      </c>
      <c r="AE502" s="55" t="e">
        <f t="shared" ca="1" si="102"/>
        <v>#N/A</v>
      </c>
    </row>
    <row r="503" spans="18:31">
      <c r="R503" s="55" t="e">
        <f ca="1"/>
        <v>#N/A</v>
      </c>
      <c r="S503" s="55" t="e">
        <f t="shared" ca="1" si="91"/>
        <v>#N/A</v>
      </c>
      <c r="T503" s="55" t="e">
        <f t="shared" ca="1" si="92"/>
        <v>#N/A</v>
      </c>
      <c r="U503" s="55" t="e">
        <f t="shared" ca="1" si="93"/>
        <v>#N/A</v>
      </c>
      <c r="V503" s="55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3" t="e">
        <f ca="1"/>
        <v>#N/A</v>
      </c>
      <c r="AB503" s="55" t="e">
        <f t="shared" ca="1" si="99"/>
        <v>#N/A</v>
      </c>
      <c r="AC503" s="55" t="e">
        <f t="shared" ca="1" si="100"/>
        <v>#N/A</v>
      </c>
      <c r="AD503" s="55" t="e">
        <f t="shared" ca="1" si="101"/>
        <v>#N/A</v>
      </c>
      <c r="AE503" s="55" t="e">
        <f t="shared" ca="1" si="102"/>
        <v>#N/A</v>
      </c>
    </row>
    <row r="504" spans="18:31">
      <c r="R504" s="55" t="e">
        <f ca="1"/>
        <v>#N/A</v>
      </c>
      <c r="S504" s="55" t="e">
        <f t="shared" ca="1" si="91"/>
        <v>#N/A</v>
      </c>
      <c r="T504" s="55" t="e">
        <f t="shared" ca="1" si="92"/>
        <v>#N/A</v>
      </c>
      <c r="U504" s="55" t="e">
        <f t="shared" ca="1" si="93"/>
        <v>#N/A</v>
      </c>
      <c r="V504" s="55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3" t="e">
        <f ca="1"/>
        <v>#N/A</v>
      </c>
      <c r="AB504" s="55" t="e">
        <f t="shared" ca="1" si="99"/>
        <v>#N/A</v>
      </c>
      <c r="AC504" s="55" t="e">
        <f t="shared" ca="1" si="100"/>
        <v>#N/A</v>
      </c>
      <c r="AD504" s="55" t="e">
        <f t="shared" ca="1" si="101"/>
        <v>#N/A</v>
      </c>
      <c r="AE504" s="55" t="e">
        <f t="shared" ca="1" si="102"/>
        <v>#N/A</v>
      </c>
    </row>
    <row r="505" spans="18:31">
      <c r="R505" s="55" t="e">
        <f ca="1"/>
        <v>#N/A</v>
      </c>
      <c r="S505" s="55" t="e">
        <f t="shared" ca="1" si="91"/>
        <v>#N/A</v>
      </c>
      <c r="T505" s="55" t="e">
        <f t="shared" ca="1" si="92"/>
        <v>#N/A</v>
      </c>
      <c r="U505" s="55" t="e">
        <f t="shared" ca="1" si="93"/>
        <v>#N/A</v>
      </c>
      <c r="V505" s="55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3" t="e">
        <f ca="1"/>
        <v>#N/A</v>
      </c>
      <c r="AB505" s="55" t="e">
        <f t="shared" ca="1" si="99"/>
        <v>#N/A</v>
      </c>
      <c r="AC505" s="55" t="e">
        <f t="shared" ca="1" si="100"/>
        <v>#N/A</v>
      </c>
      <c r="AD505" s="55" t="e">
        <f t="shared" ca="1" si="101"/>
        <v>#N/A</v>
      </c>
      <c r="AE505" s="55" t="e">
        <f t="shared" ca="1" si="102"/>
        <v>#N/A</v>
      </c>
    </row>
    <row r="506" spans="18:31">
      <c r="R506" s="55" t="e">
        <f ca="1"/>
        <v>#N/A</v>
      </c>
      <c r="S506" s="55" t="e">
        <f t="shared" ca="1" si="91"/>
        <v>#N/A</v>
      </c>
      <c r="T506" s="55" t="e">
        <f t="shared" ca="1" si="92"/>
        <v>#N/A</v>
      </c>
      <c r="U506" s="55" t="e">
        <f t="shared" ca="1" si="93"/>
        <v>#N/A</v>
      </c>
      <c r="V506" s="55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3" t="e">
        <f ca="1"/>
        <v>#N/A</v>
      </c>
      <c r="AB506" s="55" t="e">
        <f t="shared" ca="1" si="99"/>
        <v>#N/A</v>
      </c>
      <c r="AC506" s="55" t="e">
        <f t="shared" ca="1" si="100"/>
        <v>#N/A</v>
      </c>
      <c r="AD506" s="55" t="e">
        <f t="shared" ca="1" si="101"/>
        <v>#N/A</v>
      </c>
      <c r="AE506" s="55" t="e">
        <f t="shared" ca="1" si="102"/>
        <v>#N/A</v>
      </c>
    </row>
    <row r="507" spans="18:31">
      <c r="R507" s="55" t="e">
        <f ca="1"/>
        <v>#N/A</v>
      </c>
      <c r="S507" s="55" t="e">
        <f t="shared" ca="1" si="91"/>
        <v>#N/A</v>
      </c>
      <c r="T507" s="55" t="e">
        <f t="shared" ca="1" si="92"/>
        <v>#N/A</v>
      </c>
      <c r="U507" s="55" t="e">
        <f t="shared" ca="1" si="93"/>
        <v>#N/A</v>
      </c>
      <c r="V507" s="55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3" t="e">
        <f ca="1"/>
        <v>#N/A</v>
      </c>
      <c r="AB507" s="55" t="e">
        <f t="shared" ca="1" si="99"/>
        <v>#N/A</v>
      </c>
      <c r="AC507" s="55" t="e">
        <f t="shared" ca="1" si="100"/>
        <v>#N/A</v>
      </c>
      <c r="AD507" s="55" t="e">
        <f t="shared" ca="1" si="101"/>
        <v>#N/A</v>
      </c>
      <c r="AE507" s="55" t="e">
        <f t="shared" ca="1" si="102"/>
        <v>#N/A</v>
      </c>
    </row>
    <row r="508" spans="18:31">
      <c r="R508" s="55" t="e">
        <f ca="1"/>
        <v>#N/A</v>
      </c>
      <c r="S508" s="55" t="e">
        <f t="shared" ca="1" si="91"/>
        <v>#N/A</v>
      </c>
      <c r="T508" s="55" t="e">
        <f t="shared" ca="1" si="92"/>
        <v>#N/A</v>
      </c>
      <c r="U508" s="55" t="e">
        <f t="shared" ca="1" si="93"/>
        <v>#N/A</v>
      </c>
      <c r="V508" s="55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3" t="e">
        <f ca="1"/>
        <v>#N/A</v>
      </c>
      <c r="AB508" s="55" t="e">
        <f t="shared" ca="1" si="99"/>
        <v>#N/A</v>
      </c>
      <c r="AC508" s="55" t="e">
        <f t="shared" ca="1" si="100"/>
        <v>#N/A</v>
      </c>
      <c r="AD508" s="55" t="e">
        <f t="shared" ca="1" si="101"/>
        <v>#N/A</v>
      </c>
      <c r="AE508" s="55" t="e">
        <f t="shared" ca="1" si="102"/>
        <v>#N/A</v>
      </c>
    </row>
    <row r="509" spans="18:31">
      <c r="R509" s="55" t="e">
        <f ca="1"/>
        <v>#N/A</v>
      </c>
      <c r="S509" s="55" t="e">
        <f t="shared" ca="1" si="91"/>
        <v>#N/A</v>
      </c>
      <c r="T509" s="55" t="e">
        <f t="shared" ca="1" si="92"/>
        <v>#N/A</v>
      </c>
      <c r="U509" s="55" t="e">
        <f t="shared" ca="1" si="93"/>
        <v>#N/A</v>
      </c>
      <c r="V509" s="55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3" t="e">
        <f ca="1"/>
        <v>#N/A</v>
      </c>
      <c r="AB509" s="55" t="e">
        <f t="shared" ca="1" si="99"/>
        <v>#N/A</v>
      </c>
      <c r="AC509" s="55" t="e">
        <f t="shared" ca="1" si="100"/>
        <v>#N/A</v>
      </c>
      <c r="AD509" s="55" t="e">
        <f t="shared" ca="1" si="101"/>
        <v>#N/A</v>
      </c>
      <c r="AE509" s="55" t="e">
        <f t="shared" ca="1" si="102"/>
        <v>#N/A</v>
      </c>
    </row>
    <row r="510" spans="18:31">
      <c r="R510" s="55" t="e">
        <f ca="1"/>
        <v>#N/A</v>
      </c>
      <c r="S510" s="55" t="e">
        <f t="shared" ca="1" si="91"/>
        <v>#N/A</v>
      </c>
      <c r="T510" s="55" t="e">
        <f t="shared" ca="1" si="92"/>
        <v>#N/A</v>
      </c>
      <c r="U510" s="55" t="e">
        <f t="shared" ca="1" si="93"/>
        <v>#N/A</v>
      </c>
      <c r="V510" s="55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3" t="e">
        <f ca="1"/>
        <v>#N/A</v>
      </c>
      <c r="AB510" s="55" t="e">
        <f t="shared" ca="1" si="99"/>
        <v>#N/A</v>
      </c>
      <c r="AC510" s="55" t="e">
        <f t="shared" ca="1" si="100"/>
        <v>#N/A</v>
      </c>
      <c r="AD510" s="55" t="e">
        <f t="shared" ca="1" si="101"/>
        <v>#N/A</v>
      </c>
      <c r="AE510" s="55" t="e">
        <f t="shared" ca="1" si="102"/>
        <v>#N/A</v>
      </c>
    </row>
    <row r="511" spans="18:31">
      <c r="R511" s="55" t="e">
        <f ca="1"/>
        <v>#N/A</v>
      </c>
      <c r="S511" s="55" t="e">
        <f t="shared" ca="1" si="91"/>
        <v>#N/A</v>
      </c>
      <c r="T511" s="55" t="e">
        <f t="shared" ca="1" si="92"/>
        <v>#N/A</v>
      </c>
      <c r="U511" s="55" t="e">
        <f t="shared" ca="1" si="93"/>
        <v>#N/A</v>
      </c>
      <c r="V511" s="55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3" t="e">
        <f ca="1"/>
        <v>#N/A</v>
      </c>
      <c r="AB511" s="55" t="e">
        <f t="shared" ca="1" si="99"/>
        <v>#N/A</v>
      </c>
      <c r="AC511" s="55" t="e">
        <f t="shared" ca="1" si="100"/>
        <v>#N/A</v>
      </c>
      <c r="AD511" s="55" t="e">
        <f t="shared" ca="1" si="101"/>
        <v>#N/A</v>
      </c>
      <c r="AE511" s="55" t="e">
        <f t="shared" ca="1" si="102"/>
        <v>#N/A</v>
      </c>
    </row>
    <row r="512" spans="18:31">
      <c r="R512" s="55" t="e">
        <f ca="1"/>
        <v>#N/A</v>
      </c>
      <c r="S512" s="55" t="e">
        <f t="shared" ca="1" si="91"/>
        <v>#N/A</v>
      </c>
      <c r="T512" s="55" t="e">
        <f t="shared" ca="1" si="92"/>
        <v>#N/A</v>
      </c>
      <c r="U512" s="55" t="e">
        <f t="shared" ca="1" si="93"/>
        <v>#N/A</v>
      </c>
      <c r="V512" s="55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3" t="e">
        <f ca="1"/>
        <v>#N/A</v>
      </c>
      <c r="AB512" s="55" t="e">
        <f t="shared" ca="1" si="99"/>
        <v>#N/A</v>
      </c>
      <c r="AC512" s="55" t="e">
        <f t="shared" ca="1" si="100"/>
        <v>#N/A</v>
      </c>
      <c r="AD512" s="55" t="e">
        <f t="shared" ca="1" si="101"/>
        <v>#N/A</v>
      </c>
      <c r="AE512" s="55" t="e">
        <f t="shared" ca="1" si="102"/>
        <v>#N/A</v>
      </c>
    </row>
    <row r="513" spans="18:31">
      <c r="R513" s="55" t="e">
        <f ca="1"/>
        <v>#N/A</v>
      </c>
      <c r="S513" s="55" t="e">
        <f t="shared" ca="1" si="91"/>
        <v>#N/A</v>
      </c>
      <c r="T513" s="55" t="e">
        <f t="shared" ca="1" si="92"/>
        <v>#N/A</v>
      </c>
      <c r="U513" s="55" t="e">
        <f t="shared" ca="1" si="93"/>
        <v>#N/A</v>
      </c>
      <c r="V513" s="55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3" t="e">
        <f ca="1"/>
        <v>#N/A</v>
      </c>
      <c r="AB513" s="55" t="e">
        <f t="shared" ca="1" si="99"/>
        <v>#N/A</v>
      </c>
      <c r="AC513" s="55" t="e">
        <f t="shared" ca="1" si="100"/>
        <v>#N/A</v>
      </c>
      <c r="AD513" s="55" t="e">
        <f t="shared" ca="1" si="101"/>
        <v>#N/A</v>
      </c>
      <c r="AE513" s="55" t="e">
        <f t="shared" ca="1" si="102"/>
        <v>#N/A</v>
      </c>
    </row>
    <row r="514" spans="18:31">
      <c r="R514" s="55" t="e">
        <f ca="1"/>
        <v>#N/A</v>
      </c>
      <c r="S514" s="55" t="e">
        <f t="shared" ca="1" si="91"/>
        <v>#N/A</v>
      </c>
      <c r="T514" s="55" t="e">
        <f t="shared" ca="1" si="92"/>
        <v>#N/A</v>
      </c>
      <c r="U514" s="55" t="e">
        <f t="shared" ca="1" si="93"/>
        <v>#N/A</v>
      </c>
      <c r="V514" s="55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3" t="e">
        <f ca="1"/>
        <v>#N/A</v>
      </c>
      <c r="AB514" s="55" t="e">
        <f t="shared" ca="1" si="99"/>
        <v>#N/A</v>
      </c>
      <c r="AC514" s="55" t="e">
        <f t="shared" ca="1" si="100"/>
        <v>#N/A</v>
      </c>
      <c r="AD514" s="55" t="e">
        <f t="shared" ca="1" si="101"/>
        <v>#N/A</v>
      </c>
      <c r="AE514" s="55" t="e">
        <f t="shared" ca="1" si="102"/>
        <v>#N/A</v>
      </c>
    </row>
    <row r="515" spans="18:31">
      <c r="R515" s="55" t="e">
        <f ca="1"/>
        <v>#N/A</v>
      </c>
      <c r="S515" s="55" t="e">
        <f t="shared" ca="1" si="91"/>
        <v>#N/A</v>
      </c>
      <c r="T515" s="55" t="e">
        <f t="shared" ca="1" si="92"/>
        <v>#N/A</v>
      </c>
      <c r="U515" s="55" t="e">
        <f t="shared" ca="1" si="93"/>
        <v>#N/A</v>
      </c>
      <c r="V515" s="55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3" t="e">
        <f ca="1"/>
        <v>#N/A</v>
      </c>
      <c r="AB515" s="55" t="e">
        <f t="shared" ca="1" si="99"/>
        <v>#N/A</v>
      </c>
      <c r="AC515" s="55" t="e">
        <f t="shared" ca="1" si="100"/>
        <v>#N/A</v>
      </c>
      <c r="AD515" s="55" t="e">
        <f t="shared" ca="1" si="101"/>
        <v>#N/A</v>
      </c>
      <c r="AE515" s="55" t="e">
        <f t="shared" ca="1" si="102"/>
        <v>#N/A</v>
      </c>
    </row>
    <row r="516" spans="18:31">
      <c r="R516" s="55" t="e">
        <f ca="1"/>
        <v>#N/A</v>
      </c>
      <c r="S516" s="55" t="e">
        <f t="shared" ca="1" si="91"/>
        <v>#N/A</v>
      </c>
      <c r="T516" s="55" t="e">
        <f t="shared" ca="1" si="92"/>
        <v>#N/A</v>
      </c>
      <c r="U516" s="55" t="e">
        <f t="shared" ca="1" si="93"/>
        <v>#N/A</v>
      </c>
      <c r="V516" s="55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3" t="e">
        <f ca="1"/>
        <v>#N/A</v>
      </c>
      <c r="AB516" s="55" t="e">
        <f t="shared" ca="1" si="99"/>
        <v>#N/A</v>
      </c>
      <c r="AC516" s="55" t="e">
        <f t="shared" ca="1" si="100"/>
        <v>#N/A</v>
      </c>
      <c r="AD516" s="55" t="e">
        <f t="shared" ca="1" si="101"/>
        <v>#N/A</v>
      </c>
      <c r="AE516" s="55" t="e">
        <f t="shared" ca="1" si="102"/>
        <v>#N/A</v>
      </c>
    </row>
    <row r="517" spans="18:31">
      <c r="R517" s="55" t="e">
        <f ca="1"/>
        <v>#N/A</v>
      </c>
      <c r="S517" s="55" t="e">
        <f t="shared" ca="1" si="91"/>
        <v>#N/A</v>
      </c>
      <c r="T517" s="55" t="e">
        <f t="shared" ca="1" si="92"/>
        <v>#N/A</v>
      </c>
      <c r="U517" s="55" t="e">
        <f t="shared" ca="1" si="93"/>
        <v>#N/A</v>
      </c>
      <c r="V517" s="55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3" t="e">
        <f ca="1"/>
        <v>#N/A</v>
      </c>
      <c r="AB517" s="55" t="e">
        <f t="shared" ca="1" si="99"/>
        <v>#N/A</v>
      </c>
      <c r="AC517" s="55" t="e">
        <f t="shared" ca="1" si="100"/>
        <v>#N/A</v>
      </c>
      <c r="AD517" s="55" t="e">
        <f t="shared" ca="1" si="101"/>
        <v>#N/A</v>
      </c>
      <c r="AE517" s="55" t="e">
        <f t="shared" ca="1" si="102"/>
        <v>#N/A</v>
      </c>
    </row>
    <row r="518" spans="18:31">
      <c r="R518" s="55" t="e">
        <f ca="1"/>
        <v>#N/A</v>
      </c>
      <c r="S518" s="55" t="e">
        <f t="shared" ca="1" si="91"/>
        <v>#N/A</v>
      </c>
      <c r="T518" s="55" t="e">
        <f t="shared" ca="1" si="92"/>
        <v>#N/A</v>
      </c>
      <c r="U518" s="55" t="e">
        <f t="shared" ca="1" si="93"/>
        <v>#N/A</v>
      </c>
      <c r="V518" s="55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3" t="e">
        <f ca="1"/>
        <v>#N/A</v>
      </c>
      <c r="AB518" s="55" t="e">
        <f t="shared" ca="1" si="99"/>
        <v>#N/A</v>
      </c>
      <c r="AC518" s="55" t="e">
        <f t="shared" ca="1" si="100"/>
        <v>#N/A</v>
      </c>
      <c r="AD518" s="55" t="e">
        <f t="shared" ca="1" si="101"/>
        <v>#N/A</v>
      </c>
      <c r="AE518" s="55" t="e">
        <f t="shared" ca="1" si="102"/>
        <v>#N/A</v>
      </c>
    </row>
    <row r="519" spans="18:31">
      <c r="R519" s="55" t="e">
        <f ca="1"/>
        <v>#N/A</v>
      </c>
      <c r="S519" s="55" t="e">
        <f t="shared" ca="1" si="91"/>
        <v>#N/A</v>
      </c>
      <c r="T519" s="55" t="e">
        <f t="shared" ca="1" si="92"/>
        <v>#N/A</v>
      </c>
      <c r="U519" s="55" t="e">
        <f t="shared" ca="1" si="93"/>
        <v>#N/A</v>
      </c>
      <c r="V519" s="55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3" t="e">
        <f ca="1"/>
        <v>#N/A</v>
      </c>
      <c r="AB519" s="55" t="e">
        <f t="shared" ca="1" si="99"/>
        <v>#N/A</v>
      </c>
      <c r="AC519" s="55" t="e">
        <f t="shared" ca="1" si="100"/>
        <v>#N/A</v>
      </c>
      <c r="AD519" s="55" t="e">
        <f t="shared" ca="1" si="101"/>
        <v>#N/A</v>
      </c>
      <c r="AE519" s="55" t="e">
        <f t="shared" ca="1" si="102"/>
        <v>#N/A</v>
      </c>
    </row>
    <row r="520" spans="18:31">
      <c r="R520" s="55" t="e">
        <f ca="1"/>
        <v>#N/A</v>
      </c>
      <c r="S520" s="55" t="e">
        <f t="shared" ca="1" si="91"/>
        <v>#N/A</v>
      </c>
      <c r="T520" s="55" t="e">
        <f t="shared" ca="1" si="92"/>
        <v>#N/A</v>
      </c>
      <c r="U520" s="55" t="e">
        <f t="shared" ca="1" si="93"/>
        <v>#N/A</v>
      </c>
      <c r="V520" s="55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3" t="e">
        <f ca="1"/>
        <v>#N/A</v>
      </c>
      <c r="AB520" s="55" t="e">
        <f t="shared" ca="1" si="99"/>
        <v>#N/A</v>
      </c>
      <c r="AC520" s="55" t="e">
        <f t="shared" ca="1" si="100"/>
        <v>#N/A</v>
      </c>
      <c r="AD520" s="55" t="e">
        <f t="shared" ca="1" si="101"/>
        <v>#N/A</v>
      </c>
      <c r="AE520" s="55" t="e">
        <f t="shared" ca="1" si="102"/>
        <v>#N/A</v>
      </c>
    </row>
    <row r="521" spans="18:31">
      <c r="R521" s="55" t="e">
        <f ca="1"/>
        <v>#N/A</v>
      </c>
      <c r="S521" s="55" t="e">
        <f t="shared" ca="1" si="91"/>
        <v>#N/A</v>
      </c>
      <c r="T521" s="55" t="e">
        <f t="shared" ca="1" si="92"/>
        <v>#N/A</v>
      </c>
      <c r="U521" s="55" t="e">
        <f t="shared" ca="1" si="93"/>
        <v>#N/A</v>
      </c>
      <c r="V521" s="55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3" t="e">
        <f ca="1"/>
        <v>#N/A</v>
      </c>
      <c r="AB521" s="55" t="e">
        <f t="shared" ca="1" si="99"/>
        <v>#N/A</v>
      </c>
      <c r="AC521" s="55" t="e">
        <f t="shared" ca="1" si="100"/>
        <v>#N/A</v>
      </c>
      <c r="AD521" s="55" t="e">
        <f t="shared" ca="1" si="101"/>
        <v>#N/A</v>
      </c>
      <c r="AE521" s="55" t="e">
        <f t="shared" ca="1" si="102"/>
        <v>#N/A</v>
      </c>
    </row>
    <row r="522" spans="18:31">
      <c r="R522" s="55" t="e">
        <f ca="1"/>
        <v>#N/A</v>
      </c>
      <c r="S522" s="55" t="e">
        <f t="shared" ca="1" si="91"/>
        <v>#N/A</v>
      </c>
      <c r="T522" s="55" t="e">
        <f t="shared" ca="1" si="92"/>
        <v>#N/A</v>
      </c>
      <c r="U522" s="55" t="e">
        <f t="shared" ca="1" si="93"/>
        <v>#N/A</v>
      </c>
      <c r="V522" s="55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3" t="e">
        <f ca="1"/>
        <v>#N/A</v>
      </c>
      <c r="AB522" s="55" t="e">
        <f t="shared" ca="1" si="99"/>
        <v>#N/A</v>
      </c>
      <c r="AC522" s="55" t="e">
        <f t="shared" ca="1" si="100"/>
        <v>#N/A</v>
      </c>
      <c r="AD522" s="55" t="e">
        <f t="shared" ca="1" si="101"/>
        <v>#N/A</v>
      </c>
      <c r="AE522" s="55" t="e">
        <f t="shared" ca="1" si="102"/>
        <v>#N/A</v>
      </c>
    </row>
    <row r="523" spans="18:31">
      <c r="R523" s="55" t="e">
        <f ca="1"/>
        <v>#N/A</v>
      </c>
      <c r="S523" s="55" t="e">
        <f t="shared" ca="1" si="91"/>
        <v>#N/A</v>
      </c>
      <c r="T523" s="55" t="e">
        <f t="shared" ca="1" si="92"/>
        <v>#N/A</v>
      </c>
      <c r="U523" s="55" t="e">
        <f t="shared" ca="1" si="93"/>
        <v>#N/A</v>
      </c>
      <c r="V523" s="55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3" t="e">
        <f ca="1"/>
        <v>#N/A</v>
      </c>
      <c r="AB523" s="55" t="e">
        <f t="shared" ca="1" si="99"/>
        <v>#N/A</v>
      </c>
      <c r="AC523" s="55" t="e">
        <f t="shared" ca="1" si="100"/>
        <v>#N/A</v>
      </c>
      <c r="AD523" s="55" t="e">
        <f t="shared" ca="1" si="101"/>
        <v>#N/A</v>
      </c>
      <c r="AE523" s="55" t="e">
        <f t="shared" ca="1" si="102"/>
        <v>#N/A</v>
      </c>
    </row>
    <row r="524" spans="18:31">
      <c r="R524" s="55" t="e">
        <f ca="1"/>
        <v>#N/A</v>
      </c>
      <c r="S524" s="55" t="e">
        <f t="shared" ref="S524:S587" ca="1" si="103">IF(R524&gt;1,R524,"")</f>
        <v>#N/A</v>
      </c>
      <c r="T524" s="55" t="e">
        <f t="shared" ref="T524:T587" ca="1" si="104">VLOOKUP(S524,ModelOutputs,2,FALSE)</f>
        <v>#N/A</v>
      </c>
      <c r="U524" s="55" t="e">
        <f t="shared" ref="U524:U587" ca="1" si="105">VLOOKUP(S524,ModelOutputs,7,FALSE)</f>
        <v>#N/A</v>
      </c>
      <c r="V524" s="55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3" t="e">
        <f ca="1"/>
        <v>#N/A</v>
      </c>
      <c r="AB524" s="55" t="e">
        <f t="shared" ref="AB524:AB587" ca="1" si="111">IF(AA524&gt;1,AA524,"")</f>
        <v>#N/A</v>
      </c>
      <c r="AC524" s="55" t="e">
        <f t="shared" ref="AC524:AC587" ca="1" si="112">VLOOKUP(AB524,ModelOutputs,2,FALSE)</f>
        <v>#N/A</v>
      </c>
      <c r="AD524" s="55" t="e">
        <f t="shared" ref="AD524:AD587" ca="1" si="113">VLOOKUP(AB524,ModelOutputs,7,FALSE)</f>
        <v>#N/A</v>
      </c>
      <c r="AE524" s="55" t="e">
        <f t="shared" ref="AE524:AE587" ca="1" si="114">VLOOKUP(AB524,ModelOutputs,6,FALSE)</f>
        <v>#N/A</v>
      </c>
    </row>
    <row r="525" spans="18:31">
      <c r="R525" s="55" t="e">
        <f ca="1"/>
        <v>#N/A</v>
      </c>
      <c r="S525" s="55" t="e">
        <f t="shared" ca="1" si="103"/>
        <v>#N/A</v>
      </c>
      <c r="T525" s="55" t="e">
        <f t="shared" ca="1" si="104"/>
        <v>#N/A</v>
      </c>
      <c r="U525" s="55" t="e">
        <f t="shared" ca="1" si="105"/>
        <v>#N/A</v>
      </c>
      <c r="V525" s="55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3" t="e">
        <f ca="1"/>
        <v>#N/A</v>
      </c>
      <c r="AB525" s="55" t="e">
        <f t="shared" ca="1" si="111"/>
        <v>#N/A</v>
      </c>
      <c r="AC525" s="55" t="e">
        <f t="shared" ca="1" si="112"/>
        <v>#N/A</v>
      </c>
      <c r="AD525" s="55" t="e">
        <f t="shared" ca="1" si="113"/>
        <v>#N/A</v>
      </c>
      <c r="AE525" s="55" t="e">
        <f t="shared" ca="1" si="114"/>
        <v>#N/A</v>
      </c>
    </row>
    <row r="526" spans="18:31">
      <c r="R526" s="55" t="e">
        <f ca="1"/>
        <v>#N/A</v>
      </c>
      <c r="S526" s="55" t="e">
        <f t="shared" ca="1" si="103"/>
        <v>#N/A</v>
      </c>
      <c r="T526" s="55" t="e">
        <f t="shared" ca="1" si="104"/>
        <v>#N/A</v>
      </c>
      <c r="U526" s="55" t="e">
        <f t="shared" ca="1" si="105"/>
        <v>#N/A</v>
      </c>
      <c r="V526" s="55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3" t="e">
        <f ca="1"/>
        <v>#N/A</v>
      </c>
      <c r="AB526" s="55" t="e">
        <f t="shared" ca="1" si="111"/>
        <v>#N/A</v>
      </c>
      <c r="AC526" s="55" t="e">
        <f t="shared" ca="1" si="112"/>
        <v>#N/A</v>
      </c>
      <c r="AD526" s="55" t="e">
        <f t="shared" ca="1" si="113"/>
        <v>#N/A</v>
      </c>
      <c r="AE526" s="55" t="e">
        <f t="shared" ca="1" si="114"/>
        <v>#N/A</v>
      </c>
    </row>
    <row r="527" spans="18:31">
      <c r="R527" s="55" t="e">
        <f ca="1"/>
        <v>#N/A</v>
      </c>
      <c r="S527" s="55" t="e">
        <f t="shared" ca="1" si="103"/>
        <v>#N/A</v>
      </c>
      <c r="T527" s="55" t="e">
        <f t="shared" ca="1" si="104"/>
        <v>#N/A</v>
      </c>
      <c r="U527" s="55" t="e">
        <f t="shared" ca="1" si="105"/>
        <v>#N/A</v>
      </c>
      <c r="V527" s="55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3" t="e">
        <f ca="1"/>
        <v>#N/A</v>
      </c>
      <c r="AB527" s="55" t="e">
        <f t="shared" ca="1" si="111"/>
        <v>#N/A</v>
      </c>
      <c r="AC527" s="55" t="e">
        <f t="shared" ca="1" si="112"/>
        <v>#N/A</v>
      </c>
      <c r="AD527" s="55" t="e">
        <f t="shared" ca="1" si="113"/>
        <v>#N/A</v>
      </c>
      <c r="AE527" s="55" t="e">
        <f t="shared" ca="1" si="114"/>
        <v>#N/A</v>
      </c>
    </row>
    <row r="528" spans="18:31">
      <c r="R528" s="55" t="e">
        <f ca="1"/>
        <v>#N/A</v>
      </c>
      <c r="S528" s="55" t="e">
        <f t="shared" ca="1" si="103"/>
        <v>#N/A</v>
      </c>
      <c r="T528" s="55" t="e">
        <f t="shared" ca="1" si="104"/>
        <v>#N/A</v>
      </c>
      <c r="U528" s="55" t="e">
        <f t="shared" ca="1" si="105"/>
        <v>#N/A</v>
      </c>
      <c r="V528" s="55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3" t="e">
        <f ca="1"/>
        <v>#N/A</v>
      </c>
      <c r="AB528" s="55" t="e">
        <f t="shared" ca="1" si="111"/>
        <v>#N/A</v>
      </c>
      <c r="AC528" s="55" t="e">
        <f t="shared" ca="1" si="112"/>
        <v>#N/A</v>
      </c>
      <c r="AD528" s="55" t="e">
        <f t="shared" ca="1" si="113"/>
        <v>#N/A</v>
      </c>
      <c r="AE528" s="55" t="e">
        <f t="shared" ca="1" si="114"/>
        <v>#N/A</v>
      </c>
    </row>
    <row r="529" spans="18:31">
      <c r="R529" s="55" t="e">
        <f ca="1"/>
        <v>#N/A</v>
      </c>
      <c r="S529" s="55" t="e">
        <f t="shared" ca="1" si="103"/>
        <v>#N/A</v>
      </c>
      <c r="T529" s="55" t="e">
        <f t="shared" ca="1" si="104"/>
        <v>#N/A</v>
      </c>
      <c r="U529" s="55" t="e">
        <f t="shared" ca="1" si="105"/>
        <v>#N/A</v>
      </c>
      <c r="V529" s="55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3" t="e">
        <f ca="1"/>
        <v>#N/A</v>
      </c>
      <c r="AB529" s="55" t="e">
        <f t="shared" ca="1" si="111"/>
        <v>#N/A</v>
      </c>
      <c r="AC529" s="55" t="e">
        <f t="shared" ca="1" si="112"/>
        <v>#N/A</v>
      </c>
      <c r="AD529" s="55" t="e">
        <f t="shared" ca="1" si="113"/>
        <v>#N/A</v>
      </c>
      <c r="AE529" s="55" t="e">
        <f t="shared" ca="1" si="114"/>
        <v>#N/A</v>
      </c>
    </row>
    <row r="530" spans="18:31">
      <c r="R530" s="55" t="e">
        <f ca="1"/>
        <v>#N/A</v>
      </c>
      <c r="S530" s="55" t="e">
        <f t="shared" ca="1" si="103"/>
        <v>#N/A</v>
      </c>
      <c r="T530" s="55" t="e">
        <f t="shared" ca="1" si="104"/>
        <v>#N/A</v>
      </c>
      <c r="U530" s="55" t="e">
        <f t="shared" ca="1" si="105"/>
        <v>#N/A</v>
      </c>
      <c r="V530" s="55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3" t="e">
        <f ca="1"/>
        <v>#N/A</v>
      </c>
      <c r="AB530" s="55" t="e">
        <f t="shared" ca="1" si="111"/>
        <v>#N/A</v>
      </c>
      <c r="AC530" s="55" t="e">
        <f t="shared" ca="1" si="112"/>
        <v>#N/A</v>
      </c>
      <c r="AD530" s="55" t="e">
        <f t="shared" ca="1" si="113"/>
        <v>#N/A</v>
      </c>
      <c r="AE530" s="55" t="e">
        <f t="shared" ca="1" si="114"/>
        <v>#N/A</v>
      </c>
    </row>
    <row r="531" spans="18:31">
      <c r="R531" s="55" t="e">
        <f ca="1"/>
        <v>#N/A</v>
      </c>
      <c r="S531" s="55" t="e">
        <f t="shared" ca="1" si="103"/>
        <v>#N/A</v>
      </c>
      <c r="T531" s="55" t="e">
        <f t="shared" ca="1" si="104"/>
        <v>#N/A</v>
      </c>
      <c r="U531" s="55" t="e">
        <f t="shared" ca="1" si="105"/>
        <v>#N/A</v>
      </c>
      <c r="V531" s="55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3" t="e">
        <f ca="1"/>
        <v>#N/A</v>
      </c>
      <c r="AB531" s="55" t="e">
        <f t="shared" ca="1" si="111"/>
        <v>#N/A</v>
      </c>
      <c r="AC531" s="55" t="e">
        <f t="shared" ca="1" si="112"/>
        <v>#N/A</v>
      </c>
      <c r="AD531" s="55" t="e">
        <f t="shared" ca="1" si="113"/>
        <v>#N/A</v>
      </c>
      <c r="AE531" s="55" t="e">
        <f t="shared" ca="1" si="114"/>
        <v>#N/A</v>
      </c>
    </row>
    <row r="532" spans="18:31">
      <c r="R532" s="55" t="e">
        <f ca="1"/>
        <v>#N/A</v>
      </c>
      <c r="S532" s="55" t="e">
        <f t="shared" ca="1" si="103"/>
        <v>#N/A</v>
      </c>
      <c r="T532" s="55" t="e">
        <f t="shared" ca="1" si="104"/>
        <v>#N/A</v>
      </c>
      <c r="U532" s="55" t="e">
        <f t="shared" ca="1" si="105"/>
        <v>#N/A</v>
      </c>
      <c r="V532" s="55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3" t="e">
        <f ca="1"/>
        <v>#N/A</v>
      </c>
      <c r="AB532" s="55" t="e">
        <f t="shared" ca="1" si="111"/>
        <v>#N/A</v>
      </c>
      <c r="AC532" s="55" t="e">
        <f t="shared" ca="1" si="112"/>
        <v>#N/A</v>
      </c>
      <c r="AD532" s="55" t="e">
        <f t="shared" ca="1" si="113"/>
        <v>#N/A</v>
      </c>
      <c r="AE532" s="55" t="e">
        <f t="shared" ca="1" si="114"/>
        <v>#N/A</v>
      </c>
    </row>
    <row r="533" spans="18:31">
      <c r="R533" s="55" t="e">
        <f ca="1"/>
        <v>#N/A</v>
      </c>
      <c r="S533" s="55" t="e">
        <f t="shared" ca="1" si="103"/>
        <v>#N/A</v>
      </c>
      <c r="T533" s="55" t="e">
        <f t="shared" ca="1" si="104"/>
        <v>#N/A</v>
      </c>
      <c r="U533" s="55" t="e">
        <f t="shared" ca="1" si="105"/>
        <v>#N/A</v>
      </c>
      <c r="V533" s="55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3" t="e">
        <f ca="1"/>
        <v>#N/A</v>
      </c>
      <c r="AB533" s="55" t="e">
        <f t="shared" ca="1" si="111"/>
        <v>#N/A</v>
      </c>
      <c r="AC533" s="55" t="e">
        <f t="shared" ca="1" si="112"/>
        <v>#N/A</v>
      </c>
      <c r="AD533" s="55" t="e">
        <f t="shared" ca="1" si="113"/>
        <v>#N/A</v>
      </c>
      <c r="AE533" s="55" t="e">
        <f t="shared" ca="1" si="114"/>
        <v>#N/A</v>
      </c>
    </row>
    <row r="534" spans="18:31">
      <c r="R534" s="55" t="e">
        <f ca="1"/>
        <v>#N/A</v>
      </c>
      <c r="S534" s="55" t="e">
        <f t="shared" ca="1" si="103"/>
        <v>#N/A</v>
      </c>
      <c r="T534" s="55" t="e">
        <f t="shared" ca="1" si="104"/>
        <v>#N/A</v>
      </c>
      <c r="U534" s="55" t="e">
        <f t="shared" ca="1" si="105"/>
        <v>#N/A</v>
      </c>
      <c r="V534" s="55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3" t="e">
        <f ca="1"/>
        <v>#N/A</v>
      </c>
      <c r="AB534" s="55" t="e">
        <f t="shared" ca="1" si="111"/>
        <v>#N/A</v>
      </c>
      <c r="AC534" s="55" t="e">
        <f t="shared" ca="1" si="112"/>
        <v>#N/A</v>
      </c>
      <c r="AD534" s="55" t="e">
        <f t="shared" ca="1" si="113"/>
        <v>#N/A</v>
      </c>
      <c r="AE534" s="55" t="e">
        <f t="shared" ca="1" si="114"/>
        <v>#N/A</v>
      </c>
    </row>
    <row r="535" spans="18:31">
      <c r="R535" s="55" t="e">
        <f ca="1"/>
        <v>#N/A</v>
      </c>
      <c r="S535" s="55" t="e">
        <f t="shared" ca="1" si="103"/>
        <v>#N/A</v>
      </c>
      <c r="T535" s="55" t="e">
        <f t="shared" ca="1" si="104"/>
        <v>#N/A</v>
      </c>
      <c r="U535" s="55" t="e">
        <f t="shared" ca="1" si="105"/>
        <v>#N/A</v>
      </c>
      <c r="V535" s="55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3" t="e">
        <f ca="1"/>
        <v>#N/A</v>
      </c>
      <c r="AB535" s="55" t="e">
        <f t="shared" ca="1" si="111"/>
        <v>#N/A</v>
      </c>
      <c r="AC535" s="55" t="e">
        <f t="shared" ca="1" si="112"/>
        <v>#N/A</v>
      </c>
      <c r="AD535" s="55" t="e">
        <f t="shared" ca="1" si="113"/>
        <v>#N/A</v>
      </c>
      <c r="AE535" s="55" t="e">
        <f t="shared" ca="1" si="114"/>
        <v>#N/A</v>
      </c>
    </row>
    <row r="536" spans="18:31">
      <c r="R536" s="55" t="e">
        <f ca="1"/>
        <v>#N/A</v>
      </c>
      <c r="S536" s="55" t="e">
        <f t="shared" ca="1" si="103"/>
        <v>#N/A</v>
      </c>
      <c r="T536" s="55" t="e">
        <f t="shared" ca="1" si="104"/>
        <v>#N/A</v>
      </c>
      <c r="U536" s="55" t="e">
        <f t="shared" ca="1" si="105"/>
        <v>#N/A</v>
      </c>
      <c r="V536" s="55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3" t="e">
        <f ca="1"/>
        <v>#N/A</v>
      </c>
      <c r="AB536" s="55" t="e">
        <f t="shared" ca="1" si="111"/>
        <v>#N/A</v>
      </c>
      <c r="AC536" s="55" t="e">
        <f t="shared" ca="1" si="112"/>
        <v>#N/A</v>
      </c>
      <c r="AD536" s="55" t="e">
        <f t="shared" ca="1" si="113"/>
        <v>#N/A</v>
      </c>
      <c r="AE536" s="55" t="e">
        <f t="shared" ca="1" si="114"/>
        <v>#N/A</v>
      </c>
    </row>
    <row r="537" spans="18:31">
      <c r="R537" s="55" t="e">
        <f ca="1"/>
        <v>#N/A</v>
      </c>
      <c r="S537" s="55" t="e">
        <f t="shared" ca="1" si="103"/>
        <v>#N/A</v>
      </c>
      <c r="T537" s="55" t="e">
        <f t="shared" ca="1" si="104"/>
        <v>#N/A</v>
      </c>
      <c r="U537" s="55" t="e">
        <f t="shared" ca="1" si="105"/>
        <v>#N/A</v>
      </c>
      <c r="V537" s="55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3" t="e">
        <f ca="1"/>
        <v>#N/A</v>
      </c>
      <c r="AB537" s="55" t="e">
        <f t="shared" ca="1" si="111"/>
        <v>#N/A</v>
      </c>
      <c r="AC537" s="55" t="e">
        <f t="shared" ca="1" si="112"/>
        <v>#N/A</v>
      </c>
      <c r="AD537" s="55" t="e">
        <f t="shared" ca="1" si="113"/>
        <v>#N/A</v>
      </c>
      <c r="AE537" s="55" t="e">
        <f t="shared" ca="1" si="114"/>
        <v>#N/A</v>
      </c>
    </row>
    <row r="538" spans="18:31">
      <c r="R538" s="55" t="e">
        <f ca="1"/>
        <v>#N/A</v>
      </c>
      <c r="S538" s="55" t="e">
        <f t="shared" ca="1" si="103"/>
        <v>#N/A</v>
      </c>
      <c r="T538" s="55" t="e">
        <f t="shared" ca="1" si="104"/>
        <v>#N/A</v>
      </c>
      <c r="U538" s="55" t="e">
        <f t="shared" ca="1" si="105"/>
        <v>#N/A</v>
      </c>
      <c r="V538" s="55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3" t="e">
        <f ca="1"/>
        <v>#N/A</v>
      </c>
      <c r="AB538" s="55" t="e">
        <f t="shared" ca="1" si="111"/>
        <v>#N/A</v>
      </c>
      <c r="AC538" s="55" t="e">
        <f t="shared" ca="1" si="112"/>
        <v>#N/A</v>
      </c>
      <c r="AD538" s="55" t="e">
        <f t="shared" ca="1" si="113"/>
        <v>#N/A</v>
      </c>
      <c r="AE538" s="55" t="e">
        <f t="shared" ca="1" si="114"/>
        <v>#N/A</v>
      </c>
    </row>
    <row r="539" spans="18:31">
      <c r="R539" s="55" t="e">
        <f ca="1"/>
        <v>#N/A</v>
      </c>
      <c r="S539" s="55" t="e">
        <f t="shared" ca="1" si="103"/>
        <v>#N/A</v>
      </c>
      <c r="T539" s="55" t="e">
        <f t="shared" ca="1" si="104"/>
        <v>#N/A</v>
      </c>
      <c r="U539" s="55" t="e">
        <f t="shared" ca="1" si="105"/>
        <v>#N/A</v>
      </c>
      <c r="V539" s="55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3" t="e">
        <f ca="1"/>
        <v>#N/A</v>
      </c>
      <c r="AB539" s="55" t="e">
        <f t="shared" ca="1" si="111"/>
        <v>#N/A</v>
      </c>
      <c r="AC539" s="55" t="e">
        <f t="shared" ca="1" si="112"/>
        <v>#N/A</v>
      </c>
      <c r="AD539" s="55" t="e">
        <f t="shared" ca="1" si="113"/>
        <v>#N/A</v>
      </c>
      <c r="AE539" s="55" t="e">
        <f t="shared" ca="1" si="114"/>
        <v>#N/A</v>
      </c>
    </row>
    <row r="540" spans="18:31">
      <c r="R540" s="55" t="e">
        <f ca="1"/>
        <v>#N/A</v>
      </c>
      <c r="S540" s="55" t="e">
        <f t="shared" ca="1" si="103"/>
        <v>#N/A</v>
      </c>
      <c r="T540" s="55" t="e">
        <f t="shared" ca="1" si="104"/>
        <v>#N/A</v>
      </c>
      <c r="U540" s="55" t="e">
        <f t="shared" ca="1" si="105"/>
        <v>#N/A</v>
      </c>
      <c r="V540" s="55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3" t="e">
        <f ca="1"/>
        <v>#N/A</v>
      </c>
      <c r="AB540" s="55" t="e">
        <f t="shared" ca="1" si="111"/>
        <v>#N/A</v>
      </c>
      <c r="AC540" s="55" t="e">
        <f t="shared" ca="1" si="112"/>
        <v>#N/A</v>
      </c>
      <c r="AD540" s="55" t="e">
        <f t="shared" ca="1" si="113"/>
        <v>#N/A</v>
      </c>
      <c r="AE540" s="55" t="e">
        <f t="shared" ca="1" si="114"/>
        <v>#N/A</v>
      </c>
    </row>
    <row r="541" spans="18:31">
      <c r="R541" s="55" t="e">
        <f ca="1"/>
        <v>#N/A</v>
      </c>
      <c r="S541" s="55" t="e">
        <f t="shared" ca="1" si="103"/>
        <v>#N/A</v>
      </c>
      <c r="T541" s="55" t="e">
        <f t="shared" ca="1" si="104"/>
        <v>#N/A</v>
      </c>
      <c r="U541" s="55" t="e">
        <f t="shared" ca="1" si="105"/>
        <v>#N/A</v>
      </c>
      <c r="V541" s="55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3" t="e">
        <f ca="1"/>
        <v>#N/A</v>
      </c>
      <c r="AB541" s="55" t="e">
        <f t="shared" ca="1" si="111"/>
        <v>#N/A</v>
      </c>
      <c r="AC541" s="55" t="e">
        <f t="shared" ca="1" si="112"/>
        <v>#N/A</v>
      </c>
      <c r="AD541" s="55" t="e">
        <f t="shared" ca="1" si="113"/>
        <v>#N/A</v>
      </c>
      <c r="AE541" s="55" t="e">
        <f t="shared" ca="1" si="114"/>
        <v>#N/A</v>
      </c>
    </row>
    <row r="542" spans="18:31">
      <c r="R542" s="55" t="e">
        <f ca="1"/>
        <v>#N/A</v>
      </c>
      <c r="S542" s="55" t="e">
        <f t="shared" ca="1" si="103"/>
        <v>#N/A</v>
      </c>
      <c r="T542" s="55" t="e">
        <f t="shared" ca="1" si="104"/>
        <v>#N/A</v>
      </c>
      <c r="U542" s="55" t="e">
        <f t="shared" ca="1" si="105"/>
        <v>#N/A</v>
      </c>
      <c r="V542" s="55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3" t="e">
        <f ca="1"/>
        <v>#N/A</v>
      </c>
      <c r="AB542" s="55" t="e">
        <f t="shared" ca="1" si="111"/>
        <v>#N/A</v>
      </c>
      <c r="AC542" s="55" t="e">
        <f t="shared" ca="1" si="112"/>
        <v>#N/A</v>
      </c>
      <c r="AD542" s="55" t="e">
        <f t="shared" ca="1" si="113"/>
        <v>#N/A</v>
      </c>
      <c r="AE542" s="55" t="e">
        <f t="shared" ca="1" si="114"/>
        <v>#N/A</v>
      </c>
    </row>
    <row r="543" spans="18:31">
      <c r="R543" s="55" t="e">
        <f ca="1"/>
        <v>#N/A</v>
      </c>
      <c r="S543" s="55" t="e">
        <f t="shared" ca="1" si="103"/>
        <v>#N/A</v>
      </c>
      <c r="T543" s="55" t="e">
        <f t="shared" ca="1" si="104"/>
        <v>#N/A</v>
      </c>
      <c r="U543" s="55" t="e">
        <f t="shared" ca="1" si="105"/>
        <v>#N/A</v>
      </c>
      <c r="V543" s="55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3" t="e">
        <f ca="1"/>
        <v>#N/A</v>
      </c>
      <c r="AB543" s="55" t="e">
        <f t="shared" ca="1" si="111"/>
        <v>#N/A</v>
      </c>
      <c r="AC543" s="55" t="e">
        <f t="shared" ca="1" si="112"/>
        <v>#N/A</v>
      </c>
      <c r="AD543" s="55" t="e">
        <f t="shared" ca="1" si="113"/>
        <v>#N/A</v>
      </c>
      <c r="AE543" s="55" t="e">
        <f t="shared" ca="1" si="114"/>
        <v>#N/A</v>
      </c>
    </row>
    <row r="544" spans="18:31">
      <c r="R544" s="55" t="e">
        <f ca="1"/>
        <v>#N/A</v>
      </c>
      <c r="S544" s="55" t="e">
        <f t="shared" ca="1" si="103"/>
        <v>#N/A</v>
      </c>
      <c r="T544" s="55" t="e">
        <f t="shared" ca="1" si="104"/>
        <v>#N/A</v>
      </c>
      <c r="U544" s="55" t="e">
        <f t="shared" ca="1" si="105"/>
        <v>#N/A</v>
      </c>
      <c r="V544" s="55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3" t="e">
        <f ca="1"/>
        <v>#N/A</v>
      </c>
      <c r="AB544" s="55" t="e">
        <f t="shared" ca="1" si="111"/>
        <v>#N/A</v>
      </c>
      <c r="AC544" s="55" t="e">
        <f t="shared" ca="1" si="112"/>
        <v>#N/A</v>
      </c>
      <c r="AD544" s="55" t="e">
        <f t="shared" ca="1" si="113"/>
        <v>#N/A</v>
      </c>
      <c r="AE544" s="55" t="e">
        <f t="shared" ca="1" si="114"/>
        <v>#N/A</v>
      </c>
    </row>
    <row r="545" spans="18:31">
      <c r="R545" s="55" t="e">
        <f ca="1"/>
        <v>#N/A</v>
      </c>
      <c r="S545" s="55" t="e">
        <f t="shared" ca="1" si="103"/>
        <v>#N/A</v>
      </c>
      <c r="T545" s="55" t="e">
        <f t="shared" ca="1" si="104"/>
        <v>#N/A</v>
      </c>
      <c r="U545" s="55" t="e">
        <f t="shared" ca="1" si="105"/>
        <v>#N/A</v>
      </c>
      <c r="V545" s="55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3" t="e">
        <f ca="1"/>
        <v>#N/A</v>
      </c>
      <c r="AB545" s="55" t="e">
        <f t="shared" ca="1" si="111"/>
        <v>#N/A</v>
      </c>
      <c r="AC545" s="55" t="e">
        <f t="shared" ca="1" si="112"/>
        <v>#N/A</v>
      </c>
      <c r="AD545" s="55" t="e">
        <f t="shared" ca="1" si="113"/>
        <v>#N/A</v>
      </c>
      <c r="AE545" s="55" t="e">
        <f t="shared" ca="1" si="114"/>
        <v>#N/A</v>
      </c>
    </row>
    <row r="546" spans="18:31">
      <c r="R546" s="55" t="e">
        <f ca="1"/>
        <v>#N/A</v>
      </c>
      <c r="S546" s="55" t="e">
        <f t="shared" ca="1" si="103"/>
        <v>#N/A</v>
      </c>
      <c r="T546" s="55" t="e">
        <f t="shared" ca="1" si="104"/>
        <v>#N/A</v>
      </c>
      <c r="U546" s="55" t="e">
        <f t="shared" ca="1" si="105"/>
        <v>#N/A</v>
      </c>
      <c r="V546" s="55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3" t="e">
        <f ca="1"/>
        <v>#N/A</v>
      </c>
      <c r="AB546" s="55" t="e">
        <f t="shared" ca="1" si="111"/>
        <v>#N/A</v>
      </c>
      <c r="AC546" s="55" t="e">
        <f t="shared" ca="1" si="112"/>
        <v>#N/A</v>
      </c>
      <c r="AD546" s="55" t="e">
        <f t="shared" ca="1" si="113"/>
        <v>#N/A</v>
      </c>
      <c r="AE546" s="55" t="e">
        <f t="shared" ca="1" si="114"/>
        <v>#N/A</v>
      </c>
    </row>
    <row r="547" spans="18:31">
      <c r="R547" s="55" t="e">
        <f ca="1"/>
        <v>#N/A</v>
      </c>
      <c r="S547" s="55" t="e">
        <f t="shared" ca="1" si="103"/>
        <v>#N/A</v>
      </c>
      <c r="T547" s="55" t="e">
        <f t="shared" ca="1" si="104"/>
        <v>#N/A</v>
      </c>
      <c r="U547" s="55" t="e">
        <f t="shared" ca="1" si="105"/>
        <v>#N/A</v>
      </c>
      <c r="V547" s="55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3" t="e">
        <f ca="1"/>
        <v>#N/A</v>
      </c>
      <c r="AB547" s="55" t="e">
        <f t="shared" ca="1" si="111"/>
        <v>#N/A</v>
      </c>
      <c r="AC547" s="55" t="e">
        <f t="shared" ca="1" si="112"/>
        <v>#N/A</v>
      </c>
      <c r="AD547" s="55" t="e">
        <f t="shared" ca="1" si="113"/>
        <v>#N/A</v>
      </c>
      <c r="AE547" s="55" t="e">
        <f t="shared" ca="1" si="114"/>
        <v>#N/A</v>
      </c>
    </row>
    <row r="548" spans="18:31">
      <c r="R548" s="55" t="e">
        <f ca="1"/>
        <v>#N/A</v>
      </c>
      <c r="S548" s="55" t="e">
        <f t="shared" ca="1" si="103"/>
        <v>#N/A</v>
      </c>
      <c r="T548" s="55" t="e">
        <f t="shared" ca="1" si="104"/>
        <v>#N/A</v>
      </c>
      <c r="U548" s="55" t="e">
        <f t="shared" ca="1" si="105"/>
        <v>#N/A</v>
      </c>
      <c r="V548" s="55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3" t="e">
        <f ca="1"/>
        <v>#N/A</v>
      </c>
      <c r="AB548" s="55" t="e">
        <f t="shared" ca="1" si="111"/>
        <v>#N/A</v>
      </c>
      <c r="AC548" s="55" t="e">
        <f t="shared" ca="1" si="112"/>
        <v>#N/A</v>
      </c>
      <c r="AD548" s="55" t="e">
        <f t="shared" ca="1" si="113"/>
        <v>#N/A</v>
      </c>
      <c r="AE548" s="55" t="e">
        <f t="shared" ca="1" si="114"/>
        <v>#N/A</v>
      </c>
    </row>
    <row r="549" spans="18:31">
      <c r="R549" s="55" t="e">
        <f ca="1"/>
        <v>#N/A</v>
      </c>
      <c r="S549" s="55" t="e">
        <f t="shared" ca="1" si="103"/>
        <v>#N/A</v>
      </c>
      <c r="T549" s="55" t="e">
        <f t="shared" ca="1" si="104"/>
        <v>#N/A</v>
      </c>
      <c r="U549" s="55" t="e">
        <f t="shared" ca="1" si="105"/>
        <v>#N/A</v>
      </c>
      <c r="V549" s="55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3" t="e">
        <f ca="1"/>
        <v>#N/A</v>
      </c>
      <c r="AB549" s="55" t="e">
        <f t="shared" ca="1" si="111"/>
        <v>#N/A</v>
      </c>
      <c r="AC549" s="55" t="e">
        <f t="shared" ca="1" si="112"/>
        <v>#N/A</v>
      </c>
      <c r="AD549" s="55" t="e">
        <f t="shared" ca="1" si="113"/>
        <v>#N/A</v>
      </c>
      <c r="AE549" s="55" t="e">
        <f t="shared" ca="1" si="114"/>
        <v>#N/A</v>
      </c>
    </row>
    <row r="550" spans="18:31">
      <c r="R550" s="55" t="e">
        <f ca="1"/>
        <v>#N/A</v>
      </c>
      <c r="S550" s="55" t="e">
        <f t="shared" ca="1" si="103"/>
        <v>#N/A</v>
      </c>
      <c r="T550" s="55" t="e">
        <f t="shared" ca="1" si="104"/>
        <v>#N/A</v>
      </c>
      <c r="U550" s="55" t="e">
        <f t="shared" ca="1" si="105"/>
        <v>#N/A</v>
      </c>
      <c r="V550" s="55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3" t="e">
        <f ca="1"/>
        <v>#N/A</v>
      </c>
      <c r="AB550" s="55" t="e">
        <f t="shared" ca="1" si="111"/>
        <v>#N/A</v>
      </c>
      <c r="AC550" s="55" t="e">
        <f t="shared" ca="1" si="112"/>
        <v>#N/A</v>
      </c>
      <c r="AD550" s="55" t="e">
        <f t="shared" ca="1" si="113"/>
        <v>#N/A</v>
      </c>
      <c r="AE550" s="55" t="e">
        <f t="shared" ca="1" si="114"/>
        <v>#N/A</v>
      </c>
    </row>
    <row r="551" spans="18:31">
      <c r="R551" s="55" t="e">
        <f ca="1"/>
        <v>#N/A</v>
      </c>
      <c r="S551" s="55" t="e">
        <f t="shared" ca="1" si="103"/>
        <v>#N/A</v>
      </c>
      <c r="T551" s="55" t="e">
        <f t="shared" ca="1" si="104"/>
        <v>#N/A</v>
      </c>
      <c r="U551" s="55" t="e">
        <f t="shared" ca="1" si="105"/>
        <v>#N/A</v>
      </c>
      <c r="V551" s="55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3" t="e">
        <f ca="1"/>
        <v>#N/A</v>
      </c>
      <c r="AB551" s="55" t="e">
        <f t="shared" ca="1" si="111"/>
        <v>#N/A</v>
      </c>
      <c r="AC551" s="55" t="e">
        <f t="shared" ca="1" si="112"/>
        <v>#N/A</v>
      </c>
      <c r="AD551" s="55" t="e">
        <f t="shared" ca="1" si="113"/>
        <v>#N/A</v>
      </c>
      <c r="AE551" s="55" t="e">
        <f t="shared" ca="1" si="114"/>
        <v>#N/A</v>
      </c>
    </row>
    <row r="552" spans="18:31">
      <c r="R552" s="55" t="e">
        <f ca="1"/>
        <v>#N/A</v>
      </c>
      <c r="S552" s="55" t="e">
        <f t="shared" ca="1" si="103"/>
        <v>#N/A</v>
      </c>
      <c r="T552" s="55" t="e">
        <f t="shared" ca="1" si="104"/>
        <v>#N/A</v>
      </c>
      <c r="U552" s="55" t="e">
        <f t="shared" ca="1" si="105"/>
        <v>#N/A</v>
      </c>
      <c r="V552" s="55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3" t="e">
        <f ca="1"/>
        <v>#N/A</v>
      </c>
      <c r="AB552" s="55" t="e">
        <f t="shared" ca="1" si="111"/>
        <v>#N/A</v>
      </c>
      <c r="AC552" s="55" t="e">
        <f t="shared" ca="1" si="112"/>
        <v>#N/A</v>
      </c>
      <c r="AD552" s="55" t="e">
        <f t="shared" ca="1" si="113"/>
        <v>#N/A</v>
      </c>
      <c r="AE552" s="55" t="e">
        <f t="shared" ca="1" si="114"/>
        <v>#N/A</v>
      </c>
    </row>
    <row r="553" spans="18:31">
      <c r="R553" s="55" t="e">
        <f ca="1"/>
        <v>#N/A</v>
      </c>
      <c r="S553" s="55" t="e">
        <f t="shared" ca="1" si="103"/>
        <v>#N/A</v>
      </c>
      <c r="T553" s="55" t="e">
        <f t="shared" ca="1" si="104"/>
        <v>#N/A</v>
      </c>
      <c r="U553" s="55" t="e">
        <f t="shared" ca="1" si="105"/>
        <v>#N/A</v>
      </c>
      <c r="V553" s="55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3" t="e">
        <f ca="1"/>
        <v>#N/A</v>
      </c>
      <c r="AB553" s="55" t="e">
        <f t="shared" ca="1" si="111"/>
        <v>#N/A</v>
      </c>
      <c r="AC553" s="55" t="e">
        <f t="shared" ca="1" si="112"/>
        <v>#N/A</v>
      </c>
      <c r="AD553" s="55" t="e">
        <f t="shared" ca="1" si="113"/>
        <v>#N/A</v>
      </c>
      <c r="AE553" s="55" t="e">
        <f t="shared" ca="1" si="114"/>
        <v>#N/A</v>
      </c>
    </row>
    <row r="554" spans="18:31">
      <c r="R554" s="55" t="e">
        <f ca="1"/>
        <v>#N/A</v>
      </c>
      <c r="S554" s="55" t="e">
        <f t="shared" ca="1" si="103"/>
        <v>#N/A</v>
      </c>
      <c r="T554" s="55" t="e">
        <f t="shared" ca="1" si="104"/>
        <v>#N/A</v>
      </c>
      <c r="U554" s="55" t="e">
        <f t="shared" ca="1" si="105"/>
        <v>#N/A</v>
      </c>
      <c r="V554" s="55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3" t="e">
        <f ca="1"/>
        <v>#N/A</v>
      </c>
      <c r="AB554" s="55" t="e">
        <f t="shared" ca="1" si="111"/>
        <v>#N/A</v>
      </c>
      <c r="AC554" s="55" t="e">
        <f t="shared" ca="1" si="112"/>
        <v>#N/A</v>
      </c>
      <c r="AD554" s="55" t="e">
        <f t="shared" ca="1" si="113"/>
        <v>#N/A</v>
      </c>
      <c r="AE554" s="55" t="e">
        <f t="shared" ca="1" si="114"/>
        <v>#N/A</v>
      </c>
    </row>
    <row r="555" spans="18:31">
      <c r="R555" s="55" t="e">
        <f ca="1"/>
        <v>#N/A</v>
      </c>
      <c r="S555" s="55" t="e">
        <f t="shared" ca="1" si="103"/>
        <v>#N/A</v>
      </c>
      <c r="T555" s="55" t="e">
        <f t="shared" ca="1" si="104"/>
        <v>#N/A</v>
      </c>
      <c r="U555" s="55" t="e">
        <f t="shared" ca="1" si="105"/>
        <v>#N/A</v>
      </c>
      <c r="V555" s="55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3" t="e">
        <f ca="1"/>
        <v>#N/A</v>
      </c>
      <c r="AB555" s="55" t="e">
        <f t="shared" ca="1" si="111"/>
        <v>#N/A</v>
      </c>
      <c r="AC555" s="55" t="e">
        <f t="shared" ca="1" si="112"/>
        <v>#N/A</v>
      </c>
      <c r="AD555" s="55" t="e">
        <f t="shared" ca="1" si="113"/>
        <v>#N/A</v>
      </c>
      <c r="AE555" s="55" t="e">
        <f t="shared" ca="1" si="114"/>
        <v>#N/A</v>
      </c>
    </row>
    <row r="556" spans="18:31">
      <c r="R556" s="55" t="e">
        <f ca="1"/>
        <v>#N/A</v>
      </c>
      <c r="S556" s="55" t="e">
        <f t="shared" ca="1" si="103"/>
        <v>#N/A</v>
      </c>
      <c r="T556" s="55" t="e">
        <f t="shared" ca="1" si="104"/>
        <v>#N/A</v>
      </c>
      <c r="U556" s="55" t="e">
        <f t="shared" ca="1" si="105"/>
        <v>#N/A</v>
      </c>
      <c r="V556" s="55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3" t="e">
        <f ca="1"/>
        <v>#N/A</v>
      </c>
      <c r="AB556" s="55" t="e">
        <f t="shared" ca="1" si="111"/>
        <v>#N/A</v>
      </c>
      <c r="AC556" s="55" t="e">
        <f t="shared" ca="1" si="112"/>
        <v>#N/A</v>
      </c>
      <c r="AD556" s="55" t="e">
        <f t="shared" ca="1" si="113"/>
        <v>#N/A</v>
      </c>
      <c r="AE556" s="55" t="e">
        <f t="shared" ca="1" si="114"/>
        <v>#N/A</v>
      </c>
    </row>
    <row r="557" spans="18:31">
      <c r="R557" s="55" t="e">
        <f ca="1"/>
        <v>#N/A</v>
      </c>
      <c r="S557" s="55" t="e">
        <f t="shared" ca="1" si="103"/>
        <v>#N/A</v>
      </c>
      <c r="T557" s="55" t="e">
        <f t="shared" ca="1" si="104"/>
        <v>#N/A</v>
      </c>
      <c r="U557" s="55" t="e">
        <f t="shared" ca="1" si="105"/>
        <v>#N/A</v>
      </c>
      <c r="V557" s="55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3" t="e">
        <f ca="1"/>
        <v>#N/A</v>
      </c>
      <c r="AB557" s="55" t="e">
        <f t="shared" ca="1" si="111"/>
        <v>#N/A</v>
      </c>
      <c r="AC557" s="55" t="e">
        <f t="shared" ca="1" si="112"/>
        <v>#N/A</v>
      </c>
      <c r="AD557" s="55" t="e">
        <f t="shared" ca="1" si="113"/>
        <v>#N/A</v>
      </c>
      <c r="AE557" s="55" t="e">
        <f t="shared" ca="1" si="114"/>
        <v>#N/A</v>
      </c>
    </row>
    <row r="558" spans="18:31">
      <c r="R558" s="55" t="e">
        <f ca="1"/>
        <v>#N/A</v>
      </c>
      <c r="S558" s="55" t="e">
        <f t="shared" ca="1" si="103"/>
        <v>#N/A</v>
      </c>
      <c r="T558" s="55" t="e">
        <f t="shared" ca="1" si="104"/>
        <v>#N/A</v>
      </c>
      <c r="U558" s="55" t="e">
        <f t="shared" ca="1" si="105"/>
        <v>#N/A</v>
      </c>
      <c r="V558" s="55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3" t="e">
        <f ca="1"/>
        <v>#N/A</v>
      </c>
      <c r="AB558" s="55" t="e">
        <f t="shared" ca="1" si="111"/>
        <v>#N/A</v>
      </c>
      <c r="AC558" s="55" t="e">
        <f t="shared" ca="1" si="112"/>
        <v>#N/A</v>
      </c>
      <c r="AD558" s="55" t="e">
        <f t="shared" ca="1" si="113"/>
        <v>#N/A</v>
      </c>
      <c r="AE558" s="55" t="e">
        <f t="shared" ca="1" si="114"/>
        <v>#N/A</v>
      </c>
    </row>
    <row r="559" spans="18:31">
      <c r="R559" s="55" t="e">
        <f ca="1"/>
        <v>#N/A</v>
      </c>
      <c r="S559" s="55" t="e">
        <f t="shared" ca="1" si="103"/>
        <v>#N/A</v>
      </c>
      <c r="T559" s="55" t="e">
        <f t="shared" ca="1" si="104"/>
        <v>#N/A</v>
      </c>
      <c r="U559" s="55" t="e">
        <f t="shared" ca="1" si="105"/>
        <v>#N/A</v>
      </c>
      <c r="V559" s="55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3" t="e">
        <f ca="1"/>
        <v>#N/A</v>
      </c>
      <c r="AB559" s="55" t="e">
        <f t="shared" ca="1" si="111"/>
        <v>#N/A</v>
      </c>
      <c r="AC559" s="55" t="e">
        <f t="shared" ca="1" si="112"/>
        <v>#N/A</v>
      </c>
      <c r="AD559" s="55" t="e">
        <f t="shared" ca="1" si="113"/>
        <v>#N/A</v>
      </c>
      <c r="AE559" s="55" t="e">
        <f t="shared" ca="1" si="114"/>
        <v>#N/A</v>
      </c>
    </row>
    <row r="560" spans="18:31">
      <c r="R560" s="55" t="e">
        <f ca="1"/>
        <v>#N/A</v>
      </c>
      <c r="S560" s="55" t="e">
        <f t="shared" ca="1" si="103"/>
        <v>#N/A</v>
      </c>
      <c r="T560" s="55" t="e">
        <f t="shared" ca="1" si="104"/>
        <v>#N/A</v>
      </c>
      <c r="U560" s="55" t="e">
        <f t="shared" ca="1" si="105"/>
        <v>#N/A</v>
      </c>
      <c r="V560" s="55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3" t="e">
        <f ca="1"/>
        <v>#N/A</v>
      </c>
      <c r="AB560" s="55" t="e">
        <f t="shared" ca="1" si="111"/>
        <v>#N/A</v>
      </c>
      <c r="AC560" s="55" t="e">
        <f t="shared" ca="1" si="112"/>
        <v>#N/A</v>
      </c>
      <c r="AD560" s="55" t="e">
        <f t="shared" ca="1" si="113"/>
        <v>#N/A</v>
      </c>
      <c r="AE560" s="55" t="e">
        <f t="shared" ca="1" si="114"/>
        <v>#N/A</v>
      </c>
    </row>
    <row r="561" spans="18:31">
      <c r="R561" s="55" t="e">
        <f ca="1"/>
        <v>#N/A</v>
      </c>
      <c r="S561" s="55" t="e">
        <f t="shared" ca="1" si="103"/>
        <v>#N/A</v>
      </c>
      <c r="T561" s="55" t="e">
        <f t="shared" ca="1" si="104"/>
        <v>#N/A</v>
      </c>
      <c r="U561" s="55" t="e">
        <f t="shared" ca="1" si="105"/>
        <v>#N/A</v>
      </c>
      <c r="V561" s="55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3" t="e">
        <f ca="1"/>
        <v>#N/A</v>
      </c>
      <c r="AB561" s="55" t="e">
        <f t="shared" ca="1" si="111"/>
        <v>#N/A</v>
      </c>
      <c r="AC561" s="55" t="e">
        <f t="shared" ca="1" si="112"/>
        <v>#N/A</v>
      </c>
      <c r="AD561" s="55" t="e">
        <f t="shared" ca="1" si="113"/>
        <v>#N/A</v>
      </c>
      <c r="AE561" s="55" t="e">
        <f t="shared" ca="1" si="114"/>
        <v>#N/A</v>
      </c>
    </row>
    <row r="562" spans="18:31">
      <c r="R562" s="55" t="e">
        <f ca="1"/>
        <v>#N/A</v>
      </c>
      <c r="S562" s="55" t="e">
        <f t="shared" ca="1" si="103"/>
        <v>#N/A</v>
      </c>
      <c r="T562" s="55" t="e">
        <f t="shared" ca="1" si="104"/>
        <v>#N/A</v>
      </c>
      <c r="U562" s="55" t="e">
        <f t="shared" ca="1" si="105"/>
        <v>#N/A</v>
      </c>
      <c r="V562" s="55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3" t="e">
        <f ca="1"/>
        <v>#N/A</v>
      </c>
      <c r="AB562" s="55" t="e">
        <f t="shared" ca="1" si="111"/>
        <v>#N/A</v>
      </c>
      <c r="AC562" s="55" t="e">
        <f t="shared" ca="1" si="112"/>
        <v>#N/A</v>
      </c>
      <c r="AD562" s="55" t="e">
        <f t="shared" ca="1" si="113"/>
        <v>#N/A</v>
      </c>
      <c r="AE562" s="55" t="e">
        <f t="shared" ca="1" si="114"/>
        <v>#N/A</v>
      </c>
    </row>
    <row r="563" spans="18:31">
      <c r="R563" s="55" t="e">
        <f ca="1"/>
        <v>#N/A</v>
      </c>
      <c r="S563" s="55" t="e">
        <f t="shared" ca="1" si="103"/>
        <v>#N/A</v>
      </c>
      <c r="T563" s="55" t="e">
        <f t="shared" ca="1" si="104"/>
        <v>#N/A</v>
      </c>
      <c r="U563" s="55" t="e">
        <f t="shared" ca="1" si="105"/>
        <v>#N/A</v>
      </c>
      <c r="V563" s="55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3" t="e">
        <f ca="1"/>
        <v>#N/A</v>
      </c>
      <c r="AB563" s="55" t="e">
        <f t="shared" ca="1" si="111"/>
        <v>#N/A</v>
      </c>
      <c r="AC563" s="55" t="e">
        <f t="shared" ca="1" si="112"/>
        <v>#N/A</v>
      </c>
      <c r="AD563" s="55" t="e">
        <f t="shared" ca="1" si="113"/>
        <v>#N/A</v>
      </c>
      <c r="AE563" s="55" t="e">
        <f t="shared" ca="1" si="114"/>
        <v>#N/A</v>
      </c>
    </row>
    <row r="564" spans="18:31">
      <c r="R564" s="55" t="e">
        <f ca="1"/>
        <v>#N/A</v>
      </c>
      <c r="S564" s="55" t="e">
        <f t="shared" ca="1" si="103"/>
        <v>#N/A</v>
      </c>
      <c r="T564" s="55" t="e">
        <f t="shared" ca="1" si="104"/>
        <v>#N/A</v>
      </c>
      <c r="U564" s="55" t="e">
        <f t="shared" ca="1" si="105"/>
        <v>#N/A</v>
      </c>
      <c r="V564" s="55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3" t="e">
        <f ca="1"/>
        <v>#N/A</v>
      </c>
      <c r="AB564" s="55" t="e">
        <f t="shared" ca="1" si="111"/>
        <v>#N/A</v>
      </c>
      <c r="AC564" s="55" t="e">
        <f t="shared" ca="1" si="112"/>
        <v>#N/A</v>
      </c>
      <c r="AD564" s="55" t="e">
        <f t="shared" ca="1" si="113"/>
        <v>#N/A</v>
      </c>
      <c r="AE564" s="55" t="e">
        <f t="shared" ca="1" si="114"/>
        <v>#N/A</v>
      </c>
    </row>
    <row r="565" spans="18:31">
      <c r="R565" s="55" t="e">
        <f ca="1"/>
        <v>#N/A</v>
      </c>
      <c r="S565" s="55" t="e">
        <f t="shared" ca="1" si="103"/>
        <v>#N/A</v>
      </c>
      <c r="T565" s="55" t="e">
        <f t="shared" ca="1" si="104"/>
        <v>#N/A</v>
      </c>
      <c r="U565" s="55" t="e">
        <f t="shared" ca="1" si="105"/>
        <v>#N/A</v>
      </c>
      <c r="V565" s="55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3" t="e">
        <f ca="1"/>
        <v>#N/A</v>
      </c>
      <c r="AB565" s="55" t="e">
        <f t="shared" ca="1" si="111"/>
        <v>#N/A</v>
      </c>
      <c r="AC565" s="55" t="e">
        <f t="shared" ca="1" si="112"/>
        <v>#N/A</v>
      </c>
      <c r="AD565" s="55" t="e">
        <f t="shared" ca="1" si="113"/>
        <v>#N/A</v>
      </c>
      <c r="AE565" s="55" t="e">
        <f t="shared" ca="1" si="114"/>
        <v>#N/A</v>
      </c>
    </row>
    <row r="566" spans="18:31">
      <c r="R566" s="55" t="e">
        <f ca="1"/>
        <v>#N/A</v>
      </c>
      <c r="S566" s="55" t="e">
        <f t="shared" ca="1" si="103"/>
        <v>#N/A</v>
      </c>
      <c r="T566" s="55" t="e">
        <f t="shared" ca="1" si="104"/>
        <v>#N/A</v>
      </c>
      <c r="U566" s="55" t="e">
        <f t="shared" ca="1" si="105"/>
        <v>#N/A</v>
      </c>
      <c r="V566" s="55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3" t="e">
        <f ca="1"/>
        <v>#N/A</v>
      </c>
      <c r="AB566" s="55" t="e">
        <f t="shared" ca="1" si="111"/>
        <v>#N/A</v>
      </c>
      <c r="AC566" s="55" t="e">
        <f t="shared" ca="1" si="112"/>
        <v>#N/A</v>
      </c>
      <c r="AD566" s="55" t="e">
        <f t="shared" ca="1" si="113"/>
        <v>#N/A</v>
      </c>
      <c r="AE566" s="55" t="e">
        <f t="shared" ca="1" si="114"/>
        <v>#N/A</v>
      </c>
    </row>
    <row r="567" spans="18:31">
      <c r="R567" s="55" t="e">
        <f ca="1"/>
        <v>#N/A</v>
      </c>
      <c r="S567" s="55" t="e">
        <f t="shared" ca="1" si="103"/>
        <v>#N/A</v>
      </c>
      <c r="T567" s="55" t="e">
        <f t="shared" ca="1" si="104"/>
        <v>#N/A</v>
      </c>
      <c r="U567" s="55" t="e">
        <f t="shared" ca="1" si="105"/>
        <v>#N/A</v>
      </c>
      <c r="V567" s="55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3" t="e">
        <f ca="1"/>
        <v>#N/A</v>
      </c>
      <c r="AB567" s="55" t="e">
        <f t="shared" ca="1" si="111"/>
        <v>#N/A</v>
      </c>
      <c r="AC567" s="55" t="e">
        <f t="shared" ca="1" si="112"/>
        <v>#N/A</v>
      </c>
      <c r="AD567" s="55" t="e">
        <f t="shared" ca="1" si="113"/>
        <v>#N/A</v>
      </c>
      <c r="AE567" s="55" t="e">
        <f t="shared" ca="1" si="114"/>
        <v>#N/A</v>
      </c>
    </row>
    <row r="568" spans="18:31">
      <c r="R568" s="55" t="e">
        <f ca="1"/>
        <v>#N/A</v>
      </c>
      <c r="S568" s="55" t="e">
        <f t="shared" ca="1" si="103"/>
        <v>#N/A</v>
      </c>
      <c r="T568" s="55" t="e">
        <f t="shared" ca="1" si="104"/>
        <v>#N/A</v>
      </c>
      <c r="U568" s="55" t="e">
        <f t="shared" ca="1" si="105"/>
        <v>#N/A</v>
      </c>
      <c r="V568" s="55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3" t="e">
        <f ca="1"/>
        <v>#N/A</v>
      </c>
      <c r="AB568" s="55" t="e">
        <f t="shared" ca="1" si="111"/>
        <v>#N/A</v>
      </c>
      <c r="AC568" s="55" t="e">
        <f t="shared" ca="1" si="112"/>
        <v>#N/A</v>
      </c>
      <c r="AD568" s="55" t="e">
        <f t="shared" ca="1" si="113"/>
        <v>#N/A</v>
      </c>
      <c r="AE568" s="55" t="e">
        <f t="shared" ca="1" si="114"/>
        <v>#N/A</v>
      </c>
    </row>
    <row r="569" spans="18:31">
      <c r="R569" s="55" t="e">
        <f ca="1"/>
        <v>#N/A</v>
      </c>
      <c r="S569" s="55" t="e">
        <f t="shared" ca="1" si="103"/>
        <v>#N/A</v>
      </c>
      <c r="T569" s="55" t="e">
        <f t="shared" ca="1" si="104"/>
        <v>#N/A</v>
      </c>
      <c r="U569" s="55" t="e">
        <f t="shared" ca="1" si="105"/>
        <v>#N/A</v>
      </c>
      <c r="V569" s="55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3" t="e">
        <f ca="1"/>
        <v>#N/A</v>
      </c>
      <c r="AB569" s="55" t="e">
        <f t="shared" ca="1" si="111"/>
        <v>#N/A</v>
      </c>
      <c r="AC569" s="55" t="e">
        <f t="shared" ca="1" si="112"/>
        <v>#N/A</v>
      </c>
      <c r="AD569" s="55" t="e">
        <f t="shared" ca="1" si="113"/>
        <v>#N/A</v>
      </c>
      <c r="AE569" s="55" t="e">
        <f t="shared" ca="1" si="114"/>
        <v>#N/A</v>
      </c>
    </row>
    <row r="570" spans="18:31">
      <c r="R570" s="55" t="e">
        <f ca="1"/>
        <v>#N/A</v>
      </c>
      <c r="S570" s="55" t="e">
        <f t="shared" ca="1" si="103"/>
        <v>#N/A</v>
      </c>
      <c r="T570" s="55" t="e">
        <f t="shared" ca="1" si="104"/>
        <v>#N/A</v>
      </c>
      <c r="U570" s="55" t="e">
        <f t="shared" ca="1" si="105"/>
        <v>#N/A</v>
      </c>
      <c r="V570" s="55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3" t="e">
        <f ca="1"/>
        <v>#N/A</v>
      </c>
      <c r="AB570" s="55" t="e">
        <f t="shared" ca="1" si="111"/>
        <v>#N/A</v>
      </c>
      <c r="AC570" s="55" t="e">
        <f t="shared" ca="1" si="112"/>
        <v>#N/A</v>
      </c>
      <c r="AD570" s="55" t="e">
        <f t="shared" ca="1" si="113"/>
        <v>#N/A</v>
      </c>
      <c r="AE570" s="55" t="e">
        <f t="shared" ca="1" si="114"/>
        <v>#N/A</v>
      </c>
    </row>
    <row r="571" spans="18:31">
      <c r="R571" s="55" t="e">
        <f ca="1"/>
        <v>#N/A</v>
      </c>
      <c r="S571" s="55" t="e">
        <f t="shared" ca="1" si="103"/>
        <v>#N/A</v>
      </c>
      <c r="T571" s="55" t="e">
        <f t="shared" ca="1" si="104"/>
        <v>#N/A</v>
      </c>
      <c r="U571" s="55" t="e">
        <f t="shared" ca="1" si="105"/>
        <v>#N/A</v>
      </c>
      <c r="V571" s="55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3" t="e">
        <f ca="1"/>
        <v>#N/A</v>
      </c>
      <c r="AB571" s="55" t="e">
        <f t="shared" ca="1" si="111"/>
        <v>#N/A</v>
      </c>
      <c r="AC571" s="55" t="e">
        <f t="shared" ca="1" si="112"/>
        <v>#N/A</v>
      </c>
      <c r="AD571" s="55" t="e">
        <f t="shared" ca="1" si="113"/>
        <v>#N/A</v>
      </c>
      <c r="AE571" s="55" t="e">
        <f t="shared" ca="1" si="114"/>
        <v>#N/A</v>
      </c>
    </row>
    <row r="572" spans="18:31">
      <c r="R572" s="55" t="e">
        <f ca="1"/>
        <v>#N/A</v>
      </c>
      <c r="S572" s="55" t="e">
        <f t="shared" ca="1" si="103"/>
        <v>#N/A</v>
      </c>
      <c r="T572" s="55" t="e">
        <f t="shared" ca="1" si="104"/>
        <v>#N/A</v>
      </c>
      <c r="U572" s="55" t="e">
        <f t="shared" ca="1" si="105"/>
        <v>#N/A</v>
      </c>
      <c r="V572" s="55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3" t="e">
        <f ca="1"/>
        <v>#N/A</v>
      </c>
      <c r="AB572" s="55" t="e">
        <f t="shared" ca="1" si="111"/>
        <v>#N/A</v>
      </c>
      <c r="AC572" s="55" t="e">
        <f t="shared" ca="1" si="112"/>
        <v>#N/A</v>
      </c>
      <c r="AD572" s="55" t="e">
        <f t="shared" ca="1" si="113"/>
        <v>#N/A</v>
      </c>
      <c r="AE572" s="55" t="e">
        <f t="shared" ca="1" si="114"/>
        <v>#N/A</v>
      </c>
    </row>
    <row r="573" spans="18:31">
      <c r="R573" s="55" t="e">
        <f ca="1"/>
        <v>#N/A</v>
      </c>
      <c r="S573" s="55" t="e">
        <f t="shared" ca="1" si="103"/>
        <v>#N/A</v>
      </c>
      <c r="T573" s="55" t="e">
        <f t="shared" ca="1" si="104"/>
        <v>#N/A</v>
      </c>
      <c r="U573" s="55" t="e">
        <f t="shared" ca="1" si="105"/>
        <v>#N/A</v>
      </c>
      <c r="V573" s="55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3" t="e">
        <f ca="1"/>
        <v>#N/A</v>
      </c>
      <c r="AB573" s="55" t="e">
        <f t="shared" ca="1" si="111"/>
        <v>#N/A</v>
      </c>
      <c r="AC573" s="55" t="e">
        <f t="shared" ca="1" si="112"/>
        <v>#N/A</v>
      </c>
      <c r="AD573" s="55" t="e">
        <f t="shared" ca="1" si="113"/>
        <v>#N/A</v>
      </c>
      <c r="AE573" s="55" t="e">
        <f t="shared" ca="1" si="114"/>
        <v>#N/A</v>
      </c>
    </row>
    <row r="574" spans="18:31">
      <c r="R574" s="55" t="e">
        <f ca="1"/>
        <v>#N/A</v>
      </c>
      <c r="S574" s="55" t="e">
        <f t="shared" ca="1" si="103"/>
        <v>#N/A</v>
      </c>
      <c r="T574" s="55" t="e">
        <f t="shared" ca="1" si="104"/>
        <v>#N/A</v>
      </c>
      <c r="U574" s="55" t="e">
        <f t="shared" ca="1" si="105"/>
        <v>#N/A</v>
      </c>
      <c r="V574" s="55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3" t="e">
        <f ca="1"/>
        <v>#N/A</v>
      </c>
      <c r="AB574" s="55" t="e">
        <f t="shared" ca="1" si="111"/>
        <v>#N/A</v>
      </c>
      <c r="AC574" s="55" t="e">
        <f t="shared" ca="1" si="112"/>
        <v>#N/A</v>
      </c>
      <c r="AD574" s="55" t="e">
        <f t="shared" ca="1" si="113"/>
        <v>#N/A</v>
      </c>
      <c r="AE574" s="55" t="e">
        <f t="shared" ca="1" si="114"/>
        <v>#N/A</v>
      </c>
    </row>
    <row r="575" spans="18:31">
      <c r="R575" s="55" t="e">
        <f ca="1"/>
        <v>#N/A</v>
      </c>
      <c r="S575" s="55" t="e">
        <f t="shared" ca="1" si="103"/>
        <v>#N/A</v>
      </c>
      <c r="T575" s="55" t="e">
        <f t="shared" ca="1" si="104"/>
        <v>#N/A</v>
      </c>
      <c r="U575" s="55" t="e">
        <f t="shared" ca="1" si="105"/>
        <v>#N/A</v>
      </c>
      <c r="V575" s="55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3" t="e">
        <f ca="1"/>
        <v>#N/A</v>
      </c>
      <c r="AB575" s="55" t="e">
        <f t="shared" ca="1" si="111"/>
        <v>#N/A</v>
      </c>
      <c r="AC575" s="55" t="e">
        <f t="shared" ca="1" si="112"/>
        <v>#N/A</v>
      </c>
      <c r="AD575" s="55" t="e">
        <f t="shared" ca="1" si="113"/>
        <v>#N/A</v>
      </c>
      <c r="AE575" s="55" t="e">
        <f t="shared" ca="1" si="114"/>
        <v>#N/A</v>
      </c>
    </row>
    <row r="576" spans="18:31">
      <c r="R576" s="55" t="e">
        <f ca="1"/>
        <v>#N/A</v>
      </c>
      <c r="S576" s="55" t="e">
        <f t="shared" ca="1" si="103"/>
        <v>#N/A</v>
      </c>
      <c r="T576" s="55" t="e">
        <f t="shared" ca="1" si="104"/>
        <v>#N/A</v>
      </c>
      <c r="U576" s="55" t="e">
        <f t="shared" ca="1" si="105"/>
        <v>#N/A</v>
      </c>
      <c r="V576" s="55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3" t="e">
        <f ca="1"/>
        <v>#N/A</v>
      </c>
      <c r="AB576" s="55" t="e">
        <f t="shared" ca="1" si="111"/>
        <v>#N/A</v>
      </c>
      <c r="AC576" s="55" t="e">
        <f t="shared" ca="1" si="112"/>
        <v>#N/A</v>
      </c>
      <c r="AD576" s="55" t="e">
        <f t="shared" ca="1" si="113"/>
        <v>#N/A</v>
      </c>
      <c r="AE576" s="55" t="e">
        <f t="shared" ca="1" si="114"/>
        <v>#N/A</v>
      </c>
    </row>
    <row r="577" spans="18:31">
      <c r="R577" s="55" t="e">
        <f ca="1"/>
        <v>#N/A</v>
      </c>
      <c r="S577" s="55" t="e">
        <f t="shared" ca="1" si="103"/>
        <v>#N/A</v>
      </c>
      <c r="T577" s="55" t="e">
        <f t="shared" ca="1" si="104"/>
        <v>#N/A</v>
      </c>
      <c r="U577" s="55" t="e">
        <f t="shared" ca="1" si="105"/>
        <v>#N/A</v>
      </c>
      <c r="V577" s="55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3" t="e">
        <f ca="1"/>
        <v>#N/A</v>
      </c>
      <c r="AB577" s="55" t="e">
        <f t="shared" ca="1" si="111"/>
        <v>#N/A</v>
      </c>
      <c r="AC577" s="55" t="e">
        <f t="shared" ca="1" si="112"/>
        <v>#N/A</v>
      </c>
      <c r="AD577" s="55" t="e">
        <f t="shared" ca="1" si="113"/>
        <v>#N/A</v>
      </c>
      <c r="AE577" s="55" t="e">
        <f t="shared" ca="1" si="114"/>
        <v>#N/A</v>
      </c>
    </row>
    <row r="578" spans="18:31">
      <c r="R578" s="55" t="e">
        <f ca="1"/>
        <v>#N/A</v>
      </c>
      <c r="S578" s="55" t="e">
        <f t="shared" ca="1" si="103"/>
        <v>#N/A</v>
      </c>
      <c r="T578" s="55" t="e">
        <f t="shared" ca="1" si="104"/>
        <v>#N/A</v>
      </c>
      <c r="U578" s="55" t="e">
        <f t="shared" ca="1" si="105"/>
        <v>#N/A</v>
      </c>
      <c r="V578" s="55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3" t="e">
        <f ca="1"/>
        <v>#N/A</v>
      </c>
      <c r="AB578" s="55" t="e">
        <f t="shared" ca="1" si="111"/>
        <v>#N/A</v>
      </c>
      <c r="AC578" s="55" t="e">
        <f t="shared" ca="1" si="112"/>
        <v>#N/A</v>
      </c>
      <c r="AD578" s="55" t="e">
        <f t="shared" ca="1" si="113"/>
        <v>#N/A</v>
      </c>
      <c r="AE578" s="55" t="e">
        <f t="shared" ca="1" si="114"/>
        <v>#N/A</v>
      </c>
    </row>
    <row r="579" spans="18:31">
      <c r="R579" s="55" t="e">
        <f ca="1"/>
        <v>#N/A</v>
      </c>
      <c r="S579" s="55" t="e">
        <f t="shared" ca="1" si="103"/>
        <v>#N/A</v>
      </c>
      <c r="T579" s="55" t="e">
        <f t="shared" ca="1" si="104"/>
        <v>#N/A</v>
      </c>
      <c r="U579" s="55" t="e">
        <f t="shared" ca="1" si="105"/>
        <v>#N/A</v>
      </c>
      <c r="V579" s="55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3" t="e">
        <f ca="1"/>
        <v>#N/A</v>
      </c>
      <c r="AB579" s="55" t="e">
        <f t="shared" ca="1" si="111"/>
        <v>#N/A</v>
      </c>
      <c r="AC579" s="55" t="e">
        <f t="shared" ca="1" si="112"/>
        <v>#N/A</v>
      </c>
      <c r="AD579" s="55" t="e">
        <f t="shared" ca="1" si="113"/>
        <v>#N/A</v>
      </c>
      <c r="AE579" s="55" t="e">
        <f t="shared" ca="1" si="114"/>
        <v>#N/A</v>
      </c>
    </row>
    <row r="580" spans="18:31">
      <c r="R580" s="55" t="e">
        <f ca="1"/>
        <v>#N/A</v>
      </c>
      <c r="S580" s="55" t="e">
        <f t="shared" ca="1" si="103"/>
        <v>#N/A</v>
      </c>
      <c r="T580" s="55" t="e">
        <f t="shared" ca="1" si="104"/>
        <v>#N/A</v>
      </c>
      <c r="U580" s="55" t="e">
        <f t="shared" ca="1" si="105"/>
        <v>#N/A</v>
      </c>
      <c r="V580" s="55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3" t="e">
        <f ca="1"/>
        <v>#N/A</v>
      </c>
      <c r="AB580" s="55" t="e">
        <f t="shared" ca="1" si="111"/>
        <v>#N/A</v>
      </c>
      <c r="AC580" s="55" t="e">
        <f t="shared" ca="1" si="112"/>
        <v>#N/A</v>
      </c>
      <c r="AD580" s="55" t="e">
        <f t="shared" ca="1" si="113"/>
        <v>#N/A</v>
      </c>
      <c r="AE580" s="55" t="e">
        <f t="shared" ca="1" si="114"/>
        <v>#N/A</v>
      </c>
    </row>
    <row r="581" spans="18:31">
      <c r="R581" s="55" t="e">
        <f ca="1"/>
        <v>#N/A</v>
      </c>
      <c r="S581" s="55" t="e">
        <f t="shared" ca="1" si="103"/>
        <v>#N/A</v>
      </c>
      <c r="T581" s="55" t="e">
        <f t="shared" ca="1" si="104"/>
        <v>#N/A</v>
      </c>
      <c r="U581" s="55" t="e">
        <f t="shared" ca="1" si="105"/>
        <v>#N/A</v>
      </c>
      <c r="V581" s="55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3" t="e">
        <f ca="1"/>
        <v>#N/A</v>
      </c>
      <c r="AB581" s="55" t="e">
        <f t="shared" ca="1" si="111"/>
        <v>#N/A</v>
      </c>
      <c r="AC581" s="55" t="e">
        <f t="shared" ca="1" si="112"/>
        <v>#N/A</v>
      </c>
      <c r="AD581" s="55" t="e">
        <f t="shared" ca="1" si="113"/>
        <v>#N/A</v>
      </c>
      <c r="AE581" s="55" t="e">
        <f t="shared" ca="1" si="114"/>
        <v>#N/A</v>
      </c>
    </row>
    <row r="582" spans="18:31">
      <c r="R582" s="55" t="e">
        <f ca="1"/>
        <v>#N/A</v>
      </c>
      <c r="S582" s="55" t="e">
        <f t="shared" ca="1" si="103"/>
        <v>#N/A</v>
      </c>
      <c r="T582" s="55" t="e">
        <f t="shared" ca="1" si="104"/>
        <v>#N/A</v>
      </c>
      <c r="U582" s="55" t="e">
        <f t="shared" ca="1" si="105"/>
        <v>#N/A</v>
      </c>
      <c r="V582" s="55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3" t="e">
        <f ca="1"/>
        <v>#N/A</v>
      </c>
      <c r="AB582" s="55" t="e">
        <f t="shared" ca="1" si="111"/>
        <v>#N/A</v>
      </c>
      <c r="AC582" s="55" t="e">
        <f t="shared" ca="1" si="112"/>
        <v>#N/A</v>
      </c>
      <c r="AD582" s="55" t="e">
        <f t="shared" ca="1" si="113"/>
        <v>#N/A</v>
      </c>
      <c r="AE582" s="55" t="e">
        <f t="shared" ca="1" si="114"/>
        <v>#N/A</v>
      </c>
    </row>
    <row r="583" spans="18:31">
      <c r="R583" s="55" t="e">
        <f ca="1"/>
        <v>#N/A</v>
      </c>
      <c r="S583" s="55" t="e">
        <f t="shared" ca="1" si="103"/>
        <v>#N/A</v>
      </c>
      <c r="T583" s="55" t="e">
        <f t="shared" ca="1" si="104"/>
        <v>#N/A</v>
      </c>
      <c r="U583" s="55" t="e">
        <f t="shared" ca="1" si="105"/>
        <v>#N/A</v>
      </c>
      <c r="V583" s="55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3" t="e">
        <f ca="1"/>
        <v>#N/A</v>
      </c>
      <c r="AB583" s="55" t="e">
        <f t="shared" ca="1" si="111"/>
        <v>#N/A</v>
      </c>
      <c r="AC583" s="55" t="e">
        <f t="shared" ca="1" si="112"/>
        <v>#N/A</v>
      </c>
      <c r="AD583" s="55" t="e">
        <f t="shared" ca="1" si="113"/>
        <v>#N/A</v>
      </c>
      <c r="AE583" s="55" t="e">
        <f t="shared" ca="1" si="114"/>
        <v>#N/A</v>
      </c>
    </row>
    <row r="584" spans="18:31">
      <c r="R584" s="55" t="e">
        <f ca="1"/>
        <v>#N/A</v>
      </c>
      <c r="S584" s="55" t="e">
        <f t="shared" ca="1" si="103"/>
        <v>#N/A</v>
      </c>
      <c r="T584" s="55" t="e">
        <f t="shared" ca="1" si="104"/>
        <v>#N/A</v>
      </c>
      <c r="U584" s="55" t="e">
        <f t="shared" ca="1" si="105"/>
        <v>#N/A</v>
      </c>
      <c r="V584" s="55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3" t="e">
        <f ca="1"/>
        <v>#N/A</v>
      </c>
      <c r="AB584" s="55" t="e">
        <f t="shared" ca="1" si="111"/>
        <v>#N/A</v>
      </c>
      <c r="AC584" s="55" t="e">
        <f t="shared" ca="1" si="112"/>
        <v>#N/A</v>
      </c>
      <c r="AD584" s="55" t="e">
        <f t="shared" ca="1" si="113"/>
        <v>#N/A</v>
      </c>
      <c r="AE584" s="55" t="e">
        <f t="shared" ca="1" si="114"/>
        <v>#N/A</v>
      </c>
    </row>
    <row r="585" spans="18:31">
      <c r="R585" s="55" t="e">
        <f ca="1"/>
        <v>#N/A</v>
      </c>
      <c r="S585" s="55" t="e">
        <f t="shared" ca="1" si="103"/>
        <v>#N/A</v>
      </c>
      <c r="T585" s="55" t="e">
        <f t="shared" ca="1" si="104"/>
        <v>#N/A</v>
      </c>
      <c r="U585" s="55" t="e">
        <f t="shared" ca="1" si="105"/>
        <v>#N/A</v>
      </c>
      <c r="V585" s="55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3" t="e">
        <f ca="1"/>
        <v>#N/A</v>
      </c>
      <c r="AB585" s="55" t="e">
        <f t="shared" ca="1" si="111"/>
        <v>#N/A</v>
      </c>
      <c r="AC585" s="55" t="e">
        <f t="shared" ca="1" si="112"/>
        <v>#N/A</v>
      </c>
      <c r="AD585" s="55" t="e">
        <f t="shared" ca="1" si="113"/>
        <v>#N/A</v>
      </c>
      <c r="AE585" s="55" t="e">
        <f t="shared" ca="1" si="114"/>
        <v>#N/A</v>
      </c>
    </row>
    <row r="586" spans="18:31">
      <c r="R586" s="55" t="e">
        <f ca="1"/>
        <v>#N/A</v>
      </c>
      <c r="S586" s="55" t="e">
        <f t="shared" ca="1" si="103"/>
        <v>#N/A</v>
      </c>
      <c r="T586" s="55" t="e">
        <f t="shared" ca="1" si="104"/>
        <v>#N/A</v>
      </c>
      <c r="U586" s="55" t="e">
        <f t="shared" ca="1" si="105"/>
        <v>#N/A</v>
      </c>
      <c r="V586" s="55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3" t="e">
        <f ca="1"/>
        <v>#N/A</v>
      </c>
      <c r="AB586" s="55" t="e">
        <f t="shared" ca="1" si="111"/>
        <v>#N/A</v>
      </c>
      <c r="AC586" s="55" t="e">
        <f t="shared" ca="1" si="112"/>
        <v>#N/A</v>
      </c>
      <c r="AD586" s="55" t="e">
        <f t="shared" ca="1" si="113"/>
        <v>#N/A</v>
      </c>
      <c r="AE586" s="55" t="e">
        <f t="shared" ca="1" si="114"/>
        <v>#N/A</v>
      </c>
    </row>
    <row r="587" spans="18:31">
      <c r="R587" s="55" t="e">
        <f ca="1"/>
        <v>#N/A</v>
      </c>
      <c r="S587" s="55" t="e">
        <f t="shared" ca="1" si="103"/>
        <v>#N/A</v>
      </c>
      <c r="T587" s="55" t="e">
        <f t="shared" ca="1" si="104"/>
        <v>#N/A</v>
      </c>
      <c r="U587" s="55" t="e">
        <f t="shared" ca="1" si="105"/>
        <v>#N/A</v>
      </c>
      <c r="V587" s="55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3" t="e">
        <f ca="1"/>
        <v>#N/A</v>
      </c>
      <c r="AB587" s="55" t="e">
        <f t="shared" ca="1" si="111"/>
        <v>#N/A</v>
      </c>
      <c r="AC587" s="55" t="e">
        <f t="shared" ca="1" si="112"/>
        <v>#N/A</v>
      </c>
      <c r="AD587" s="55" t="e">
        <f t="shared" ca="1" si="113"/>
        <v>#N/A</v>
      </c>
      <c r="AE587" s="55" t="e">
        <f t="shared" ca="1" si="114"/>
        <v>#N/A</v>
      </c>
    </row>
    <row r="588" spans="18:31">
      <c r="R588" s="55" t="e">
        <f ca="1"/>
        <v>#N/A</v>
      </c>
      <c r="S588" s="55" t="e">
        <f t="shared" ref="S588:S651" ca="1" si="115">IF(R588&gt;1,R588,"")</f>
        <v>#N/A</v>
      </c>
      <c r="T588" s="55" t="e">
        <f t="shared" ref="T588:T651" ca="1" si="116">VLOOKUP(S588,ModelOutputs,2,FALSE)</f>
        <v>#N/A</v>
      </c>
      <c r="U588" s="55" t="e">
        <f t="shared" ref="U588:U651" ca="1" si="117">VLOOKUP(S588,ModelOutputs,7,FALSE)</f>
        <v>#N/A</v>
      </c>
      <c r="V588" s="55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3" t="e">
        <f ca="1"/>
        <v>#N/A</v>
      </c>
      <c r="AB588" s="55" t="e">
        <f t="shared" ref="AB588:AB651" ca="1" si="123">IF(AA588&gt;1,AA588,"")</f>
        <v>#N/A</v>
      </c>
      <c r="AC588" s="55" t="e">
        <f t="shared" ref="AC588:AC651" ca="1" si="124">VLOOKUP(AB588,ModelOutputs,2,FALSE)</f>
        <v>#N/A</v>
      </c>
      <c r="AD588" s="55" t="e">
        <f t="shared" ref="AD588:AD651" ca="1" si="125">VLOOKUP(AB588,ModelOutputs,7,FALSE)</f>
        <v>#N/A</v>
      </c>
      <c r="AE588" s="55" t="e">
        <f t="shared" ref="AE588:AE651" ca="1" si="126">VLOOKUP(AB588,ModelOutputs,6,FALSE)</f>
        <v>#N/A</v>
      </c>
    </row>
    <row r="589" spans="18:31">
      <c r="R589" s="55" t="e">
        <f ca="1"/>
        <v>#N/A</v>
      </c>
      <c r="S589" s="55" t="e">
        <f t="shared" ca="1" si="115"/>
        <v>#N/A</v>
      </c>
      <c r="T589" s="55" t="e">
        <f t="shared" ca="1" si="116"/>
        <v>#N/A</v>
      </c>
      <c r="U589" s="55" t="e">
        <f t="shared" ca="1" si="117"/>
        <v>#N/A</v>
      </c>
      <c r="V589" s="55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3" t="e">
        <f ca="1"/>
        <v>#N/A</v>
      </c>
      <c r="AB589" s="55" t="e">
        <f t="shared" ca="1" si="123"/>
        <v>#N/A</v>
      </c>
      <c r="AC589" s="55" t="e">
        <f t="shared" ca="1" si="124"/>
        <v>#N/A</v>
      </c>
      <c r="AD589" s="55" t="e">
        <f t="shared" ca="1" si="125"/>
        <v>#N/A</v>
      </c>
      <c r="AE589" s="55" t="e">
        <f t="shared" ca="1" si="126"/>
        <v>#N/A</v>
      </c>
    </row>
    <row r="590" spans="18:31">
      <c r="R590" s="55" t="e">
        <f ca="1"/>
        <v>#N/A</v>
      </c>
      <c r="S590" s="55" t="e">
        <f t="shared" ca="1" si="115"/>
        <v>#N/A</v>
      </c>
      <c r="T590" s="55" t="e">
        <f t="shared" ca="1" si="116"/>
        <v>#N/A</v>
      </c>
      <c r="U590" s="55" t="e">
        <f t="shared" ca="1" si="117"/>
        <v>#N/A</v>
      </c>
      <c r="V590" s="55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3" t="e">
        <f ca="1"/>
        <v>#N/A</v>
      </c>
      <c r="AB590" s="55" t="e">
        <f t="shared" ca="1" si="123"/>
        <v>#N/A</v>
      </c>
      <c r="AC590" s="55" t="e">
        <f t="shared" ca="1" si="124"/>
        <v>#N/A</v>
      </c>
      <c r="AD590" s="55" t="e">
        <f t="shared" ca="1" si="125"/>
        <v>#N/A</v>
      </c>
      <c r="AE590" s="55" t="e">
        <f t="shared" ca="1" si="126"/>
        <v>#N/A</v>
      </c>
    </row>
    <row r="591" spans="18:31">
      <c r="R591" s="55" t="e">
        <f ca="1"/>
        <v>#N/A</v>
      </c>
      <c r="S591" s="55" t="e">
        <f t="shared" ca="1" si="115"/>
        <v>#N/A</v>
      </c>
      <c r="T591" s="55" t="e">
        <f t="shared" ca="1" si="116"/>
        <v>#N/A</v>
      </c>
      <c r="U591" s="55" t="e">
        <f t="shared" ca="1" si="117"/>
        <v>#N/A</v>
      </c>
      <c r="V591" s="55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3" t="e">
        <f ca="1"/>
        <v>#N/A</v>
      </c>
      <c r="AB591" s="55" t="e">
        <f t="shared" ca="1" si="123"/>
        <v>#N/A</v>
      </c>
      <c r="AC591" s="55" t="e">
        <f t="shared" ca="1" si="124"/>
        <v>#N/A</v>
      </c>
      <c r="AD591" s="55" t="e">
        <f t="shared" ca="1" si="125"/>
        <v>#N/A</v>
      </c>
      <c r="AE591" s="55" t="e">
        <f t="shared" ca="1" si="126"/>
        <v>#N/A</v>
      </c>
    </row>
    <row r="592" spans="18:31">
      <c r="R592" s="55" t="e">
        <f ca="1"/>
        <v>#N/A</v>
      </c>
      <c r="S592" s="55" t="e">
        <f t="shared" ca="1" si="115"/>
        <v>#N/A</v>
      </c>
      <c r="T592" s="55" t="e">
        <f t="shared" ca="1" si="116"/>
        <v>#N/A</v>
      </c>
      <c r="U592" s="55" t="e">
        <f t="shared" ca="1" si="117"/>
        <v>#N/A</v>
      </c>
      <c r="V592" s="55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3" t="e">
        <f ca="1"/>
        <v>#N/A</v>
      </c>
      <c r="AB592" s="55" t="e">
        <f t="shared" ca="1" si="123"/>
        <v>#N/A</v>
      </c>
      <c r="AC592" s="55" t="e">
        <f t="shared" ca="1" si="124"/>
        <v>#N/A</v>
      </c>
      <c r="AD592" s="55" t="e">
        <f t="shared" ca="1" si="125"/>
        <v>#N/A</v>
      </c>
      <c r="AE592" s="55" t="e">
        <f t="shared" ca="1" si="126"/>
        <v>#N/A</v>
      </c>
    </row>
    <row r="593" spans="18:31">
      <c r="R593" s="55" t="e">
        <f ca="1"/>
        <v>#N/A</v>
      </c>
      <c r="S593" s="55" t="e">
        <f t="shared" ca="1" si="115"/>
        <v>#N/A</v>
      </c>
      <c r="T593" s="55" t="e">
        <f t="shared" ca="1" si="116"/>
        <v>#N/A</v>
      </c>
      <c r="U593" s="55" t="e">
        <f t="shared" ca="1" si="117"/>
        <v>#N/A</v>
      </c>
      <c r="V593" s="55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3" t="e">
        <f ca="1"/>
        <v>#N/A</v>
      </c>
      <c r="AB593" s="55" t="e">
        <f t="shared" ca="1" si="123"/>
        <v>#N/A</v>
      </c>
      <c r="AC593" s="55" t="e">
        <f t="shared" ca="1" si="124"/>
        <v>#N/A</v>
      </c>
      <c r="AD593" s="55" t="e">
        <f t="shared" ca="1" si="125"/>
        <v>#N/A</v>
      </c>
      <c r="AE593" s="55" t="e">
        <f t="shared" ca="1" si="126"/>
        <v>#N/A</v>
      </c>
    </row>
    <row r="594" spans="18:31">
      <c r="R594" s="55" t="e">
        <f ca="1"/>
        <v>#N/A</v>
      </c>
      <c r="S594" s="55" t="e">
        <f t="shared" ca="1" si="115"/>
        <v>#N/A</v>
      </c>
      <c r="T594" s="55" t="e">
        <f t="shared" ca="1" si="116"/>
        <v>#N/A</v>
      </c>
      <c r="U594" s="55" t="e">
        <f t="shared" ca="1" si="117"/>
        <v>#N/A</v>
      </c>
      <c r="V594" s="55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3" t="e">
        <f ca="1"/>
        <v>#N/A</v>
      </c>
      <c r="AB594" s="55" t="e">
        <f t="shared" ca="1" si="123"/>
        <v>#N/A</v>
      </c>
      <c r="AC594" s="55" t="e">
        <f t="shared" ca="1" si="124"/>
        <v>#N/A</v>
      </c>
      <c r="AD594" s="55" t="e">
        <f t="shared" ca="1" si="125"/>
        <v>#N/A</v>
      </c>
      <c r="AE594" s="55" t="e">
        <f t="shared" ca="1" si="126"/>
        <v>#N/A</v>
      </c>
    </row>
    <row r="595" spans="18:31">
      <c r="R595" s="55" t="e">
        <f ca="1"/>
        <v>#N/A</v>
      </c>
      <c r="S595" s="55" t="e">
        <f t="shared" ca="1" si="115"/>
        <v>#N/A</v>
      </c>
      <c r="T595" s="55" t="e">
        <f t="shared" ca="1" si="116"/>
        <v>#N/A</v>
      </c>
      <c r="U595" s="55" t="e">
        <f t="shared" ca="1" si="117"/>
        <v>#N/A</v>
      </c>
      <c r="V595" s="55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3" t="e">
        <f ca="1"/>
        <v>#N/A</v>
      </c>
      <c r="AB595" s="55" t="e">
        <f t="shared" ca="1" si="123"/>
        <v>#N/A</v>
      </c>
      <c r="AC595" s="55" t="e">
        <f t="shared" ca="1" si="124"/>
        <v>#N/A</v>
      </c>
      <c r="AD595" s="55" t="e">
        <f t="shared" ca="1" si="125"/>
        <v>#N/A</v>
      </c>
      <c r="AE595" s="55" t="e">
        <f t="shared" ca="1" si="126"/>
        <v>#N/A</v>
      </c>
    </row>
    <row r="596" spans="18:31">
      <c r="R596" s="55" t="e">
        <f ca="1"/>
        <v>#N/A</v>
      </c>
      <c r="S596" s="55" t="e">
        <f t="shared" ca="1" si="115"/>
        <v>#N/A</v>
      </c>
      <c r="T596" s="55" t="e">
        <f t="shared" ca="1" si="116"/>
        <v>#N/A</v>
      </c>
      <c r="U596" s="55" t="e">
        <f t="shared" ca="1" si="117"/>
        <v>#N/A</v>
      </c>
      <c r="V596" s="55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3" t="e">
        <f ca="1"/>
        <v>#N/A</v>
      </c>
      <c r="AB596" s="55" t="e">
        <f t="shared" ca="1" si="123"/>
        <v>#N/A</v>
      </c>
      <c r="AC596" s="55" t="e">
        <f t="shared" ca="1" si="124"/>
        <v>#N/A</v>
      </c>
      <c r="AD596" s="55" t="e">
        <f t="shared" ca="1" si="125"/>
        <v>#N/A</v>
      </c>
      <c r="AE596" s="55" t="e">
        <f t="shared" ca="1" si="126"/>
        <v>#N/A</v>
      </c>
    </row>
    <row r="597" spans="18:31">
      <c r="R597" s="55" t="e">
        <f ca="1"/>
        <v>#N/A</v>
      </c>
      <c r="S597" s="55" t="e">
        <f t="shared" ca="1" si="115"/>
        <v>#N/A</v>
      </c>
      <c r="T597" s="55" t="e">
        <f t="shared" ca="1" si="116"/>
        <v>#N/A</v>
      </c>
      <c r="U597" s="55" t="e">
        <f t="shared" ca="1" si="117"/>
        <v>#N/A</v>
      </c>
      <c r="V597" s="55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3" t="e">
        <f ca="1"/>
        <v>#N/A</v>
      </c>
      <c r="AB597" s="55" t="e">
        <f t="shared" ca="1" si="123"/>
        <v>#N/A</v>
      </c>
      <c r="AC597" s="55" t="e">
        <f t="shared" ca="1" si="124"/>
        <v>#N/A</v>
      </c>
      <c r="AD597" s="55" t="e">
        <f t="shared" ca="1" si="125"/>
        <v>#N/A</v>
      </c>
      <c r="AE597" s="55" t="e">
        <f t="shared" ca="1" si="126"/>
        <v>#N/A</v>
      </c>
    </row>
    <row r="598" spans="18:31">
      <c r="R598" s="55" t="e">
        <f ca="1"/>
        <v>#N/A</v>
      </c>
      <c r="S598" s="55" t="e">
        <f t="shared" ca="1" si="115"/>
        <v>#N/A</v>
      </c>
      <c r="T598" s="55" t="e">
        <f t="shared" ca="1" si="116"/>
        <v>#N/A</v>
      </c>
      <c r="U598" s="55" t="e">
        <f t="shared" ca="1" si="117"/>
        <v>#N/A</v>
      </c>
      <c r="V598" s="55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3" t="e">
        <f ca="1"/>
        <v>#N/A</v>
      </c>
      <c r="AB598" s="55" t="e">
        <f t="shared" ca="1" si="123"/>
        <v>#N/A</v>
      </c>
      <c r="AC598" s="55" t="e">
        <f t="shared" ca="1" si="124"/>
        <v>#N/A</v>
      </c>
      <c r="AD598" s="55" t="e">
        <f t="shared" ca="1" si="125"/>
        <v>#N/A</v>
      </c>
      <c r="AE598" s="55" t="e">
        <f t="shared" ca="1" si="126"/>
        <v>#N/A</v>
      </c>
    </row>
    <row r="599" spans="18:31">
      <c r="R599" s="55" t="e">
        <f ca="1"/>
        <v>#N/A</v>
      </c>
      <c r="S599" s="55" t="e">
        <f t="shared" ca="1" si="115"/>
        <v>#N/A</v>
      </c>
      <c r="T599" s="55" t="e">
        <f t="shared" ca="1" si="116"/>
        <v>#N/A</v>
      </c>
      <c r="U599" s="55" t="e">
        <f t="shared" ca="1" si="117"/>
        <v>#N/A</v>
      </c>
      <c r="V599" s="55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3" t="e">
        <f ca="1"/>
        <v>#N/A</v>
      </c>
      <c r="AB599" s="55" t="e">
        <f t="shared" ca="1" si="123"/>
        <v>#N/A</v>
      </c>
      <c r="AC599" s="55" t="e">
        <f t="shared" ca="1" si="124"/>
        <v>#N/A</v>
      </c>
      <c r="AD599" s="55" t="e">
        <f t="shared" ca="1" si="125"/>
        <v>#N/A</v>
      </c>
      <c r="AE599" s="55" t="e">
        <f t="shared" ca="1" si="126"/>
        <v>#N/A</v>
      </c>
    </row>
    <row r="600" spans="18:31">
      <c r="R600" s="55" t="e">
        <f ca="1"/>
        <v>#N/A</v>
      </c>
      <c r="S600" s="55" t="e">
        <f t="shared" ca="1" si="115"/>
        <v>#N/A</v>
      </c>
      <c r="T600" s="55" t="e">
        <f t="shared" ca="1" si="116"/>
        <v>#N/A</v>
      </c>
      <c r="U600" s="55" t="e">
        <f t="shared" ca="1" si="117"/>
        <v>#N/A</v>
      </c>
      <c r="V600" s="55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3" t="e">
        <f ca="1"/>
        <v>#N/A</v>
      </c>
      <c r="AB600" s="55" t="e">
        <f t="shared" ca="1" si="123"/>
        <v>#N/A</v>
      </c>
      <c r="AC600" s="55" t="e">
        <f t="shared" ca="1" si="124"/>
        <v>#N/A</v>
      </c>
      <c r="AD600" s="55" t="e">
        <f t="shared" ca="1" si="125"/>
        <v>#N/A</v>
      </c>
      <c r="AE600" s="55" t="e">
        <f t="shared" ca="1" si="126"/>
        <v>#N/A</v>
      </c>
    </row>
    <row r="601" spans="18:31">
      <c r="R601" s="55" t="e">
        <f ca="1"/>
        <v>#N/A</v>
      </c>
      <c r="S601" s="55" t="e">
        <f t="shared" ca="1" si="115"/>
        <v>#N/A</v>
      </c>
      <c r="T601" s="55" t="e">
        <f t="shared" ca="1" si="116"/>
        <v>#N/A</v>
      </c>
      <c r="U601" s="55" t="e">
        <f t="shared" ca="1" si="117"/>
        <v>#N/A</v>
      </c>
      <c r="V601" s="55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3" t="e">
        <f ca="1"/>
        <v>#N/A</v>
      </c>
      <c r="AB601" s="55" t="e">
        <f t="shared" ca="1" si="123"/>
        <v>#N/A</v>
      </c>
      <c r="AC601" s="55" t="e">
        <f t="shared" ca="1" si="124"/>
        <v>#N/A</v>
      </c>
      <c r="AD601" s="55" t="e">
        <f t="shared" ca="1" si="125"/>
        <v>#N/A</v>
      </c>
      <c r="AE601" s="55" t="e">
        <f t="shared" ca="1" si="126"/>
        <v>#N/A</v>
      </c>
    </row>
    <row r="602" spans="18:31">
      <c r="R602" s="55" t="e">
        <f ca="1"/>
        <v>#N/A</v>
      </c>
      <c r="S602" s="55" t="e">
        <f t="shared" ca="1" si="115"/>
        <v>#N/A</v>
      </c>
      <c r="T602" s="55" t="e">
        <f t="shared" ca="1" si="116"/>
        <v>#N/A</v>
      </c>
      <c r="U602" s="55" t="e">
        <f t="shared" ca="1" si="117"/>
        <v>#N/A</v>
      </c>
      <c r="V602" s="55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3" t="e">
        <f ca="1"/>
        <v>#N/A</v>
      </c>
      <c r="AB602" s="55" t="e">
        <f t="shared" ca="1" si="123"/>
        <v>#N/A</v>
      </c>
      <c r="AC602" s="55" t="e">
        <f t="shared" ca="1" si="124"/>
        <v>#N/A</v>
      </c>
      <c r="AD602" s="55" t="e">
        <f t="shared" ca="1" si="125"/>
        <v>#N/A</v>
      </c>
      <c r="AE602" s="55" t="e">
        <f t="shared" ca="1" si="126"/>
        <v>#N/A</v>
      </c>
    </row>
    <row r="603" spans="18:31">
      <c r="R603" s="55" t="e">
        <f ca="1"/>
        <v>#N/A</v>
      </c>
      <c r="S603" s="55" t="e">
        <f t="shared" ca="1" si="115"/>
        <v>#N/A</v>
      </c>
      <c r="T603" s="55" t="e">
        <f t="shared" ca="1" si="116"/>
        <v>#N/A</v>
      </c>
      <c r="U603" s="55" t="e">
        <f t="shared" ca="1" si="117"/>
        <v>#N/A</v>
      </c>
      <c r="V603" s="55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3" t="e">
        <f ca="1"/>
        <v>#N/A</v>
      </c>
      <c r="AB603" s="55" t="e">
        <f t="shared" ca="1" si="123"/>
        <v>#N/A</v>
      </c>
      <c r="AC603" s="55" t="e">
        <f t="shared" ca="1" si="124"/>
        <v>#N/A</v>
      </c>
      <c r="AD603" s="55" t="e">
        <f t="shared" ca="1" si="125"/>
        <v>#N/A</v>
      </c>
      <c r="AE603" s="55" t="e">
        <f t="shared" ca="1" si="126"/>
        <v>#N/A</v>
      </c>
    </row>
    <row r="604" spans="18:31">
      <c r="R604" s="55" t="e">
        <f ca="1"/>
        <v>#N/A</v>
      </c>
      <c r="S604" s="55" t="e">
        <f t="shared" ca="1" si="115"/>
        <v>#N/A</v>
      </c>
      <c r="T604" s="55" t="e">
        <f t="shared" ca="1" si="116"/>
        <v>#N/A</v>
      </c>
      <c r="U604" s="55" t="e">
        <f t="shared" ca="1" si="117"/>
        <v>#N/A</v>
      </c>
      <c r="V604" s="55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3" t="e">
        <f ca="1"/>
        <v>#N/A</v>
      </c>
      <c r="AB604" s="55" t="e">
        <f t="shared" ca="1" si="123"/>
        <v>#N/A</v>
      </c>
      <c r="AC604" s="55" t="e">
        <f t="shared" ca="1" si="124"/>
        <v>#N/A</v>
      </c>
      <c r="AD604" s="55" t="e">
        <f t="shared" ca="1" si="125"/>
        <v>#N/A</v>
      </c>
      <c r="AE604" s="55" t="e">
        <f t="shared" ca="1" si="126"/>
        <v>#N/A</v>
      </c>
    </row>
    <row r="605" spans="18:31">
      <c r="R605" s="55" t="e">
        <f ca="1"/>
        <v>#N/A</v>
      </c>
      <c r="S605" s="55" t="e">
        <f t="shared" ca="1" si="115"/>
        <v>#N/A</v>
      </c>
      <c r="T605" s="55" t="e">
        <f t="shared" ca="1" si="116"/>
        <v>#N/A</v>
      </c>
      <c r="U605" s="55" t="e">
        <f t="shared" ca="1" si="117"/>
        <v>#N/A</v>
      </c>
      <c r="V605" s="55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3" t="e">
        <f ca="1"/>
        <v>#N/A</v>
      </c>
      <c r="AB605" s="55" t="e">
        <f t="shared" ca="1" si="123"/>
        <v>#N/A</v>
      </c>
      <c r="AC605" s="55" t="e">
        <f t="shared" ca="1" si="124"/>
        <v>#N/A</v>
      </c>
      <c r="AD605" s="55" t="e">
        <f t="shared" ca="1" si="125"/>
        <v>#N/A</v>
      </c>
      <c r="AE605" s="55" t="e">
        <f t="shared" ca="1" si="126"/>
        <v>#N/A</v>
      </c>
    </row>
    <row r="606" spans="18:31">
      <c r="R606" s="55" t="e">
        <f ca="1"/>
        <v>#N/A</v>
      </c>
      <c r="S606" s="55" t="e">
        <f t="shared" ca="1" si="115"/>
        <v>#N/A</v>
      </c>
      <c r="T606" s="55" t="e">
        <f t="shared" ca="1" si="116"/>
        <v>#N/A</v>
      </c>
      <c r="U606" s="55" t="e">
        <f t="shared" ca="1" si="117"/>
        <v>#N/A</v>
      </c>
      <c r="V606" s="55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3" t="e">
        <f ca="1"/>
        <v>#N/A</v>
      </c>
      <c r="AB606" s="55" t="e">
        <f t="shared" ca="1" si="123"/>
        <v>#N/A</v>
      </c>
      <c r="AC606" s="55" t="e">
        <f t="shared" ca="1" si="124"/>
        <v>#N/A</v>
      </c>
      <c r="AD606" s="55" t="e">
        <f t="shared" ca="1" si="125"/>
        <v>#N/A</v>
      </c>
      <c r="AE606" s="55" t="e">
        <f t="shared" ca="1" si="126"/>
        <v>#N/A</v>
      </c>
    </row>
    <row r="607" spans="18:31">
      <c r="R607" s="55" t="e">
        <f ca="1"/>
        <v>#N/A</v>
      </c>
      <c r="S607" s="55" t="e">
        <f t="shared" ca="1" si="115"/>
        <v>#N/A</v>
      </c>
      <c r="T607" s="55" t="e">
        <f t="shared" ca="1" si="116"/>
        <v>#N/A</v>
      </c>
      <c r="U607" s="55" t="e">
        <f t="shared" ca="1" si="117"/>
        <v>#N/A</v>
      </c>
      <c r="V607" s="55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3" t="e">
        <f ca="1"/>
        <v>#N/A</v>
      </c>
      <c r="AB607" s="55" t="e">
        <f t="shared" ca="1" si="123"/>
        <v>#N/A</v>
      </c>
      <c r="AC607" s="55" t="e">
        <f t="shared" ca="1" si="124"/>
        <v>#N/A</v>
      </c>
      <c r="AD607" s="55" t="e">
        <f t="shared" ca="1" si="125"/>
        <v>#N/A</v>
      </c>
      <c r="AE607" s="55" t="e">
        <f t="shared" ca="1" si="126"/>
        <v>#N/A</v>
      </c>
    </row>
    <row r="608" spans="18:31">
      <c r="R608" s="55" t="e">
        <f ca="1"/>
        <v>#N/A</v>
      </c>
      <c r="S608" s="55" t="e">
        <f t="shared" ca="1" si="115"/>
        <v>#N/A</v>
      </c>
      <c r="T608" s="55" t="e">
        <f t="shared" ca="1" si="116"/>
        <v>#N/A</v>
      </c>
      <c r="U608" s="55" t="e">
        <f t="shared" ca="1" si="117"/>
        <v>#N/A</v>
      </c>
      <c r="V608" s="55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3" t="e">
        <f ca="1"/>
        <v>#N/A</v>
      </c>
      <c r="AB608" s="55" t="e">
        <f t="shared" ca="1" si="123"/>
        <v>#N/A</v>
      </c>
      <c r="AC608" s="55" t="e">
        <f t="shared" ca="1" si="124"/>
        <v>#N/A</v>
      </c>
      <c r="AD608" s="55" t="e">
        <f t="shared" ca="1" si="125"/>
        <v>#N/A</v>
      </c>
      <c r="AE608" s="55" t="e">
        <f t="shared" ca="1" si="126"/>
        <v>#N/A</v>
      </c>
    </row>
    <row r="609" spans="18:31">
      <c r="R609" s="55" t="e">
        <f ca="1"/>
        <v>#N/A</v>
      </c>
      <c r="S609" s="55" t="e">
        <f t="shared" ca="1" si="115"/>
        <v>#N/A</v>
      </c>
      <c r="T609" s="55" t="e">
        <f t="shared" ca="1" si="116"/>
        <v>#N/A</v>
      </c>
      <c r="U609" s="55" t="e">
        <f t="shared" ca="1" si="117"/>
        <v>#N/A</v>
      </c>
      <c r="V609" s="55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3" t="e">
        <f ca="1"/>
        <v>#N/A</v>
      </c>
      <c r="AB609" s="55" t="e">
        <f t="shared" ca="1" si="123"/>
        <v>#N/A</v>
      </c>
      <c r="AC609" s="55" t="e">
        <f t="shared" ca="1" si="124"/>
        <v>#N/A</v>
      </c>
      <c r="AD609" s="55" t="e">
        <f t="shared" ca="1" si="125"/>
        <v>#N/A</v>
      </c>
      <c r="AE609" s="55" t="e">
        <f t="shared" ca="1" si="126"/>
        <v>#N/A</v>
      </c>
    </row>
    <row r="610" spans="18:31">
      <c r="R610" s="55" t="e">
        <f ca="1"/>
        <v>#N/A</v>
      </c>
      <c r="S610" s="55" t="e">
        <f t="shared" ca="1" si="115"/>
        <v>#N/A</v>
      </c>
      <c r="T610" s="55" t="e">
        <f t="shared" ca="1" si="116"/>
        <v>#N/A</v>
      </c>
      <c r="U610" s="55" t="e">
        <f t="shared" ca="1" si="117"/>
        <v>#N/A</v>
      </c>
      <c r="V610" s="55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3" t="e">
        <f ca="1"/>
        <v>#N/A</v>
      </c>
      <c r="AB610" s="55" t="e">
        <f t="shared" ca="1" si="123"/>
        <v>#N/A</v>
      </c>
      <c r="AC610" s="55" t="e">
        <f t="shared" ca="1" si="124"/>
        <v>#N/A</v>
      </c>
      <c r="AD610" s="55" t="e">
        <f t="shared" ca="1" si="125"/>
        <v>#N/A</v>
      </c>
      <c r="AE610" s="55" t="e">
        <f t="shared" ca="1" si="126"/>
        <v>#N/A</v>
      </c>
    </row>
    <row r="611" spans="18:31">
      <c r="R611" s="55" t="e">
        <f ca="1"/>
        <v>#N/A</v>
      </c>
      <c r="S611" s="55" t="e">
        <f t="shared" ca="1" si="115"/>
        <v>#N/A</v>
      </c>
      <c r="T611" s="55" t="e">
        <f t="shared" ca="1" si="116"/>
        <v>#N/A</v>
      </c>
      <c r="U611" s="55" t="e">
        <f t="shared" ca="1" si="117"/>
        <v>#N/A</v>
      </c>
      <c r="V611" s="55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3" t="e">
        <f ca="1"/>
        <v>#N/A</v>
      </c>
      <c r="AB611" s="55" t="e">
        <f t="shared" ca="1" si="123"/>
        <v>#N/A</v>
      </c>
      <c r="AC611" s="55" t="e">
        <f t="shared" ca="1" si="124"/>
        <v>#N/A</v>
      </c>
      <c r="AD611" s="55" t="e">
        <f t="shared" ca="1" si="125"/>
        <v>#N/A</v>
      </c>
      <c r="AE611" s="55" t="e">
        <f t="shared" ca="1" si="126"/>
        <v>#N/A</v>
      </c>
    </row>
    <row r="612" spans="18:31">
      <c r="R612" s="55" t="e">
        <f ca="1"/>
        <v>#N/A</v>
      </c>
      <c r="S612" s="55" t="e">
        <f t="shared" ca="1" si="115"/>
        <v>#N/A</v>
      </c>
      <c r="T612" s="55" t="e">
        <f t="shared" ca="1" si="116"/>
        <v>#N/A</v>
      </c>
      <c r="U612" s="55" t="e">
        <f t="shared" ca="1" si="117"/>
        <v>#N/A</v>
      </c>
      <c r="V612" s="55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3" t="e">
        <f ca="1"/>
        <v>#N/A</v>
      </c>
      <c r="AB612" s="55" t="e">
        <f t="shared" ca="1" si="123"/>
        <v>#N/A</v>
      </c>
      <c r="AC612" s="55" t="e">
        <f t="shared" ca="1" si="124"/>
        <v>#N/A</v>
      </c>
      <c r="AD612" s="55" t="e">
        <f t="shared" ca="1" si="125"/>
        <v>#N/A</v>
      </c>
      <c r="AE612" s="55" t="e">
        <f t="shared" ca="1" si="126"/>
        <v>#N/A</v>
      </c>
    </row>
    <row r="613" spans="18:31">
      <c r="R613" s="55" t="e">
        <f ca="1"/>
        <v>#N/A</v>
      </c>
      <c r="S613" s="55" t="e">
        <f t="shared" ca="1" si="115"/>
        <v>#N/A</v>
      </c>
      <c r="T613" s="55" t="e">
        <f t="shared" ca="1" si="116"/>
        <v>#N/A</v>
      </c>
      <c r="U613" s="55" t="e">
        <f t="shared" ca="1" si="117"/>
        <v>#N/A</v>
      </c>
      <c r="V613" s="55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3" t="e">
        <f ca="1"/>
        <v>#N/A</v>
      </c>
      <c r="AB613" s="55" t="e">
        <f t="shared" ca="1" si="123"/>
        <v>#N/A</v>
      </c>
      <c r="AC613" s="55" t="e">
        <f t="shared" ca="1" si="124"/>
        <v>#N/A</v>
      </c>
      <c r="AD613" s="55" t="e">
        <f t="shared" ca="1" si="125"/>
        <v>#N/A</v>
      </c>
      <c r="AE613" s="55" t="e">
        <f t="shared" ca="1" si="126"/>
        <v>#N/A</v>
      </c>
    </row>
    <row r="614" spans="18:31">
      <c r="R614" s="55" t="e">
        <f ca="1"/>
        <v>#N/A</v>
      </c>
      <c r="S614" s="55" t="e">
        <f t="shared" ca="1" si="115"/>
        <v>#N/A</v>
      </c>
      <c r="T614" s="55" t="e">
        <f t="shared" ca="1" si="116"/>
        <v>#N/A</v>
      </c>
      <c r="U614" s="55" t="e">
        <f t="shared" ca="1" si="117"/>
        <v>#N/A</v>
      </c>
      <c r="V614" s="55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3" t="e">
        <f ca="1"/>
        <v>#N/A</v>
      </c>
      <c r="AB614" s="55" t="e">
        <f t="shared" ca="1" si="123"/>
        <v>#N/A</v>
      </c>
      <c r="AC614" s="55" t="e">
        <f t="shared" ca="1" si="124"/>
        <v>#N/A</v>
      </c>
      <c r="AD614" s="55" t="e">
        <f t="shared" ca="1" si="125"/>
        <v>#N/A</v>
      </c>
      <c r="AE614" s="55" t="e">
        <f t="shared" ca="1" si="126"/>
        <v>#N/A</v>
      </c>
    </row>
    <row r="615" spans="18:31">
      <c r="R615" s="55" t="e">
        <f ca="1"/>
        <v>#N/A</v>
      </c>
      <c r="S615" s="55" t="e">
        <f t="shared" ca="1" si="115"/>
        <v>#N/A</v>
      </c>
      <c r="T615" s="55" t="e">
        <f t="shared" ca="1" si="116"/>
        <v>#N/A</v>
      </c>
      <c r="U615" s="55" t="e">
        <f t="shared" ca="1" si="117"/>
        <v>#N/A</v>
      </c>
      <c r="V615" s="55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3" t="e">
        <f ca="1"/>
        <v>#N/A</v>
      </c>
      <c r="AB615" s="55" t="e">
        <f t="shared" ca="1" si="123"/>
        <v>#N/A</v>
      </c>
      <c r="AC615" s="55" t="e">
        <f t="shared" ca="1" si="124"/>
        <v>#N/A</v>
      </c>
      <c r="AD615" s="55" t="e">
        <f t="shared" ca="1" si="125"/>
        <v>#N/A</v>
      </c>
      <c r="AE615" s="55" t="e">
        <f t="shared" ca="1" si="126"/>
        <v>#N/A</v>
      </c>
    </row>
    <row r="616" spans="18:31">
      <c r="R616" s="55" t="e">
        <f ca="1"/>
        <v>#N/A</v>
      </c>
      <c r="S616" s="55" t="e">
        <f t="shared" ca="1" si="115"/>
        <v>#N/A</v>
      </c>
      <c r="T616" s="55" t="e">
        <f t="shared" ca="1" si="116"/>
        <v>#N/A</v>
      </c>
      <c r="U616" s="55" t="e">
        <f t="shared" ca="1" si="117"/>
        <v>#N/A</v>
      </c>
      <c r="V616" s="55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3" t="e">
        <f ca="1"/>
        <v>#N/A</v>
      </c>
      <c r="AB616" s="55" t="e">
        <f t="shared" ca="1" si="123"/>
        <v>#N/A</v>
      </c>
      <c r="AC616" s="55" t="e">
        <f t="shared" ca="1" si="124"/>
        <v>#N/A</v>
      </c>
      <c r="AD616" s="55" t="e">
        <f t="shared" ca="1" si="125"/>
        <v>#N/A</v>
      </c>
      <c r="AE616" s="55" t="e">
        <f t="shared" ca="1" si="126"/>
        <v>#N/A</v>
      </c>
    </row>
    <row r="617" spans="18:31">
      <c r="R617" s="55" t="e">
        <f ca="1"/>
        <v>#N/A</v>
      </c>
      <c r="S617" s="55" t="e">
        <f t="shared" ca="1" si="115"/>
        <v>#N/A</v>
      </c>
      <c r="T617" s="55" t="e">
        <f t="shared" ca="1" si="116"/>
        <v>#N/A</v>
      </c>
      <c r="U617" s="55" t="e">
        <f t="shared" ca="1" si="117"/>
        <v>#N/A</v>
      </c>
      <c r="V617" s="55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3" t="e">
        <f ca="1"/>
        <v>#N/A</v>
      </c>
      <c r="AB617" s="55" t="e">
        <f t="shared" ca="1" si="123"/>
        <v>#N/A</v>
      </c>
      <c r="AC617" s="55" t="e">
        <f t="shared" ca="1" si="124"/>
        <v>#N/A</v>
      </c>
      <c r="AD617" s="55" t="e">
        <f t="shared" ca="1" si="125"/>
        <v>#N/A</v>
      </c>
      <c r="AE617" s="55" t="e">
        <f t="shared" ca="1" si="126"/>
        <v>#N/A</v>
      </c>
    </row>
    <row r="618" spans="18:31">
      <c r="R618" s="55" t="e">
        <f ca="1"/>
        <v>#N/A</v>
      </c>
      <c r="S618" s="55" t="e">
        <f t="shared" ca="1" si="115"/>
        <v>#N/A</v>
      </c>
      <c r="T618" s="55" t="e">
        <f t="shared" ca="1" si="116"/>
        <v>#N/A</v>
      </c>
      <c r="U618" s="55" t="e">
        <f t="shared" ca="1" si="117"/>
        <v>#N/A</v>
      </c>
      <c r="V618" s="55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3" t="e">
        <f ca="1"/>
        <v>#N/A</v>
      </c>
      <c r="AB618" s="55" t="e">
        <f t="shared" ca="1" si="123"/>
        <v>#N/A</v>
      </c>
      <c r="AC618" s="55" t="e">
        <f t="shared" ca="1" si="124"/>
        <v>#N/A</v>
      </c>
      <c r="AD618" s="55" t="e">
        <f t="shared" ca="1" si="125"/>
        <v>#N/A</v>
      </c>
      <c r="AE618" s="55" t="e">
        <f t="shared" ca="1" si="126"/>
        <v>#N/A</v>
      </c>
    </row>
    <row r="619" spans="18:31">
      <c r="R619" s="55" t="e">
        <f ca="1"/>
        <v>#N/A</v>
      </c>
      <c r="S619" s="55" t="e">
        <f t="shared" ca="1" si="115"/>
        <v>#N/A</v>
      </c>
      <c r="T619" s="55" t="e">
        <f t="shared" ca="1" si="116"/>
        <v>#N/A</v>
      </c>
      <c r="U619" s="55" t="e">
        <f t="shared" ca="1" si="117"/>
        <v>#N/A</v>
      </c>
      <c r="V619" s="55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3" t="e">
        <f ca="1"/>
        <v>#N/A</v>
      </c>
      <c r="AB619" s="55" t="e">
        <f t="shared" ca="1" si="123"/>
        <v>#N/A</v>
      </c>
      <c r="AC619" s="55" t="e">
        <f t="shared" ca="1" si="124"/>
        <v>#N/A</v>
      </c>
      <c r="AD619" s="55" t="e">
        <f t="shared" ca="1" si="125"/>
        <v>#N/A</v>
      </c>
      <c r="AE619" s="55" t="e">
        <f t="shared" ca="1" si="126"/>
        <v>#N/A</v>
      </c>
    </row>
    <row r="620" spans="18:31">
      <c r="R620" s="55" t="e">
        <f ca="1"/>
        <v>#N/A</v>
      </c>
      <c r="S620" s="55" t="e">
        <f t="shared" ca="1" si="115"/>
        <v>#N/A</v>
      </c>
      <c r="T620" s="55" t="e">
        <f t="shared" ca="1" si="116"/>
        <v>#N/A</v>
      </c>
      <c r="U620" s="55" t="e">
        <f t="shared" ca="1" si="117"/>
        <v>#N/A</v>
      </c>
      <c r="V620" s="55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3" t="e">
        <f ca="1"/>
        <v>#N/A</v>
      </c>
      <c r="AB620" s="55" t="e">
        <f t="shared" ca="1" si="123"/>
        <v>#N/A</v>
      </c>
      <c r="AC620" s="55" t="e">
        <f t="shared" ca="1" si="124"/>
        <v>#N/A</v>
      </c>
      <c r="AD620" s="55" t="e">
        <f t="shared" ca="1" si="125"/>
        <v>#N/A</v>
      </c>
      <c r="AE620" s="55" t="e">
        <f t="shared" ca="1" si="126"/>
        <v>#N/A</v>
      </c>
    </row>
    <row r="621" spans="18:31">
      <c r="R621" s="55" t="e">
        <f ca="1"/>
        <v>#N/A</v>
      </c>
      <c r="S621" s="55" t="e">
        <f t="shared" ca="1" si="115"/>
        <v>#N/A</v>
      </c>
      <c r="T621" s="55" t="e">
        <f t="shared" ca="1" si="116"/>
        <v>#N/A</v>
      </c>
      <c r="U621" s="55" t="e">
        <f t="shared" ca="1" si="117"/>
        <v>#N/A</v>
      </c>
      <c r="V621" s="55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3" t="e">
        <f ca="1"/>
        <v>#N/A</v>
      </c>
      <c r="AB621" s="55" t="e">
        <f t="shared" ca="1" si="123"/>
        <v>#N/A</v>
      </c>
      <c r="AC621" s="55" t="e">
        <f t="shared" ca="1" si="124"/>
        <v>#N/A</v>
      </c>
      <c r="AD621" s="55" t="e">
        <f t="shared" ca="1" si="125"/>
        <v>#N/A</v>
      </c>
      <c r="AE621" s="55" t="e">
        <f t="shared" ca="1" si="126"/>
        <v>#N/A</v>
      </c>
    </row>
    <row r="622" spans="18:31">
      <c r="R622" s="55" t="e">
        <f ca="1"/>
        <v>#N/A</v>
      </c>
      <c r="S622" s="55" t="e">
        <f t="shared" ca="1" si="115"/>
        <v>#N/A</v>
      </c>
      <c r="T622" s="55" t="e">
        <f t="shared" ca="1" si="116"/>
        <v>#N/A</v>
      </c>
      <c r="U622" s="55" t="e">
        <f t="shared" ca="1" si="117"/>
        <v>#N/A</v>
      </c>
      <c r="V622" s="55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3" t="e">
        <f ca="1"/>
        <v>#N/A</v>
      </c>
      <c r="AB622" s="55" t="e">
        <f t="shared" ca="1" si="123"/>
        <v>#N/A</v>
      </c>
      <c r="AC622" s="55" t="e">
        <f t="shared" ca="1" si="124"/>
        <v>#N/A</v>
      </c>
      <c r="AD622" s="55" t="e">
        <f t="shared" ca="1" si="125"/>
        <v>#N/A</v>
      </c>
      <c r="AE622" s="55" t="e">
        <f t="shared" ca="1" si="126"/>
        <v>#N/A</v>
      </c>
    </row>
    <row r="623" spans="18:31">
      <c r="R623" s="55" t="e">
        <f ca="1"/>
        <v>#N/A</v>
      </c>
      <c r="S623" s="55" t="e">
        <f t="shared" ca="1" si="115"/>
        <v>#N/A</v>
      </c>
      <c r="T623" s="55" t="e">
        <f t="shared" ca="1" si="116"/>
        <v>#N/A</v>
      </c>
      <c r="U623" s="55" t="e">
        <f t="shared" ca="1" si="117"/>
        <v>#N/A</v>
      </c>
      <c r="V623" s="55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3" t="e">
        <f ca="1"/>
        <v>#N/A</v>
      </c>
      <c r="AB623" s="55" t="e">
        <f t="shared" ca="1" si="123"/>
        <v>#N/A</v>
      </c>
      <c r="AC623" s="55" t="e">
        <f t="shared" ca="1" si="124"/>
        <v>#N/A</v>
      </c>
      <c r="AD623" s="55" t="e">
        <f t="shared" ca="1" si="125"/>
        <v>#N/A</v>
      </c>
      <c r="AE623" s="55" t="e">
        <f t="shared" ca="1" si="126"/>
        <v>#N/A</v>
      </c>
    </row>
    <row r="624" spans="18:31">
      <c r="R624" s="55" t="e">
        <f ca="1"/>
        <v>#N/A</v>
      </c>
      <c r="S624" s="55" t="e">
        <f t="shared" ca="1" si="115"/>
        <v>#N/A</v>
      </c>
      <c r="T624" s="55" t="e">
        <f t="shared" ca="1" si="116"/>
        <v>#N/A</v>
      </c>
      <c r="U624" s="55" t="e">
        <f t="shared" ca="1" si="117"/>
        <v>#N/A</v>
      </c>
      <c r="V624" s="55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3" t="e">
        <f ca="1"/>
        <v>#N/A</v>
      </c>
      <c r="AB624" s="55" t="e">
        <f t="shared" ca="1" si="123"/>
        <v>#N/A</v>
      </c>
      <c r="AC624" s="55" t="e">
        <f t="shared" ca="1" si="124"/>
        <v>#N/A</v>
      </c>
      <c r="AD624" s="55" t="e">
        <f t="shared" ca="1" si="125"/>
        <v>#N/A</v>
      </c>
      <c r="AE624" s="55" t="e">
        <f t="shared" ca="1" si="126"/>
        <v>#N/A</v>
      </c>
    </row>
    <row r="625" spans="18:31">
      <c r="R625" s="55" t="e">
        <f ca="1"/>
        <v>#N/A</v>
      </c>
      <c r="S625" s="55" t="e">
        <f t="shared" ca="1" si="115"/>
        <v>#N/A</v>
      </c>
      <c r="T625" s="55" t="e">
        <f t="shared" ca="1" si="116"/>
        <v>#N/A</v>
      </c>
      <c r="U625" s="55" t="e">
        <f t="shared" ca="1" si="117"/>
        <v>#N/A</v>
      </c>
      <c r="V625" s="55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3" t="e">
        <f ca="1"/>
        <v>#N/A</v>
      </c>
      <c r="AB625" s="55" t="e">
        <f t="shared" ca="1" si="123"/>
        <v>#N/A</v>
      </c>
      <c r="AC625" s="55" t="e">
        <f t="shared" ca="1" si="124"/>
        <v>#N/A</v>
      </c>
      <c r="AD625" s="55" t="e">
        <f t="shared" ca="1" si="125"/>
        <v>#N/A</v>
      </c>
      <c r="AE625" s="55" t="e">
        <f t="shared" ca="1" si="126"/>
        <v>#N/A</v>
      </c>
    </row>
    <row r="626" spans="18:31">
      <c r="R626" s="55" t="e">
        <f ca="1"/>
        <v>#N/A</v>
      </c>
      <c r="S626" s="55" t="e">
        <f t="shared" ca="1" si="115"/>
        <v>#N/A</v>
      </c>
      <c r="T626" s="55" t="e">
        <f t="shared" ca="1" si="116"/>
        <v>#N/A</v>
      </c>
      <c r="U626" s="55" t="e">
        <f t="shared" ca="1" si="117"/>
        <v>#N/A</v>
      </c>
      <c r="V626" s="55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3" t="e">
        <f ca="1"/>
        <v>#N/A</v>
      </c>
      <c r="AB626" s="55" t="e">
        <f t="shared" ca="1" si="123"/>
        <v>#N/A</v>
      </c>
      <c r="AC626" s="55" t="e">
        <f t="shared" ca="1" si="124"/>
        <v>#N/A</v>
      </c>
      <c r="AD626" s="55" t="e">
        <f t="shared" ca="1" si="125"/>
        <v>#N/A</v>
      </c>
      <c r="AE626" s="55" t="e">
        <f t="shared" ca="1" si="126"/>
        <v>#N/A</v>
      </c>
    </row>
    <row r="627" spans="18:31">
      <c r="R627" s="55" t="e">
        <f ca="1"/>
        <v>#N/A</v>
      </c>
      <c r="S627" s="55" t="e">
        <f t="shared" ca="1" si="115"/>
        <v>#N/A</v>
      </c>
      <c r="T627" s="55" t="e">
        <f t="shared" ca="1" si="116"/>
        <v>#N/A</v>
      </c>
      <c r="U627" s="55" t="e">
        <f t="shared" ca="1" si="117"/>
        <v>#N/A</v>
      </c>
      <c r="V627" s="55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3" t="e">
        <f ca="1"/>
        <v>#N/A</v>
      </c>
      <c r="AB627" s="55" t="e">
        <f t="shared" ca="1" si="123"/>
        <v>#N/A</v>
      </c>
      <c r="AC627" s="55" t="e">
        <f t="shared" ca="1" si="124"/>
        <v>#N/A</v>
      </c>
      <c r="AD627" s="55" t="e">
        <f t="shared" ca="1" si="125"/>
        <v>#N/A</v>
      </c>
      <c r="AE627" s="55" t="e">
        <f t="shared" ca="1" si="126"/>
        <v>#N/A</v>
      </c>
    </row>
    <row r="628" spans="18:31">
      <c r="R628" s="55" t="e">
        <f ca="1"/>
        <v>#N/A</v>
      </c>
      <c r="S628" s="55" t="e">
        <f t="shared" ca="1" si="115"/>
        <v>#N/A</v>
      </c>
      <c r="T628" s="55" t="e">
        <f t="shared" ca="1" si="116"/>
        <v>#N/A</v>
      </c>
      <c r="U628" s="55" t="e">
        <f t="shared" ca="1" si="117"/>
        <v>#N/A</v>
      </c>
      <c r="V628" s="55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3" t="e">
        <f ca="1"/>
        <v>#N/A</v>
      </c>
      <c r="AB628" s="55" t="e">
        <f t="shared" ca="1" si="123"/>
        <v>#N/A</v>
      </c>
      <c r="AC628" s="55" t="e">
        <f t="shared" ca="1" si="124"/>
        <v>#N/A</v>
      </c>
      <c r="AD628" s="55" t="e">
        <f t="shared" ca="1" si="125"/>
        <v>#N/A</v>
      </c>
      <c r="AE628" s="55" t="e">
        <f t="shared" ca="1" si="126"/>
        <v>#N/A</v>
      </c>
    </row>
    <row r="629" spans="18:31">
      <c r="R629" s="55" t="e">
        <f ca="1"/>
        <v>#N/A</v>
      </c>
      <c r="S629" s="55" t="e">
        <f t="shared" ca="1" si="115"/>
        <v>#N/A</v>
      </c>
      <c r="T629" s="55" t="e">
        <f t="shared" ca="1" si="116"/>
        <v>#N/A</v>
      </c>
      <c r="U629" s="55" t="e">
        <f t="shared" ca="1" si="117"/>
        <v>#N/A</v>
      </c>
      <c r="V629" s="55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3" t="e">
        <f ca="1"/>
        <v>#N/A</v>
      </c>
      <c r="AB629" s="55" t="e">
        <f t="shared" ca="1" si="123"/>
        <v>#N/A</v>
      </c>
      <c r="AC629" s="55" t="e">
        <f t="shared" ca="1" si="124"/>
        <v>#N/A</v>
      </c>
      <c r="AD629" s="55" t="e">
        <f t="shared" ca="1" si="125"/>
        <v>#N/A</v>
      </c>
      <c r="AE629" s="55" t="e">
        <f t="shared" ca="1" si="126"/>
        <v>#N/A</v>
      </c>
    </row>
    <row r="630" spans="18:31">
      <c r="R630" s="55" t="e">
        <f ca="1"/>
        <v>#N/A</v>
      </c>
      <c r="S630" s="55" t="e">
        <f t="shared" ca="1" si="115"/>
        <v>#N/A</v>
      </c>
      <c r="T630" s="55" t="e">
        <f t="shared" ca="1" si="116"/>
        <v>#N/A</v>
      </c>
      <c r="U630" s="55" t="e">
        <f t="shared" ca="1" si="117"/>
        <v>#N/A</v>
      </c>
      <c r="V630" s="55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3" t="e">
        <f ca="1"/>
        <v>#N/A</v>
      </c>
      <c r="AB630" s="55" t="e">
        <f t="shared" ca="1" si="123"/>
        <v>#N/A</v>
      </c>
      <c r="AC630" s="55" t="e">
        <f t="shared" ca="1" si="124"/>
        <v>#N/A</v>
      </c>
      <c r="AD630" s="55" t="e">
        <f t="shared" ca="1" si="125"/>
        <v>#N/A</v>
      </c>
      <c r="AE630" s="55" t="e">
        <f t="shared" ca="1" si="126"/>
        <v>#N/A</v>
      </c>
    </row>
    <row r="631" spans="18:31">
      <c r="R631" s="55" t="e">
        <f ca="1"/>
        <v>#N/A</v>
      </c>
      <c r="S631" s="55" t="e">
        <f t="shared" ca="1" si="115"/>
        <v>#N/A</v>
      </c>
      <c r="T631" s="55" t="e">
        <f t="shared" ca="1" si="116"/>
        <v>#N/A</v>
      </c>
      <c r="U631" s="55" t="e">
        <f t="shared" ca="1" si="117"/>
        <v>#N/A</v>
      </c>
      <c r="V631" s="55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3" t="e">
        <f ca="1"/>
        <v>#N/A</v>
      </c>
      <c r="AB631" s="55" t="e">
        <f t="shared" ca="1" si="123"/>
        <v>#N/A</v>
      </c>
      <c r="AC631" s="55" t="e">
        <f t="shared" ca="1" si="124"/>
        <v>#N/A</v>
      </c>
      <c r="AD631" s="55" t="e">
        <f t="shared" ca="1" si="125"/>
        <v>#N/A</v>
      </c>
      <c r="AE631" s="55" t="e">
        <f t="shared" ca="1" si="126"/>
        <v>#N/A</v>
      </c>
    </row>
    <row r="632" spans="18:31">
      <c r="R632" s="55" t="e">
        <f ca="1"/>
        <v>#N/A</v>
      </c>
      <c r="S632" s="55" t="e">
        <f t="shared" ca="1" si="115"/>
        <v>#N/A</v>
      </c>
      <c r="T632" s="55" t="e">
        <f t="shared" ca="1" si="116"/>
        <v>#N/A</v>
      </c>
      <c r="U632" s="55" t="e">
        <f t="shared" ca="1" si="117"/>
        <v>#N/A</v>
      </c>
      <c r="V632" s="55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3" t="e">
        <f ca="1"/>
        <v>#N/A</v>
      </c>
      <c r="AB632" s="55" t="e">
        <f t="shared" ca="1" si="123"/>
        <v>#N/A</v>
      </c>
      <c r="AC632" s="55" t="e">
        <f t="shared" ca="1" si="124"/>
        <v>#N/A</v>
      </c>
      <c r="AD632" s="55" t="e">
        <f t="shared" ca="1" si="125"/>
        <v>#N/A</v>
      </c>
      <c r="AE632" s="55" t="e">
        <f t="shared" ca="1" si="126"/>
        <v>#N/A</v>
      </c>
    </row>
    <row r="633" spans="18:31">
      <c r="R633" s="55" t="e">
        <f ca="1"/>
        <v>#N/A</v>
      </c>
      <c r="S633" s="55" t="e">
        <f t="shared" ca="1" si="115"/>
        <v>#N/A</v>
      </c>
      <c r="T633" s="55" t="e">
        <f t="shared" ca="1" si="116"/>
        <v>#N/A</v>
      </c>
      <c r="U633" s="55" t="e">
        <f t="shared" ca="1" si="117"/>
        <v>#N/A</v>
      </c>
      <c r="V633" s="55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3" t="e">
        <f ca="1"/>
        <v>#N/A</v>
      </c>
      <c r="AB633" s="55" t="e">
        <f t="shared" ca="1" si="123"/>
        <v>#N/A</v>
      </c>
      <c r="AC633" s="55" t="e">
        <f t="shared" ca="1" si="124"/>
        <v>#N/A</v>
      </c>
      <c r="AD633" s="55" t="e">
        <f t="shared" ca="1" si="125"/>
        <v>#N/A</v>
      </c>
      <c r="AE633" s="55" t="e">
        <f t="shared" ca="1" si="126"/>
        <v>#N/A</v>
      </c>
    </row>
    <row r="634" spans="18:31">
      <c r="R634" s="55" t="e">
        <f ca="1"/>
        <v>#N/A</v>
      </c>
      <c r="S634" s="55" t="e">
        <f t="shared" ca="1" si="115"/>
        <v>#N/A</v>
      </c>
      <c r="T634" s="55" t="e">
        <f t="shared" ca="1" si="116"/>
        <v>#N/A</v>
      </c>
      <c r="U634" s="55" t="e">
        <f t="shared" ca="1" si="117"/>
        <v>#N/A</v>
      </c>
      <c r="V634" s="55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3" t="e">
        <f ca="1"/>
        <v>#N/A</v>
      </c>
      <c r="AB634" s="55" t="e">
        <f t="shared" ca="1" si="123"/>
        <v>#N/A</v>
      </c>
      <c r="AC634" s="55" t="e">
        <f t="shared" ca="1" si="124"/>
        <v>#N/A</v>
      </c>
      <c r="AD634" s="55" t="e">
        <f t="shared" ca="1" si="125"/>
        <v>#N/A</v>
      </c>
      <c r="AE634" s="55" t="e">
        <f t="shared" ca="1" si="126"/>
        <v>#N/A</v>
      </c>
    </row>
    <row r="635" spans="18:31">
      <c r="R635" s="55" t="e">
        <f ca="1"/>
        <v>#N/A</v>
      </c>
      <c r="S635" s="55" t="e">
        <f t="shared" ca="1" si="115"/>
        <v>#N/A</v>
      </c>
      <c r="T635" s="55" t="e">
        <f t="shared" ca="1" si="116"/>
        <v>#N/A</v>
      </c>
      <c r="U635" s="55" t="e">
        <f t="shared" ca="1" si="117"/>
        <v>#N/A</v>
      </c>
      <c r="V635" s="55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3" t="e">
        <f ca="1"/>
        <v>#N/A</v>
      </c>
      <c r="AB635" s="55" t="e">
        <f t="shared" ca="1" si="123"/>
        <v>#N/A</v>
      </c>
      <c r="AC635" s="55" t="e">
        <f t="shared" ca="1" si="124"/>
        <v>#N/A</v>
      </c>
      <c r="AD635" s="55" t="e">
        <f t="shared" ca="1" si="125"/>
        <v>#N/A</v>
      </c>
      <c r="AE635" s="55" t="e">
        <f t="shared" ca="1" si="126"/>
        <v>#N/A</v>
      </c>
    </row>
    <row r="636" spans="18:31">
      <c r="R636" s="55" t="e">
        <f ca="1"/>
        <v>#N/A</v>
      </c>
      <c r="S636" s="55" t="e">
        <f t="shared" ca="1" si="115"/>
        <v>#N/A</v>
      </c>
      <c r="T636" s="55" t="e">
        <f t="shared" ca="1" si="116"/>
        <v>#N/A</v>
      </c>
      <c r="U636" s="55" t="e">
        <f t="shared" ca="1" si="117"/>
        <v>#N/A</v>
      </c>
      <c r="V636" s="55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3" t="e">
        <f ca="1"/>
        <v>#N/A</v>
      </c>
      <c r="AB636" s="55" t="e">
        <f t="shared" ca="1" si="123"/>
        <v>#N/A</v>
      </c>
      <c r="AC636" s="55" t="e">
        <f t="shared" ca="1" si="124"/>
        <v>#N/A</v>
      </c>
      <c r="AD636" s="55" t="e">
        <f t="shared" ca="1" si="125"/>
        <v>#N/A</v>
      </c>
      <c r="AE636" s="55" t="e">
        <f t="shared" ca="1" si="126"/>
        <v>#N/A</v>
      </c>
    </row>
    <row r="637" spans="18:31">
      <c r="R637" s="55" t="e">
        <f ca="1"/>
        <v>#N/A</v>
      </c>
      <c r="S637" s="55" t="e">
        <f t="shared" ca="1" si="115"/>
        <v>#N/A</v>
      </c>
      <c r="T637" s="55" t="e">
        <f t="shared" ca="1" si="116"/>
        <v>#N/A</v>
      </c>
      <c r="U637" s="55" t="e">
        <f t="shared" ca="1" si="117"/>
        <v>#N/A</v>
      </c>
      <c r="V637" s="55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3" t="e">
        <f ca="1"/>
        <v>#N/A</v>
      </c>
      <c r="AB637" s="55" t="e">
        <f t="shared" ca="1" si="123"/>
        <v>#N/A</v>
      </c>
      <c r="AC637" s="55" t="e">
        <f t="shared" ca="1" si="124"/>
        <v>#N/A</v>
      </c>
      <c r="AD637" s="55" t="e">
        <f t="shared" ca="1" si="125"/>
        <v>#N/A</v>
      </c>
      <c r="AE637" s="55" t="e">
        <f t="shared" ca="1" si="126"/>
        <v>#N/A</v>
      </c>
    </row>
    <row r="638" spans="18:31">
      <c r="R638" s="55" t="e">
        <f ca="1"/>
        <v>#N/A</v>
      </c>
      <c r="S638" s="55" t="e">
        <f t="shared" ca="1" si="115"/>
        <v>#N/A</v>
      </c>
      <c r="T638" s="55" t="e">
        <f t="shared" ca="1" si="116"/>
        <v>#N/A</v>
      </c>
      <c r="U638" s="55" t="e">
        <f t="shared" ca="1" si="117"/>
        <v>#N/A</v>
      </c>
      <c r="V638" s="55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3" t="e">
        <f ca="1"/>
        <v>#N/A</v>
      </c>
      <c r="AB638" s="55" t="e">
        <f t="shared" ca="1" si="123"/>
        <v>#N/A</v>
      </c>
      <c r="AC638" s="55" t="e">
        <f t="shared" ca="1" si="124"/>
        <v>#N/A</v>
      </c>
      <c r="AD638" s="55" t="e">
        <f t="shared" ca="1" si="125"/>
        <v>#N/A</v>
      </c>
      <c r="AE638" s="55" t="e">
        <f t="shared" ca="1" si="126"/>
        <v>#N/A</v>
      </c>
    </row>
    <row r="639" spans="18:31">
      <c r="R639" s="55" t="e">
        <f ca="1"/>
        <v>#N/A</v>
      </c>
      <c r="S639" s="55" t="e">
        <f t="shared" ca="1" si="115"/>
        <v>#N/A</v>
      </c>
      <c r="T639" s="55" t="e">
        <f t="shared" ca="1" si="116"/>
        <v>#N/A</v>
      </c>
      <c r="U639" s="55" t="e">
        <f t="shared" ca="1" si="117"/>
        <v>#N/A</v>
      </c>
      <c r="V639" s="55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3" t="e">
        <f ca="1"/>
        <v>#N/A</v>
      </c>
      <c r="AB639" s="55" t="e">
        <f t="shared" ca="1" si="123"/>
        <v>#N/A</v>
      </c>
      <c r="AC639" s="55" t="e">
        <f t="shared" ca="1" si="124"/>
        <v>#N/A</v>
      </c>
      <c r="AD639" s="55" t="e">
        <f t="shared" ca="1" si="125"/>
        <v>#N/A</v>
      </c>
      <c r="AE639" s="55" t="e">
        <f t="shared" ca="1" si="126"/>
        <v>#N/A</v>
      </c>
    </row>
    <row r="640" spans="18:31">
      <c r="R640" s="55" t="e">
        <f ca="1"/>
        <v>#N/A</v>
      </c>
      <c r="S640" s="55" t="e">
        <f t="shared" ca="1" si="115"/>
        <v>#N/A</v>
      </c>
      <c r="T640" s="55" t="e">
        <f t="shared" ca="1" si="116"/>
        <v>#N/A</v>
      </c>
      <c r="U640" s="55" t="e">
        <f t="shared" ca="1" si="117"/>
        <v>#N/A</v>
      </c>
      <c r="V640" s="55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3" t="e">
        <f ca="1"/>
        <v>#N/A</v>
      </c>
      <c r="AB640" s="55" t="e">
        <f t="shared" ca="1" si="123"/>
        <v>#N/A</v>
      </c>
      <c r="AC640" s="55" t="e">
        <f t="shared" ca="1" si="124"/>
        <v>#N/A</v>
      </c>
      <c r="AD640" s="55" t="e">
        <f t="shared" ca="1" si="125"/>
        <v>#N/A</v>
      </c>
      <c r="AE640" s="55" t="e">
        <f t="shared" ca="1" si="126"/>
        <v>#N/A</v>
      </c>
    </row>
    <row r="641" spans="18:31">
      <c r="R641" s="55" t="e">
        <f ca="1"/>
        <v>#N/A</v>
      </c>
      <c r="S641" s="55" t="e">
        <f t="shared" ca="1" si="115"/>
        <v>#N/A</v>
      </c>
      <c r="T641" s="55" t="e">
        <f t="shared" ca="1" si="116"/>
        <v>#N/A</v>
      </c>
      <c r="U641" s="55" t="e">
        <f t="shared" ca="1" si="117"/>
        <v>#N/A</v>
      </c>
      <c r="V641" s="55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3" t="e">
        <f ca="1"/>
        <v>#N/A</v>
      </c>
      <c r="AB641" s="55" t="e">
        <f t="shared" ca="1" si="123"/>
        <v>#N/A</v>
      </c>
      <c r="AC641" s="55" t="e">
        <f t="shared" ca="1" si="124"/>
        <v>#N/A</v>
      </c>
      <c r="AD641" s="55" t="e">
        <f t="shared" ca="1" si="125"/>
        <v>#N/A</v>
      </c>
      <c r="AE641" s="55" t="e">
        <f t="shared" ca="1" si="126"/>
        <v>#N/A</v>
      </c>
    </row>
    <row r="642" spans="18:31">
      <c r="R642" s="55" t="e">
        <f ca="1"/>
        <v>#N/A</v>
      </c>
      <c r="S642" s="55" t="e">
        <f t="shared" ca="1" si="115"/>
        <v>#N/A</v>
      </c>
      <c r="T642" s="55" t="e">
        <f t="shared" ca="1" si="116"/>
        <v>#N/A</v>
      </c>
      <c r="U642" s="55" t="e">
        <f t="shared" ca="1" si="117"/>
        <v>#N/A</v>
      </c>
      <c r="V642" s="55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3" t="e">
        <f ca="1"/>
        <v>#N/A</v>
      </c>
      <c r="AB642" s="55" t="e">
        <f t="shared" ca="1" si="123"/>
        <v>#N/A</v>
      </c>
      <c r="AC642" s="55" t="e">
        <f t="shared" ca="1" si="124"/>
        <v>#N/A</v>
      </c>
      <c r="AD642" s="55" t="e">
        <f t="shared" ca="1" si="125"/>
        <v>#N/A</v>
      </c>
      <c r="AE642" s="55" t="e">
        <f t="shared" ca="1" si="126"/>
        <v>#N/A</v>
      </c>
    </row>
    <row r="643" spans="18:31">
      <c r="R643" s="55" t="e">
        <f ca="1"/>
        <v>#N/A</v>
      </c>
      <c r="S643" s="55" t="e">
        <f t="shared" ca="1" si="115"/>
        <v>#N/A</v>
      </c>
      <c r="T643" s="55" t="e">
        <f t="shared" ca="1" si="116"/>
        <v>#N/A</v>
      </c>
      <c r="U643" s="55" t="e">
        <f t="shared" ca="1" si="117"/>
        <v>#N/A</v>
      </c>
      <c r="V643" s="55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3" t="e">
        <f ca="1"/>
        <v>#N/A</v>
      </c>
      <c r="AB643" s="55" t="e">
        <f t="shared" ca="1" si="123"/>
        <v>#N/A</v>
      </c>
      <c r="AC643" s="55" t="e">
        <f t="shared" ca="1" si="124"/>
        <v>#N/A</v>
      </c>
      <c r="AD643" s="55" t="e">
        <f t="shared" ca="1" si="125"/>
        <v>#N/A</v>
      </c>
      <c r="AE643" s="55" t="e">
        <f t="shared" ca="1" si="126"/>
        <v>#N/A</v>
      </c>
    </row>
    <row r="644" spans="18:31">
      <c r="R644" s="55" t="e">
        <f ca="1"/>
        <v>#N/A</v>
      </c>
      <c r="S644" s="55" t="e">
        <f t="shared" ca="1" si="115"/>
        <v>#N/A</v>
      </c>
      <c r="T644" s="55" t="e">
        <f t="shared" ca="1" si="116"/>
        <v>#N/A</v>
      </c>
      <c r="U644" s="55" t="e">
        <f t="shared" ca="1" si="117"/>
        <v>#N/A</v>
      </c>
      <c r="V644" s="55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3" t="e">
        <f ca="1"/>
        <v>#N/A</v>
      </c>
      <c r="AB644" s="55" t="e">
        <f t="shared" ca="1" si="123"/>
        <v>#N/A</v>
      </c>
      <c r="AC644" s="55" t="e">
        <f t="shared" ca="1" si="124"/>
        <v>#N/A</v>
      </c>
      <c r="AD644" s="55" t="e">
        <f t="shared" ca="1" si="125"/>
        <v>#N/A</v>
      </c>
      <c r="AE644" s="55" t="e">
        <f t="shared" ca="1" si="126"/>
        <v>#N/A</v>
      </c>
    </row>
    <row r="645" spans="18:31">
      <c r="R645" s="55" t="e">
        <f ca="1"/>
        <v>#N/A</v>
      </c>
      <c r="S645" s="55" t="e">
        <f t="shared" ca="1" si="115"/>
        <v>#N/A</v>
      </c>
      <c r="T645" s="55" t="e">
        <f t="shared" ca="1" si="116"/>
        <v>#N/A</v>
      </c>
      <c r="U645" s="55" t="e">
        <f t="shared" ca="1" si="117"/>
        <v>#N/A</v>
      </c>
      <c r="V645" s="55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3" t="e">
        <f ca="1"/>
        <v>#N/A</v>
      </c>
      <c r="AB645" s="55" t="e">
        <f t="shared" ca="1" si="123"/>
        <v>#N/A</v>
      </c>
      <c r="AC645" s="55" t="e">
        <f t="shared" ca="1" si="124"/>
        <v>#N/A</v>
      </c>
      <c r="AD645" s="55" t="e">
        <f t="shared" ca="1" si="125"/>
        <v>#N/A</v>
      </c>
      <c r="AE645" s="55" t="e">
        <f t="shared" ca="1" si="126"/>
        <v>#N/A</v>
      </c>
    </row>
    <row r="646" spans="18:31">
      <c r="R646" s="55" t="e">
        <f ca="1"/>
        <v>#N/A</v>
      </c>
      <c r="S646" s="55" t="e">
        <f t="shared" ca="1" si="115"/>
        <v>#N/A</v>
      </c>
      <c r="T646" s="55" t="e">
        <f t="shared" ca="1" si="116"/>
        <v>#N/A</v>
      </c>
      <c r="U646" s="55" t="e">
        <f t="shared" ca="1" si="117"/>
        <v>#N/A</v>
      </c>
      <c r="V646" s="55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3" t="e">
        <f ca="1"/>
        <v>#N/A</v>
      </c>
      <c r="AB646" s="55" t="e">
        <f t="shared" ca="1" si="123"/>
        <v>#N/A</v>
      </c>
      <c r="AC646" s="55" t="e">
        <f t="shared" ca="1" si="124"/>
        <v>#N/A</v>
      </c>
      <c r="AD646" s="55" t="e">
        <f t="shared" ca="1" si="125"/>
        <v>#N/A</v>
      </c>
      <c r="AE646" s="55" t="e">
        <f t="shared" ca="1" si="126"/>
        <v>#N/A</v>
      </c>
    </row>
    <row r="647" spans="18:31">
      <c r="R647" s="55" t="e">
        <f ca="1"/>
        <v>#N/A</v>
      </c>
      <c r="S647" s="55" t="e">
        <f t="shared" ca="1" si="115"/>
        <v>#N/A</v>
      </c>
      <c r="T647" s="55" t="e">
        <f t="shared" ca="1" si="116"/>
        <v>#N/A</v>
      </c>
      <c r="U647" s="55" t="e">
        <f t="shared" ca="1" si="117"/>
        <v>#N/A</v>
      </c>
      <c r="V647" s="55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3" t="e">
        <f ca="1"/>
        <v>#N/A</v>
      </c>
      <c r="AB647" s="55" t="e">
        <f t="shared" ca="1" si="123"/>
        <v>#N/A</v>
      </c>
      <c r="AC647" s="55" t="e">
        <f t="shared" ca="1" si="124"/>
        <v>#N/A</v>
      </c>
      <c r="AD647" s="55" t="e">
        <f t="shared" ca="1" si="125"/>
        <v>#N/A</v>
      </c>
      <c r="AE647" s="55" t="e">
        <f t="shared" ca="1" si="126"/>
        <v>#N/A</v>
      </c>
    </row>
    <row r="648" spans="18:31">
      <c r="R648" s="55" t="e">
        <f ca="1"/>
        <v>#N/A</v>
      </c>
      <c r="S648" s="55" t="e">
        <f t="shared" ca="1" si="115"/>
        <v>#N/A</v>
      </c>
      <c r="T648" s="55" t="e">
        <f t="shared" ca="1" si="116"/>
        <v>#N/A</v>
      </c>
      <c r="U648" s="55" t="e">
        <f t="shared" ca="1" si="117"/>
        <v>#N/A</v>
      </c>
      <c r="V648" s="55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3" t="e">
        <f ca="1"/>
        <v>#N/A</v>
      </c>
      <c r="AB648" s="55" t="e">
        <f t="shared" ca="1" si="123"/>
        <v>#N/A</v>
      </c>
      <c r="AC648" s="55" t="e">
        <f t="shared" ca="1" si="124"/>
        <v>#N/A</v>
      </c>
      <c r="AD648" s="55" t="e">
        <f t="shared" ca="1" si="125"/>
        <v>#N/A</v>
      </c>
      <c r="AE648" s="55" t="e">
        <f t="shared" ca="1" si="126"/>
        <v>#N/A</v>
      </c>
    </row>
    <row r="649" spans="18:31">
      <c r="R649" s="55" t="e">
        <f ca="1"/>
        <v>#N/A</v>
      </c>
      <c r="S649" s="55" t="e">
        <f t="shared" ca="1" si="115"/>
        <v>#N/A</v>
      </c>
      <c r="T649" s="55" t="e">
        <f t="shared" ca="1" si="116"/>
        <v>#N/A</v>
      </c>
      <c r="U649" s="55" t="e">
        <f t="shared" ca="1" si="117"/>
        <v>#N/A</v>
      </c>
      <c r="V649" s="55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3" t="e">
        <f ca="1"/>
        <v>#N/A</v>
      </c>
      <c r="AB649" s="55" t="e">
        <f t="shared" ca="1" si="123"/>
        <v>#N/A</v>
      </c>
      <c r="AC649" s="55" t="e">
        <f t="shared" ca="1" si="124"/>
        <v>#N/A</v>
      </c>
      <c r="AD649" s="55" t="e">
        <f t="shared" ca="1" si="125"/>
        <v>#N/A</v>
      </c>
      <c r="AE649" s="55" t="e">
        <f t="shared" ca="1" si="126"/>
        <v>#N/A</v>
      </c>
    </row>
    <row r="650" spans="18:31">
      <c r="R650" s="55" t="e">
        <f ca="1"/>
        <v>#N/A</v>
      </c>
      <c r="S650" s="55" t="e">
        <f t="shared" ca="1" si="115"/>
        <v>#N/A</v>
      </c>
      <c r="T650" s="55" t="e">
        <f t="shared" ca="1" si="116"/>
        <v>#N/A</v>
      </c>
      <c r="U650" s="55" t="e">
        <f t="shared" ca="1" si="117"/>
        <v>#N/A</v>
      </c>
      <c r="V650" s="55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3" t="e">
        <f ca="1"/>
        <v>#N/A</v>
      </c>
      <c r="AB650" s="55" t="e">
        <f t="shared" ca="1" si="123"/>
        <v>#N/A</v>
      </c>
      <c r="AC650" s="55" t="e">
        <f t="shared" ca="1" si="124"/>
        <v>#N/A</v>
      </c>
      <c r="AD650" s="55" t="e">
        <f t="shared" ca="1" si="125"/>
        <v>#N/A</v>
      </c>
      <c r="AE650" s="55" t="e">
        <f t="shared" ca="1" si="126"/>
        <v>#N/A</v>
      </c>
    </row>
    <row r="651" spans="18:31">
      <c r="R651" s="55" t="e">
        <f ca="1"/>
        <v>#N/A</v>
      </c>
      <c r="S651" s="55" t="e">
        <f t="shared" ca="1" si="115"/>
        <v>#N/A</v>
      </c>
      <c r="T651" s="55" t="e">
        <f t="shared" ca="1" si="116"/>
        <v>#N/A</v>
      </c>
      <c r="U651" s="55" t="e">
        <f t="shared" ca="1" si="117"/>
        <v>#N/A</v>
      </c>
      <c r="V651" s="55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3" t="e">
        <f ca="1"/>
        <v>#N/A</v>
      </c>
      <c r="AB651" s="55" t="e">
        <f t="shared" ca="1" si="123"/>
        <v>#N/A</v>
      </c>
      <c r="AC651" s="55" t="e">
        <f t="shared" ca="1" si="124"/>
        <v>#N/A</v>
      </c>
      <c r="AD651" s="55" t="e">
        <f t="shared" ca="1" si="125"/>
        <v>#N/A</v>
      </c>
      <c r="AE651" s="55" t="e">
        <f t="shared" ca="1" si="126"/>
        <v>#N/A</v>
      </c>
    </row>
    <row r="652" spans="18:31">
      <c r="R652" s="55" t="e">
        <f ca="1"/>
        <v>#N/A</v>
      </c>
      <c r="S652" s="55" t="e">
        <f t="shared" ref="S652:S662" ca="1" si="127">IF(R652&gt;1,R652,"")</f>
        <v>#N/A</v>
      </c>
      <c r="T652" s="55" t="e">
        <f t="shared" ref="T652:T662" ca="1" si="128">VLOOKUP(S652,ModelOutputs,2,FALSE)</f>
        <v>#N/A</v>
      </c>
      <c r="U652" s="55" t="e">
        <f t="shared" ref="U652:U662" ca="1" si="129">VLOOKUP(S652,ModelOutputs,7,FALSE)</f>
        <v>#N/A</v>
      </c>
      <c r="V652" s="55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3" t="e">
        <f ca="1"/>
        <v>#N/A</v>
      </c>
      <c r="AB652" s="55" t="e">
        <f t="shared" ref="AB652:AB662" ca="1" si="135">IF(AA652&gt;1,AA652,"")</f>
        <v>#N/A</v>
      </c>
      <c r="AC652" s="55" t="e">
        <f t="shared" ref="AC652:AC662" ca="1" si="136">VLOOKUP(AB652,ModelOutputs,2,FALSE)</f>
        <v>#N/A</v>
      </c>
      <c r="AD652" s="55" t="e">
        <f t="shared" ref="AD652:AD662" ca="1" si="137">VLOOKUP(AB652,ModelOutputs,7,FALSE)</f>
        <v>#N/A</v>
      </c>
      <c r="AE652" s="55" t="e">
        <f t="shared" ref="AE652:AE662" ca="1" si="138">VLOOKUP(AB652,ModelOutputs,6,FALSE)</f>
        <v>#N/A</v>
      </c>
    </row>
    <row r="653" spans="18:31">
      <c r="R653" s="55" t="e">
        <f ca="1"/>
        <v>#N/A</v>
      </c>
      <c r="S653" s="55" t="e">
        <f t="shared" ca="1" si="127"/>
        <v>#N/A</v>
      </c>
      <c r="T653" s="55" t="e">
        <f t="shared" ca="1" si="128"/>
        <v>#N/A</v>
      </c>
      <c r="U653" s="55" t="e">
        <f t="shared" ca="1" si="129"/>
        <v>#N/A</v>
      </c>
      <c r="V653" s="55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3" t="e">
        <f ca="1"/>
        <v>#N/A</v>
      </c>
      <c r="AB653" s="55" t="e">
        <f t="shared" ca="1" si="135"/>
        <v>#N/A</v>
      </c>
      <c r="AC653" s="55" t="e">
        <f t="shared" ca="1" si="136"/>
        <v>#N/A</v>
      </c>
      <c r="AD653" s="55" t="e">
        <f t="shared" ca="1" si="137"/>
        <v>#N/A</v>
      </c>
      <c r="AE653" s="55" t="e">
        <f t="shared" ca="1" si="138"/>
        <v>#N/A</v>
      </c>
    </row>
    <row r="654" spans="18:31">
      <c r="R654" s="55" t="e">
        <f ca="1"/>
        <v>#N/A</v>
      </c>
      <c r="S654" s="55" t="e">
        <f t="shared" ca="1" si="127"/>
        <v>#N/A</v>
      </c>
      <c r="T654" s="55" t="e">
        <f t="shared" ca="1" si="128"/>
        <v>#N/A</v>
      </c>
      <c r="U654" s="55" t="e">
        <f t="shared" ca="1" si="129"/>
        <v>#N/A</v>
      </c>
      <c r="V654" s="55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3" t="e">
        <f ca="1"/>
        <v>#N/A</v>
      </c>
      <c r="AB654" s="55" t="e">
        <f t="shared" ca="1" si="135"/>
        <v>#N/A</v>
      </c>
      <c r="AC654" s="55" t="e">
        <f t="shared" ca="1" si="136"/>
        <v>#N/A</v>
      </c>
      <c r="AD654" s="55" t="e">
        <f t="shared" ca="1" si="137"/>
        <v>#N/A</v>
      </c>
      <c r="AE654" s="55" t="e">
        <f t="shared" ca="1" si="138"/>
        <v>#N/A</v>
      </c>
    </row>
    <row r="655" spans="18:31">
      <c r="R655" s="55" t="e">
        <f ca="1"/>
        <v>#N/A</v>
      </c>
      <c r="S655" s="55" t="e">
        <f t="shared" ca="1" si="127"/>
        <v>#N/A</v>
      </c>
      <c r="T655" s="55" t="e">
        <f t="shared" ca="1" si="128"/>
        <v>#N/A</v>
      </c>
      <c r="U655" s="55" t="e">
        <f t="shared" ca="1" si="129"/>
        <v>#N/A</v>
      </c>
      <c r="V655" s="55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3" t="e">
        <f ca="1"/>
        <v>#N/A</v>
      </c>
      <c r="AB655" s="55" t="e">
        <f t="shared" ca="1" si="135"/>
        <v>#N/A</v>
      </c>
      <c r="AC655" s="55" t="e">
        <f t="shared" ca="1" si="136"/>
        <v>#N/A</v>
      </c>
      <c r="AD655" s="55" t="e">
        <f t="shared" ca="1" si="137"/>
        <v>#N/A</v>
      </c>
      <c r="AE655" s="55" t="e">
        <f t="shared" ca="1" si="138"/>
        <v>#N/A</v>
      </c>
    </row>
    <row r="656" spans="18:31">
      <c r="R656" s="55" t="e">
        <f ca="1"/>
        <v>#N/A</v>
      </c>
      <c r="S656" s="55" t="e">
        <f t="shared" ca="1" si="127"/>
        <v>#N/A</v>
      </c>
      <c r="T656" s="55" t="e">
        <f t="shared" ca="1" si="128"/>
        <v>#N/A</v>
      </c>
      <c r="U656" s="55" t="e">
        <f t="shared" ca="1" si="129"/>
        <v>#N/A</v>
      </c>
      <c r="V656" s="55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3" t="e">
        <f ca="1"/>
        <v>#N/A</v>
      </c>
      <c r="AB656" s="55" t="e">
        <f t="shared" ca="1" si="135"/>
        <v>#N/A</v>
      </c>
      <c r="AC656" s="55" t="e">
        <f t="shared" ca="1" si="136"/>
        <v>#N/A</v>
      </c>
      <c r="AD656" s="55" t="e">
        <f t="shared" ca="1" si="137"/>
        <v>#N/A</v>
      </c>
      <c r="AE656" s="55" t="e">
        <f t="shared" ca="1" si="138"/>
        <v>#N/A</v>
      </c>
    </row>
    <row r="657" spans="18:31">
      <c r="R657" s="55" t="e">
        <f ca="1"/>
        <v>#N/A</v>
      </c>
      <c r="S657" s="55" t="e">
        <f t="shared" ca="1" si="127"/>
        <v>#N/A</v>
      </c>
      <c r="T657" s="55" t="e">
        <f t="shared" ca="1" si="128"/>
        <v>#N/A</v>
      </c>
      <c r="U657" s="55" t="e">
        <f t="shared" ca="1" si="129"/>
        <v>#N/A</v>
      </c>
      <c r="V657" s="55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3" t="e">
        <f ca="1"/>
        <v>#N/A</v>
      </c>
      <c r="AB657" s="55" t="e">
        <f t="shared" ca="1" si="135"/>
        <v>#N/A</v>
      </c>
      <c r="AC657" s="55" t="e">
        <f t="shared" ca="1" si="136"/>
        <v>#N/A</v>
      </c>
      <c r="AD657" s="55" t="e">
        <f t="shared" ca="1" si="137"/>
        <v>#N/A</v>
      </c>
      <c r="AE657" s="55" t="e">
        <f t="shared" ca="1" si="138"/>
        <v>#N/A</v>
      </c>
    </row>
    <row r="658" spans="18:31">
      <c r="R658" s="55" t="e">
        <f ca="1"/>
        <v>#N/A</v>
      </c>
      <c r="S658" s="55" t="e">
        <f t="shared" ca="1" si="127"/>
        <v>#N/A</v>
      </c>
      <c r="T658" s="55" t="e">
        <f t="shared" ca="1" si="128"/>
        <v>#N/A</v>
      </c>
      <c r="U658" s="55" t="e">
        <f t="shared" ca="1" si="129"/>
        <v>#N/A</v>
      </c>
      <c r="V658" s="55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3" t="e">
        <f ca="1"/>
        <v>#N/A</v>
      </c>
      <c r="AB658" s="55" t="e">
        <f t="shared" ca="1" si="135"/>
        <v>#N/A</v>
      </c>
      <c r="AC658" s="55" t="e">
        <f t="shared" ca="1" si="136"/>
        <v>#N/A</v>
      </c>
      <c r="AD658" s="55" t="e">
        <f t="shared" ca="1" si="137"/>
        <v>#N/A</v>
      </c>
      <c r="AE658" s="55" t="e">
        <f t="shared" ca="1" si="138"/>
        <v>#N/A</v>
      </c>
    </row>
    <row r="659" spans="18:31">
      <c r="R659" s="55" t="e">
        <f ca="1"/>
        <v>#N/A</v>
      </c>
      <c r="S659" s="55" t="e">
        <f t="shared" ca="1" si="127"/>
        <v>#N/A</v>
      </c>
      <c r="T659" s="55" t="e">
        <f t="shared" ca="1" si="128"/>
        <v>#N/A</v>
      </c>
      <c r="U659" s="55" t="e">
        <f t="shared" ca="1" si="129"/>
        <v>#N/A</v>
      </c>
      <c r="V659" s="55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3" t="e">
        <f ca="1"/>
        <v>#N/A</v>
      </c>
      <c r="AB659" s="55" t="e">
        <f t="shared" ca="1" si="135"/>
        <v>#N/A</v>
      </c>
      <c r="AC659" s="55" t="e">
        <f t="shared" ca="1" si="136"/>
        <v>#N/A</v>
      </c>
      <c r="AD659" s="55" t="e">
        <f t="shared" ca="1" si="137"/>
        <v>#N/A</v>
      </c>
      <c r="AE659" s="55" t="e">
        <f t="shared" ca="1" si="138"/>
        <v>#N/A</v>
      </c>
    </row>
    <row r="660" spans="18:31">
      <c r="R660" s="55" t="e">
        <f ca="1"/>
        <v>#N/A</v>
      </c>
      <c r="S660" s="55" t="e">
        <f t="shared" ca="1" si="127"/>
        <v>#N/A</v>
      </c>
      <c r="T660" s="55" t="e">
        <f t="shared" ca="1" si="128"/>
        <v>#N/A</v>
      </c>
      <c r="U660" s="55" t="e">
        <f t="shared" ca="1" si="129"/>
        <v>#N/A</v>
      </c>
      <c r="V660" s="55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3" t="e">
        <f ca="1"/>
        <v>#N/A</v>
      </c>
      <c r="AB660" s="55" t="e">
        <f t="shared" ca="1" si="135"/>
        <v>#N/A</v>
      </c>
      <c r="AC660" s="55" t="e">
        <f t="shared" ca="1" si="136"/>
        <v>#N/A</v>
      </c>
      <c r="AD660" s="55" t="e">
        <f t="shared" ca="1" si="137"/>
        <v>#N/A</v>
      </c>
      <c r="AE660" s="55" t="e">
        <f t="shared" ca="1" si="138"/>
        <v>#N/A</v>
      </c>
    </row>
    <row r="661" spans="18:31">
      <c r="R661" s="55" t="e">
        <f ca="1"/>
        <v>#N/A</v>
      </c>
      <c r="S661" s="55" t="e">
        <f t="shared" ca="1" si="127"/>
        <v>#N/A</v>
      </c>
      <c r="T661" s="55" t="e">
        <f t="shared" ca="1" si="128"/>
        <v>#N/A</v>
      </c>
      <c r="U661" s="55" t="e">
        <f t="shared" ca="1" si="129"/>
        <v>#N/A</v>
      </c>
      <c r="V661" s="55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3" t="e">
        <f ca="1"/>
        <v>#N/A</v>
      </c>
      <c r="AB661" s="55" t="e">
        <f t="shared" ca="1" si="135"/>
        <v>#N/A</v>
      </c>
      <c r="AC661" s="55" t="e">
        <f t="shared" ca="1" si="136"/>
        <v>#N/A</v>
      </c>
      <c r="AD661" s="55" t="e">
        <f t="shared" ca="1" si="137"/>
        <v>#N/A</v>
      </c>
      <c r="AE661" s="55" t="e">
        <f t="shared" ca="1" si="138"/>
        <v>#N/A</v>
      </c>
    </row>
    <row r="662" spans="18:31">
      <c r="R662" s="55" t="e">
        <f ca="1"/>
        <v>#N/A</v>
      </c>
      <c r="S662" s="55" t="e">
        <f t="shared" ca="1" si="127"/>
        <v>#N/A</v>
      </c>
      <c r="T662" s="55" t="e">
        <f t="shared" ca="1" si="128"/>
        <v>#N/A</v>
      </c>
      <c r="U662" s="55" t="e">
        <f t="shared" ca="1" si="129"/>
        <v>#N/A</v>
      </c>
      <c r="V662" s="55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3" t="e">
        <f ca="1"/>
        <v>#N/A</v>
      </c>
      <c r="AB662" s="55" t="e">
        <f t="shared" ca="1" si="135"/>
        <v>#N/A</v>
      </c>
      <c r="AC662" s="55" t="e">
        <f t="shared" ca="1" si="136"/>
        <v>#N/A</v>
      </c>
      <c r="AD662" s="55" t="e">
        <f t="shared" ca="1" si="137"/>
        <v>#N/A</v>
      </c>
      <c r="AE662" s="55" t="e">
        <f t="shared" ca="1" si="13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W15:Z15"/>
    <mergeCell ref="AA15:AE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A20" zoomScale="105" workbookViewId="0">
      <selection activeCell="A39" sqref="A39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4" t="s">
        <v>112</v>
      </c>
      <c r="B1" s="145"/>
      <c r="O1" s="30" t="s">
        <v>111</v>
      </c>
      <c r="P1" s="22"/>
      <c r="Q1" s="21" t="s">
        <v>184</v>
      </c>
      <c r="R1" s="22"/>
      <c r="S1" s="21" t="s">
        <v>181</v>
      </c>
      <c r="T1" s="21" t="s">
        <v>182</v>
      </c>
      <c r="U1" s="21" t="s">
        <v>13</v>
      </c>
      <c r="V1" s="21" t="s">
        <v>181</v>
      </c>
      <c r="W1" s="21" t="s">
        <v>183</v>
      </c>
      <c r="X1" s="23" t="s">
        <v>178</v>
      </c>
      <c r="Y1" s="103"/>
      <c r="Z1" s="103"/>
      <c r="AA1" s="103"/>
      <c r="AB1" s="103"/>
      <c r="AC1" s="103" t="s">
        <v>180</v>
      </c>
      <c r="AD1" s="103" t="s">
        <v>179</v>
      </c>
      <c r="AG1" s="103"/>
    </row>
    <row r="2" spans="1:37">
      <c r="A2" s="12" t="s">
        <v>246</v>
      </c>
      <c r="B2" s="13" t="str">
        <f>SoilOrder</f>
        <v>clay</v>
      </c>
      <c r="D2" s="39" t="str">
        <f>ConceptDemo!C27</f>
        <v>Fertiliser already applied or planned</v>
      </c>
      <c r="E2" s="40"/>
      <c r="O2" s="12" t="s">
        <v>0</v>
      </c>
      <c r="P2" s="28">
        <f ca="1">InitialDate</f>
        <v>45362</v>
      </c>
      <c r="Q2" s="3">
        <f ca="1">VLOOKUP(P2-1,ModelOutputs,2,FALSE)</f>
        <v>106.74308840822954</v>
      </c>
      <c r="R2" s="3"/>
      <c r="S2" s="3">
        <f ca="1">SUMIF($O$6:$O$999,TRUE,S6:S999)</f>
        <v>25.385853188967218</v>
      </c>
      <c r="T2" s="3">
        <f ca="1">SUMIF($O$6:$O$999,TRUE,T6:T999)</f>
        <v>39.953024262162486</v>
      </c>
      <c r="U2" s="3">
        <f ca="1">SUMIF($O$6:$O$999,TRUE,U6:U999)</f>
        <v>87</v>
      </c>
      <c r="V2" s="3"/>
      <c r="X2" s="13"/>
      <c r="AC2" s="3">
        <f ca="1">MAX(0,AD3-AD2)</f>
        <v>0</v>
      </c>
      <c r="AD2" s="3">
        <f ca="1">SUM(Q2:X2)</f>
        <v>259.08196585935923</v>
      </c>
      <c r="AG2" s="3"/>
    </row>
    <row r="3" spans="1:37" ht="15.75" thickBot="1">
      <c r="A3" s="12" t="s">
        <v>214</v>
      </c>
      <c r="B3" s="13" t="str">
        <f>SampleDepth</f>
        <v>0-30cm</v>
      </c>
      <c r="D3" s="19" t="str">
        <f>ConceptDemo!C28</f>
        <v>Date</v>
      </c>
      <c r="E3" s="20" t="str">
        <f>ConceptDemo!D28</f>
        <v>Amount</v>
      </c>
      <c r="I3" t="s">
        <v>205</v>
      </c>
      <c r="J3">
        <f>VLOOKUP(PrePlantRain,ListMembers!$Z$7:$AA$11,2,FALSE)</f>
        <v>1</v>
      </c>
      <c r="O3" s="14" t="s">
        <v>12</v>
      </c>
      <c r="P3" s="29">
        <f ca="1">B33</f>
        <v>45487</v>
      </c>
      <c r="Q3" s="24">
        <f ca="1">VLOOKUP(P3,ModelOutputs,2,FALSE)</f>
        <v>28.894711274134835</v>
      </c>
      <c r="R3" s="27"/>
      <c r="S3" s="25"/>
      <c r="T3" s="25"/>
      <c r="U3" s="25"/>
      <c r="V3" s="24">
        <f ca="1">(VLOOKUP($P$3,ModelOutputs,V4,FALSE)-VLOOKUP($P$2+1,ModelOutputs,V4,FALSE))-W3</f>
        <v>171.33058313663525</v>
      </c>
      <c r="W3" s="26">
        <f ca="1">VLOOKUP($P$3,ModelOutputs,W4,FALSE)-VLOOKUP($P$2+1,ModelOutputs,W4,FALSE)</f>
        <v>58.44221057430407</v>
      </c>
      <c r="X3" s="27">
        <f ca="1">SUMIF($O$6:$O$999,TRUE,X6:X999)</f>
        <v>0</v>
      </c>
      <c r="Y3" s="3"/>
      <c r="Z3" s="3"/>
      <c r="AA3" s="3"/>
      <c r="AB3" s="3"/>
      <c r="AC3" s="3">
        <f ca="1">MAX(0,AD2-AD3)</f>
        <v>0.41446087428505507</v>
      </c>
      <c r="AD3" s="3">
        <f ca="1">SUM(Q3:X3)</f>
        <v>258.66750498507417</v>
      </c>
    </row>
    <row r="4" spans="1:37" ht="15.75" thickBot="1">
      <c r="A4" s="12" t="s">
        <v>257</v>
      </c>
      <c r="B4" s="13" t="str">
        <f>SoilCategory</f>
        <v>Volcanic</v>
      </c>
      <c r="D4" s="37" t="str">
        <f>IF(ConceptDemo!C29="","",ConceptDemo!C29)</f>
        <v/>
      </c>
      <c r="E4" s="38" t="str">
        <f>IF(ConceptDemo!D29="","",ConceptDemo!D29)</f>
        <v/>
      </c>
      <c r="H4" t="str">
        <f>ConceptDemo!D4</f>
        <v>Linocln</v>
      </c>
      <c r="I4" t="s">
        <v>206</v>
      </c>
      <c r="J4">
        <f>VLOOKUP(InCropRain,ListMembers!$Z$7:$AA$11,2,FALSE)</f>
        <v>1</v>
      </c>
      <c r="R4">
        <f ca="1">SUMIF(N6:N999,FALSE,R6:R999)</f>
        <v>71.175610096614449</v>
      </c>
      <c r="S4">
        <f ca="1">SUMIF(N6:N999,TRUE,S6:S999)</f>
        <v>86.316701860573119</v>
      </c>
      <c r="V4">
        <v>7</v>
      </c>
      <c r="W4">
        <v>8</v>
      </c>
      <c r="AC4" s="3"/>
      <c r="AG4" s="3"/>
    </row>
    <row r="5" spans="1:37">
      <c r="A5" s="12" t="s">
        <v>213</v>
      </c>
      <c r="B5" s="13">
        <f>HWEON</f>
        <v>60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3" t="s">
        <v>14</v>
      </c>
      <c r="I5" s="120" t="s">
        <v>17</v>
      </c>
      <c r="J5" s="120" t="s">
        <v>202</v>
      </c>
      <c r="K5" s="94" t="s">
        <v>204</v>
      </c>
      <c r="N5" t="s">
        <v>177</v>
      </c>
      <c r="O5" t="s">
        <v>110</v>
      </c>
      <c r="P5" t="str">
        <f t="array" aca="1" ref="P5:AB999" ca="1">_xll.GetDailyNBalance(H5:K999,A2:B49,D12:E18,D3:E9)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144</v>
      </c>
      <c r="AE5" t="s">
        <v>145</v>
      </c>
    </row>
    <row r="6" spans="1:37">
      <c r="A6" s="12" t="s">
        <v>26</v>
      </c>
      <c r="B6" s="13">
        <f>Splits</f>
        <v>1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11</v>
      </c>
      <c r="H6" s="95">
        <f ca="1">B18-1</f>
        <v>45301</v>
      </c>
      <c r="I6" s="119">
        <f ca="1">HLOOKUP($H$4,'Met Data'!$A$2:$F$368,G6,FALSE)</f>
        <v>15.8947058823529</v>
      </c>
      <c r="J6" s="119">
        <f ca="1">HLOOKUP($H$4,'Met Data'!$H$2:$M$368,G6,FALSE)*L6</f>
        <v>2.69999999999999</v>
      </c>
      <c r="K6" s="96">
        <f ca="1">HLOOKUP($H$4,'Met Data'!$O$2:$T$368,G6,FALSE)</f>
        <v>4.7411675639454902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45346</v>
      </c>
      <c r="Q6">
        <f ca="1"/>
        <v>41.330909228046302</v>
      </c>
      <c r="R6">
        <f ca="1"/>
        <v>9.5847975830879495</v>
      </c>
      <c r="S6">
        <f ca="1"/>
        <v>0</v>
      </c>
      <c r="T6" s="4">
        <f ca="1"/>
        <v>0.9157068111342479</v>
      </c>
      <c r="U6">
        <f ca="1"/>
        <v>0</v>
      </c>
      <c r="V6">
        <f ca="1"/>
        <v>228.881942800692</v>
      </c>
      <c r="W6">
        <f ca="1"/>
        <v>58.215624581915101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0.99999999943071105</v>
      </c>
      <c r="AD6" s="2">
        <f t="shared" ref="AD6:AD69" ca="1" si="2">IFERROR(P6,$AD$4)</f>
        <v>45346</v>
      </c>
      <c r="AE6">
        <f t="shared" ref="AE6:AE69" ca="1" si="3">IFERROR(U6,0)</f>
        <v>0</v>
      </c>
      <c r="AG6" s="3"/>
      <c r="AH6" s="3"/>
      <c r="AJ6" s="3"/>
      <c r="AK6" s="3"/>
    </row>
    <row r="7" spans="1:37">
      <c r="A7" s="12" t="s">
        <v>247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4">H7-DATE(YEAR(H7),1,0)+1</f>
        <v>12</v>
      </c>
      <c r="H7" s="95">
        <f ca="1">H6+1</f>
        <v>45302</v>
      </c>
      <c r="I7" s="119">
        <f ca="1">HLOOKUP($H$4,'Met Data'!$A$2:$F$368,G7,FALSE)</f>
        <v>16.250588235294099</v>
      </c>
      <c r="J7" s="119">
        <f ca="1">HLOOKUP($H$4,'Met Data'!$H$2:$M$368,G7,FALSE)*L7</f>
        <v>2.3529411764705799</v>
      </c>
      <c r="K7" s="96">
        <f ca="1">HLOOKUP($H$4,'Met Data'!$O$2:$T$368,G7,FALSE)</f>
        <v>4.6490051927409599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45347</v>
      </c>
      <c r="Q7">
        <f ca="1"/>
        <v>42.761706367654241</v>
      </c>
      <c r="R7">
        <f ca="1"/>
        <v>9.1606423556728807</v>
      </c>
      <c r="S7">
        <f ca="1"/>
        <v>9.7946571860691183</v>
      </c>
      <c r="T7" s="4">
        <f ca="1"/>
        <v>0.79678230921170889</v>
      </c>
      <c r="U7">
        <f ca="1"/>
        <v>0</v>
      </c>
      <c r="V7">
        <f ca="1"/>
        <v>238.04258515636499</v>
      </c>
      <c r="W7">
        <f ca="1"/>
        <v>60.545614050640602</v>
      </c>
      <c r="X7">
        <f ca="1"/>
        <v>0</v>
      </c>
      <c r="Y7">
        <f ca="1"/>
        <v>0.82800371181844179</v>
      </c>
      <c r="Z7">
        <f ca="1"/>
        <v>0</v>
      </c>
      <c r="AA7">
        <f ca="1"/>
        <v>0</v>
      </c>
      <c r="AB7">
        <f ca="1"/>
        <v>0.99999999967495001</v>
      </c>
      <c r="AD7" s="2">
        <f t="shared" ca="1" si="2"/>
        <v>45347</v>
      </c>
      <c r="AE7">
        <f t="shared" ca="1" si="3"/>
        <v>0</v>
      </c>
      <c r="AF7" s="3"/>
      <c r="AG7" s="63">
        <f ca="1">Q6+S7+T7+U7</f>
        <v>51.922348723327126</v>
      </c>
      <c r="AH7" s="63">
        <f ca="1">Q7+R7+X7</f>
        <v>51.922348723327119</v>
      </c>
      <c r="AI7" s="3">
        <f ca="1">AH7-AG7</f>
        <v>0</v>
      </c>
      <c r="AK7" s="3"/>
    </row>
    <row r="8" spans="1:37">
      <c r="A8" s="12" t="s">
        <v>205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4"/>
        <v>13</v>
      </c>
      <c r="H8" s="95">
        <f t="shared" ref="H8:H71" ca="1" si="6">H7+1</f>
        <v>45303</v>
      </c>
      <c r="I8" s="119">
        <f ca="1">HLOOKUP($H$4,'Met Data'!$A$2:$F$368,G8,FALSE)</f>
        <v>16.662352941176401</v>
      </c>
      <c r="J8" s="119">
        <f ca="1">HLOOKUP($H$4,'Met Data'!$H$2:$M$368,G8,FALSE)*L8</f>
        <v>2.74705882352941</v>
      </c>
      <c r="K8" s="96">
        <f ca="1">HLOOKUP($H$4,'Met Data'!$O$2:$T$368,G8,FALSE)</f>
        <v>4.8719680350014798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45348</v>
      </c>
      <c r="Q8">
        <f ca="1"/>
        <v>51.919113171850967</v>
      </c>
      <c r="R8">
        <f ca="1"/>
        <v>0</v>
      </c>
      <c r="S8">
        <f ca="1"/>
        <v>8.3923214109551783</v>
      </c>
      <c r="T8" s="4">
        <f ca="1"/>
        <v>0.76508539324155078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0.79649723583887999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45348</v>
      </c>
      <c r="AE8">
        <f t="shared" ca="1" si="3"/>
        <v>0</v>
      </c>
      <c r="AG8" s="63">
        <f t="shared" ref="AG8:AG71" ca="1" si="7">Q7+S8+T8+U8</f>
        <v>51.919113171850967</v>
      </c>
      <c r="AH8" s="63">
        <f t="shared" ref="AH8:AH71" ca="1" si="8">Q8+R8+X8</f>
        <v>51.919113171850967</v>
      </c>
      <c r="AI8" s="3">
        <f t="shared" ref="AI8:AI71" ca="1" si="9">AH8-AG8</f>
        <v>0</v>
      </c>
    </row>
    <row r="9" spans="1:37" ht="15.75" thickBot="1">
      <c r="A9" s="12" t="s">
        <v>206</v>
      </c>
      <c r="B9" s="13" t="str">
        <f>InCropRain</f>
        <v>Typical</v>
      </c>
      <c r="D9" s="35" t="str">
        <f>IF(ConceptDemo!C34="","",ConceptDemo!C34)</f>
        <v/>
      </c>
      <c r="E9" s="20" t="str">
        <f>IF(ConceptDemo!D34="","",ConceptDemo!D34)</f>
        <v/>
      </c>
      <c r="G9" s="3">
        <f t="shared" ca="1" si="4"/>
        <v>14</v>
      </c>
      <c r="H9" s="95">
        <f t="shared" ca="1" si="6"/>
        <v>45304</v>
      </c>
      <c r="I9" s="119">
        <f ca="1">HLOOKUP($H$4,'Met Data'!$A$2:$F$368,G9,FALSE)</f>
        <v>16.830882352941099</v>
      </c>
      <c r="J9" s="119">
        <f ca="1">HLOOKUP($H$4,'Met Data'!$H$2:$M$368,G9,FALSE)*L9</f>
        <v>1.29411764705882</v>
      </c>
      <c r="K9" s="96">
        <f ca="1">HLOOKUP($H$4,'Met Data'!$O$2:$T$368,G9,FALSE)</f>
        <v>5.1562686308583903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45349</v>
      </c>
      <c r="Q9">
        <f ca="1"/>
        <v>59.804329288457687</v>
      </c>
      <c r="R9">
        <f ca="1"/>
        <v>0</v>
      </c>
      <c r="S9">
        <f ca="1"/>
        <v>7.1571906214979322</v>
      </c>
      <c r="T9" s="4">
        <f ca="1"/>
        <v>0.72802549510878545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0.75769756252116693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45349</v>
      </c>
      <c r="AE9">
        <f t="shared" ca="1" si="3"/>
        <v>0</v>
      </c>
      <c r="AG9" s="63">
        <f t="shared" ca="1" si="7"/>
        <v>59.804329288457687</v>
      </c>
      <c r="AH9" s="63">
        <f t="shared" ca="1" si="8"/>
        <v>59.804329288457687</v>
      </c>
      <c r="AI9" s="3">
        <f t="shared" ca="1" si="9"/>
        <v>0</v>
      </c>
    </row>
    <row r="10" spans="1:37" ht="15.75" thickBot="1">
      <c r="A10" s="12" t="s">
        <v>192</v>
      </c>
      <c r="B10" s="13" t="str">
        <f>Irrigation</f>
        <v>None</v>
      </c>
      <c r="G10" s="3">
        <f t="shared" ca="1" si="4"/>
        <v>15</v>
      </c>
      <c r="H10" s="95">
        <f t="shared" ca="1" si="6"/>
        <v>45305</v>
      </c>
      <c r="I10" s="119">
        <f ca="1">HLOOKUP($H$4,'Met Data'!$A$2:$F$368,G10,FALSE)</f>
        <v>16.835294117646999</v>
      </c>
      <c r="J10" s="119">
        <f ca="1">HLOOKUP($H$4,'Met Data'!$H$2:$M$368,G10,FALSE)*L10</f>
        <v>0.93823529411764695</v>
      </c>
      <c r="K10" s="96">
        <f ca="1">HLOOKUP($H$4,'Met Data'!$O$2:$T$368,G10,FALSE)</f>
        <v>5.3875143634853799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45350</v>
      </c>
      <c r="Q10">
        <f ca="1"/>
        <v>66.599523273076443</v>
      </c>
      <c r="R10">
        <f ca="1"/>
        <v>0</v>
      </c>
      <c r="S10">
        <f ca="1"/>
        <v>6.1056750790346008</v>
      </c>
      <c r="T10" s="4">
        <f ca="1"/>
        <v>0.68951890558415585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0.72459909976320414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45350</v>
      </c>
      <c r="AE10">
        <f t="shared" ca="1" si="3"/>
        <v>0</v>
      </c>
      <c r="AG10" s="63">
        <f t="shared" ca="1" si="7"/>
        <v>66.599523273076443</v>
      </c>
      <c r="AH10" s="63">
        <f t="shared" ca="1" si="8"/>
        <v>66.599523273076443</v>
      </c>
      <c r="AI10" s="3">
        <f t="shared" ca="1" si="9"/>
        <v>0</v>
      </c>
    </row>
    <row r="11" spans="1:37">
      <c r="A11" s="5" t="s">
        <v>141</v>
      </c>
      <c r="B11" s="31" t="str">
        <f>PriorCropNameFull</f>
        <v>Broccoli Vegetable General</v>
      </c>
      <c r="D11" s="142" t="str">
        <f>ConceptDemo!C36</f>
        <v>Soil Mineral N Test Results</v>
      </c>
      <c r="E11" s="143"/>
      <c r="G11" s="3">
        <f t="shared" ca="1" si="4"/>
        <v>16</v>
      </c>
      <c r="H11" s="95">
        <f t="shared" ca="1" si="6"/>
        <v>45306</v>
      </c>
      <c r="I11" s="119">
        <f ca="1">HLOOKUP($H$4,'Met Data'!$A$2:$F$368,G11,FALSE)</f>
        <v>17.335294117646999</v>
      </c>
      <c r="J11" s="119">
        <f ca="1">HLOOKUP($H$4,'Met Data'!$H$2:$M$368,G11,FALSE)*L11</f>
        <v>1.0911764705882301</v>
      </c>
      <c r="K11" s="96">
        <f ca="1">HLOOKUP($H$4,'Met Data'!$O$2:$T$368,G11,FALSE)</f>
        <v>5.8399033494252999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45351</v>
      </c>
      <c r="Q11">
        <f ca="1"/>
        <v>72.495991314275926</v>
      </c>
      <c r="R11">
        <f ca="1"/>
        <v>0</v>
      </c>
      <c r="S11">
        <f ca="1"/>
        <v>5.2424473762795856</v>
      </c>
      <c r="T11" s="4">
        <f ca="1"/>
        <v>0.65402066491989408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0.67336913131843223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45351</v>
      </c>
      <c r="AE11">
        <f t="shared" ca="1" si="3"/>
        <v>0</v>
      </c>
      <c r="AG11" s="63">
        <f t="shared" ca="1" si="7"/>
        <v>72.495991314275926</v>
      </c>
      <c r="AH11" s="63">
        <f t="shared" ca="1" si="8"/>
        <v>72.495991314275926</v>
      </c>
      <c r="AI11" s="3">
        <f t="shared" ca="1" si="9"/>
        <v>0</v>
      </c>
    </row>
    <row r="12" spans="1:37" ht="15.75" thickBot="1">
      <c r="A12" s="6" t="s">
        <v>258</v>
      </c>
      <c r="B12" s="32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4"/>
        <v>17</v>
      </c>
      <c r="H12" s="95">
        <f t="shared" ca="1" si="6"/>
        <v>45307</v>
      </c>
      <c r="I12" s="119">
        <f ca="1">HLOOKUP($H$4,'Met Data'!$A$2:$F$368,G12,FALSE)</f>
        <v>16.8279411764705</v>
      </c>
      <c r="J12" s="119">
        <f ca="1">HLOOKUP($H$4,'Met Data'!$H$2:$M$368,G12,FALSE)*L12</f>
        <v>0.77647058823529402</v>
      </c>
      <c r="K12" s="96">
        <f ca="1">HLOOKUP($H$4,'Met Data'!$O$2:$T$368,G12,FALSE)</f>
        <v>5.6587590306219901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45352</v>
      </c>
      <c r="Q12">
        <f ca="1"/>
        <v>77.631034627769736</v>
      </c>
      <c r="R12">
        <f ca="1"/>
        <v>0</v>
      </c>
      <c r="S12">
        <f ca="1"/>
        <v>4.5156752963517306</v>
      </c>
      <c r="T12" s="4">
        <f ca="1"/>
        <v>0.619368017142085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0.65001877795561436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45352</v>
      </c>
      <c r="AE12">
        <f t="shared" ca="1" si="3"/>
        <v>0</v>
      </c>
      <c r="AG12" s="63">
        <f t="shared" ca="1" si="7"/>
        <v>77.631034627769736</v>
      </c>
      <c r="AH12" s="63">
        <f t="shared" ca="1" si="8"/>
        <v>77.631034627769736</v>
      </c>
      <c r="AI12" s="3">
        <f t="shared" ca="1" si="9"/>
        <v>0</v>
      </c>
    </row>
    <row r="13" spans="1:37">
      <c r="A13" s="6" t="s">
        <v>251</v>
      </c>
      <c r="B13" s="32">
        <f>PriorPopulation</f>
        <v>100000</v>
      </c>
      <c r="D13" s="18" t="str">
        <f>IF(ConceptDemo!C38="","",ConceptDemo!C38)</f>
        <v/>
      </c>
      <c r="E13" s="17" t="str">
        <f>IF(ConceptDemo!D38="","",ConceptDemo!D38)</f>
        <v/>
      </c>
      <c r="G13" s="3">
        <f t="shared" ca="1" si="4"/>
        <v>18</v>
      </c>
      <c r="H13" s="95">
        <f t="shared" ca="1" si="6"/>
        <v>45308</v>
      </c>
      <c r="I13" s="119">
        <f ca="1">HLOOKUP($H$4,'Met Data'!$A$2:$F$368,G13,FALSE)</f>
        <v>16.722058823529402</v>
      </c>
      <c r="J13" s="119">
        <f ca="1">HLOOKUP($H$4,'Met Data'!$H$2:$M$368,G13,FALSE)*L13</f>
        <v>0.57058823529411695</v>
      </c>
      <c r="K13" s="96">
        <f ca="1">HLOOKUP($H$4,'Met Data'!$O$2:$T$368,G13,FALSE)</f>
        <v>5.3270431561074503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45353</v>
      </c>
      <c r="Q13">
        <f ca="1"/>
        <v>82.207559300548439</v>
      </c>
      <c r="R13">
        <f ca="1"/>
        <v>0</v>
      </c>
      <c r="S13">
        <f ca="1"/>
        <v>3.978823557151145</v>
      </c>
      <c r="T13" s="4">
        <f ca="1"/>
        <v>0.59770111562755301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0.66941618270048397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45353</v>
      </c>
      <c r="AE13">
        <f t="shared" ca="1" si="3"/>
        <v>0</v>
      </c>
      <c r="AG13" s="63">
        <f t="shared" ca="1" si="7"/>
        <v>82.207559300548439</v>
      </c>
      <c r="AH13" s="63">
        <f t="shared" ca="1" si="8"/>
        <v>82.207559300548439</v>
      </c>
      <c r="AI13" s="3">
        <f t="shared" ca="1" si="9"/>
        <v>0</v>
      </c>
    </row>
    <row r="14" spans="1:37">
      <c r="A14" s="6" t="s">
        <v>252</v>
      </c>
      <c r="B14" s="32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4"/>
        <v>19</v>
      </c>
      <c r="H14" s="95">
        <f t="shared" ca="1" si="6"/>
        <v>45309</v>
      </c>
      <c r="I14" s="119">
        <f ca="1">HLOOKUP($H$4,'Met Data'!$A$2:$F$368,G14,FALSE)</f>
        <v>17.301470588235201</v>
      </c>
      <c r="J14" s="119">
        <f ca="1">HLOOKUP($H$4,'Met Data'!$H$2:$M$368,G14,FALSE)*L14</f>
        <v>3.48529411764705</v>
      </c>
      <c r="K14" s="96">
        <f ca="1">HLOOKUP($H$4,'Met Data'!$O$2:$T$368,G14,FALSE)</f>
        <v>5.0203920634541701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45354</v>
      </c>
      <c r="Q14">
        <f ca="1"/>
        <v>86.196836915683477</v>
      </c>
      <c r="R14">
        <f ca="1"/>
        <v>0</v>
      </c>
      <c r="S14">
        <f ca="1"/>
        <v>3.4275847175688909</v>
      </c>
      <c r="T14" s="4">
        <f ca="1"/>
        <v>0.56169289756615326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0.66048516502419463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45354</v>
      </c>
      <c r="AE14">
        <f t="shared" ca="1" si="3"/>
        <v>0</v>
      </c>
      <c r="AG14" s="63">
        <f t="shared" ca="1" si="7"/>
        <v>86.196836915683477</v>
      </c>
      <c r="AH14" s="63">
        <f t="shared" ca="1" si="8"/>
        <v>86.196836915683477</v>
      </c>
      <c r="AI14" s="3">
        <f t="shared" ca="1" si="9"/>
        <v>0</v>
      </c>
    </row>
    <row r="15" spans="1:37">
      <c r="A15" s="6" t="s">
        <v>114</v>
      </c>
      <c r="B15" s="32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4"/>
        <v>20</v>
      </c>
      <c r="H15" s="95">
        <f t="shared" ca="1" si="6"/>
        <v>45310</v>
      </c>
      <c r="I15" s="119">
        <f ca="1">HLOOKUP($H$4,'Met Data'!$A$2:$F$368,G15,FALSE)</f>
        <v>17.052941176470501</v>
      </c>
      <c r="J15" s="119">
        <f ca="1">HLOOKUP($H$4,'Met Data'!$H$2:$M$368,G15,FALSE)*L15</f>
        <v>0.99117647058823499</v>
      </c>
      <c r="K15" s="96">
        <f ca="1">HLOOKUP($H$4,'Met Data'!$O$2:$T$368,G15,FALSE)</f>
        <v>5.3707211610908496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45355</v>
      </c>
      <c r="Q15">
        <f ca="1"/>
        <v>90.249842666550038</v>
      </c>
      <c r="R15">
        <f ca="1"/>
        <v>0</v>
      </c>
      <c r="S15">
        <f ca="1"/>
        <v>3.4375230104998806</v>
      </c>
      <c r="T15" s="4">
        <f ca="1"/>
        <v>0.61548274036668027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0.65765967852475038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45355</v>
      </c>
      <c r="AE15">
        <f t="shared" ca="1" si="3"/>
        <v>0</v>
      </c>
      <c r="AG15" s="63">
        <f t="shared" ca="1" si="7"/>
        <v>90.249842666550038</v>
      </c>
      <c r="AH15" s="63">
        <f t="shared" ca="1" si="8"/>
        <v>90.249842666550038</v>
      </c>
      <c r="AI15" s="3">
        <f t="shared" ca="1" si="9"/>
        <v>0</v>
      </c>
    </row>
    <row r="16" spans="1:37">
      <c r="A16" s="6" t="s">
        <v>115</v>
      </c>
      <c r="B16" s="32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4"/>
        <v>21</v>
      </c>
      <c r="H16" s="95">
        <f t="shared" ca="1" si="6"/>
        <v>45311</v>
      </c>
      <c r="I16" s="119">
        <f ca="1">HLOOKUP($H$4,'Met Data'!$A$2:$F$368,G16,FALSE)</f>
        <v>15.9367647058823</v>
      </c>
      <c r="J16" s="119">
        <f ca="1">HLOOKUP($H$4,'Met Data'!$H$2:$M$368,G16,FALSE)*L16</f>
        <v>0.25588235294117601</v>
      </c>
      <c r="K16" s="96">
        <f ca="1">HLOOKUP($H$4,'Met Data'!$O$2:$T$368,G16,FALSE)</f>
        <v>5.3547882621027503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45356</v>
      </c>
      <c r="Q16">
        <f ca="1"/>
        <v>93.871713169377799</v>
      </c>
      <c r="R16">
        <f ca="1"/>
        <v>0</v>
      </c>
      <c r="S16">
        <f ca="1"/>
        <v>3.0278511348273796</v>
      </c>
      <c r="T16" s="4">
        <f ca="1"/>
        <v>0.59401936800038346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0.61732553725421768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45356</v>
      </c>
      <c r="AE16">
        <f t="shared" ca="1" si="3"/>
        <v>0</v>
      </c>
      <c r="AG16" s="63">
        <f t="shared" ca="1" si="7"/>
        <v>93.871713169377799</v>
      </c>
      <c r="AH16" s="63">
        <f t="shared" ca="1" si="8"/>
        <v>93.871713169377799</v>
      </c>
      <c r="AI16" s="3">
        <f t="shared" ca="1" si="9"/>
        <v>0</v>
      </c>
    </row>
    <row r="17" spans="1:35">
      <c r="A17" s="6" t="s">
        <v>116</v>
      </c>
      <c r="B17" s="32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4"/>
        <v>22</v>
      </c>
      <c r="H17" s="95">
        <f t="shared" ca="1" si="6"/>
        <v>45312</v>
      </c>
      <c r="I17" s="119">
        <f ca="1">HLOOKUP($H$4,'Met Data'!$A$2:$F$368,G17,FALSE)</f>
        <v>17.475000000000001</v>
      </c>
      <c r="J17" s="119">
        <f ca="1">HLOOKUP($H$4,'Met Data'!$H$2:$M$368,G17,FALSE)*L17</f>
        <v>0.35882352941176399</v>
      </c>
      <c r="K17" s="96">
        <f ca="1">HLOOKUP($H$4,'Met Data'!$O$2:$T$368,G17,FALSE)</f>
        <v>5.3930487438230301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45357</v>
      </c>
      <c r="Q17">
        <f ca="1"/>
        <v>96.873236162188917</v>
      </c>
      <c r="R17">
        <f ca="1"/>
        <v>0</v>
      </c>
      <c r="S17">
        <f ca="1"/>
        <v>2.4731899904250838</v>
      </c>
      <c r="T17" s="4">
        <f ca="1"/>
        <v>0.5283330023860312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0.58929213986212559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45357</v>
      </c>
      <c r="AE17">
        <f t="shared" ca="1" si="3"/>
        <v>0</v>
      </c>
      <c r="AG17" s="63">
        <f t="shared" ca="1" si="7"/>
        <v>96.873236162188917</v>
      </c>
      <c r="AH17" s="63">
        <f t="shared" ca="1" si="8"/>
        <v>96.873236162188917</v>
      </c>
      <c r="AI17" s="3">
        <f t="shared" ca="1" si="9"/>
        <v>0</v>
      </c>
    </row>
    <row r="18" spans="1:35" ht="15.75" thickBot="1">
      <c r="A18" s="6" t="s">
        <v>117</v>
      </c>
      <c r="B18" s="34">
        <f ca="1">PriorEstablishDate</f>
        <v>45302</v>
      </c>
      <c r="D18" s="35" t="str">
        <f>IF(ConceptDemo!C43="","",ConceptDemo!C43)</f>
        <v/>
      </c>
      <c r="E18" s="20" t="str">
        <f>IF(ConceptDemo!D43="","",ConceptDemo!D43)</f>
        <v/>
      </c>
      <c r="G18" s="3">
        <f t="shared" ca="1" si="4"/>
        <v>23</v>
      </c>
      <c r="H18" s="95">
        <f t="shared" ca="1" si="6"/>
        <v>45313</v>
      </c>
      <c r="I18" s="119">
        <f ca="1">HLOOKUP($H$4,'Met Data'!$A$2:$F$368,G18,FALSE)</f>
        <v>18.2514705882352</v>
      </c>
      <c r="J18" s="119">
        <f ca="1">HLOOKUP($H$4,'Met Data'!$H$2:$M$368,G18,FALSE)*L18</f>
        <v>1.94705882352941</v>
      </c>
      <c r="K18" s="96">
        <f ca="1">HLOOKUP($H$4,'Met Data'!$O$2:$T$368,G18,FALSE)</f>
        <v>5.5152286930917596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45358</v>
      </c>
      <c r="Q18">
        <f ca="1"/>
        <v>99.673418544987086</v>
      </c>
      <c r="R18">
        <f ca="1"/>
        <v>0</v>
      </c>
      <c r="S18">
        <f ca="1"/>
        <v>2.2738602605103679</v>
      </c>
      <c r="T18" s="4">
        <f ca="1"/>
        <v>0.52632212228779751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0.56731241772958763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45358</v>
      </c>
      <c r="AE18">
        <f t="shared" ca="1" si="3"/>
        <v>0</v>
      </c>
      <c r="AG18" s="63">
        <f t="shared" ca="1" si="7"/>
        <v>99.673418544987086</v>
      </c>
      <c r="AH18" s="63">
        <f t="shared" ca="1" si="8"/>
        <v>99.673418544987086</v>
      </c>
      <c r="AI18" s="3">
        <f t="shared" ca="1" si="9"/>
        <v>0</v>
      </c>
    </row>
    <row r="19" spans="1:35">
      <c r="A19" s="6" t="s">
        <v>118</v>
      </c>
      <c r="B19" s="32" t="str">
        <f>PriorEstablishStage</f>
        <v>Seedling</v>
      </c>
      <c r="G19" s="3">
        <f t="shared" ca="1" si="4"/>
        <v>24</v>
      </c>
      <c r="H19" s="95">
        <f t="shared" ca="1" si="6"/>
        <v>45314</v>
      </c>
      <c r="I19" s="119">
        <f ca="1">HLOOKUP($H$4,'Met Data'!$A$2:$F$368,G19,FALSE)</f>
        <v>17.176470588235201</v>
      </c>
      <c r="J19" s="119">
        <f ca="1">HLOOKUP($H$4,'Met Data'!$H$2:$M$368,G19,FALSE)*L19</f>
        <v>0.744117647058823</v>
      </c>
      <c r="K19" s="96">
        <f ca="1">HLOOKUP($H$4,'Met Data'!$O$2:$T$368,G19,FALSE)</f>
        <v>5.2065069869691296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45359</v>
      </c>
      <c r="Q19">
        <f ca="1"/>
        <v>102.08562945193999</v>
      </c>
      <c r="R19">
        <f ca="1"/>
        <v>0</v>
      </c>
      <c r="S19">
        <f ca="1"/>
        <v>1.9297816422409326</v>
      </c>
      <c r="T19" s="4">
        <f ca="1"/>
        <v>0.48242926471196784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0.54519453026405695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45359</v>
      </c>
      <c r="AE19">
        <f t="shared" ca="1" si="3"/>
        <v>0</v>
      </c>
      <c r="AG19" s="63">
        <f t="shared" ca="1" si="7"/>
        <v>102.08562945193999</v>
      </c>
      <c r="AH19" s="63">
        <f t="shared" ca="1" si="8"/>
        <v>102.08562945193999</v>
      </c>
      <c r="AI19" s="3">
        <f t="shared" ca="1" si="9"/>
        <v>0</v>
      </c>
    </row>
    <row r="20" spans="1:35">
      <c r="A20" s="6" t="s">
        <v>119</v>
      </c>
      <c r="B20" s="34">
        <f ca="1">PriorHarvestDate</f>
        <v>45347</v>
      </c>
      <c r="G20" s="3">
        <f t="shared" ca="1" si="4"/>
        <v>25</v>
      </c>
      <c r="H20" s="95">
        <f t="shared" ca="1" si="6"/>
        <v>45315</v>
      </c>
      <c r="I20" s="119">
        <f ca="1">HLOOKUP($H$4,'Met Data'!$A$2:$F$368,G20,FALSE)</f>
        <v>16.835294117646999</v>
      </c>
      <c r="J20" s="119">
        <f ca="1">HLOOKUP($H$4,'Met Data'!$H$2:$M$368,G20,FALSE)*L20</f>
        <v>1.4117647058823499</v>
      </c>
      <c r="K20" s="96">
        <f ca="1">HLOOKUP($H$4,'Met Data'!$O$2:$T$368,G20,FALSE)</f>
        <v>4.7133252171052504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45360</v>
      </c>
      <c r="Q20">
        <f ca="1"/>
        <v>104.54981526767342</v>
      </c>
      <c r="R20">
        <f ca="1"/>
        <v>0</v>
      </c>
      <c r="S20">
        <f ca="1"/>
        <v>1.9403245314450999</v>
      </c>
      <c r="T20" s="4">
        <f ca="1"/>
        <v>0.52386128428832479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0.53519999948239894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45360</v>
      </c>
      <c r="AE20">
        <f t="shared" ca="1" si="3"/>
        <v>0</v>
      </c>
      <c r="AG20" s="63">
        <f t="shared" ca="1" si="7"/>
        <v>104.54981526767342</v>
      </c>
      <c r="AH20" s="63">
        <f t="shared" ca="1" si="8"/>
        <v>104.54981526767342</v>
      </c>
      <c r="AI20" s="3">
        <f t="shared" ca="1" si="9"/>
        <v>0</v>
      </c>
    </row>
    <row r="21" spans="1:35">
      <c r="A21" s="6" t="s">
        <v>120</v>
      </c>
      <c r="B21" s="32" t="str">
        <f>PriorHarvestStage</f>
        <v>EarlyReproductive</v>
      </c>
      <c r="G21" s="3">
        <f t="shared" ca="1" si="4"/>
        <v>26</v>
      </c>
      <c r="H21" s="95">
        <f t="shared" ca="1" si="6"/>
        <v>45316</v>
      </c>
      <c r="I21" s="119">
        <f ca="1">HLOOKUP($H$4,'Met Data'!$A$2:$F$368,G21,FALSE)</f>
        <v>16.6941176470588</v>
      </c>
      <c r="J21" s="119">
        <f ca="1">HLOOKUP($H$4,'Met Data'!$H$2:$M$368,G21,FALSE)*L21</f>
        <v>1.25588235294117</v>
      </c>
      <c r="K21" s="96">
        <f ca="1">HLOOKUP($H$4,'Met Data'!$O$2:$T$368,G21,FALSE)</f>
        <v>4.3325050650897401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45361</v>
      </c>
      <c r="Q21">
        <f ca="1"/>
        <v>106.74308840822954</v>
      </c>
      <c r="R21">
        <f ca="1"/>
        <v>0</v>
      </c>
      <c r="S21">
        <f ca="1"/>
        <v>1.6976335842788259</v>
      </c>
      <c r="T21" s="4">
        <f ca="1"/>
        <v>0.49563955627729395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0.5388367891723197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45361</v>
      </c>
      <c r="AE21">
        <f t="shared" ca="1" si="3"/>
        <v>0</v>
      </c>
      <c r="AG21" s="63">
        <f t="shared" ca="1" si="7"/>
        <v>106.74308840822954</v>
      </c>
      <c r="AH21" s="63">
        <f t="shared" ca="1" si="8"/>
        <v>106.74308840822954</v>
      </c>
      <c r="AI21" s="3">
        <f t="shared" ca="1" si="9"/>
        <v>0</v>
      </c>
    </row>
    <row r="22" spans="1:35">
      <c r="A22" s="6" t="s">
        <v>167</v>
      </c>
      <c r="B22" s="32" t="str">
        <f>PriorResidueRemoval</f>
        <v>None removed</v>
      </c>
      <c r="G22" s="3">
        <f t="shared" ca="1" si="4"/>
        <v>27</v>
      </c>
      <c r="H22" s="95">
        <f t="shared" ca="1" si="6"/>
        <v>45317</v>
      </c>
      <c r="I22" s="119">
        <f ca="1">HLOOKUP($H$4,'Met Data'!$A$2:$F$368,G22,FALSE)</f>
        <v>16.433823529411701</v>
      </c>
      <c r="J22" s="119">
        <f ca="1">HLOOKUP($H$4,'Met Data'!$H$2:$M$368,G22,FALSE)*L22</f>
        <v>0.91470588235294104</v>
      </c>
      <c r="K22" s="96">
        <f ca="1">HLOOKUP($H$4,'Met Data'!$O$2:$T$368,G22,FALSE)</f>
        <v>4.7335288521335803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45362</v>
      </c>
      <c r="Q22">
        <f ca="1"/>
        <v>108.87154195125817</v>
      </c>
      <c r="R22">
        <f ca="1"/>
        <v>0</v>
      </c>
      <c r="S22">
        <f ca="1"/>
        <v>1.6180430567024047</v>
      </c>
      <c r="T22" s="4">
        <f ca="1"/>
        <v>0.51041048632621555</v>
      </c>
      <c r="U22">
        <f ca="1"/>
        <v>0</v>
      </c>
      <c r="V22">
        <f ca="1"/>
        <v>7.8553305711404597</v>
      </c>
      <c r="W22">
        <f ca="1"/>
        <v>1.9979862539639901</v>
      </c>
      <c r="X22">
        <f ca="1"/>
        <v>0</v>
      </c>
      <c r="Y22">
        <f ca="1"/>
        <v>0.56698823448936986</v>
      </c>
      <c r="Z22">
        <f ca="1"/>
        <v>0</v>
      </c>
      <c r="AA22">
        <f ca="1"/>
        <v>0</v>
      </c>
      <c r="AB22">
        <f ca="1"/>
        <v>9.2155379886740708E-3</v>
      </c>
      <c r="AD22" s="2">
        <f t="shared" ca="1" si="2"/>
        <v>45362</v>
      </c>
      <c r="AE22">
        <f t="shared" ca="1" si="3"/>
        <v>0</v>
      </c>
      <c r="AG22" s="63">
        <f t="shared" ca="1" si="7"/>
        <v>108.87154195125817</v>
      </c>
      <c r="AH22" s="63">
        <f t="shared" ca="1" si="8"/>
        <v>108.87154195125817</v>
      </c>
      <c r="AI22" s="3">
        <f t="shared" ca="1" si="9"/>
        <v>0</v>
      </c>
    </row>
    <row r="23" spans="1:35" ht="15.75" thickBot="1">
      <c r="A23" s="6" t="s">
        <v>170</v>
      </c>
      <c r="B23" s="101" t="str">
        <f>PriorResidueIncorporation</f>
        <v>Full (Plough)</v>
      </c>
      <c r="G23" s="3">
        <f t="shared" ca="1" si="4"/>
        <v>28</v>
      </c>
      <c r="H23" s="95">
        <f t="shared" ca="1" si="6"/>
        <v>45318</v>
      </c>
      <c r="I23" s="119">
        <f ca="1">HLOOKUP($H$4,'Met Data'!$A$2:$F$368,G23,FALSE)</f>
        <v>16.332352941176399</v>
      </c>
      <c r="J23" s="119">
        <f ca="1">HLOOKUP($H$4,'Met Data'!$H$2:$M$368,G23,FALSE)*L23</f>
        <v>2.3441176470588201</v>
      </c>
      <c r="K23" s="96">
        <f ca="1">HLOOKUP($H$4,'Met Data'!$O$2:$T$368,G23,FALSE)</f>
        <v>4.92375694808094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45363</v>
      </c>
      <c r="Q23">
        <f ca="1"/>
        <v>110.55326732265279</v>
      </c>
      <c r="R23">
        <f ca="1"/>
        <v>0.414460874285208</v>
      </c>
      <c r="S23">
        <f ca="1"/>
        <v>1.5620886054316117</v>
      </c>
      <c r="T23" s="4">
        <f ca="1"/>
        <v>0.53409764024822082</v>
      </c>
      <c r="U23">
        <f ca="1"/>
        <v>0</v>
      </c>
      <c r="V23">
        <f ca="1"/>
        <v>8.2697914454256605</v>
      </c>
      <c r="W23">
        <f ca="1"/>
        <v>2.1034034763365299</v>
      </c>
      <c r="X23">
        <f ca="1"/>
        <v>0</v>
      </c>
      <c r="Y23">
        <f ca="1"/>
        <v>0.58571333534852144</v>
      </c>
      <c r="Z23">
        <f ca="1"/>
        <v>0</v>
      </c>
      <c r="AA23">
        <f ca="1"/>
        <v>0</v>
      </c>
      <c r="AB23">
        <f ca="1"/>
        <v>1.27437653785961E-2</v>
      </c>
      <c r="AD23" s="2">
        <f t="shared" ca="1" si="2"/>
        <v>45363</v>
      </c>
      <c r="AE23">
        <f t="shared" ca="1" si="3"/>
        <v>0</v>
      </c>
      <c r="AG23" s="63">
        <f t="shared" ca="1" si="7"/>
        <v>110.967728196938</v>
      </c>
      <c r="AH23" s="63">
        <f t="shared" ca="1" si="8"/>
        <v>110.967728196938</v>
      </c>
      <c r="AI23" s="3">
        <f t="shared" ca="1" si="9"/>
        <v>0</v>
      </c>
    </row>
    <row r="24" spans="1:35" ht="15.75" thickBot="1">
      <c r="A24" s="8" t="s">
        <v>142</v>
      </c>
      <c r="B24" s="11" t="str">
        <f>CurrentCropNameFull</f>
        <v>Broccoli Vegetable General</v>
      </c>
      <c r="G24" s="3">
        <f t="shared" ca="1" si="4"/>
        <v>29</v>
      </c>
      <c r="H24" s="95">
        <f t="shared" ca="1" si="6"/>
        <v>45319</v>
      </c>
      <c r="I24" s="119">
        <f ca="1">HLOOKUP($H$4,'Met Data'!$A$2:$F$368,G24,FALSE)</f>
        <v>17.044117647058801</v>
      </c>
      <c r="J24" s="119">
        <f ca="1">HLOOKUP($H$4,'Met Data'!$H$2:$M$368,G24,FALSE)*L24</f>
        <v>1.02941176470588</v>
      </c>
      <c r="K24" s="96">
        <f ca="1">HLOOKUP($H$4,'Met Data'!$O$2:$T$368,G24,FALSE)</f>
        <v>4.99641153289756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45364</v>
      </c>
      <c r="Q24">
        <f ca="1"/>
        <v>112.06436795203925</v>
      </c>
      <c r="R24">
        <f ca="1"/>
        <v>0.42653025646133003</v>
      </c>
      <c r="S24">
        <f ca="1"/>
        <v>1.4131999054997806</v>
      </c>
      <c r="T24" s="4">
        <f ca="1"/>
        <v>0.52443098034801205</v>
      </c>
      <c r="U24">
        <f ca="1"/>
        <v>0</v>
      </c>
      <c r="V24">
        <f ca="1"/>
        <v>8.6963217018869905</v>
      </c>
      <c r="W24">
        <f ca="1"/>
        <v>2.2118905198277798</v>
      </c>
      <c r="X24">
        <f ca="1"/>
        <v>0</v>
      </c>
      <c r="Y24">
        <f ca="1"/>
        <v>0.59172699435520015</v>
      </c>
      <c r="Z24">
        <f ca="1"/>
        <v>0</v>
      </c>
      <c r="AA24">
        <f ca="1"/>
        <v>0</v>
      </c>
      <c r="AB24">
        <f ca="1"/>
        <v>1.7480833120671498E-2</v>
      </c>
      <c r="AD24" s="2">
        <f t="shared" ca="1" si="2"/>
        <v>45364</v>
      </c>
      <c r="AE24">
        <f t="shared" ca="1" si="3"/>
        <v>0</v>
      </c>
      <c r="AG24" s="63">
        <f t="shared" ca="1" si="7"/>
        <v>112.49089820850058</v>
      </c>
      <c r="AH24" s="63">
        <f t="shared" ca="1" si="8"/>
        <v>112.49089820850058</v>
      </c>
      <c r="AI24" s="3">
        <f t="shared" ca="1" si="9"/>
        <v>0</v>
      </c>
    </row>
    <row r="25" spans="1:35">
      <c r="A25" s="9" t="s">
        <v>259</v>
      </c>
      <c r="B25" s="11">
        <f>CurrentYield</f>
        <v>20</v>
      </c>
      <c r="G25" s="3">
        <f t="shared" ca="1" si="4"/>
        <v>30</v>
      </c>
      <c r="H25" s="95">
        <f t="shared" ca="1" si="6"/>
        <v>45320</v>
      </c>
      <c r="I25" s="119">
        <f ca="1">HLOOKUP($H$4,'Met Data'!$A$2:$F$368,G25,FALSE)</f>
        <v>17.480882352941101</v>
      </c>
      <c r="J25" s="119">
        <f ca="1">HLOOKUP($H$4,'Met Data'!$H$2:$M$368,G25,FALSE)*L25</f>
        <v>6.4705882352941099E-2</v>
      </c>
      <c r="K25" s="96">
        <f ca="1">HLOOKUP($H$4,'Met Data'!$O$2:$T$368,G25,FALSE)</f>
        <v>5.19563668339761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45365</v>
      </c>
      <c r="Q25">
        <f ca="1"/>
        <v>113.36724397652797</v>
      </c>
      <c r="R25">
        <f ca="1"/>
        <v>0.45084713736335402</v>
      </c>
      <c r="S25">
        <f ca="1"/>
        <v>1.2509752869342208</v>
      </c>
      <c r="T25" s="4">
        <f ca="1"/>
        <v>0.50274787491785744</v>
      </c>
      <c r="U25">
        <f ca="1"/>
        <v>0</v>
      </c>
      <c r="V25">
        <f ca="1"/>
        <v>9.1471688392503498</v>
      </c>
      <c r="W25">
        <f ca="1"/>
        <v>2.3265625091136801</v>
      </c>
      <c r="X25">
        <f ca="1"/>
        <v>0</v>
      </c>
      <c r="Y25">
        <f ca="1"/>
        <v>0.5543322480331766</v>
      </c>
      <c r="Z25">
        <f ca="1"/>
        <v>0</v>
      </c>
      <c r="AA25">
        <f ca="1"/>
        <v>0</v>
      </c>
      <c r="AB25">
        <f ca="1"/>
        <v>2.3982007821021899E-2</v>
      </c>
      <c r="AD25" s="2">
        <f t="shared" ca="1" si="2"/>
        <v>45365</v>
      </c>
      <c r="AE25">
        <f t="shared" ca="1" si="3"/>
        <v>0</v>
      </c>
      <c r="AG25" s="63">
        <f t="shared" ca="1" si="7"/>
        <v>113.81809111389133</v>
      </c>
      <c r="AH25" s="63">
        <f t="shared" ca="1" si="8"/>
        <v>113.81809111389133</v>
      </c>
      <c r="AI25" s="3">
        <f t="shared" ca="1" si="9"/>
        <v>0</v>
      </c>
    </row>
    <row r="26" spans="1:35">
      <c r="A26" s="9" t="s">
        <v>253</v>
      </c>
      <c r="B26" s="13" t="str">
        <f>CurrentPopulation</f>
        <v>1</v>
      </c>
      <c r="G26" s="3">
        <f t="shared" ca="1" si="4"/>
        <v>31</v>
      </c>
      <c r="H26" s="95">
        <f t="shared" ca="1" si="6"/>
        <v>45321</v>
      </c>
      <c r="I26" s="119">
        <f ca="1">HLOOKUP($H$4,'Met Data'!$A$2:$F$368,G26,FALSE)</f>
        <v>18.010294117647</v>
      </c>
      <c r="J26" s="119">
        <f ca="1">HLOOKUP($H$4,'Met Data'!$H$2:$M$368,G26,FALSE)*L26</f>
        <v>0.61176470588235299</v>
      </c>
      <c r="K26" s="96">
        <f ca="1">HLOOKUP($H$4,'Met Data'!$O$2:$T$368,G26,FALSE)</f>
        <v>5.2986070991408996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45366</v>
      </c>
      <c r="Q26">
        <f ca="1"/>
        <v>114.53073531637833</v>
      </c>
      <c r="R26">
        <f ca="1"/>
        <v>0.47433461217171002</v>
      </c>
      <c r="S26">
        <f ca="1"/>
        <v>1.1418576976044648</v>
      </c>
      <c r="T26" s="4">
        <f ca="1"/>
        <v>0.49596825441761094</v>
      </c>
      <c r="U26">
        <f ca="1"/>
        <v>0</v>
      </c>
      <c r="V26">
        <f ca="1"/>
        <v>9.6215034514220594</v>
      </c>
      <c r="W26">
        <f ca="1"/>
        <v>2.4472084865573498</v>
      </c>
      <c r="X26">
        <f ca="1"/>
        <v>0</v>
      </c>
      <c r="Y26">
        <f ca="1"/>
        <v>0.54282432370659761</v>
      </c>
      <c r="Z26">
        <f ca="1"/>
        <v>0</v>
      </c>
      <c r="AA26">
        <f ca="1"/>
        <v>0</v>
      </c>
      <c r="AB26">
        <f ca="1"/>
        <v>3.2834312199464498E-2</v>
      </c>
      <c r="AD26" s="2">
        <f t="shared" ca="1" si="2"/>
        <v>45366</v>
      </c>
      <c r="AE26">
        <f t="shared" ca="1" si="3"/>
        <v>0</v>
      </c>
      <c r="AG26" s="63">
        <f t="shared" ca="1" si="7"/>
        <v>115.00506992855004</v>
      </c>
      <c r="AH26" s="63">
        <f t="shared" ca="1" si="8"/>
        <v>115.00506992855004</v>
      </c>
      <c r="AI26" s="3">
        <f t="shared" ca="1" si="9"/>
        <v>0</v>
      </c>
    </row>
    <row r="27" spans="1:35">
      <c r="A27" s="9" t="s">
        <v>254</v>
      </c>
      <c r="B27" s="13" t="str">
        <f>CurrentUnits</f>
        <v>t/ha</v>
      </c>
      <c r="G27" s="3">
        <f t="shared" ca="1" si="4"/>
        <v>32</v>
      </c>
      <c r="H27" s="95">
        <f t="shared" ca="1" si="6"/>
        <v>45322</v>
      </c>
      <c r="I27" s="119">
        <f ca="1">HLOOKUP($H$4,'Met Data'!$A$2:$F$368,G27,FALSE)</f>
        <v>18.1264705882352</v>
      </c>
      <c r="J27" s="119">
        <f ca="1">HLOOKUP($H$4,'Met Data'!$H$2:$M$368,G27,FALSE)*L27</f>
        <v>1.01176470588235</v>
      </c>
      <c r="K27" s="96">
        <f ca="1">HLOOKUP($H$4,'Met Data'!$O$2:$T$368,G27,FALSE)</f>
        <v>5.6287813361802304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45367</v>
      </c>
      <c r="Q27">
        <f ca="1"/>
        <v>115.54832890697256</v>
      </c>
      <c r="R27">
        <f ca="1"/>
        <v>0.49216212379553798</v>
      </c>
      <c r="S27">
        <f ca="1"/>
        <v>1.0279018092300305</v>
      </c>
      <c r="T27" s="4">
        <f ca="1"/>
        <v>0.48185390515974513</v>
      </c>
      <c r="U27">
        <f ca="1"/>
        <v>0</v>
      </c>
      <c r="V27">
        <f ca="1"/>
        <v>10.113665575217601</v>
      </c>
      <c r="W27">
        <f ca="1"/>
        <v>2.5723888528270802</v>
      </c>
      <c r="X27">
        <f ca="1"/>
        <v>0</v>
      </c>
      <c r="Y27">
        <f ca="1"/>
        <v>0.53238808120601355</v>
      </c>
      <c r="Z27">
        <f ca="1"/>
        <v>0</v>
      </c>
      <c r="AA27">
        <f ca="1"/>
        <v>0</v>
      </c>
      <c r="AB27">
        <f ca="1"/>
        <v>4.4637661536675102E-2</v>
      </c>
      <c r="AD27" s="2">
        <f t="shared" ca="1" si="2"/>
        <v>45367</v>
      </c>
      <c r="AE27">
        <f t="shared" ca="1" si="3"/>
        <v>0</v>
      </c>
      <c r="AG27" s="63">
        <f t="shared" ca="1" si="7"/>
        <v>116.0404910307681</v>
      </c>
      <c r="AH27" s="63">
        <f t="shared" ca="1" si="8"/>
        <v>116.0404910307681</v>
      </c>
      <c r="AI27" s="3">
        <f t="shared" ca="1" si="9"/>
        <v>0</v>
      </c>
    </row>
    <row r="28" spans="1:35">
      <c r="A28" s="9" t="s">
        <v>121</v>
      </c>
      <c r="B28" s="10">
        <f>CurrentFieldLoss</f>
        <v>0</v>
      </c>
      <c r="G28" s="3">
        <f t="shared" ca="1" si="4"/>
        <v>33</v>
      </c>
      <c r="H28" s="95">
        <f t="shared" ca="1" si="6"/>
        <v>45323</v>
      </c>
      <c r="I28" s="119">
        <f ca="1">HLOOKUP($H$4,'Met Data'!$A$2:$F$368,G28,FALSE)</f>
        <v>17.5632352941176</v>
      </c>
      <c r="J28" s="119">
        <f ca="1">HLOOKUP($H$4,'Met Data'!$H$2:$M$368,G28,FALSE)*L28</f>
        <v>0.26764705882352902</v>
      </c>
      <c r="K28" s="96">
        <f ca="1">HLOOKUP($H$4,'Met Data'!$O$2:$T$368,G28,FALSE)</f>
        <v>5.5733898517327303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45368</v>
      </c>
      <c r="Q28">
        <f ca="1"/>
        <v>116.38380888887505</v>
      </c>
      <c r="R28">
        <f ca="1"/>
        <v>0.47829528551117001</v>
      </c>
      <c r="S28">
        <f ca="1"/>
        <v>0.87362112001355285</v>
      </c>
      <c r="T28" s="4">
        <f ca="1"/>
        <v>0.44015414740010622</v>
      </c>
      <c r="U28">
        <f ca="1"/>
        <v>0</v>
      </c>
      <c r="V28">
        <f ca="1"/>
        <v>10.5919608607288</v>
      </c>
      <c r="W28">
        <f ca="1"/>
        <v>2.6940422189244901</v>
      </c>
      <c r="X28">
        <f ca="1"/>
        <v>0</v>
      </c>
      <c r="Y28">
        <f ca="1"/>
        <v>0.53302093231264658</v>
      </c>
      <c r="Z28">
        <f ca="1"/>
        <v>0</v>
      </c>
      <c r="AA28">
        <f ca="1"/>
        <v>0</v>
      </c>
      <c r="AB28">
        <f ca="1"/>
        <v>5.9115349366896303E-2</v>
      </c>
      <c r="AD28" s="2">
        <f t="shared" ca="1" si="2"/>
        <v>45368</v>
      </c>
      <c r="AE28">
        <f t="shared" ca="1" si="3"/>
        <v>0</v>
      </c>
      <c r="AG28" s="63">
        <f t="shared" ca="1" si="7"/>
        <v>116.86210417438622</v>
      </c>
      <c r="AH28" s="63">
        <f t="shared" ca="1" si="8"/>
        <v>116.86210417438622</v>
      </c>
      <c r="AI28" s="3">
        <f t="shared" ca="1" si="9"/>
        <v>0</v>
      </c>
    </row>
    <row r="29" spans="1:35">
      <c r="A29" s="9" t="s">
        <v>122</v>
      </c>
      <c r="B29" s="10">
        <f>CurrentDressingLoss</f>
        <v>0</v>
      </c>
      <c r="G29" s="3">
        <f t="shared" ca="1" si="4"/>
        <v>34</v>
      </c>
      <c r="H29" s="95">
        <f t="shared" ca="1" si="6"/>
        <v>45324</v>
      </c>
      <c r="I29" s="119">
        <f ca="1">HLOOKUP($H$4,'Met Data'!$A$2:$F$368,G29,FALSE)</f>
        <v>16.530882352941099</v>
      </c>
      <c r="J29" s="119">
        <f ca="1">HLOOKUP($H$4,'Met Data'!$H$2:$M$368,G29,FALSE)*L29</f>
        <v>1.22058823529411</v>
      </c>
      <c r="K29" s="96">
        <f ca="1">HLOOKUP($H$4,'Met Data'!$O$2:$T$368,G29,FALSE)</f>
        <v>4.8866884380741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45369</v>
      </c>
      <c r="Q29">
        <f ca="1"/>
        <v>117.17182061533835</v>
      </c>
      <c r="R29">
        <f ca="1"/>
        <v>0.53192816155565803</v>
      </c>
      <c r="S29">
        <f ca="1"/>
        <v>0.85667467715758505</v>
      </c>
      <c r="T29" s="4">
        <f ca="1"/>
        <v>0.46326521086136419</v>
      </c>
      <c r="U29">
        <f ca="1"/>
        <v>0</v>
      </c>
      <c r="V29">
        <f ca="1"/>
        <v>11.1238890222844</v>
      </c>
      <c r="W29">
        <f ca="1"/>
        <v>2.8293369904505998</v>
      </c>
      <c r="X29">
        <f ca="1"/>
        <v>0</v>
      </c>
      <c r="Y29">
        <f ca="1"/>
        <v>0.5170645705271153</v>
      </c>
      <c r="Z29">
        <f ca="1"/>
        <v>0</v>
      </c>
      <c r="AA29">
        <f ca="1"/>
        <v>0</v>
      </c>
      <c r="AB29">
        <f ca="1"/>
        <v>7.9229687240101904E-2</v>
      </c>
      <c r="AD29" s="2">
        <f t="shared" ca="1" si="2"/>
        <v>45369</v>
      </c>
      <c r="AE29">
        <f t="shared" ca="1" si="3"/>
        <v>0</v>
      </c>
      <c r="AG29" s="63">
        <f t="shared" ca="1" si="7"/>
        <v>117.703748776894</v>
      </c>
      <c r="AH29" s="63">
        <f t="shared" ca="1" si="8"/>
        <v>117.703748776894</v>
      </c>
      <c r="AI29" s="3">
        <f t="shared" ca="1" si="9"/>
        <v>0</v>
      </c>
    </row>
    <row r="30" spans="1:35">
      <c r="A30" s="9" t="s">
        <v>123</v>
      </c>
      <c r="B30" s="10">
        <f>CurrentMoistureContent</f>
        <v>89</v>
      </c>
      <c r="G30" s="3">
        <f t="shared" ca="1" si="4"/>
        <v>35</v>
      </c>
      <c r="H30" s="95">
        <f t="shared" ca="1" si="6"/>
        <v>45325</v>
      </c>
      <c r="I30" s="119">
        <f ca="1">HLOOKUP($H$4,'Met Data'!$A$2:$F$368,G30,FALSE)</f>
        <v>16.339705882352899</v>
      </c>
      <c r="J30" s="119">
        <f ca="1">HLOOKUP($H$4,'Met Data'!$H$2:$M$368,G30,FALSE)*L30</f>
        <v>0.72352941176470498</v>
      </c>
      <c r="K30" s="96">
        <f ca="1">HLOOKUP($H$4,'Met Data'!$O$2:$T$368,G30,FALSE)</f>
        <v>4.6016509460585002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45370</v>
      </c>
      <c r="Q30">
        <f ca="1"/>
        <v>117.87972228224079</v>
      </c>
      <c r="R30">
        <f ca="1"/>
        <v>0.58796062036982399</v>
      </c>
      <c r="S30">
        <f ca="1"/>
        <v>0.81902637185346805</v>
      </c>
      <c r="T30" s="4">
        <f ca="1"/>
        <v>0.47683591541880166</v>
      </c>
      <c r="U30">
        <f ca="1"/>
        <v>0</v>
      </c>
      <c r="V30">
        <f ca="1"/>
        <v>11.711849642654199</v>
      </c>
      <c r="W30">
        <f ca="1"/>
        <v>2.9788834960664099</v>
      </c>
      <c r="X30">
        <f ca="1"/>
        <v>0</v>
      </c>
      <c r="Y30">
        <f ca="1"/>
        <v>0.49062932030805234</v>
      </c>
      <c r="Z30">
        <f ca="1"/>
        <v>0</v>
      </c>
      <c r="AA30">
        <f ca="1"/>
        <v>0</v>
      </c>
      <c r="AB30">
        <f ca="1"/>
        <v>0.10699168648193599</v>
      </c>
      <c r="AD30" s="2">
        <f t="shared" ca="1" si="2"/>
        <v>45370</v>
      </c>
      <c r="AE30">
        <f t="shared" ca="1" si="3"/>
        <v>0</v>
      </c>
      <c r="AG30" s="63">
        <f t="shared" ca="1" si="7"/>
        <v>118.46768290261062</v>
      </c>
      <c r="AH30" s="63">
        <f t="shared" ca="1" si="8"/>
        <v>118.46768290261062</v>
      </c>
      <c r="AI30" s="3">
        <f t="shared" ca="1" si="9"/>
        <v>0</v>
      </c>
    </row>
    <row r="31" spans="1:35">
      <c r="A31" s="9" t="s">
        <v>124</v>
      </c>
      <c r="B31" s="36">
        <f ca="1">CurrentEstablishDate</f>
        <v>45362</v>
      </c>
      <c r="G31" s="3">
        <f t="shared" ca="1" si="4"/>
        <v>36</v>
      </c>
      <c r="H31" s="95">
        <f t="shared" ca="1" si="6"/>
        <v>45326</v>
      </c>
      <c r="I31" s="119">
        <f ca="1">HLOOKUP($H$4,'Met Data'!$A$2:$F$368,G31,FALSE)</f>
        <v>17.920588235294101</v>
      </c>
      <c r="J31" s="119">
        <f ca="1">HLOOKUP($H$4,'Met Data'!$H$2:$M$368,G31,FALSE)*L31</f>
        <v>1.75294117647058</v>
      </c>
      <c r="K31" s="96">
        <f ca="1">HLOOKUP($H$4,'Met Data'!$O$2:$T$368,G31,FALSE)</f>
        <v>5.2770860248475602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45371</v>
      </c>
      <c r="Q31">
        <f ca="1"/>
        <v>118.45034149060514</v>
      </c>
      <c r="R31">
        <f ca="1"/>
        <v>0.60141624446514697</v>
      </c>
      <c r="S31">
        <f ca="1"/>
        <v>0.72065727454794626</v>
      </c>
      <c r="T31" s="4">
        <f ca="1"/>
        <v>0.45137817828154658</v>
      </c>
      <c r="U31">
        <f ca="1"/>
        <v>0</v>
      </c>
      <c r="V31">
        <f ca="1"/>
        <v>12.3132658871194</v>
      </c>
      <c r="W31">
        <f ca="1"/>
        <v>3.1318524104195</v>
      </c>
      <c r="X31">
        <f ca="1"/>
        <v>0</v>
      </c>
      <c r="Y31">
        <f ca="1"/>
        <v>0.47417627963880665</v>
      </c>
      <c r="Z31">
        <f ca="1"/>
        <v>0</v>
      </c>
      <c r="AA31">
        <f ca="1"/>
        <v>0</v>
      </c>
      <c r="AB31">
        <f ca="1"/>
        <v>0.14190635335179499</v>
      </c>
      <c r="AD31" s="2">
        <f t="shared" ca="1" si="2"/>
        <v>45371</v>
      </c>
      <c r="AE31">
        <f t="shared" ca="1" si="3"/>
        <v>0</v>
      </c>
      <c r="AG31" s="63">
        <f t="shared" ca="1" si="7"/>
        <v>119.05175773507028</v>
      </c>
      <c r="AH31" s="63">
        <f t="shared" ca="1" si="8"/>
        <v>119.05175773507028</v>
      </c>
      <c r="AI31" s="3">
        <f t="shared" ca="1" si="9"/>
        <v>0</v>
      </c>
    </row>
    <row r="32" spans="1:35">
      <c r="A32" s="9" t="s">
        <v>125</v>
      </c>
      <c r="B32" s="10" t="str">
        <f>CurrentEstablishStage</f>
        <v>Seedling</v>
      </c>
      <c r="G32" s="3">
        <f t="shared" ca="1" si="4"/>
        <v>37</v>
      </c>
      <c r="H32" s="95">
        <f t="shared" ca="1" si="6"/>
        <v>45327</v>
      </c>
      <c r="I32" s="119">
        <f ca="1">HLOOKUP($H$4,'Met Data'!$A$2:$F$368,G32,FALSE)</f>
        <v>16.083823529411699</v>
      </c>
      <c r="J32" s="119">
        <f ca="1">HLOOKUP($H$4,'Met Data'!$H$2:$M$368,G32,FALSE)*L32</f>
        <v>2.20882352941176</v>
      </c>
      <c r="K32" s="96">
        <f ca="1">HLOOKUP($H$4,'Met Data'!$O$2:$T$368,G32,FALSE)</f>
        <v>4.27430593476155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45372</v>
      </c>
      <c r="Q32">
        <f ca="1"/>
        <v>118.90310550972237</v>
      </c>
      <c r="R32">
        <f ca="1"/>
        <v>0.61351365449808704</v>
      </c>
      <c r="S32">
        <f ca="1"/>
        <v>0.63796819913289937</v>
      </c>
      <c r="T32" s="4">
        <f ca="1"/>
        <v>0.42830947448241996</v>
      </c>
      <c r="U32">
        <f ca="1"/>
        <v>0</v>
      </c>
      <c r="V32">
        <f ca="1"/>
        <v>12.926779541617501</v>
      </c>
      <c r="W32">
        <f ca="1"/>
        <v>3.2878982747157499</v>
      </c>
      <c r="X32">
        <f ca="1"/>
        <v>0</v>
      </c>
      <c r="Y32">
        <f ca="1"/>
        <v>0.46030443975482904</v>
      </c>
      <c r="Z32">
        <f ca="1"/>
        <v>0</v>
      </c>
      <c r="AA32">
        <f ca="1"/>
        <v>0</v>
      </c>
      <c r="AB32">
        <f ca="1"/>
        <v>0.184504597854935</v>
      </c>
      <c r="AD32" s="2">
        <f t="shared" ca="1" si="2"/>
        <v>45372</v>
      </c>
      <c r="AE32">
        <f t="shared" ca="1" si="3"/>
        <v>0</v>
      </c>
      <c r="AG32" s="63">
        <f t="shared" ca="1" si="7"/>
        <v>119.51661916422046</v>
      </c>
      <c r="AH32" s="63">
        <f t="shared" ca="1" si="8"/>
        <v>119.51661916422046</v>
      </c>
      <c r="AI32" s="3">
        <f t="shared" ca="1" si="9"/>
        <v>0</v>
      </c>
    </row>
    <row r="33" spans="1:35">
      <c r="A33" s="9" t="s">
        <v>126</v>
      </c>
      <c r="B33" s="36">
        <f ca="1">CurrentHarvestDate</f>
        <v>45487</v>
      </c>
      <c r="G33" s="3">
        <f t="shared" ca="1" si="4"/>
        <v>38</v>
      </c>
      <c r="H33" s="95">
        <f t="shared" ca="1" si="6"/>
        <v>45328</v>
      </c>
      <c r="I33" s="119">
        <f ca="1">HLOOKUP($H$4,'Met Data'!$A$2:$F$368,G33,FALSE)</f>
        <v>16.539705882352902</v>
      </c>
      <c r="J33" s="119">
        <f ca="1">HLOOKUP($H$4,'Met Data'!$H$2:$M$368,G33,FALSE)*L33</f>
        <v>0.49117647058823499</v>
      </c>
      <c r="K33" s="96">
        <f ca="1">HLOOKUP($H$4,'Met Data'!$O$2:$T$368,G33,FALSE)</f>
        <v>4.96013704262971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45373</v>
      </c>
      <c r="Q33">
        <f ca="1"/>
        <v>119.27360995343311</v>
      </c>
      <c r="R33">
        <f ca="1"/>
        <v>0.61764791524671703</v>
      </c>
      <c r="S33">
        <f ca="1"/>
        <v>0.57533273852600075</v>
      </c>
      <c r="T33" s="4">
        <f ca="1"/>
        <v>0.41281962043145914</v>
      </c>
      <c r="U33">
        <f ca="1"/>
        <v>0</v>
      </c>
      <c r="V33">
        <f ca="1"/>
        <v>13.5444274568642</v>
      </c>
      <c r="W33">
        <f ca="1"/>
        <v>3.4449956792458898</v>
      </c>
      <c r="X33">
        <f ca="1"/>
        <v>0</v>
      </c>
      <c r="Y33">
        <f ca="1"/>
        <v>0.46866226375174969</v>
      </c>
      <c r="Z33">
        <f ca="1"/>
        <v>0</v>
      </c>
      <c r="AA33">
        <f ca="1"/>
        <v>0</v>
      </c>
      <c r="AB33">
        <f ca="1"/>
        <v>0.234189501808798</v>
      </c>
      <c r="AD33" s="2">
        <f t="shared" ca="1" si="2"/>
        <v>45373</v>
      </c>
      <c r="AE33">
        <f t="shared" ca="1" si="3"/>
        <v>0</v>
      </c>
      <c r="AG33" s="63">
        <f t="shared" ca="1" si="7"/>
        <v>119.89125786867983</v>
      </c>
      <c r="AH33" s="63">
        <f t="shared" ca="1" si="8"/>
        <v>119.89125786867983</v>
      </c>
      <c r="AI33" s="3">
        <f t="shared" ca="1" si="9"/>
        <v>0</v>
      </c>
    </row>
    <row r="34" spans="1:35">
      <c r="A34" s="9" t="s">
        <v>127</v>
      </c>
      <c r="B34" s="10" t="str">
        <f>CurrentHarvestStage</f>
        <v>EarlyReproductive</v>
      </c>
      <c r="G34" s="3">
        <f t="shared" ca="1" si="4"/>
        <v>39</v>
      </c>
      <c r="H34" s="95">
        <f t="shared" ca="1" si="6"/>
        <v>45329</v>
      </c>
      <c r="I34" s="119">
        <f ca="1">HLOOKUP($H$4,'Met Data'!$A$2:$F$368,G34,FALSE)</f>
        <v>16.527941176470499</v>
      </c>
      <c r="J34" s="119">
        <f ca="1">HLOOKUP($H$4,'Met Data'!$H$2:$M$368,G34,FALSE)*L34</f>
        <v>1.98235294117647</v>
      </c>
      <c r="K34" s="96">
        <f ca="1">HLOOKUP($H$4,'Met Data'!$O$2:$T$368,G34,FALSE)</f>
        <v>4.6946370204271801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45374</v>
      </c>
      <c r="Q34">
        <f ca="1"/>
        <v>119.56189860972233</v>
      </c>
      <c r="R34">
        <f ca="1"/>
        <v>0.65194290175538006</v>
      </c>
      <c r="S34">
        <f ca="1"/>
        <v>0.53249206142361061</v>
      </c>
      <c r="T34" s="4">
        <f ca="1"/>
        <v>0.40773949662098624</v>
      </c>
      <c r="U34">
        <f ca="1"/>
        <v>0</v>
      </c>
      <c r="V34">
        <f ca="1"/>
        <v>14.1963703586196</v>
      </c>
      <c r="W34">
        <f ca="1"/>
        <v>3.6108159390401999</v>
      </c>
      <c r="X34">
        <f ca="1"/>
        <v>0</v>
      </c>
      <c r="Y34">
        <f ca="1"/>
        <v>0.45099985311027929</v>
      </c>
      <c r="Z34">
        <f ca="1"/>
        <v>0</v>
      </c>
      <c r="AA34">
        <f ca="1"/>
        <v>0</v>
      </c>
      <c r="AB34">
        <f ca="1"/>
        <v>0.29300555265829298</v>
      </c>
      <c r="AD34" s="2">
        <f t="shared" ca="1" si="2"/>
        <v>45374</v>
      </c>
      <c r="AE34">
        <f t="shared" ca="1" si="3"/>
        <v>0</v>
      </c>
      <c r="AG34" s="63">
        <f t="shared" ca="1" si="7"/>
        <v>120.21384151147771</v>
      </c>
      <c r="AH34" s="63">
        <f t="shared" ca="1" si="8"/>
        <v>120.21384151147771</v>
      </c>
      <c r="AI34" s="3">
        <f t="shared" ca="1" si="9"/>
        <v>0</v>
      </c>
    </row>
    <row r="35" spans="1:35">
      <c r="A35" s="9" t="s">
        <v>168</v>
      </c>
      <c r="B35" s="10" t="str">
        <f>CurrentResidueRemoval</f>
        <v>None removed</v>
      </c>
      <c r="G35" s="3">
        <f t="shared" ca="1" si="4"/>
        <v>40</v>
      </c>
      <c r="H35" s="95">
        <f t="shared" ca="1" si="6"/>
        <v>45330</v>
      </c>
      <c r="I35" s="119">
        <f ca="1">HLOOKUP($H$4,'Met Data'!$A$2:$F$368,G35,FALSE)</f>
        <v>16.855882352941101</v>
      </c>
      <c r="J35" s="119">
        <f ca="1">HLOOKUP($H$4,'Met Data'!$H$2:$M$368,G35,FALSE)*L35</f>
        <v>0.79411764705882304</v>
      </c>
      <c r="K35" s="96">
        <f ca="1">HLOOKUP($H$4,'Met Data'!$O$2:$T$368,G35,FALSE)</f>
        <v>5.0220708698278598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45375</v>
      </c>
      <c r="Q35">
        <f ca="1"/>
        <v>119.79529837678859</v>
      </c>
      <c r="R35">
        <f ca="1"/>
        <v>0.69665957345259599</v>
      </c>
      <c r="S35">
        <f ca="1"/>
        <v>0.51169782643003714</v>
      </c>
      <c r="T35" s="4">
        <f ca="1"/>
        <v>0.4183615140888165</v>
      </c>
      <c r="U35">
        <f ca="1"/>
        <v>0</v>
      </c>
      <c r="V35">
        <f ca="1"/>
        <v>14.893029932072199</v>
      </c>
      <c r="W35">
        <f ca="1"/>
        <v>3.7880097870705298</v>
      </c>
      <c r="X35">
        <f ca="1"/>
        <v>0</v>
      </c>
      <c r="Y35">
        <f ca="1"/>
        <v>0.45164347602759841</v>
      </c>
      <c r="Z35">
        <f ca="1"/>
        <v>0</v>
      </c>
      <c r="AA35">
        <f ca="1"/>
        <v>0</v>
      </c>
      <c r="AB35">
        <f ca="1"/>
        <v>0.36111119351237903</v>
      </c>
      <c r="AD35" s="2">
        <f t="shared" ca="1" si="2"/>
        <v>45375</v>
      </c>
      <c r="AE35">
        <f t="shared" ca="1" si="3"/>
        <v>0</v>
      </c>
      <c r="AG35" s="63">
        <f t="shared" ca="1" si="7"/>
        <v>120.49195795024119</v>
      </c>
      <c r="AH35" s="63">
        <f t="shared" ca="1" si="8"/>
        <v>120.49195795024119</v>
      </c>
      <c r="AI35" s="3">
        <f t="shared" ca="1" si="9"/>
        <v>0</v>
      </c>
    </row>
    <row r="36" spans="1:35" ht="15.75" thickBot="1">
      <c r="A36" s="9" t="s">
        <v>171</v>
      </c>
      <c r="B36" s="10" t="str">
        <f>CurrentResidueIncorporation</f>
        <v>Full (Plough)</v>
      </c>
      <c r="G36" s="3">
        <f t="shared" ca="1" si="4"/>
        <v>41</v>
      </c>
      <c r="H36" s="95">
        <f t="shared" ca="1" si="6"/>
        <v>45331</v>
      </c>
      <c r="I36" s="119">
        <f ca="1">HLOOKUP($H$4,'Met Data'!$A$2:$F$368,G36,FALSE)</f>
        <v>16.957352941176399</v>
      </c>
      <c r="J36" s="119">
        <f ca="1">HLOOKUP($H$4,'Met Data'!$H$2:$M$368,G36,FALSE)*L36</f>
        <v>1.1352941176470499</v>
      </c>
      <c r="K36" s="96">
        <f ca="1">HLOOKUP($H$4,'Met Data'!$O$2:$T$368,G36,FALSE)</f>
        <v>4.61421103176027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45376</v>
      </c>
      <c r="Q36">
        <f ca="1"/>
        <v>119.91373401212161</v>
      </c>
      <c r="R36">
        <f ca="1"/>
        <v>0.68892853197101001</v>
      </c>
      <c r="S36">
        <f ca="1"/>
        <v>0.43153360184221867</v>
      </c>
      <c r="T36">
        <f ca="1"/>
        <v>0.37583056546181337</v>
      </c>
      <c r="U36">
        <f ca="1"/>
        <v>0</v>
      </c>
      <c r="V36">
        <f ca="1"/>
        <v>15.581958464043201</v>
      </c>
      <c r="W36">
        <f ca="1"/>
        <v>3.9632372615066398</v>
      </c>
      <c r="X36">
        <f ca="1"/>
        <v>0</v>
      </c>
      <c r="Y36">
        <f ca="1"/>
        <v>0.42043639909342512</v>
      </c>
      <c r="Z36">
        <f ca="1"/>
        <v>0</v>
      </c>
      <c r="AA36">
        <f ca="1"/>
        <v>0</v>
      </c>
      <c r="AB36">
        <f ca="1"/>
        <v>0.431152436292563</v>
      </c>
      <c r="AD36" s="2">
        <f t="shared" ca="1" si="2"/>
        <v>45376</v>
      </c>
      <c r="AE36">
        <f t="shared" ca="1" si="3"/>
        <v>0</v>
      </c>
      <c r="AG36" s="63">
        <f t="shared" ca="1" si="7"/>
        <v>120.60266254409262</v>
      </c>
      <c r="AH36" s="63">
        <f t="shared" ca="1" si="8"/>
        <v>120.60266254409262</v>
      </c>
      <c r="AI36" s="3">
        <f t="shared" ca="1" si="9"/>
        <v>0</v>
      </c>
    </row>
    <row r="37" spans="1:35">
      <c r="A37" s="5" t="s">
        <v>143</v>
      </c>
      <c r="B37" s="31" t="str">
        <f>FollowingCropFullName</f>
        <v>Broccoli Vegetable General</v>
      </c>
      <c r="G37" s="3">
        <f t="shared" ca="1" si="4"/>
        <v>42</v>
      </c>
      <c r="H37" s="95">
        <f t="shared" ca="1" si="6"/>
        <v>45332</v>
      </c>
      <c r="I37" s="119">
        <f ca="1">HLOOKUP($H$4,'Met Data'!$A$2:$F$368,G37,FALSE)</f>
        <v>16.866176470588201</v>
      </c>
      <c r="J37" s="119">
        <f ca="1">HLOOKUP($H$4,'Met Data'!$H$2:$M$368,G37,FALSE)*L37</f>
        <v>0.77647058823529402</v>
      </c>
      <c r="K37" s="96">
        <f ca="1">HLOOKUP($H$4,'Met Data'!$O$2:$T$368,G37,FALSE)</f>
        <v>4.40551625163656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45377</v>
      </c>
      <c r="Q37">
        <f ca="1"/>
        <v>119.97051559756565</v>
      </c>
      <c r="R37">
        <f ca="1"/>
        <v>0.76570531051124902</v>
      </c>
      <c r="S37">
        <f ca="1"/>
        <v>0.42702455116327087</v>
      </c>
      <c r="T37">
        <f ca="1"/>
        <v>0.39546234479201586</v>
      </c>
      <c r="U37">
        <f ca="1"/>
        <v>0</v>
      </c>
      <c r="V37">
        <f ca="1"/>
        <v>16.347663774554398</v>
      </c>
      <c r="W37">
        <f ca="1"/>
        <v>4.1579927426584096</v>
      </c>
      <c r="X37">
        <f ca="1"/>
        <v>0</v>
      </c>
      <c r="Y37">
        <f ca="1"/>
        <v>0.40295230777382518</v>
      </c>
      <c r="Z37">
        <f ca="1"/>
        <v>0</v>
      </c>
      <c r="AA37">
        <f ca="1"/>
        <v>0</v>
      </c>
      <c r="AB37">
        <f ca="1"/>
        <v>0.50866345460354601</v>
      </c>
      <c r="AD37" s="2">
        <f t="shared" ca="1" si="2"/>
        <v>45377</v>
      </c>
      <c r="AE37">
        <f t="shared" ca="1" si="3"/>
        <v>0</v>
      </c>
      <c r="AG37" s="63">
        <f t="shared" ca="1" si="7"/>
        <v>120.7362209080769</v>
      </c>
      <c r="AH37" s="63">
        <f t="shared" ca="1" si="8"/>
        <v>120.7362209080769</v>
      </c>
      <c r="AI37" s="3">
        <f t="shared" ca="1" si="9"/>
        <v>0</v>
      </c>
    </row>
    <row r="38" spans="1:35">
      <c r="A38" s="6" t="s">
        <v>260</v>
      </c>
      <c r="B38" s="32">
        <f>FollowingYIeld</f>
        <v>0.3</v>
      </c>
      <c r="G38" s="3">
        <f t="shared" ca="1" si="4"/>
        <v>43</v>
      </c>
      <c r="H38" s="95">
        <f t="shared" ca="1" si="6"/>
        <v>45333</v>
      </c>
      <c r="I38" s="119">
        <f ca="1">HLOOKUP($H$4,'Met Data'!$A$2:$F$368,G38,FALSE)</f>
        <v>17.485294117647001</v>
      </c>
      <c r="J38" s="119">
        <f ca="1">HLOOKUP($H$4,'Met Data'!$H$2:$M$368,G38,FALSE)*L38</f>
        <v>1.0529411764705801</v>
      </c>
      <c r="K38" s="96">
        <f ca="1">HLOOKUP($H$4,'Met Data'!$O$2:$T$368,G38,FALSE)</f>
        <v>4.4685640225242098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45378</v>
      </c>
      <c r="Q38">
        <f ca="1"/>
        <v>119.94236277823423</v>
      </c>
      <c r="R38">
        <f ca="1"/>
        <v>0.82774910314782302</v>
      </c>
      <c r="S38">
        <f ca="1"/>
        <v>0.40250578091067268</v>
      </c>
      <c r="T38">
        <f ca="1"/>
        <v>0.39709050290572512</v>
      </c>
      <c r="U38">
        <f ca="1"/>
        <v>0</v>
      </c>
      <c r="V38">
        <f ca="1"/>
        <v>17.1754128777023</v>
      </c>
      <c r="W38">
        <f ca="1"/>
        <v>4.3685289275894901</v>
      </c>
      <c r="X38">
        <f ca="1"/>
        <v>0</v>
      </c>
      <c r="Y38">
        <f ca="1"/>
        <v>0.37552691557338264</v>
      </c>
      <c r="Z38">
        <f ca="1"/>
        <v>0</v>
      </c>
      <c r="AA38">
        <f ca="1"/>
        <v>0</v>
      </c>
      <c r="AB38">
        <f ca="1"/>
        <v>0.58815754722287805</v>
      </c>
      <c r="AD38" s="2">
        <f t="shared" ca="1" si="2"/>
        <v>45378</v>
      </c>
      <c r="AE38">
        <f t="shared" ca="1" si="3"/>
        <v>0</v>
      </c>
      <c r="AG38" s="63">
        <f t="shared" ca="1" si="7"/>
        <v>120.77011188138205</v>
      </c>
      <c r="AH38" s="63">
        <f t="shared" ca="1" si="8"/>
        <v>120.77011188138205</v>
      </c>
      <c r="AI38" s="3">
        <f t="shared" ca="1" si="9"/>
        <v>0</v>
      </c>
    </row>
    <row r="39" spans="1:35">
      <c r="A39" s="6" t="s">
        <v>255</v>
      </c>
      <c r="B39" s="32">
        <f>FollowingPopulation</f>
        <v>20000</v>
      </c>
      <c r="G39" s="3">
        <f t="shared" ca="1" si="4"/>
        <v>44</v>
      </c>
      <c r="H39" s="95">
        <f t="shared" ca="1" si="6"/>
        <v>45334</v>
      </c>
      <c r="I39" s="119">
        <f ca="1">HLOOKUP($H$4,'Met Data'!$A$2:$F$368,G39,FALSE)</f>
        <v>17.980882352941101</v>
      </c>
      <c r="J39" s="119">
        <f ca="1">HLOOKUP($H$4,'Met Data'!$H$2:$M$368,G39,FALSE)*L39</f>
        <v>2.1735294117646999</v>
      </c>
      <c r="K39" s="96">
        <f ca="1">HLOOKUP($H$4,'Met Data'!$O$2:$T$368,G39,FALSE)</f>
        <v>4.3571116145332098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45379</v>
      </c>
      <c r="Q39">
        <f ca="1"/>
        <v>119.82572648890343</v>
      </c>
      <c r="R39">
        <f ca="1"/>
        <v>0.86435226055982595</v>
      </c>
      <c r="S39">
        <f ca="1"/>
        <v>0.36473357895748393</v>
      </c>
      <c r="T39">
        <f ca="1"/>
        <v>0.38298239227154995</v>
      </c>
      <c r="U39">
        <f ca="1"/>
        <v>0</v>
      </c>
      <c r="V39">
        <f ca="1"/>
        <v>18.039765138262101</v>
      </c>
      <c r="W39">
        <f ca="1"/>
        <v>4.58837504603623</v>
      </c>
      <c r="X39">
        <f ca="1"/>
        <v>0</v>
      </c>
      <c r="Y39">
        <f ca="1"/>
        <v>0.34991942471304444</v>
      </c>
      <c r="Z39">
        <f ca="1"/>
        <v>0</v>
      </c>
      <c r="AA39">
        <f ca="1"/>
        <v>0</v>
      </c>
      <c r="AB39">
        <f ca="1"/>
        <v>0.66302737334752004</v>
      </c>
      <c r="AD39" s="2">
        <f t="shared" ca="1" si="2"/>
        <v>45379</v>
      </c>
      <c r="AE39">
        <f t="shared" ca="1" si="3"/>
        <v>0</v>
      </c>
      <c r="AG39" s="63">
        <f t="shared" ca="1" si="7"/>
        <v>120.69007874946325</v>
      </c>
      <c r="AH39" s="63">
        <f t="shared" ca="1" si="8"/>
        <v>120.69007874946325</v>
      </c>
      <c r="AI39" s="3">
        <f t="shared" ca="1" si="9"/>
        <v>0</v>
      </c>
    </row>
    <row r="40" spans="1:35">
      <c r="A40" s="6" t="s">
        <v>256</v>
      </c>
      <c r="B40" s="32" t="str">
        <f>FollowingUnits</f>
        <v>kg/head</v>
      </c>
      <c r="G40" s="3">
        <f t="shared" ca="1" si="4"/>
        <v>45</v>
      </c>
      <c r="H40" s="95">
        <f t="shared" ca="1" si="6"/>
        <v>45335</v>
      </c>
      <c r="I40" s="119">
        <f ca="1">HLOOKUP($H$4,'Met Data'!$A$2:$F$368,G40,FALSE)</f>
        <v>16.401470588235199</v>
      </c>
      <c r="J40" s="119">
        <f ca="1">HLOOKUP($H$4,'Met Data'!$H$2:$M$368,G40,FALSE)*L40</f>
        <v>1.78235294117647</v>
      </c>
      <c r="K40" s="96">
        <f ca="1">HLOOKUP($H$4,'Met Data'!$O$2:$T$368,G40,FALSE)</f>
        <v>3.9824902366083998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45380</v>
      </c>
      <c r="Q40">
        <f ca="1"/>
        <v>119.65517498275439</v>
      </c>
      <c r="R40">
        <f ca="1"/>
        <v>0.91009009016540399</v>
      </c>
      <c r="S40">
        <f ca="1"/>
        <v>0.34931823136317064</v>
      </c>
      <c r="T40">
        <f ca="1"/>
        <v>0.39022035265318372</v>
      </c>
      <c r="U40">
        <f ca="1"/>
        <v>0</v>
      </c>
      <c r="V40">
        <f ca="1"/>
        <v>18.949855228427499</v>
      </c>
      <c r="W40">
        <f ca="1"/>
        <v>4.8198544820130804</v>
      </c>
      <c r="X40">
        <f ca="1"/>
        <v>0</v>
      </c>
      <c r="Y40">
        <f ca="1"/>
        <v>0.36056377766655501</v>
      </c>
      <c r="Z40">
        <f ca="1"/>
        <v>0</v>
      </c>
      <c r="AA40">
        <f ca="1"/>
        <v>0</v>
      </c>
      <c r="AB40">
        <f ca="1"/>
        <v>0.73081565670925597</v>
      </c>
      <c r="AD40" s="2">
        <f t="shared" ca="1" si="2"/>
        <v>45380</v>
      </c>
      <c r="AE40">
        <f t="shared" ca="1" si="3"/>
        <v>0</v>
      </c>
      <c r="AG40" s="63">
        <f t="shared" ca="1" si="7"/>
        <v>120.56526507291979</v>
      </c>
      <c r="AH40" s="63">
        <f t="shared" ca="1" si="8"/>
        <v>120.56526507291979</v>
      </c>
      <c r="AI40" s="3">
        <f t="shared" ca="1" si="9"/>
        <v>0</v>
      </c>
    </row>
    <row r="41" spans="1:35">
      <c r="A41" s="6" t="s">
        <v>128</v>
      </c>
      <c r="B41" s="32">
        <f>FollowingFieldLoss</f>
        <v>0</v>
      </c>
      <c r="G41" s="3">
        <f t="shared" ca="1" si="4"/>
        <v>46</v>
      </c>
      <c r="H41" s="95">
        <f t="shared" ca="1" si="6"/>
        <v>45336</v>
      </c>
      <c r="I41" s="119">
        <f ca="1">HLOOKUP($H$4,'Met Data'!$A$2:$F$368,G41,FALSE)</f>
        <v>15.8867647058823</v>
      </c>
      <c r="J41" s="119">
        <f ca="1">HLOOKUP($H$4,'Met Data'!$H$2:$M$368,G41,FALSE)*L41</f>
        <v>2.5647058823529401</v>
      </c>
      <c r="K41" s="96">
        <f ca="1">HLOOKUP($H$4,'Met Data'!$O$2:$T$368,G41,FALSE)</f>
        <v>3.6699943049553201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45381</v>
      </c>
      <c r="Q41">
        <f ca="1"/>
        <v>119.42232759536334</v>
      </c>
      <c r="R41">
        <f ca="1"/>
        <v>0.89449614896781404</v>
      </c>
      <c r="S41">
        <f ca="1"/>
        <v>0.30263313162082284</v>
      </c>
      <c r="T41">
        <f ca="1"/>
        <v>0.35901562995595221</v>
      </c>
      <c r="U41">
        <f ca="1"/>
        <v>0</v>
      </c>
      <c r="V41">
        <f ca="1"/>
        <v>19.844351377395299</v>
      </c>
      <c r="W41">
        <f ca="1"/>
        <v>5.0473676329461998</v>
      </c>
      <c r="X41">
        <f ca="1"/>
        <v>0</v>
      </c>
      <c r="Y41">
        <f ca="1"/>
        <v>0.35494624119926366</v>
      </c>
      <c r="Z41">
        <f ca="1"/>
        <v>0</v>
      </c>
      <c r="AA41">
        <f ca="1"/>
        <v>0</v>
      </c>
      <c r="AB41">
        <f ca="1"/>
        <v>0.78603009292834802</v>
      </c>
      <c r="AD41" s="2">
        <f t="shared" ca="1" si="2"/>
        <v>45381</v>
      </c>
      <c r="AE41">
        <f t="shared" ca="1" si="3"/>
        <v>0</v>
      </c>
      <c r="AG41" s="63">
        <f t="shared" ca="1" si="7"/>
        <v>120.31682374433116</v>
      </c>
      <c r="AH41" s="63">
        <f t="shared" ca="1" si="8"/>
        <v>120.31682374433116</v>
      </c>
      <c r="AI41" s="3">
        <f t="shared" ca="1" si="9"/>
        <v>0</v>
      </c>
    </row>
    <row r="42" spans="1:35">
      <c r="A42" s="6" t="s">
        <v>129</v>
      </c>
      <c r="B42" s="32">
        <f>FollowingDressingLoss</f>
        <v>0</v>
      </c>
      <c r="G42" s="3">
        <f t="shared" ca="1" si="4"/>
        <v>47</v>
      </c>
      <c r="H42" s="95">
        <f t="shared" ca="1" si="6"/>
        <v>45337</v>
      </c>
      <c r="I42" s="119">
        <f ca="1">HLOOKUP($H$4,'Met Data'!$A$2:$F$368,G42,FALSE)</f>
        <v>15.4705882352941</v>
      </c>
      <c r="J42" s="119">
        <f ca="1">HLOOKUP($H$4,'Met Data'!$H$2:$M$368,G42,FALSE)*L42</f>
        <v>2.2558823529411698</v>
      </c>
      <c r="K42" s="96">
        <f ca="1">HLOOKUP($H$4,'Met Data'!$O$2:$T$368,G42,FALSE)</f>
        <v>4.0108603157722298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45382</v>
      </c>
      <c r="Q42">
        <f ca="1"/>
        <v>119.12701044874255</v>
      </c>
      <c r="R42">
        <f ca="1"/>
        <v>0.89600133649922098</v>
      </c>
      <c r="S42">
        <f ca="1"/>
        <v>0.2664658587530937</v>
      </c>
      <c r="T42">
        <f ca="1"/>
        <v>0.33421833112534266</v>
      </c>
      <c r="U42">
        <f ca="1"/>
        <v>0</v>
      </c>
      <c r="V42">
        <f ca="1"/>
        <v>20.740352713894499</v>
      </c>
      <c r="W42">
        <f ca="1"/>
        <v>5.2752636250557803</v>
      </c>
      <c r="X42">
        <f ca="1"/>
        <v>0</v>
      </c>
      <c r="Y42">
        <f ca="1"/>
        <v>0.33619868862068841</v>
      </c>
      <c r="Z42">
        <f ca="1"/>
        <v>0</v>
      </c>
      <c r="AA42">
        <f ca="1"/>
        <v>0</v>
      </c>
      <c r="AB42">
        <f ca="1"/>
        <v>0.83080627537783402</v>
      </c>
      <c r="AD42" s="2">
        <f t="shared" ca="1" si="2"/>
        <v>45382</v>
      </c>
      <c r="AE42">
        <f t="shared" ca="1" si="3"/>
        <v>0</v>
      </c>
      <c r="AG42" s="63">
        <f t="shared" ca="1" si="7"/>
        <v>120.02301178524178</v>
      </c>
      <c r="AH42" s="63">
        <f t="shared" ca="1" si="8"/>
        <v>120.02301178524178</v>
      </c>
      <c r="AI42" s="3">
        <f t="shared" ca="1" si="9"/>
        <v>0</v>
      </c>
    </row>
    <row r="43" spans="1:35">
      <c r="A43" s="6" t="s">
        <v>130</v>
      </c>
      <c r="B43" s="32">
        <f>FollowingMoistureLoss</f>
        <v>89</v>
      </c>
      <c r="G43" s="3">
        <f t="shared" ca="1" si="4"/>
        <v>48</v>
      </c>
      <c r="H43" s="95">
        <f t="shared" ca="1" si="6"/>
        <v>45338</v>
      </c>
      <c r="I43" s="119">
        <f ca="1">HLOOKUP($H$4,'Met Data'!$A$2:$F$368,G43,FALSE)</f>
        <v>16.035294117646998</v>
      </c>
      <c r="J43" s="119">
        <f ca="1">HLOOKUP($H$4,'Met Data'!$H$2:$M$368,G43,FALSE)*L43</f>
        <v>1.3529411764705801</v>
      </c>
      <c r="K43" s="96">
        <f ca="1">HLOOKUP($H$4,'Met Data'!$O$2:$T$368,G43,FALSE)</f>
        <v>4.2159434978261299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45383</v>
      </c>
      <c r="Q43">
        <f ca="1"/>
        <v>118.75523551371641</v>
      </c>
      <c r="R43">
        <f ca="1"/>
        <v>0.97344253666785396</v>
      </c>
      <c r="S43">
        <f ca="1"/>
        <v>0.25884183533636929</v>
      </c>
      <c r="T43">
        <f ca="1"/>
        <v>0.34282576630534689</v>
      </c>
      <c r="U43">
        <f ca="1"/>
        <v>0</v>
      </c>
      <c r="V43">
        <f ca="1"/>
        <v>21.713795250562399</v>
      </c>
      <c r="W43">
        <f ca="1"/>
        <v>5.52285661807782</v>
      </c>
      <c r="X43">
        <f ca="1"/>
        <v>0</v>
      </c>
      <c r="Y43">
        <f ca="1"/>
        <v>0.31738593886285255</v>
      </c>
      <c r="Z43">
        <f ca="1"/>
        <v>0</v>
      </c>
      <c r="AA43">
        <f ca="1"/>
        <v>0</v>
      </c>
      <c r="AB43">
        <f ca="1"/>
        <v>0.86914975287218099</v>
      </c>
      <c r="AD43" s="2">
        <f t="shared" ca="1" si="2"/>
        <v>45383</v>
      </c>
      <c r="AE43">
        <f t="shared" ca="1" si="3"/>
        <v>0</v>
      </c>
      <c r="AG43" s="63">
        <f t="shared" ca="1" si="7"/>
        <v>119.72867805038427</v>
      </c>
      <c r="AH43" s="63">
        <f t="shared" ca="1" si="8"/>
        <v>119.72867805038427</v>
      </c>
      <c r="AI43" s="3">
        <f t="shared" ca="1" si="9"/>
        <v>0</v>
      </c>
    </row>
    <row r="44" spans="1:35">
      <c r="A44" s="6" t="s">
        <v>131</v>
      </c>
      <c r="B44" s="34">
        <f ca="1">FollowingEstablishDate</f>
        <v>45502</v>
      </c>
      <c r="G44" s="3">
        <f t="shared" ca="1" si="4"/>
        <v>49</v>
      </c>
      <c r="H44" s="95">
        <f t="shared" ca="1" si="6"/>
        <v>45339</v>
      </c>
      <c r="I44" s="119">
        <f ca="1">HLOOKUP($H$4,'Met Data'!$A$2:$F$368,G44,FALSE)</f>
        <v>17.155882352941099</v>
      </c>
      <c r="J44" s="119">
        <f ca="1">HLOOKUP($H$4,'Met Data'!$H$2:$M$368,G44,FALSE)*L44</f>
        <v>1.3794117647058799</v>
      </c>
      <c r="K44" s="96">
        <f ca="1">HLOOKUP($H$4,'Met Data'!$O$2:$T$368,G44,FALSE)</f>
        <v>4.4742152890515898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45384</v>
      </c>
      <c r="Q44">
        <f ca="1"/>
        <v>118.33273287491934</v>
      </c>
      <c r="R44">
        <f ca="1"/>
        <v>0.986246800201243</v>
      </c>
      <c r="S44">
        <f ca="1"/>
        <v>0.23508066517159421</v>
      </c>
      <c r="T44">
        <f ca="1"/>
        <v>0.32866349623257374</v>
      </c>
      <c r="U44">
        <f ca="1"/>
        <v>0</v>
      </c>
      <c r="V44">
        <f ca="1"/>
        <v>22.700042050763599</v>
      </c>
      <c r="W44">
        <f ca="1"/>
        <v>5.7737063476942296</v>
      </c>
      <c r="X44">
        <f ca="1"/>
        <v>0</v>
      </c>
      <c r="Y44">
        <f ca="1"/>
        <v>0.31143922159204263</v>
      </c>
      <c r="Z44">
        <f ca="1"/>
        <v>0</v>
      </c>
      <c r="AA44">
        <f ca="1"/>
        <v>0</v>
      </c>
      <c r="AB44">
        <f ca="1"/>
        <v>0.89905481087168904</v>
      </c>
      <c r="AD44" s="2">
        <f t="shared" ca="1" si="2"/>
        <v>45384</v>
      </c>
      <c r="AE44">
        <f t="shared" ca="1" si="3"/>
        <v>0</v>
      </c>
      <c r="AG44" s="63">
        <f t="shared" ca="1" si="7"/>
        <v>119.31897967512059</v>
      </c>
      <c r="AH44" s="63">
        <f t="shared" ca="1" si="8"/>
        <v>119.31897967512059</v>
      </c>
      <c r="AI44" s="3">
        <f t="shared" ca="1" si="9"/>
        <v>0</v>
      </c>
    </row>
    <row r="45" spans="1:35">
      <c r="A45" s="6" t="s">
        <v>132</v>
      </c>
      <c r="B45" s="32" t="str">
        <f>FollowingEstablishStage</f>
        <v>Seedling</v>
      </c>
      <c r="G45" s="3">
        <f t="shared" ca="1" si="4"/>
        <v>50</v>
      </c>
      <c r="H45" s="95">
        <f t="shared" ca="1" si="6"/>
        <v>45340</v>
      </c>
      <c r="I45" s="119">
        <f ca="1">HLOOKUP($H$4,'Met Data'!$A$2:$F$368,G45,FALSE)</f>
        <v>17.5720588235294</v>
      </c>
      <c r="J45" s="119">
        <f ca="1">HLOOKUP($H$4,'Met Data'!$H$2:$M$368,G45,FALSE)*L45</f>
        <v>2.15</v>
      </c>
      <c r="K45" s="96">
        <f ca="1">HLOOKUP($H$4,'Met Data'!$O$2:$T$368,G45,FALSE)</f>
        <v>4.8952010783751296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45385</v>
      </c>
      <c r="Q45">
        <f ca="1"/>
        <v>117.87167566191754</v>
      </c>
      <c r="R45">
        <f ca="1"/>
        <v>0.98796390445954096</v>
      </c>
      <c r="S45">
        <f ca="1"/>
        <v>0.2131101059029703</v>
      </c>
      <c r="T45">
        <f ca="1"/>
        <v>0.31379658555476869</v>
      </c>
      <c r="U45">
        <f ca="1"/>
        <v>0</v>
      </c>
      <c r="V45">
        <f ca="1"/>
        <v>23.688005955223201</v>
      </c>
      <c r="W45">
        <f ca="1"/>
        <v>6.0249928190458899</v>
      </c>
      <c r="X45">
        <f ca="1"/>
        <v>0</v>
      </c>
      <c r="Y45">
        <f ca="1"/>
        <v>0.31107033518772353</v>
      </c>
      <c r="Z45">
        <f ca="1"/>
        <v>0</v>
      </c>
      <c r="AA45">
        <f ca="1"/>
        <v>0</v>
      </c>
      <c r="AB45">
        <f ca="1"/>
        <v>0.92192412310074101</v>
      </c>
      <c r="AD45" s="2">
        <f t="shared" ca="1" si="2"/>
        <v>45385</v>
      </c>
      <c r="AE45">
        <f t="shared" ca="1" si="3"/>
        <v>0</v>
      </c>
      <c r="AG45" s="63">
        <f t="shared" ca="1" si="7"/>
        <v>118.85963956637708</v>
      </c>
      <c r="AH45" s="63">
        <f t="shared" ca="1" si="8"/>
        <v>118.85963956637708</v>
      </c>
      <c r="AI45" s="3">
        <f t="shared" ca="1" si="9"/>
        <v>0</v>
      </c>
    </row>
    <row r="46" spans="1:35">
      <c r="A46" s="6" t="s">
        <v>133</v>
      </c>
      <c r="B46" s="34">
        <f ca="1">FollowingHarvestDate</f>
        <v>45622</v>
      </c>
      <c r="G46" s="3">
        <f t="shared" ca="1" si="4"/>
        <v>51</v>
      </c>
      <c r="H46" s="95">
        <f t="shared" ca="1" si="6"/>
        <v>45341</v>
      </c>
      <c r="I46" s="119">
        <f ca="1">HLOOKUP($H$4,'Met Data'!$A$2:$F$368,G46,FALSE)</f>
        <v>16.991176470588201</v>
      </c>
      <c r="J46" s="119">
        <f ca="1">HLOOKUP($H$4,'Met Data'!$H$2:$M$368,G46,FALSE)*L46</f>
        <v>0.64117647058823501</v>
      </c>
      <c r="K46" s="96">
        <f ca="1">HLOOKUP($H$4,'Met Data'!$O$2:$T$368,G46,FALSE)</f>
        <v>4.3668387336618597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45386</v>
      </c>
      <c r="Q46">
        <f ca="1"/>
        <v>117.36395191006737</v>
      </c>
      <c r="R46">
        <f ca="1"/>
        <v>1.00940127700694</v>
      </c>
      <c r="S46">
        <f ca="1"/>
        <v>0.19689868245147579</v>
      </c>
      <c r="T46">
        <f ca="1"/>
        <v>0.30477884270529998</v>
      </c>
      <c r="U46">
        <f ca="1"/>
        <v>0</v>
      </c>
      <c r="V46">
        <f ca="1"/>
        <v>24.697407232230098</v>
      </c>
      <c r="W46">
        <f ca="1"/>
        <v>6.2817318395020099</v>
      </c>
      <c r="X46">
        <f ca="1"/>
        <v>0</v>
      </c>
      <c r="Y46">
        <f ca="1"/>
        <v>0.3039458281499488</v>
      </c>
      <c r="Z46">
        <f ca="1"/>
        <v>0</v>
      </c>
      <c r="AA46">
        <f ca="1"/>
        <v>0</v>
      </c>
      <c r="AB46">
        <f ca="1"/>
        <v>0.93967152650516605</v>
      </c>
      <c r="AD46" s="2">
        <f t="shared" ca="1" si="2"/>
        <v>45386</v>
      </c>
      <c r="AE46">
        <f t="shared" ca="1" si="3"/>
        <v>0</v>
      </c>
      <c r="AG46" s="63">
        <f t="shared" ca="1" si="7"/>
        <v>118.37335318707431</v>
      </c>
      <c r="AH46" s="63">
        <f t="shared" ca="1" si="8"/>
        <v>118.37335318707431</v>
      </c>
      <c r="AI46" s="3">
        <f t="shared" ca="1" si="9"/>
        <v>0</v>
      </c>
    </row>
    <row r="47" spans="1:35">
      <c r="A47" s="6" t="s">
        <v>134</v>
      </c>
      <c r="B47" s="32" t="str">
        <f>FollowingHarvestStage</f>
        <v>EarlyReproductive</v>
      </c>
      <c r="G47" s="3">
        <f t="shared" ca="1" si="4"/>
        <v>52</v>
      </c>
      <c r="H47" s="95">
        <f t="shared" ca="1" si="6"/>
        <v>45342</v>
      </c>
      <c r="I47" s="119">
        <f ca="1">HLOOKUP($H$4,'Met Data'!$A$2:$F$368,G47,FALSE)</f>
        <v>16.655882352941099</v>
      </c>
      <c r="J47" s="119">
        <f ca="1">HLOOKUP($H$4,'Met Data'!$H$2:$M$368,G47,FALSE)*L47</f>
        <v>2.5705882352941098</v>
      </c>
      <c r="K47" s="96">
        <f ca="1">HLOOKUP($H$4,'Met Data'!$O$2:$T$368,G47,FALSE)</f>
        <v>4.6555880727780803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45387</v>
      </c>
      <c r="Q47">
        <f ca="1"/>
        <v>116.80744495818126</v>
      </c>
      <c r="R47">
        <f ca="1"/>
        <v>1.0615899124332899</v>
      </c>
      <c r="S47">
        <f ca="1"/>
        <v>0.19225538188301527</v>
      </c>
      <c r="T47">
        <f ca="1"/>
        <v>0.31282757866416905</v>
      </c>
      <c r="U47">
        <f ca="1"/>
        <v>0</v>
      </c>
      <c r="V47">
        <f ca="1"/>
        <v>25.7589971446634</v>
      </c>
      <c r="W47">
        <f ca="1"/>
        <v>6.5517449259252603</v>
      </c>
      <c r="X47">
        <f ca="1"/>
        <v>0</v>
      </c>
      <c r="Y47">
        <f ca="1"/>
        <v>0.3153159904774207</v>
      </c>
      <c r="Z47">
        <f ca="1"/>
        <v>0</v>
      </c>
      <c r="AA47">
        <f ca="1"/>
        <v>0</v>
      </c>
      <c r="AB47">
        <f ca="1"/>
        <v>0.95372513705263096</v>
      </c>
      <c r="AD47" s="2">
        <f t="shared" ca="1" si="2"/>
        <v>45387</v>
      </c>
      <c r="AE47">
        <f t="shared" ca="1" si="3"/>
        <v>0</v>
      </c>
      <c r="AG47" s="63">
        <f t="shared" ca="1" si="7"/>
        <v>117.86903487061456</v>
      </c>
      <c r="AH47" s="63">
        <f t="shared" ca="1" si="8"/>
        <v>117.86903487061456</v>
      </c>
      <c r="AI47" s="3">
        <f t="shared" ca="1" si="9"/>
        <v>0</v>
      </c>
    </row>
    <row r="48" spans="1:35" ht="15.75" thickBot="1">
      <c r="A48" s="7" t="s">
        <v>169</v>
      </c>
      <c r="B48" s="33" t="str">
        <f>FollowingResidueRemoval</f>
        <v>None removed</v>
      </c>
      <c r="G48" s="3">
        <f t="shared" ca="1" si="4"/>
        <v>53</v>
      </c>
      <c r="H48" s="95">
        <f t="shared" ca="1" si="6"/>
        <v>45343</v>
      </c>
      <c r="I48" s="119">
        <f ca="1">HLOOKUP($H$4,'Met Data'!$A$2:$F$368,G48,FALSE)</f>
        <v>16.6955882352941</v>
      </c>
      <c r="J48" s="119">
        <f ca="1">HLOOKUP($H$4,'Met Data'!$H$2:$M$368,G48,FALSE)*L48</f>
        <v>0.76470588235294101</v>
      </c>
      <c r="K48" s="96">
        <f ca="1">HLOOKUP($H$4,'Met Data'!$O$2:$T$368,G48,FALSE)</f>
        <v>4.46937460417998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45388</v>
      </c>
      <c r="Q48">
        <f ca="1"/>
        <v>116.2228553887138</v>
      </c>
      <c r="R48">
        <f ca="1"/>
        <v>1.0951645840939901</v>
      </c>
      <c r="S48">
        <f ca="1"/>
        <v>0.1881965220347297</v>
      </c>
      <c r="T48">
        <f ca="1"/>
        <v>0.32237849259180146</v>
      </c>
      <c r="U48">
        <f ca="1"/>
        <v>0</v>
      </c>
      <c r="V48">
        <f ca="1"/>
        <v>26.854161728757401</v>
      </c>
      <c r="W48">
        <f ca="1"/>
        <v>6.83029765709699</v>
      </c>
      <c r="X48">
        <f ca="1"/>
        <v>0</v>
      </c>
      <c r="Y48">
        <f ca="1"/>
        <v>0.34817202700139227</v>
      </c>
      <c r="Z48">
        <f ca="1"/>
        <v>0</v>
      </c>
      <c r="AA48">
        <f ca="1"/>
        <v>0</v>
      </c>
      <c r="AB48">
        <f ca="1"/>
        <v>0.96455239457563602</v>
      </c>
      <c r="AD48" s="2">
        <f t="shared" ca="1" si="2"/>
        <v>45388</v>
      </c>
      <c r="AE48">
        <f t="shared" ca="1" si="3"/>
        <v>0</v>
      </c>
      <c r="AG48" s="63">
        <f t="shared" ca="1" si="7"/>
        <v>117.31801997280779</v>
      </c>
      <c r="AH48" s="63">
        <f t="shared" ca="1" si="8"/>
        <v>117.31801997280779</v>
      </c>
      <c r="AI48" s="3">
        <f t="shared" ca="1" si="9"/>
        <v>0</v>
      </c>
    </row>
    <row r="49" spans="1:35">
      <c r="A49" s="6" t="s">
        <v>172</v>
      </c>
      <c r="B49" t="str">
        <f>FollowingResidueIncorporation</f>
        <v>Full (Plough)</v>
      </c>
      <c r="G49" s="3">
        <f t="shared" ca="1" si="4"/>
        <v>54</v>
      </c>
      <c r="H49" s="95">
        <f t="shared" ca="1" si="6"/>
        <v>45344</v>
      </c>
      <c r="I49" s="119">
        <f ca="1">HLOOKUP($H$4,'Met Data'!$A$2:$F$368,G49,FALSE)</f>
        <v>16.394117647058799</v>
      </c>
      <c r="J49" s="119">
        <f ca="1">HLOOKUP($H$4,'Met Data'!$H$2:$M$368,G49,FALSE)*L49</f>
        <v>1.52647058823529</v>
      </c>
      <c r="K49" s="96">
        <f ca="1">HLOOKUP($H$4,'Met Data'!$O$2:$T$368,G49,FALSE)</f>
        <v>4.4113780272088796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45389</v>
      </c>
      <c r="Q49">
        <f ca="1"/>
        <v>115.58613285855499</v>
      </c>
      <c r="R49">
        <f ca="1"/>
        <v>1.1414243404458899</v>
      </c>
      <c r="S49">
        <f ca="1"/>
        <v>0.17991495052261541</v>
      </c>
      <c r="T49">
        <f ca="1"/>
        <v>0.32478685976447902</v>
      </c>
      <c r="U49">
        <f ca="1"/>
        <v>0</v>
      </c>
      <c r="V49">
        <f ca="1"/>
        <v>27.995586069203299</v>
      </c>
      <c r="W49">
        <f ca="1"/>
        <v>7.1206164567321402</v>
      </c>
      <c r="X49">
        <f ca="1"/>
        <v>0</v>
      </c>
      <c r="Y49">
        <f ca="1"/>
        <v>0.35182801923471024</v>
      </c>
      <c r="Z49">
        <f ca="1"/>
        <v>0</v>
      </c>
      <c r="AA49">
        <f ca="1"/>
        <v>0</v>
      </c>
      <c r="AB49">
        <f ca="1"/>
        <v>0.97293745822241195</v>
      </c>
      <c r="AD49" s="2">
        <f t="shared" ca="1" si="2"/>
        <v>45389</v>
      </c>
      <c r="AE49">
        <f t="shared" ca="1" si="3"/>
        <v>0</v>
      </c>
      <c r="AG49" s="63">
        <f t="shared" ca="1" si="7"/>
        <v>116.72755719900088</v>
      </c>
      <c r="AH49" s="63">
        <f t="shared" ca="1" si="8"/>
        <v>116.72755719900088</v>
      </c>
      <c r="AI49" s="3">
        <f t="shared" ca="1" si="9"/>
        <v>0</v>
      </c>
    </row>
    <row r="50" spans="1:35">
      <c r="A50" s="12"/>
      <c r="B50" s="13"/>
      <c r="G50" s="3">
        <f t="shared" ca="1" si="4"/>
        <v>55</v>
      </c>
      <c r="H50" s="95">
        <f t="shared" ca="1" si="6"/>
        <v>45345</v>
      </c>
      <c r="I50" s="119">
        <f ca="1">HLOOKUP($H$4,'Met Data'!$A$2:$F$368,G50,FALSE)</f>
        <v>16.088235294117599</v>
      </c>
      <c r="J50" s="119">
        <f ca="1">HLOOKUP($H$4,'Met Data'!$H$2:$M$368,G50,FALSE)*L50</f>
        <v>1.78529411764705</v>
      </c>
      <c r="K50" s="96">
        <f ca="1">HLOOKUP($H$4,'Met Data'!$O$2:$T$368,G50,FALSE)</f>
        <v>3.9052160279772399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45390</v>
      </c>
      <c r="Q50">
        <f ca="1"/>
        <v>114.93326462940544</v>
      </c>
      <c r="R50">
        <f ca="1"/>
        <v>1.13378151452459</v>
      </c>
      <c r="S50">
        <f ca="1"/>
        <v>0.1657498142400442</v>
      </c>
      <c r="T50">
        <f ca="1"/>
        <v>0.31516347113499693</v>
      </c>
      <c r="U50">
        <f ca="1"/>
        <v>0</v>
      </c>
      <c r="V50">
        <f ca="1"/>
        <v>29.129367583727898</v>
      </c>
      <c r="W50">
        <f ca="1"/>
        <v>7.4089913202090401</v>
      </c>
      <c r="X50">
        <f ca="1"/>
        <v>0</v>
      </c>
      <c r="Y50">
        <f ca="1"/>
        <v>0.36840579494281833</v>
      </c>
      <c r="Z50">
        <f ca="1"/>
        <v>0</v>
      </c>
      <c r="AA50">
        <f ca="1"/>
        <v>0</v>
      </c>
      <c r="AB50">
        <f ca="1"/>
        <v>0.97913554006177195</v>
      </c>
      <c r="AD50" s="2">
        <f t="shared" ca="1" si="2"/>
        <v>45390</v>
      </c>
      <c r="AE50">
        <f t="shared" ca="1" si="3"/>
        <v>0</v>
      </c>
      <c r="AG50" s="63">
        <f t="shared" ca="1" si="7"/>
        <v>116.06704614393003</v>
      </c>
      <c r="AH50" s="63">
        <f t="shared" ca="1" si="8"/>
        <v>116.06704614393003</v>
      </c>
      <c r="AI50" s="3">
        <f t="shared" ca="1" si="9"/>
        <v>0</v>
      </c>
    </row>
    <row r="51" spans="1:35" ht="15.75" thickBot="1">
      <c r="A51" s="14"/>
      <c r="B51" s="15"/>
      <c r="G51" s="3">
        <f t="shared" ca="1" si="4"/>
        <v>56</v>
      </c>
      <c r="H51" s="95">
        <f t="shared" ca="1" si="6"/>
        <v>45346</v>
      </c>
      <c r="I51" s="119">
        <f ca="1">HLOOKUP($H$4,'Met Data'!$A$2:$F$368,G51,FALSE)</f>
        <v>16.782352941176399</v>
      </c>
      <c r="J51" s="119">
        <f ca="1">HLOOKUP($H$4,'Met Data'!$H$2:$M$368,G51,FALSE)*L51</f>
        <v>1.6794117647058799</v>
      </c>
      <c r="K51" s="96">
        <f ca="1">HLOOKUP($H$4,'Met Data'!$O$2:$T$368,G51,FALSE)</f>
        <v>4.8281000917338197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45391</v>
      </c>
      <c r="Q51">
        <f ca="1"/>
        <v>114.28622320901543</v>
      </c>
      <c r="R51">
        <f ca="1"/>
        <v>1.07880312902159</v>
      </c>
      <c r="S51">
        <f ca="1"/>
        <v>0.14406985799206495</v>
      </c>
      <c r="T51">
        <f ca="1"/>
        <v>0.28769185063952052</v>
      </c>
      <c r="U51">
        <f ca="1"/>
        <v>0</v>
      </c>
      <c r="V51">
        <f ca="1"/>
        <v>30.208170712749499</v>
      </c>
      <c r="W51">
        <f ca="1"/>
        <v>7.6833825508514897</v>
      </c>
      <c r="X51">
        <f ca="1"/>
        <v>0</v>
      </c>
      <c r="Y51">
        <f ca="1"/>
        <v>0.36958312045535763</v>
      </c>
      <c r="Z51">
        <f ca="1"/>
        <v>0</v>
      </c>
      <c r="AA51">
        <f ca="1"/>
        <v>0</v>
      </c>
      <c r="AB51">
        <f ca="1"/>
        <v>0.98359128053568301</v>
      </c>
      <c r="AD51" s="2">
        <f t="shared" ca="1" si="2"/>
        <v>45391</v>
      </c>
      <c r="AE51">
        <f t="shared" ca="1" si="3"/>
        <v>0</v>
      </c>
      <c r="AG51" s="63">
        <f t="shared" ca="1" si="7"/>
        <v>115.36502633803703</v>
      </c>
      <c r="AH51" s="63">
        <f t="shared" ca="1" si="8"/>
        <v>115.36502633803703</v>
      </c>
      <c r="AI51" s="3">
        <f t="shared" ca="1" si="9"/>
        <v>0</v>
      </c>
    </row>
    <row r="52" spans="1:35">
      <c r="G52" s="3">
        <f t="shared" ca="1" si="4"/>
        <v>57</v>
      </c>
      <c r="H52" s="95">
        <f t="shared" ca="1" si="6"/>
        <v>45347</v>
      </c>
      <c r="I52" s="119">
        <f ca="1">HLOOKUP($H$4,'Met Data'!$A$2:$F$368,G52,FALSE)</f>
        <v>16.1897058823529</v>
      </c>
      <c r="J52" s="119">
        <f ca="1">HLOOKUP($H$4,'Met Data'!$H$2:$M$368,G52,FALSE)*L52</f>
        <v>0.59411764705882297</v>
      </c>
      <c r="K52" s="96">
        <f ca="1">HLOOKUP($H$4,'Met Data'!$O$2:$T$368,G52,FALSE)</f>
        <v>4.4819172090086496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45392</v>
      </c>
      <c r="Q52">
        <f ca="1"/>
        <v>113.57493316538881</v>
      </c>
      <c r="R52">
        <f ca="1"/>
        <v>1.1401962430564401</v>
      </c>
      <c r="S52">
        <f ca="1"/>
        <v>0.13867245892936353</v>
      </c>
      <c r="T52">
        <f ca="1"/>
        <v>0.29023374050046008</v>
      </c>
      <c r="U52">
        <f ca="1"/>
        <v>0</v>
      </c>
      <c r="V52">
        <f ca="1"/>
        <v>31.348366955805901</v>
      </c>
      <c r="W52">
        <f ca="1"/>
        <v>7.9733889865854097</v>
      </c>
      <c r="X52">
        <f ca="1"/>
        <v>0</v>
      </c>
      <c r="Y52">
        <f ca="1"/>
        <v>0.3579670798409107</v>
      </c>
      <c r="Z52">
        <f ca="1"/>
        <v>0</v>
      </c>
      <c r="AA52">
        <f ca="1"/>
        <v>0</v>
      </c>
      <c r="AB52">
        <f ca="1"/>
        <v>0.98717558238755498</v>
      </c>
      <c r="AD52" s="2">
        <f t="shared" ca="1" si="2"/>
        <v>45392</v>
      </c>
      <c r="AE52">
        <f t="shared" ca="1" si="3"/>
        <v>0</v>
      </c>
      <c r="AG52" s="63">
        <f t="shared" ca="1" si="7"/>
        <v>114.71512940844525</v>
      </c>
      <c r="AH52" s="63">
        <f t="shared" ca="1" si="8"/>
        <v>114.71512940844525</v>
      </c>
      <c r="AI52" s="3">
        <f t="shared" ca="1" si="9"/>
        <v>0</v>
      </c>
    </row>
    <row r="53" spans="1:35">
      <c r="G53" s="3">
        <f t="shared" ca="1" si="4"/>
        <v>58</v>
      </c>
      <c r="H53" s="95">
        <f t="shared" ca="1" si="6"/>
        <v>45348</v>
      </c>
      <c r="I53" s="119">
        <f ca="1">HLOOKUP($H$4,'Met Data'!$A$2:$F$368,G53,FALSE)</f>
        <v>16.1941176470588</v>
      </c>
      <c r="J53" s="119">
        <f ca="1">HLOOKUP($H$4,'Met Data'!$H$2:$M$368,G53,FALSE)*L53</f>
        <v>1.93333333333333</v>
      </c>
      <c r="K53" s="96">
        <f ca="1">HLOOKUP($H$4,'Met Data'!$O$2:$T$368,G53,FALSE)</f>
        <v>4.3896941334323998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45393</v>
      </c>
      <c r="Q53">
        <f ca="1"/>
        <v>112.82690520309416</v>
      </c>
      <c r="R53">
        <f ca="1"/>
        <v>1.1631671001073001</v>
      </c>
      <c r="S53">
        <f ca="1"/>
        <v>0.13000466597249272</v>
      </c>
      <c r="T53">
        <f ca="1"/>
        <v>0.28513447184014712</v>
      </c>
      <c r="U53">
        <f ca="1"/>
        <v>0</v>
      </c>
      <c r="V53">
        <f ca="1"/>
        <v>32.511534055913202</v>
      </c>
      <c r="W53">
        <f ca="1"/>
        <v>8.26923800987357</v>
      </c>
      <c r="X53">
        <f ca="1"/>
        <v>0</v>
      </c>
      <c r="Y53">
        <f ca="1"/>
        <v>0.35557995650841334</v>
      </c>
      <c r="Z53">
        <f ca="1"/>
        <v>0</v>
      </c>
      <c r="AA53">
        <f ca="1"/>
        <v>0</v>
      </c>
      <c r="AB53">
        <f ca="1"/>
        <v>0.989950881816545</v>
      </c>
      <c r="AD53" s="2">
        <f t="shared" ca="1" si="2"/>
        <v>45393</v>
      </c>
      <c r="AE53">
        <f t="shared" ca="1" si="3"/>
        <v>0</v>
      </c>
      <c r="AG53" s="63">
        <f t="shared" ca="1" si="7"/>
        <v>113.99007230320146</v>
      </c>
      <c r="AH53" s="63">
        <f t="shared" ca="1" si="8"/>
        <v>113.99007230320146</v>
      </c>
      <c r="AI53" s="3">
        <f t="shared" ca="1" si="9"/>
        <v>0</v>
      </c>
    </row>
    <row r="54" spans="1:35">
      <c r="G54" s="3">
        <f t="shared" ca="1" si="4"/>
        <v>59</v>
      </c>
      <c r="H54" s="95">
        <f t="shared" ca="1" si="6"/>
        <v>45349</v>
      </c>
      <c r="I54" s="119">
        <f ca="1">HLOOKUP($H$4,'Met Data'!$A$2:$F$368,G54,FALSE)</f>
        <v>16.208823529411699</v>
      </c>
      <c r="J54" s="119">
        <f ca="1">HLOOKUP($H$4,'Met Data'!$H$2:$M$368,G54,FALSE)*L54</f>
        <v>1.1676470588235199</v>
      </c>
      <c r="K54" s="96">
        <f ca="1">HLOOKUP($H$4,'Met Data'!$O$2:$T$368,G54,FALSE)</f>
        <v>4.0964729959716299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45394</v>
      </c>
      <c r="Q54">
        <f ca="1"/>
        <v>111.99783511511721</v>
      </c>
      <c r="R54">
        <f ca="1"/>
        <v>1.25080544350752</v>
      </c>
      <c r="S54">
        <f ca="1"/>
        <v>0.12783154658542628</v>
      </c>
      <c r="T54">
        <f ca="1"/>
        <v>0.29390380894514528</v>
      </c>
      <c r="U54">
        <f ca="1"/>
        <v>0</v>
      </c>
      <c r="V54">
        <f ca="1"/>
        <v>33.762339499420698</v>
      </c>
      <c r="W54">
        <f ca="1"/>
        <v>8.5873776552874403</v>
      </c>
      <c r="X54">
        <f ca="1"/>
        <v>0</v>
      </c>
      <c r="Y54">
        <f ca="1"/>
        <v>0.34604845287024272</v>
      </c>
      <c r="Z54">
        <f ca="1"/>
        <v>0</v>
      </c>
      <c r="AA54">
        <f ca="1"/>
        <v>0</v>
      </c>
      <c r="AB54">
        <f ca="1"/>
        <v>0.99220600323304797</v>
      </c>
      <c r="AD54" s="2">
        <f t="shared" ca="1" si="2"/>
        <v>45394</v>
      </c>
      <c r="AE54">
        <f t="shared" ca="1" si="3"/>
        <v>0</v>
      </c>
      <c r="AG54" s="63">
        <f t="shared" ca="1" si="7"/>
        <v>113.24864055862473</v>
      </c>
      <c r="AH54" s="63">
        <f t="shared" ca="1" si="8"/>
        <v>113.24864055862473</v>
      </c>
      <c r="AI54" s="3">
        <f t="shared" ca="1" si="9"/>
        <v>0</v>
      </c>
    </row>
    <row r="55" spans="1:35">
      <c r="G55" s="3">
        <f t="shared" ca="1" si="4"/>
        <v>60</v>
      </c>
      <c r="H55" s="95">
        <f t="shared" ca="1" si="6"/>
        <v>45350</v>
      </c>
      <c r="I55" s="119">
        <f ca="1">HLOOKUP($H$4,'Met Data'!$A$2:$F$368,G55,FALSE)</f>
        <v>16.074999999999999</v>
      </c>
      <c r="J55" s="119">
        <f ca="1">HLOOKUP($H$4,'Met Data'!$H$2:$M$368,G55,FALSE)*L55</f>
        <v>1.3352941176470501</v>
      </c>
      <c r="K55" s="96">
        <f ca="1">HLOOKUP($H$4,'Met Data'!$O$2:$T$368,G55,FALSE)</f>
        <v>4.1211840462926297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45395</v>
      </c>
      <c r="Q55">
        <f ca="1"/>
        <v>111.14261018005816</v>
      </c>
      <c r="R55">
        <f ca="1"/>
        <v>1.25075973872782</v>
      </c>
      <c r="S55">
        <f ca="1"/>
        <v>0.11602086677550005</v>
      </c>
      <c r="T55">
        <f ca="1"/>
        <v>0.27951393689326509</v>
      </c>
      <c r="U55">
        <f ca="1"/>
        <v>0</v>
      </c>
      <c r="V55">
        <f ca="1"/>
        <v>35.013099238148499</v>
      </c>
      <c r="W55">
        <f ca="1"/>
        <v>8.90550567578995</v>
      </c>
      <c r="X55">
        <f ca="1"/>
        <v>0</v>
      </c>
      <c r="Y55">
        <f ca="1"/>
        <v>0.3347794500815276</v>
      </c>
      <c r="Z55">
        <f ca="1"/>
        <v>0</v>
      </c>
      <c r="AA55">
        <f ca="1"/>
        <v>0</v>
      </c>
      <c r="AB55">
        <f ca="1"/>
        <v>0.99390672537444102</v>
      </c>
      <c r="AD55" s="2">
        <f t="shared" ca="1" si="2"/>
        <v>45395</v>
      </c>
      <c r="AE55">
        <f t="shared" ca="1" si="3"/>
        <v>0</v>
      </c>
      <c r="AG55" s="63">
        <f t="shared" ca="1" si="7"/>
        <v>112.39336991878598</v>
      </c>
      <c r="AH55" s="63">
        <f t="shared" ca="1" si="8"/>
        <v>112.39336991878598</v>
      </c>
      <c r="AI55" s="3">
        <f t="shared" ca="1" si="9"/>
        <v>0</v>
      </c>
    </row>
    <row r="56" spans="1:35">
      <c r="G56" s="3">
        <f t="shared" ca="1" si="4"/>
        <v>61</v>
      </c>
      <c r="H56" s="95">
        <f t="shared" ca="1" si="6"/>
        <v>45351</v>
      </c>
      <c r="I56" s="119">
        <f ca="1">HLOOKUP($H$4,'Met Data'!$A$2:$F$368,G56,FALSE)</f>
        <v>16.264705882352899</v>
      </c>
      <c r="J56" s="119">
        <f ca="1">HLOOKUP($H$4,'Met Data'!$H$2:$M$368,G56,FALSE)*L56</f>
        <v>0.48235294117646998</v>
      </c>
      <c r="K56" s="96">
        <f ca="1">HLOOKUP($H$4,'Met Data'!$O$2:$T$368,G56,FALSE)</f>
        <v>4.4835430215906102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45396</v>
      </c>
      <c r="Q56">
        <f ca="1"/>
        <v>110.15400332428416</v>
      </c>
      <c r="R56">
        <f ca="1"/>
        <v>1.40254531734557</v>
      </c>
      <c r="S56">
        <f ca="1"/>
        <v>0.11742833465272895</v>
      </c>
      <c r="T56">
        <f ca="1"/>
        <v>0.29651012691884149</v>
      </c>
      <c r="U56">
        <f ca="1"/>
        <v>0</v>
      </c>
      <c r="V56">
        <f ca="1"/>
        <v>36.415644555494097</v>
      </c>
      <c r="W56">
        <f ca="1"/>
        <v>9.2622400282452393</v>
      </c>
      <c r="X56">
        <f ca="1"/>
        <v>0</v>
      </c>
      <c r="Y56">
        <f ca="1"/>
        <v>0.31021185258111561</v>
      </c>
      <c r="Z56">
        <f ca="1"/>
        <v>0</v>
      </c>
      <c r="AA56">
        <f ca="1"/>
        <v>0</v>
      </c>
      <c r="AB56">
        <f ca="1"/>
        <v>0.99533520106854501</v>
      </c>
      <c r="AD56" s="2">
        <f t="shared" ca="1" si="2"/>
        <v>45396</v>
      </c>
      <c r="AE56">
        <f t="shared" ca="1" si="3"/>
        <v>0</v>
      </c>
      <c r="AG56" s="63">
        <f t="shared" ca="1" si="7"/>
        <v>111.55654864162973</v>
      </c>
      <c r="AH56" s="63">
        <f t="shared" ca="1" si="8"/>
        <v>111.55654864162973</v>
      </c>
      <c r="AI56" s="3">
        <f t="shared" ca="1" si="9"/>
        <v>0</v>
      </c>
    </row>
    <row r="57" spans="1:35">
      <c r="G57" s="3">
        <f t="shared" ca="1" si="4"/>
        <v>62</v>
      </c>
      <c r="H57" s="95">
        <f t="shared" ca="1" si="6"/>
        <v>45352</v>
      </c>
      <c r="I57" s="119">
        <f ca="1">HLOOKUP($H$4,'Met Data'!$A$2:$F$368,G57,FALSE)</f>
        <v>15.9727272727272</v>
      </c>
      <c r="J57" s="119">
        <f ca="1">HLOOKUP($H$4,'Met Data'!$H$2:$M$368,G57,FALSE)*L57</f>
        <v>1.65151515151515</v>
      </c>
      <c r="K57" s="96">
        <f ca="1">HLOOKUP($H$4,'Met Data'!$O$2:$T$368,G57,FALSE)</f>
        <v>4.3251674269725902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45397</v>
      </c>
      <c r="Q57">
        <f ca="1"/>
        <v>109.13602361300426</v>
      </c>
      <c r="R57">
        <f ca="1"/>
        <v>1.4083039400706201</v>
      </c>
      <c r="S57">
        <f ca="1"/>
        <v>0.10701372800099307</v>
      </c>
      <c r="T57">
        <f ca="1"/>
        <v>0.28331050078972436</v>
      </c>
      <c r="U57">
        <f ca="1"/>
        <v>0</v>
      </c>
      <c r="V57">
        <f ca="1"/>
        <v>37.8239484955647</v>
      </c>
      <c r="W57">
        <f ca="1"/>
        <v>9.6204390738718999</v>
      </c>
      <c r="X57">
        <f ca="1"/>
        <v>0</v>
      </c>
      <c r="Y57">
        <f ca="1"/>
        <v>0.30055087614076076</v>
      </c>
      <c r="Z57">
        <f ca="1"/>
        <v>0</v>
      </c>
      <c r="AA57">
        <f ca="1"/>
        <v>0</v>
      </c>
      <c r="AB57">
        <f ca="1"/>
        <v>0.99640090233191503</v>
      </c>
      <c r="AD57" s="2">
        <f t="shared" ca="1" si="2"/>
        <v>45397</v>
      </c>
      <c r="AE57">
        <f t="shared" ca="1" si="3"/>
        <v>0</v>
      </c>
      <c r="AG57" s="63">
        <f t="shared" ca="1" si="7"/>
        <v>110.54432755307488</v>
      </c>
      <c r="AH57" s="63">
        <f t="shared" ca="1" si="8"/>
        <v>110.54432755307488</v>
      </c>
      <c r="AI57" s="3">
        <f t="shared" ca="1" si="9"/>
        <v>0</v>
      </c>
    </row>
    <row r="58" spans="1:35">
      <c r="G58" s="3">
        <f t="shared" ca="1" si="4"/>
        <v>63</v>
      </c>
      <c r="H58" s="95">
        <f t="shared" ca="1" si="6"/>
        <v>45353</v>
      </c>
      <c r="I58" s="119">
        <f ca="1">HLOOKUP($H$4,'Met Data'!$A$2:$F$368,G58,FALSE)</f>
        <v>15.216666666666599</v>
      </c>
      <c r="J58" s="119">
        <f ca="1">HLOOKUP($H$4,'Met Data'!$H$2:$M$368,G58,FALSE)*L58</f>
        <v>3.5272727272727198</v>
      </c>
      <c r="K58" s="96">
        <f ca="1">HLOOKUP($H$4,'Met Data'!$O$2:$T$368,G58,FALSE)</f>
        <v>3.8149865129266902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45398</v>
      </c>
      <c r="Q58">
        <f ca="1"/>
        <v>108.04537564282874</v>
      </c>
      <c r="R58">
        <f ca="1"/>
        <v>1.48454093193119</v>
      </c>
      <c r="S58">
        <f ca="1"/>
        <v>0.10436420323969742</v>
      </c>
      <c r="T58">
        <f ca="1"/>
        <v>0.28952875851599186</v>
      </c>
      <c r="U58">
        <f ca="1"/>
        <v>0</v>
      </c>
      <c r="V58">
        <f ca="1"/>
        <v>39.3084894274959</v>
      </c>
      <c r="W58">
        <f ca="1"/>
        <v>9.9980288326456996</v>
      </c>
      <c r="X58">
        <f ca="1"/>
        <v>0</v>
      </c>
      <c r="Y58">
        <f ca="1"/>
        <v>0.30172737994705734</v>
      </c>
      <c r="Z58">
        <f ca="1"/>
        <v>0</v>
      </c>
      <c r="AA58">
        <f ca="1"/>
        <v>0</v>
      </c>
      <c r="AB58">
        <f ca="1"/>
        <v>0.99723712214013804</v>
      </c>
      <c r="AD58" s="2">
        <f t="shared" ca="1" si="2"/>
        <v>45398</v>
      </c>
      <c r="AE58">
        <f t="shared" ca="1" si="3"/>
        <v>0</v>
      </c>
      <c r="AG58" s="63">
        <f t="shared" ca="1" si="7"/>
        <v>109.52991657475994</v>
      </c>
      <c r="AH58" s="63">
        <f t="shared" ca="1" si="8"/>
        <v>109.52991657475994</v>
      </c>
      <c r="AI58" s="3">
        <f t="shared" ca="1" si="9"/>
        <v>0</v>
      </c>
    </row>
    <row r="59" spans="1:35">
      <c r="A59" s="1"/>
      <c r="B59" s="1"/>
      <c r="G59" s="3">
        <f t="shared" ca="1" si="4"/>
        <v>64</v>
      </c>
      <c r="H59" s="95">
        <f t="shared" ca="1" si="6"/>
        <v>45354</v>
      </c>
      <c r="I59" s="119">
        <f ca="1">HLOOKUP($H$4,'Met Data'!$A$2:$F$368,G59,FALSE)</f>
        <v>14.612121212121201</v>
      </c>
      <c r="J59" s="119">
        <f ca="1">HLOOKUP($H$4,'Met Data'!$H$2:$M$368,G59,FALSE)*L59</f>
        <v>2.1212121212121202</v>
      </c>
      <c r="K59" s="96">
        <f ca="1">HLOOKUP($H$4,'Met Data'!$O$2:$T$368,G59,FALSE)</f>
        <v>3.8891905260327699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45399</v>
      </c>
      <c r="Q59">
        <f ca="1"/>
        <v>106.96025151880445</v>
      </c>
      <c r="R59">
        <f ca="1"/>
        <v>1.44638837364791</v>
      </c>
      <c r="S59">
        <f ca="1"/>
        <v>9.2543002829373222E-2</v>
      </c>
      <c r="T59">
        <f ca="1"/>
        <v>0.26872124679423876</v>
      </c>
      <c r="U59">
        <f ca="1"/>
        <v>0</v>
      </c>
      <c r="V59">
        <f ca="1"/>
        <v>40.754877801143799</v>
      </c>
      <c r="W59">
        <f ca="1"/>
        <v>10.3659145711605</v>
      </c>
      <c r="X59">
        <f ca="1"/>
        <v>0</v>
      </c>
      <c r="Y59">
        <f ca="1"/>
        <v>0.29359143399407406</v>
      </c>
      <c r="Z59">
        <f ca="1"/>
        <v>0</v>
      </c>
      <c r="AA59">
        <f ca="1"/>
        <v>0</v>
      </c>
      <c r="AB59">
        <f ca="1"/>
        <v>0.99784682573661698</v>
      </c>
      <c r="AD59" s="2">
        <f t="shared" ca="1" si="2"/>
        <v>45399</v>
      </c>
      <c r="AE59">
        <f t="shared" ca="1" si="3"/>
        <v>0</v>
      </c>
      <c r="AG59" s="63">
        <f t="shared" ca="1" si="7"/>
        <v>108.40663989245236</v>
      </c>
      <c r="AH59" s="63">
        <f t="shared" ca="1" si="8"/>
        <v>108.40663989245236</v>
      </c>
      <c r="AI59" s="3">
        <f t="shared" ca="1" si="9"/>
        <v>0</v>
      </c>
    </row>
    <row r="60" spans="1:35">
      <c r="G60" s="3">
        <f t="shared" ca="1" si="4"/>
        <v>65</v>
      </c>
      <c r="H60" s="95">
        <f t="shared" ca="1" si="6"/>
        <v>45355</v>
      </c>
      <c r="I60" s="119">
        <f ca="1">HLOOKUP($H$4,'Met Data'!$A$2:$F$368,G60,FALSE)</f>
        <v>15.7681818181818</v>
      </c>
      <c r="J60" s="119">
        <f ca="1">HLOOKUP($H$4,'Met Data'!$H$2:$M$368,G60,FALSE)*L60</f>
        <v>2.5606060606060601</v>
      </c>
      <c r="K60" s="96">
        <f ca="1">HLOOKUP($H$4,'Met Data'!$O$2:$T$368,G60,FALSE)</f>
        <v>4.10786263681889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45400</v>
      </c>
      <c r="Q60">
        <f ca="1"/>
        <v>105.80751814502443</v>
      </c>
      <c r="R60">
        <f ca="1"/>
        <v>1.50844779237386</v>
      </c>
      <c r="S60">
        <f ca="1"/>
        <v>8.8181390234140622E-2</v>
      </c>
      <c r="T60">
        <f ca="1"/>
        <v>0.26753302835968934</v>
      </c>
      <c r="U60">
        <f ca="1"/>
        <v>0</v>
      </c>
      <c r="V60">
        <f ca="1"/>
        <v>42.263325593517699</v>
      </c>
      <c r="W60">
        <f ca="1"/>
        <v>10.749584987916499</v>
      </c>
      <c r="X60">
        <f ca="1"/>
        <v>0</v>
      </c>
      <c r="Y60">
        <f ca="1"/>
        <v>0.28044510223072466</v>
      </c>
      <c r="Z60">
        <f ca="1"/>
        <v>0</v>
      </c>
      <c r="AA60">
        <f ca="1"/>
        <v>0</v>
      </c>
      <c r="AB60">
        <f ca="1"/>
        <v>0.99832629088382197</v>
      </c>
      <c r="AD60" s="2">
        <f t="shared" ca="1" si="2"/>
        <v>45400</v>
      </c>
      <c r="AE60">
        <f t="shared" ca="1" si="3"/>
        <v>0</v>
      </c>
      <c r="AG60" s="63">
        <f t="shared" ca="1" si="7"/>
        <v>107.31596593739829</v>
      </c>
      <c r="AH60" s="63">
        <f t="shared" ca="1" si="8"/>
        <v>107.31596593739829</v>
      </c>
      <c r="AI60" s="3">
        <f t="shared" ca="1" si="9"/>
        <v>0</v>
      </c>
    </row>
    <row r="61" spans="1:35">
      <c r="G61" s="3">
        <f t="shared" ca="1" si="4"/>
        <v>66</v>
      </c>
      <c r="H61" s="95">
        <f t="shared" ca="1" si="6"/>
        <v>45356</v>
      </c>
      <c r="I61" s="119">
        <f ca="1">HLOOKUP($H$4,'Met Data'!$A$2:$F$368,G61,FALSE)</f>
        <v>15.9954545454545</v>
      </c>
      <c r="J61" s="119">
        <f ca="1">HLOOKUP($H$4,'Met Data'!$H$2:$M$368,G61,FALSE)*L61</f>
        <v>0.50303030303030305</v>
      </c>
      <c r="K61" s="96">
        <f ca="1">HLOOKUP($H$4,'Met Data'!$O$2:$T$368,G61,FALSE)</f>
        <v>4.0766889307448597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45401</v>
      </c>
      <c r="Q61">
        <f ca="1"/>
        <v>104.56358819975958</v>
      </c>
      <c r="R61">
        <f ca="1"/>
        <v>1.6090531573778</v>
      </c>
      <c r="S61">
        <f ca="1"/>
        <v>8.7512860299057138E-2</v>
      </c>
      <c r="T61">
        <f ca="1"/>
        <v>0.27761035181388799</v>
      </c>
      <c r="U61">
        <f ca="1"/>
        <v>0</v>
      </c>
      <c r="V61">
        <f ca="1"/>
        <v>43.8723787508955</v>
      </c>
      <c r="W61">
        <f ca="1"/>
        <v>11.158844160553899</v>
      </c>
      <c r="X61">
        <f ca="1"/>
        <v>0</v>
      </c>
      <c r="Y61">
        <f ca="1"/>
        <v>0.28228699683498715</v>
      </c>
      <c r="Z61">
        <f ca="1"/>
        <v>0</v>
      </c>
      <c r="AA61">
        <f ca="1"/>
        <v>0</v>
      </c>
      <c r="AB61">
        <f ca="1"/>
        <v>0.99870970907930301</v>
      </c>
      <c r="AD61" s="2">
        <f t="shared" ca="1" si="2"/>
        <v>45401</v>
      </c>
      <c r="AE61">
        <f t="shared" ca="1" si="3"/>
        <v>0</v>
      </c>
      <c r="AG61" s="63">
        <f t="shared" ca="1" si="7"/>
        <v>106.17264135713738</v>
      </c>
      <c r="AH61" s="63">
        <f t="shared" ca="1" si="8"/>
        <v>106.17264135713738</v>
      </c>
      <c r="AI61" s="3">
        <f t="shared" ca="1" si="9"/>
        <v>0</v>
      </c>
    </row>
    <row r="62" spans="1:35">
      <c r="G62" s="3">
        <f t="shared" ca="1" si="4"/>
        <v>67</v>
      </c>
      <c r="H62" s="95">
        <f t="shared" ca="1" si="6"/>
        <v>45357</v>
      </c>
      <c r="I62" s="119">
        <f ca="1">HLOOKUP($H$4,'Met Data'!$A$2:$F$368,G62,FALSE)</f>
        <v>15.0166666666666</v>
      </c>
      <c r="J62" s="119">
        <f ca="1">HLOOKUP($H$4,'Met Data'!$H$2:$M$368,G62,FALSE)*L62</f>
        <v>0.884848484848484</v>
      </c>
      <c r="K62" s="96">
        <f ca="1">HLOOKUP($H$4,'Met Data'!$O$2:$T$368,G62,FALSE)</f>
        <v>3.8855543781492301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45402</v>
      </c>
      <c r="Q62">
        <f ca="1"/>
        <v>103.35977289107196</v>
      </c>
      <c r="R62">
        <f ca="1"/>
        <v>1.5369608752583399</v>
      </c>
      <c r="S62">
        <f ca="1"/>
        <v>7.7227373583568237E-2</v>
      </c>
      <c r="T62">
        <f ca="1"/>
        <v>0.25591819298714896</v>
      </c>
      <c r="U62">
        <f ca="1"/>
        <v>0</v>
      </c>
      <c r="V62">
        <f ca="1"/>
        <v>45.409339626153802</v>
      </c>
      <c r="W62">
        <f ca="1"/>
        <v>11.549766817956501</v>
      </c>
      <c r="X62">
        <f ca="1"/>
        <v>0</v>
      </c>
      <c r="Y62">
        <f ca="1"/>
        <v>0.28433153178864279</v>
      </c>
      <c r="Z62">
        <f ca="1"/>
        <v>0</v>
      </c>
      <c r="AA62">
        <f ca="1"/>
        <v>0</v>
      </c>
      <c r="AB62">
        <f ca="1"/>
        <v>0.99898588701733704</v>
      </c>
      <c r="AD62" s="2">
        <f t="shared" ca="1" si="2"/>
        <v>45402</v>
      </c>
      <c r="AE62">
        <f t="shared" ca="1" si="3"/>
        <v>0</v>
      </c>
      <c r="AG62" s="63">
        <f t="shared" ca="1" si="7"/>
        <v>104.8967337663303</v>
      </c>
      <c r="AH62" s="63">
        <f t="shared" ca="1" si="8"/>
        <v>104.8967337663303</v>
      </c>
      <c r="AI62" s="3">
        <f t="shared" ca="1" si="9"/>
        <v>0</v>
      </c>
    </row>
    <row r="63" spans="1:35">
      <c r="G63" s="3">
        <f t="shared" ca="1" si="4"/>
        <v>68</v>
      </c>
      <c r="H63" s="95">
        <f t="shared" ca="1" si="6"/>
        <v>45358</v>
      </c>
      <c r="I63" s="119">
        <f ca="1">HLOOKUP($H$4,'Met Data'!$A$2:$F$368,G63,FALSE)</f>
        <v>15.3257575757575</v>
      </c>
      <c r="J63" s="119">
        <f ca="1">HLOOKUP($H$4,'Met Data'!$H$2:$M$368,G63,FALSE)*L63</f>
        <v>0.98787878787878702</v>
      </c>
      <c r="K63" s="96">
        <f ca="1">HLOOKUP($H$4,'Met Data'!$O$2:$T$368,G63,FALSE)</f>
        <v>3.6905019360086202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45403</v>
      </c>
      <c r="Q63">
        <f ca="1"/>
        <v>102.12168572293928</v>
      </c>
      <c r="R63">
        <f ca="1"/>
        <v>1.5575797569765299</v>
      </c>
      <c r="S63">
        <f ca="1"/>
        <v>7.1742576629461041E-2</v>
      </c>
      <c r="T63">
        <f ca="1"/>
        <v>0.24775001221439161</v>
      </c>
      <c r="U63">
        <f ca="1"/>
        <v>0</v>
      </c>
      <c r="V63">
        <f ca="1"/>
        <v>46.966919383130403</v>
      </c>
      <c r="W63">
        <f ca="1"/>
        <v>11.9459338431005</v>
      </c>
      <c r="X63">
        <f ca="1"/>
        <v>0</v>
      </c>
      <c r="Y63">
        <f ca="1"/>
        <v>0.27092297765341228</v>
      </c>
      <c r="Z63">
        <f ca="1"/>
        <v>0</v>
      </c>
      <c r="AA63">
        <f ca="1"/>
        <v>0</v>
      </c>
      <c r="AB63">
        <f ca="1"/>
        <v>0.99919983685437697</v>
      </c>
      <c r="AD63" s="2">
        <f t="shared" ca="1" si="2"/>
        <v>45403</v>
      </c>
      <c r="AE63">
        <f t="shared" ca="1" si="3"/>
        <v>0</v>
      </c>
      <c r="AG63" s="63">
        <f t="shared" ca="1" si="7"/>
        <v>103.67926547991581</v>
      </c>
      <c r="AH63" s="63">
        <f t="shared" ca="1" si="8"/>
        <v>103.67926547991581</v>
      </c>
      <c r="AI63" s="3">
        <f t="shared" ca="1" si="9"/>
        <v>0</v>
      </c>
    </row>
    <row r="64" spans="1:35">
      <c r="G64" s="3">
        <f t="shared" ca="1" si="4"/>
        <v>69</v>
      </c>
      <c r="H64" s="95">
        <f t="shared" ca="1" si="6"/>
        <v>45359</v>
      </c>
      <c r="I64" s="119">
        <f ca="1">HLOOKUP($H$4,'Met Data'!$A$2:$F$368,G64,FALSE)</f>
        <v>14.630303030303001</v>
      </c>
      <c r="J64" s="119">
        <f ca="1">HLOOKUP($H$4,'Met Data'!$H$2:$M$368,G64,FALSE)*L64</f>
        <v>0.82121212121212095</v>
      </c>
      <c r="K64" s="96">
        <f ca="1">HLOOKUP($H$4,'Met Data'!$O$2:$T$368,G64,FALSE)</f>
        <v>3.5528537387163399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45404</v>
      </c>
      <c r="Q64">
        <f ca="1"/>
        <v>100.7612104135178</v>
      </c>
      <c r="R64">
        <f ca="1"/>
        <v>1.69018144998096</v>
      </c>
      <c r="S64">
        <f ca="1"/>
        <v>7.1686164810500941E-2</v>
      </c>
      <c r="T64">
        <f ca="1"/>
        <v>0.25801997574898355</v>
      </c>
      <c r="U64">
        <f ca="1"/>
        <v>0</v>
      </c>
      <c r="V64">
        <f ca="1"/>
        <v>48.657100833111301</v>
      </c>
      <c r="W64">
        <f ca="1"/>
        <v>12.375827820595701</v>
      </c>
      <c r="X64">
        <f ca="1"/>
        <v>0</v>
      </c>
      <c r="Y64">
        <f ca="1"/>
        <v>0.25814869376557298</v>
      </c>
      <c r="Z64">
        <f ca="1"/>
        <v>0</v>
      </c>
      <c r="AA64">
        <f ca="1"/>
        <v>0</v>
      </c>
      <c r="AB64">
        <f ca="1"/>
        <v>0.99937654696079103</v>
      </c>
      <c r="AD64" s="2">
        <f t="shared" ca="1" si="2"/>
        <v>45404</v>
      </c>
      <c r="AE64">
        <f t="shared" ca="1" si="3"/>
        <v>0</v>
      </c>
      <c r="AG64" s="63">
        <f t="shared" ca="1" si="7"/>
        <v>102.45139186349876</v>
      </c>
      <c r="AH64" s="63">
        <f t="shared" ca="1" si="8"/>
        <v>102.45139186349876</v>
      </c>
      <c r="AI64" s="3">
        <f t="shared" ca="1" si="9"/>
        <v>0</v>
      </c>
    </row>
    <row r="65" spans="7:35">
      <c r="G65" s="3">
        <f t="shared" ca="1" si="4"/>
        <v>70</v>
      </c>
      <c r="H65" s="95">
        <f t="shared" ca="1" si="6"/>
        <v>45360</v>
      </c>
      <c r="I65" s="119">
        <f ca="1">HLOOKUP($H$4,'Met Data'!$A$2:$F$368,G65,FALSE)</f>
        <v>15.7924242424242</v>
      </c>
      <c r="J65" s="119">
        <f ca="1">HLOOKUP($H$4,'Met Data'!$H$2:$M$368,G65,FALSE)*L65</f>
        <v>1.4909090909090901</v>
      </c>
      <c r="K65" s="96">
        <f ca="1">HLOOKUP($H$4,'Met Data'!$O$2:$T$368,G65,FALSE)</f>
        <v>3.7245673615528201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45405</v>
      </c>
      <c r="Q65">
        <f ca="1"/>
        <v>99.419785305088993</v>
      </c>
      <c r="R65">
        <f ca="1"/>
        <v>1.6529267111507799</v>
      </c>
      <c r="S65">
        <f ca="1"/>
        <v>6.5565934937694692E-2</v>
      </c>
      <c r="T65">
        <f ca="1"/>
        <v>0.24593566778428386</v>
      </c>
      <c r="U65">
        <f ca="1"/>
        <v>0</v>
      </c>
      <c r="V65">
        <f ca="1"/>
        <v>50.310027544262098</v>
      </c>
      <c r="W65">
        <f ca="1"/>
        <v>12.796246136258</v>
      </c>
      <c r="X65">
        <f ca="1"/>
        <v>0</v>
      </c>
      <c r="Y65">
        <f ca="1"/>
        <v>0.2647914268967187</v>
      </c>
      <c r="Z65">
        <f ca="1"/>
        <v>0</v>
      </c>
      <c r="AA65">
        <f ca="1"/>
        <v>0</v>
      </c>
      <c r="AB65">
        <f ca="1"/>
        <v>0.99950805658564601</v>
      </c>
      <c r="AD65" s="2">
        <f t="shared" ca="1" si="2"/>
        <v>45405</v>
      </c>
      <c r="AE65">
        <f t="shared" ca="1" si="3"/>
        <v>0</v>
      </c>
      <c r="AG65" s="63">
        <f t="shared" ca="1" si="7"/>
        <v>101.07271201623978</v>
      </c>
      <c r="AH65" s="63">
        <f t="shared" ca="1" si="8"/>
        <v>101.07271201623978</v>
      </c>
      <c r="AI65" s="3">
        <f t="shared" ca="1" si="9"/>
        <v>0</v>
      </c>
    </row>
    <row r="66" spans="7:35">
      <c r="G66" s="3">
        <f t="shared" ca="1" si="4"/>
        <v>71</v>
      </c>
      <c r="H66" s="95">
        <f t="shared" ca="1" si="6"/>
        <v>45361</v>
      </c>
      <c r="I66" s="119">
        <f ca="1">HLOOKUP($H$4,'Met Data'!$A$2:$F$368,G66,FALSE)</f>
        <v>15.055882352941101</v>
      </c>
      <c r="J66" s="119">
        <f ca="1">HLOOKUP($H$4,'Met Data'!$H$2:$M$368,G66,FALSE)*L66</f>
        <v>1.93823529411764</v>
      </c>
      <c r="K66" s="96">
        <f ca="1">HLOOKUP($H$4,'Met Data'!$O$2:$T$368,G66,FALSE)</f>
        <v>3.2545752102886598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45406</v>
      </c>
      <c r="Q66">
        <f ca="1"/>
        <v>97.959564587768895</v>
      </c>
      <c r="R66">
        <f ca="1"/>
        <v>1.78722637353592</v>
      </c>
      <c r="S66">
        <f ca="1"/>
        <v>6.660336562988789E-2</v>
      </c>
      <c r="T66">
        <f ca="1"/>
        <v>0.26040229058593606</v>
      </c>
      <c r="U66">
        <f ca="1"/>
        <v>0</v>
      </c>
      <c r="V66">
        <f ca="1"/>
        <v>52.097253917798</v>
      </c>
      <c r="W66">
        <f ca="1"/>
        <v>13.250823279092099</v>
      </c>
      <c r="X66">
        <f ca="1"/>
        <v>0</v>
      </c>
      <c r="Y66">
        <f ca="1"/>
        <v>0.26984469587155646</v>
      </c>
      <c r="Z66">
        <f ca="1"/>
        <v>0</v>
      </c>
      <c r="AA66">
        <f ca="1"/>
        <v>0</v>
      </c>
      <c r="AB66">
        <f ca="1"/>
        <v>0.99961639675578495</v>
      </c>
      <c r="AD66" s="2">
        <f t="shared" ca="1" si="2"/>
        <v>45406</v>
      </c>
      <c r="AE66">
        <f t="shared" ca="1" si="3"/>
        <v>0</v>
      </c>
      <c r="AG66" s="63">
        <f t="shared" ca="1" si="7"/>
        <v>99.746790961304811</v>
      </c>
      <c r="AH66" s="63">
        <f t="shared" ca="1" si="8"/>
        <v>99.746790961304811</v>
      </c>
      <c r="AI66" s="3">
        <f t="shared" ca="1" si="9"/>
        <v>0</v>
      </c>
    </row>
    <row r="67" spans="7:35">
      <c r="G67" s="3">
        <f t="shared" ca="1" si="4"/>
        <v>72</v>
      </c>
      <c r="H67" s="95">
        <f t="shared" ca="1" si="6"/>
        <v>45362</v>
      </c>
      <c r="I67" s="119">
        <f ca="1">HLOOKUP($H$4,'Met Data'!$A$2:$F$368,G67,FALSE)</f>
        <v>14.958823529411699</v>
      </c>
      <c r="J67" s="119">
        <f ca="1">HLOOKUP($H$4,'Met Data'!$H$2:$M$368,G67,FALSE)*L67</f>
        <v>3.24705882352941</v>
      </c>
      <c r="K67" s="96">
        <f ca="1">HLOOKUP($H$4,'Met Data'!$O$2:$T$368,G67,FALSE)</f>
        <v>3.17975180664317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45407</v>
      </c>
      <c r="Q67">
        <f ca="1"/>
        <v>96.416030641912826</v>
      </c>
      <c r="R67">
        <f ca="1"/>
        <v>1.8653722436053499</v>
      </c>
      <c r="S67">
        <f ca="1"/>
        <v>6.3360495585357057E-2</v>
      </c>
      <c r="T67">
        <f ca="1"/>
        <v>0.25847780216392646</v>
      </c>
      <c r="U67">
        <f ca="1"/>
        <v>0</v>
      </c>
      <c r="V67">
        <f ca="1"/>
        <v>53.962626161403399</v>
      </c>
      <c r="W67">
        <f ca="1"/>
        <v>13.725276654096101</v>
      </c>
      <c r="X67">
        <f ca="1"/>
        <v>0</v>
      </c>
      <c r="Y67">
        <f ca="1"/>
        <v>0.25048268710079907</v>
      </c>
      <c r="Z67">
        <f ca="1"/>
        <v>0</v>
      </c>
      <c r="AA67">
        <f ca="1"/>
        <v>0</v>
      </c>
      <c r="AB67">
        <f ca="1"/>
        <v>0.999701840115649</v>
      </c>
      <c r="AD67" s="2">
        <f t="shared" ca="1" si="2"/>
        <v>45407</v>
      </c>
      <c r="AE67">
        <f t="shared" ca="1" si="3"/>
        <v>0</v>
      </c>
      <c r="AG67" s="63">
        <f t="shared" ca="1" si="7"/>
        <v>98.281402885518176</v>
      </c>
      <c r="AH67" s="63">
        <f t="shared" ca="1" si="8"/>
        <v>98.281402885518176</v>
      </c>
      <c r="AI67" s="3">
        <f t="shared" ca="1" si="9"/>
        <v>0</v>
      </c>
    </row>
    <row r="68" spans="7:35">
      <c r="G68" s="3">
        <f t="shared" ca="1" si="4"/>
        <v>73</v>
      </c>
      <c r="H68" s="95">
        <f t="shared" ca="1" si="6"/>
        <v>45363</v>
      </c>
      <c r="I68" s="119">
        <f ca="1">HLOOKUP($H$4,'Met Data'!$A$2:$F$368,G68,FALSE)</f>
        <v>15.205882352941099</v>
      </c>
      <c r="J68" s="119">
        <f ca="1">HLOOKUP($H$4,'Met Data'!$H$2:$M$368,G68,FALSE)*L68</f>
        <v>2.9088235294117601</v>
      </c>
      <c r="K68" s="96">
        <f ca="1">HLOOKUP($H$4,'Met Data'!$O$2:$T$368,G68,FALSE)</f>
        <v>3.3146668186599602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45408</v>
      </c>
      <c r="Q68">
        <f ca="1"/>
        <v>94.797281440804682</v>
      </c>
      <c r="R68">
        <f ca="1"/>
        <v>1.9449401684847201</v>
      </c>
      <c r="S68">
        <f ca="1"/>
        <v>6.2038740273948179E-2</v>
      </c>
      <c r="T68">
        <f ca="1"/>
        <v>0.26415222710262365</v>
      </c>
      <c r="U68">
        <f ca="1"/>
        <v>0</v>
      </c>
      <c r="V68">
        <f ca="1"/>
        <v>55.907566329888098</v>
      </c>
      <c r="W68">
        <f ca="1"/>
        <v>14.219967957819399</v>
      </c>
      <c r="X68">
        <f ca="1"/>
        <v>0</v>
      </c>
      <c r="Y68">
        <f ca="1"/>
        <v>0.25871139419071359</v>
      </c>
      <c r="Z68">
        <f ca="1"/>
        <v>0</v>
      </c>
      <c r="AA68">
        <f ca="1"/>
        <v>0</v>
      </c>
      <c r="AB68">
        <f ca="1"/>
        <v>0.999768945566612</v>
      </c>
      <c r="AD68" s="2">
        <f t="shared" ca="1" si="2"/>
        <v>45408</v>
      </c>
      <c r="AE68">
        <f t="shared" ca="1" si="3"/>
        <v>0</v>
      </c>
      <c r="AG68" s="63">
        <f t="shared" ca="1" si="7"/>
        <v>96.742221609289402</v>
      </c>
      <c r="AH68" s="63">
        <f t="shared" ca="1" si="8"/>
        <v>96.742221609289402</v>
      </c>
      <c r="AI68" s="3">
        <f t="shared" ca="1" si="9"/>
        <v>0</v>
      </c>
    </row>
    <row r="69" spans="7:35">
      <c r="G69" s="3">
        <f t="shared" ca="1" si="4"/>
        <v>74</v>
      </c>
      <c r="H69" s="95">
        <f t="shared" ca="1" si="6"/>
        <v>45364</v>
      </c>
      <c r="I69" s="119">
        <f ca="1">HLOOKUP($H$4,'Met Data'!$A$2:$F$368,G69,FALSE)</f>
        <v>14.888235294117599</v>
      </c>
      <c r="J69" s="119">
        <f ca="1">HLOOKUP($H$4,'Met Data'!$H$2:$M$368,G69,FALSE)*L69</f>
        <v>2.2999999999999998</v>
      </c>
      <c r="K69" s="96">
        <f ca="1">HLOOKUP($H$4,'Met Data'!$O$2:$T$368,G69,FALSE)</f>
        <v>3.3312157637355302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45409</v>
      </c>
      <c r="Q69">
        <f ca="1"/>
        <v>93.080492374643427</v>
      </c>
      <c r="R69">
        <f ca="1"/>
        <v>2.0543622329276801</v>
      </c>
      <c r="S69">
        <f ca="1"/>
        <v>6.1937241662278097E-2</v>
      </c>
      <c r="T69">
        <f ca="1"/>
        <v>0.27563592510414181</v>
      </c>
      <c r="U69">
        <f ca="1"/>
        <v>0</v>
      </c>
      <c r="V69">
        <f ca="1"/>
        <v>57.9619285628158</v>
      </c>
      <c r="W69">
        <f ca="1"/>
        <v>14.742490525759701</v>
      </c>
      <c r="X69">
        <f ca="1"/>
        <v>0</v>
      </c>
      <c r="Y69">
        <f ca="1"/>
        <v>0.27281680425227678</v>
      </c>
      <c r="Z69">
        <f ca="1"/>
        <v>0</v>
      </c>
      <c r="AA69">
        <f ca="1"/>
        <v>0</v>
      </c>
      <c r="AB69">
        <f ca="1"/>
        <v>0.99982208178899401</v>
      </c>
      <c r="AD69" s="2">
        <f t="shared" ca="1" si="2"/>
        <v>45409</v>
      </c>
      <c r="AE69">
        <f t="shared" ca="1" si="3"/>
        <v>0</v>
      </c>
      <c r="AG69" s="63">
        <f t="shared" ca="1" si="7"/>
        <v>95.1348546075711</v>
      </c>
      <c r="AH69" s="63">
        <f t="shared" ca="1" si="8"/>
        <v>95.1348546075711</v>
      </c>
      <c r="AI69" s="3">
        <f t="shared" ca="1" si="9"/>
        <v>0</v>
      </c>
    </row>
    <row r="70" spans="7:35">
      <c r="G70" s="3">
        <f t="shared" ca="1" si="4"/>
        <v>75</v>
      </c>
      <c r="H70" s="95">
        <f t="shared" ca="1" si="6"/>
        <v>45365</v>
      </c>
      <c r="I70" s="119">
        <f ca="1">HLOOKUP($H$4,'Met Data'!$A$2:$F$368,G70,FALSE)</f>
        <v>14.9794117647058</v>
      </c>
      <c r="J70" s="119">
        <f ca="1">HLOOKUP($H$4,'Met Data'!$H$2:$M$368,G70,FALSE)*L70</f>
        <v>0.34411764705882297</v>
      </c>
      <c r="K70" s="96">
        <f ca="1">HLOOKUP($H$4,'Met Data'!$O$2:$T$368,G70,FALSE)</f>
        <v>3.9291146060483402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45410</v>
      </c>
      <c r="Q70">
        <f ca="1"/>
        <v>91.516771445859078</v>
      </c>
      <c r="R70">
        <f ca="1"/>
        <v>1.88672286211041</v>
      </c>
      <c r="S70">
        <f ca="1"/>
        <v>5.7148420350117135E-2</v>
      </c>
      <c r="T70">
        <f ca="1"/>
        <v>0.26585351297594129</v>
      </c>
      <c r="U70">
        <f ca="1"/>
        <v>0</v>
      </c>
      <c r="V70">
        <f ca="1"/>
        <v>59.848651424926203</v>
      </c>
      <c r="W70">
        <f ca="1"/>
        <v>15.222374384166001</v>
      </c>
      <c r="X70">
        <f ca="1"/>
        <v>0</v>
      </c>
      <c r="Y70">
        <f ca="1"/>
        <v>0.34618755226949527</v>
      </c>
      <c r="Z70">
        <f ca="1"/>
        <v>0</v>
      </c>
      <c r="AA70">
        <f ca="1"/>
        <v>0</v>
      </c>
      <c r="AB70">
        <f ca="1"/>
        <v>0.99985909871032996</v>
      </c>
      <c r="AD70" s="2">
        <f t="shared" ref="AD70:AD133" ca="1" si="12">IFERROR(P70,$AD$4)</f>
        <v>45410</v>
      </c>
      <c r="AE70">
        <f t="shared" ref="AE70:AE133" ca="1" si="13">IFERROR(U70,0)</f>
        <v>0</v>
      </c>
      <c r="AG70" s="63">
        <f t="shared" ca="1" si="7"/>
        <v>93.403494307969481</v>
      </c>
      <c r="AH70" s="63">
        <f t="shared" ca="1" si="8"/>
        <v>93.403494307969481</v>
      </c>
      <c r="AI70" s="3">
        <f t="shared" ca="1" si="9"/>
        <v>0</v>
      </c>
    </row>
    <row r="71" spans="7:35">
      <c r="G71" s="3">
        <f t="shared" ref="G71:G134" ca="1" si="14">H71-DATE(YEAR(H71),1,0)+1</f>
        <v>76</v>
      </c>
      <c r="H71" s="95">
        <f t="shared" ca="1" si="6"/>
        <v>45366</v>
      </c>
      <c r="I71" s="119">
        <f ca="1">HLOOKUP($H$4,'Met Data'!$A$2:$F$368,G71,FALSE)</f>
        <v>15</v>
      </c>
      <c r="J71" s="119">
        <f ca="1">HLOOKUP($H$4,'Met Data'!$H$2:$M$368,G71,FALSE)*L71</f>
        <v>1.3499999999999901</v>
      </c>
      <c r="K71" s="96">
        <f ca="1">HLOOKUP($H$4,'Met Data'!$O$2:$T$368,G71,FALSE)</f>
        <v>3.4649343661814198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45411</v>
      </c>
      <c r="Q71">
        <f ca="1"/>
        <v>89.947361887354447</v>
      </c>
      <c r="R71">
        <f ca="1"/>
        <v>1.8884593591276599</v>
      </c>
      <c r="S71">
        <f ca="1"/>
        <v>5.4460458784461707E-2</v>
      </c>
      <c r="T71">
        <f ca="1"/>
        <v>0.26458934183857546</v>
      </c>
      <c r="U71">
        <f ca="1"/>
        <v>0</v>
      </c>
      <c r="V71">
        <f ca="1"/>
        <v>61.737110784053797</v>
      </c>
      <c r="W71">
        <f ca="1"/>
        <v>15.7026999168137</v>
      </c>
      <c r="X71">
        <f ca="1"/>
        <v>0</v>
      </c>
      <c r="Y71">
        <f ca="1"/>
        <v>0.36357927177171268</v>
      </c>
      <c r="Z71">
        <f ca="1"/>
        <v>0</v>
      </c>
      <c r="AA71">
        <f ca="1"/>
        <v>0</v>
      </c>
      <c r="AB71">
        <f ca="1"/>
        <v>0.99988776234137</v>
      </c>
      <c r="AD71" s="2">
        <f t="shared" ca="1" si="12"/>
        <v>45411</v>
      </c>
      <c r="AE71">
        <f t="shared" ca="1" si="13"/>
        <v>0</v>
      </c>
      <c r="AG71" s="63">
        <f t="shared" ca="1" si="7"/>
        <v>91.835821246482112</v>
      </c>
      <c r="AH71" s="63">
        <f t="shared" ca="1" si="8"/>
        <v>91.835821246482112</v>
      </c>
      <c r="AI71" s="3">
        <f t="shared" ca="1" si="9"/>
        <v>0</v>
      </c>
    </row>
    <row r="72" spans="7:35">
      <c r="G72" s="3">
        <f t="shared" ca="1" si="14"/>
        <v>77</v>
      </c>
      <c r="H72" s="95">
        <f t="shared" ref="H72:H135" ca="1" si="16">H71+1</f>
        <v>45367</v>
      </c>
      <c r="I72" s="119">
        <f ca="1">HLOOKUP($H$4,'Met Data'!$A$2:$F$368,G72,FALSE)</f>
        <v>14.8191176470588</v>
      </c>
      <c r="J72" s="119">
        <f ca="1">HLOOKUP($H$4,'Met Data'!$H$2:$M$368,G72,FALSE)*L72</f>
        <v>1.49117647058823</v>
      </c>
      <c r="K72" s="96">
        <f ca="1">HLOOKUP($H$4,'Met Data'!$O$2:$T$368,G72,FALSE)</f>
        <v>3.6481150031845502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45412</v>
      </c>
      <c r="Q72">
        <f ca="1"/>
        <v>88.377735755178421</v>
      </c>
      <c r="R72">
        <f ca="1"/>
        <v>1.8717868202941801</v>
      </c>
      <c r="S72">
        <f ca="1"/>
        <v>4.979357712282706E-2</v>
      </c>
      <c r="T72">
        <f ca="1"/>
        <v>0.25236711099532255</v>
      </c>
      <c r="U72">
        <f ca="1"/>
        <v>0</v>
      </c>
      <c r="V72">
        <f ca="1"/>
        <v>63.608897604348002</v>
      </c>
      <c r="W72">
        <f ca="1"/>
        <v>16.1787848254537</v>
      </c>
      <c r="X72">
        <f ca="1"/>
        <v>0</v>
      </c>
      <c r="Y72">
        <f ca="1"/>
        <v>0.35289698269686681</v>
      </c>
      <c r="Z72">
        <f ca="1"/>
        <v>0</v>
      </c>
      <c r="AA72">
        <f ca="1"/>
        <v>0</v>
      </c>
      <c r="AB72">
        <f ca="1"/>
        <v>0.99990991283650199</v>
      </c>
      <c r="AD72" s="2">
        <f t="shared" ca="1" si="12"/>
        <v>45412</v>
      </c>
      <c r="AE72">
        <f t="shared" ca="1" si="13"/>
        <v>0</v>
      </c>
      <c r="AG72" s="63">
        <f t="shared" ref="AG72:AG135" ca="1" si="17">Q71+S72+T72+U72</f>
        <v>90.249522575472596</v>
      </c>
      <c r="AH72" s="63">
        <f t="shared" ref="AH72:AH135" ca="1" si="18">Q72+R72+X72</f>
        <v>90.249522575472596</v>
      </c>
      <c r="AI72" s="3">
        <f t="shared" ref="AI72:AI135" ca="1" si="19">AH72-AG72</f>
        <v>0</v>
      </c>
    </row>
    <row r="73" spans="7:35">
      <c r="G73" s="3">
        <f t="shared" ca="1" si="14"/>
        <v>78</v>
      </c>
      <c r="H73" s="95">
        <f t="shared" ca="1" si="16"/>
        <v>45368</v>
      </c>
      <c r="I73" s="119">
        <f ca="1">HLOOKUP($H$4,'Met Data'!$A$2:$F$368,G73,FALSE)</f>
        <v>13.742647058823501</v>
      </c>
      <c r="J73" s="119">
        <f ca="1">HLOOKUP($H$4,'Met Data'!$H$2:$M$368,G73,FALSE)*L73</f>
        <v>1.8470588235294101</v>
      </c>
      <c r="K73" s="96">
        <f ca="1">HLOOKUP($H$4,'Met Data'!$O$2:$T$368,G73,FALSE)</f>
        <v>3.23711449028497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45413</v>
      </c>
      <c r="Q73">
        <f ca="1"/>
        <v>86.736798023305639</v>
      </c>
      <c r="R73">
        <f ca="1"/>
        <v>1.9404065331990099</v>
      </c>
      <c r="S73">
        <f ca="1"/>
        <v>4.767439574672494E-2</v>
      </c>
      <c r="T73">
        <f ca="1"/>
        <v>0.25179440557950156</v>
      </c>
      <c r="U73">
        <f ca="1"/>
        <v>0</v>
      </c>
      <c r="V73">
        <f ca="1"/>
        <v>65.549304137546997</v>
      </c>
      <c r="W73">
        <f ca="1"/>
        <v>16.672323008897799</v>
      </c>
      <c r="X73">
        <f ca="1"/>
        <v>0</v>
      </c>
      <c r="Y73">
        <f ca="1"/>
        <v>0.34155501414923101</v>
      </c>
      <c r="Z73">
        <f ca="1"/>
        <v>0</v>
      </c>
      <c r="AA73">
        <f ca="1"/>
        <v>0</v>
      </c>
      <c r="AB73">
        <f ca="1"/>
        <v>0.99992787526392601</v>
      </c>
      <c r="AD73" s="2">
        <f t="shared" ca="1" si="12"/>
        <v>45413</v>
      </c>
      <c r="AE73">
        <f t="shared" ca="1" si="13"/>
        <v>0</v>
      </c>
      <c r="AG73" s="63">
        <f t="shared" ca="1" si="17"/>
        <v>88.677204556504648</v>
      </c>
      <c r="AH73" s="63">
        <f t="shared" ca="1" si="18"/>
        <v>88.677204556504648</v>
      </c>
      <c r="AI73" s="3">
        <f t="shared" ca="1" si="19"/>
        <v>0</v>
      </c>
    </row>
    <row r="74" spans="7:35">
      <c r="G74" s="3">
        <f t="shared" ca="1" si="14"/>
        <v>79</v>
      </c>
      <c r="H74" s="95">
        <f t="shared" ca="1" si="16"/>
        <v>45369</v>
      </c>
      <c r="I74" s="119">
        <f ca="1">HLOOKUP($H$4,'Met Data'!$A$2:$F$368,G74,FALSE)</f>
        <v>14.5911764705882</v>
      </c>
      <c r="J74" s="119">
        <f ca="1">HLOOKUP($H$4,'Met Data'!$H$2:$M$368,G74,FALSE)*L74</f>
        <v>1.1617647058823499</v>
      </c>
      <c r="K74" s="96">
        <f ca="1">HLOOKUP($H$4,'Met Data'!$O$2:$T$368,G74,FALSE)</f>
        <v>3.5497173485221101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45414</v>
      </c>
      <c r="Q74">
        <f ca="1"/>
        <v>85.049214200702949</v>
      </c>
      <c r="R74">
        <f ca="1"/>
        <v>1.9781915745144401</v>
      </c>
      <c r="S74">
        <f ca="1"/>
        <v>4.4703619245566983E-2</v>
      </c>
      <c r="T74">
        <f ca="1"/>
        <v>0.24590413266617653</v>
      </c>
      <c r="U74">
        <f ca="1"/>
        <v>0</v>
      </c>
      <c r="V74">
        <f ca="1"/>
        <v>67.527495712061494</v>
      </c>
      <c r="W74">
        <f ca="1"/>
        <v>17.175471735459102</v>
      </c>
      <c r="X74">
        <f ca="1"/>
        <v>0</v>
      </c>
      <c r="Y74">
        <f ca="1"/>
        <v>0.32594928026748593</v>
      </c>
      <c r="Z74">
        <f ca="1"/>
        <v>0</v>
      </c>
      <c r="AA74">
        <f ca="1"/>
        <v>0</v>
      </c>
      <c r="AB74">
        <f ca="1"/>
        <v>0.99994219229339398</v>
      </c>
      <c r="AD74" s="2">
        <f t="shared" ca="1" si="12"/>
        <v>45414</v>
      </c>
      <c r="AE74">
        <f t="shared" ca="1" si="13"/>
        <v>0</v>
      </c>
      <c r="AG74" s="63">
        <f t="shared" ca="1" si="17"/>
        <v>87.027405775217389</v>
      </c>
      <c r="AH74" s="63">
        <f t="shared" ca="1" si="18"/>
        <v>87.027405775217389</v>
      </c>
      <c r="AI74" s="3">
        <f t="shared" ca="1" si="19"/>
        <v>0</v>
      </c>
    </row>
    <row r="75" spans="7:35">
      <c r="G75" s="3">
        <f t="shared" ca="1" si="14"/>
        <v>80</v>
      </c>
      <c r="H75" s="95">
        <f t="shared" ca="1" si="16"/>
        <v>45370</v>
      </c>
      <c r="I75" s="119">
        <f ca="1">HLOOKUP($H$4,'Met Data'!$A$2:$F$368,G75,FALSE)</f>
        <v>15.358823529411699</v>
      </c>
      <c r="J75" s="119">
        <f ca="1">HLOOKUP($H$4,'Met Data'!$H$2:$M$368,G75,FALSE)*L75</f>
        <v>0.66176470588235203</v>
      </c>
      <c r="K75" s="96">
        <f ca="1">HLOOKUP($H$4,'Met Data'!$O$2:$T$368,G75,FALSE)</f>
        <v>3.6735377917360399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45415</v>
      </c>
      <c r="Q75">
        <f ca="1"/>
        <v>83.219777621223329</v>
      </c>
      <c r="R75">
        <f ca="1"/>
        <v>2.1338408808543501</v>
      </c>
      <c r="S75">
        <f ca="1"/>
        <v>4.5215412023651425E-2</v>
      </c>
      <c r="T75">
        <f ca="1"/>
        <v>0.25918888935107459</v>
      </c>
      <c r="U75">
        <f ca="1"/>
        <v>0</v>
      </c>
      <c r="V75">
        <f ca="1"/>
        <v>69.661336592915802</v>
      </c>
      <c r="W75">
        <f ca="1"/>
        <v>17.718209524719899</v>
      </c>
      <c r="X75">
        <f ca="1"/>
        <v>0</v>
      </c>
      <c r="Y75">
        <f ca="1"/>
        <v>0.32641483635264712</v>
      </c>
      <c r="Z75">
        <f ca="1"/>
        <v>0</v>
      </c>
      <c r="AA75">
        <f ca="1"/>
        <v>0</v>
      </c>
      <c r="AB75">
        <f ca="1"/>
        <v>0.99995420325425999</v>
      </c>
      <c r="AD75" s="2">
        <f t="shared" ca="1" si="12"/>
        <v>45415</v>
      </c>
      <c r="AE75">
        <f t="shared" ca="1" si="13"/>
        <v>0</v>
      </c>
      <c r="AG75" s="63">
        <f t="shared" ca="1" si="17"/>
        <v>85.35361850207768</v>
      </c>
      <c r="AH75" s="63">
        <f t="shared" ca="1" si="18"/>
        <v>85.35361850207768</v>
      </c>
      <c r="AI75" s="3">
        <f t="shared" ca="1" si="19"/>
        <v>0</v>
      </c>
    </row>
    <row r="76" spans="7:35">
      <c r="G76" s="3">
        <f t="shared" ca="1" si="14"/>
        <v>81</v>
      </c>
      <c r="H76" s="95">
        <f t="shared" ca="1" si="16"/>
        <v>45371</v>
      </c>
      <c r="I76" s="119">
        <f ca="1">HLOOKUP($H$4,'Met Data'!$A$2:$F$368,G76,FALSE)</f>
        <v>14.954411764705799</v>
      </c>
      <c r="J76" s="119">
        <f ca="1">HLOOKUP($H$4,'Met Data'!$H$2:$M$368,G76,FALSE)*L76</f>
        <v>0.95588235294117596</v>
      </c>
      <c r="K76" s="96">
        <f ca="1">HLOOKUP($H$4,'Met Data'!$O$2:$T$368,G76,FALSE)</f>
        <v>3.2764370104371201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45416</v>
      </c>
      <c r="Q76">
        <f ca="1"/>
        <v>81.337600666400562</v>
      </c>
      <c r="R76">
        <f ca="1"/>
        <v>2.1805505172897699</v>
      </c>
      <c r="S76">
        <f ca="1"/>
        <v>4.2758046534530081E-2</v>
      </c>
      <c r="T76">
        <f ca="1"/>
        <v>0.25561551593247467</v>
      </c>
      <c r="U76">
        <f ca="1"/>
        <v>0</v>
      </c>
      <c r="V76">
        <f ca="1"/>
        <v>71.841887110205604</v>
      </c>
      <c r="W76">
        <f ca="1"/>
        <v>18.272827808465301</v>
      </c>
      <c r="X76">
        <f ca="1"/>
        <v>0</v>
      </c>
      <c r="Y76">
        <f ca="1"/>
        <v>0.31734789267730612</v>
      </c>
      <c r="Z76">
        <f ca="1"/>
        <v>0</v>
      </c>
      <c r="AA76">
        <f ca="1"/>
        <v>0</v>
      </c>
      <c r="AB76">
        <f ca="1"/>
        <v>0.99996369283698605</v>
      </c>
      <c r="AD76" s="2">
        <f t="shared" ca="1" si="12"/>
        <v>45416</v>
      </c>
      <c r="AE76">
        <f t="shared" ca="1" si="13"/>
        <v>0</v>
      </c>
      <c r="AG76" s="63">
        <f t="shared" ca="1" si="17"/>
        <v>83.518151183690335</v>
      </c>
      <c r="AH76" s="63">
        <f t="shared" ca="1" si="18"/>
        <v>83.518151183690335</v>
      </c>
      <c r="AI76" s="3">
        <f t="shared" ca="1" si="19"/>
        <v>0</v>
      </c>
    </row>
    <row r="77" spans="7:35">
      <c r="G77" s="3">
        <f t="shared" ca="1" si="14"/>
        <v>82</v>
      </c>
      <c r="H77" s="95">
        <f t="shared" ca="1" si="16"/>
        <v>45372</v>
      </c>
      <c r="I77" s="119">
        <f ca="1">HLOOKUP($H$4,'Met Data'!$A$2:$F$368,G77,FALSE)</f>
        <v>14.5426470588235</v>
      </c>
      <c r="J77" s="119">
        <f ca="1">HLOOKUP($H$4,'Met Data'!$H$2:$M$368,G77,FALSE)*L77</f>
        <v>1.0823529411764701</v>
      </c>
      <c r="K77" s="96">
        <f ca="1">HLOOKUP($H$4,'Met Data'!$O$2:$T$368,G77,FALSE)</f>
        <v>3.2063273498641101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45417</v>
      </c>
      <c r="Q77">
        <f ca="1"/>
        <v>79.264571267855473</v>
      </c>
      <c r="R77">
        <f ca="1"/>
        <v>2.4042273026488599</v>
      </c>
      <c r="S77">
        <f ca="1"/>
        <v>4.5697680869764667E-2</v>
      </c>
      <c r="T77">
        <f ca="1"/>
        <v>0.28550022323400648</v>
      </c>
      <c r="U77">
        <f ca="1"/>
        <v>0</v>
      </c>
      <c r="V77">
        <f ca="1"/>
        <v>74.246114412854496</v>
      </c>
      <c r="W77">
        <f ca="1"/>
        <v>18.884337796313002</v>
      </c>
      <c r="X77">
        <f ca="1"/>
        <v>0</v>
      </c>
      <c r="Y77">
        <f ca="1"/>
        <v>0.34601583293297566</v>
      </c>
      <c r="Z77">
        <f ca="1"/>
        <v>0</v>
      </c>
      <c r="AA77">
        <f ca="1"/>
        <v>0</v>
      </c>
      <c r="AB77">
        <f ca="1"/>
        <v>0.99997171398736495</v>
      </c>
      <c r="AD77" s="2">
        <f t="shared" ca="1" si="12"/>
        <v>45417</v>
      </c>
      <c r="AE77">
        <f t="shared" ca="1" si="13"/>
        <v>0</v>
      </c>
      <c r="AG77" s="63">
        <f t="shared" ca="1" si="17"/>
        <v>81.668798570504336</v>
      </c>
      <c r="AH77" s="63">
        <f t="shared" ca="1" si="18"/>
        <v>81.668798570504336</v>
      </c>
      <c r="AI77" s="3">
        <f t="shared" ca="1" si="19"/>
        <v>0</v>
      </c>
    </row>
    <row r="78" spans="7:35">
      <c r="G78" s="3">
        <f t="shared" ca="1" si="14"/>
        <v>83</v>
      </c>
      <c r="H78" s="95">
        <f t="shared" ca="1" si="16"/>
        <v>45373</v>
      </c>
      <c r="I78" s="119">
        <f ca="1">HLOOKUP($H$4,'Met Data'!$A$2:$F$368,G78,FALSE)</f>
        <v>13.9808823529411</v>
      </c>
      <c r="J78" s="119">
        <f ca="1">HLOOKUP($H$4,'Met Data'!$H$2:$M$368,G78,FALSE)*L78</f>
        <v>2.1911764705882302</v>
      </c>
      <c r="K78" s="96">
        <f ca="1">HLOOKUP($H$4,'Met Data'!$O$2:$T$368,G78,FALSE)</f>
        <v>2.9655145666728702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45418</v>
      </c>
      <c r="Q78">
        <f ca="1"/>
        <v>77.205587558580646</v>
      </c>
      <c r="R78">
        <f ca="1"/>
        <v>2.3706626253608398</v>
      </c>
      <c r="S78">
        <f ca="1"/>
        <v>4.1354392612561242E-2</v>
      </c>
      <c r="T78">
        <f ca="1"/>
        <v>0.27032452347345182</v>
      </c>
      <c r="U78">
        <f ca="1"/>
        <v>0</v>
      </c>
      <c r="V78">
        <f ca="1"/>
        <v>76.616777038215304</v>
      </c>
      <c r="W78">
        <f ca="1"/>
        <v>19.4873106814591</v>
      </c>
      <c r="X78">
        <f ca="1"/>
        <v>0</v>
      </c>
      <c r="Y78">
        <f ca="1"/>
        <v>0.33533094268985075</v>
      </c>
      <c r="Z78">
        <f ca="1"/>
        <v>0</v>
      </c>
      <c r="AA78">
        <f ca="1"/>
        <v>0</v>
      </c>
      <c r="AB78">
        <f ca="1"/>
        <v>0.99997775046336801</v>
      </c>
      <c r="AD78" s="2">
        <f t="shared" ca="1" si="12"/>
        <v>45418</v>
      </c>
      <c r="AE78">
        <f t="shared" ca="1" si="13"/>
        <v>0</v>
      </c>
      <c r="AG78" s="63">
        <f t="shared" ca="1" si="17"/>
        <v>79.576250183941482</v>
      </c>
      <c r="AH78" s="63">
        <f t="shared" ca="1" si="18"/>
        <v>79.576250183941482</v>
      </c>
      <c r="AI78" s="3">
        <f t="shared" ca="1" si="19"/>
        <v>0</v>
      </c>
    </row>
    <row r="79" spans="7:35">
      <c r="G79" s="3">
        <f t="shared" ca="1" si="14"/>
        <v>84</v>
      </c>
      <c r="H79" s="95">
        <f t="shared" ca="1" si="16"/>
        <v>45374</v>
      </c>
      <c r="I79" s="119">
        <f ca="1">HLOOKUP($H$4,'Met Data'!$A$2:$F$368,G79,FALSE)</f>
        <v>14.1040998217468</v>
      </c>
      <c r="J79" s="119">
        <f ca="1">HLOOKUP($H$4,'Met Data'!$H$2:$M$368,G79,FALSE)*L79</f>
        <v>1.0235294117647</v>
      </c>
      <c r="K79" s="96">
        <f ca="1">HLOOKUP($H$4,'Met Data'!$O$2:$T$368,G79,FALSE)</f>
        <v>3.1669873410987299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45419</v>
      </c>
      <c r="Q79">
        <f ca="1"/>
        <v>75.29877736071785</v>
      </c>
      <c r="R79">
        <f ca="1"/>
        <v>2.1954101632909202</v>
      </c>
      <c r="S79">
        <f ca="1"/>
        <v>3.6904518115392193E-2</v>
      </c>
      <c r="T79">
        <f ca="1"/>
        <v>0.25169544731272631</v>
      </c>
      <c r="U79">
        <f ca="1"/>
        <v>0</v>
      </c>
      <c r="V79">
        <f ca="1"/>
        <v>78.812187201506205</v>
      </c>
      <c r="W79">
        <f ca="1"/>
        <v>20.0457084838614</v>
      </c>
      <c r="X79">
        <f ca="1"/>
        <v>0</v>
      </c>
      <c r="Y79">
        <f ca="1"/>
        <v>0.36049667054866508</v>
      </c>
      <c r="Z79">
        <f ca="1"/>
        <v>0</v>
      </c>
      <c r="AA79">
        <f ca="1"/>
        <v>0</v>
      </c>
      <c r="AB79">
        <f ca="1"/>
        <v>0.99998209476537203</v>
      </c>
      <c r="AD79" s="2">
        <f t="shared" ca="1" si="12"/>
        <v>45419</v>
      </c>
      <c r="AE79">
        <f t="shared" ca="1" si="13"/>
        <v>0</v>
      </c>
      <c r="AG79" s="63">
        <f t="shared" ca="1" si="17"/>
        <v>77.494187524008765</v>
      </c>
      <c r="AH79" s="63">
        <f t="shared" ca="1" si="18"/>
        <v>77.494187524008765</v>
      </c>
      <c r="AI79" s="3">
        <f t="shared" ca="1" si="19"/>
        <v>0</v>
      </c>
    </row>
    <row r="80" spans="7:35">
      <c r="G80" s="3">
        <f t="shared" ca="1" si="14"/>
        <v>85</v>
      </c>
      <c r="H80" s="95">
        <f t="shared" ca="1" si="16"/>
        <v>45375</v>
      </c>
      <c r="I80" s="119">
        <f ca="1">HLOOKUP($H$4,'Met Data'!$A$2:$F$368,G80,FALSE)</f>
        <v>14.397058823529401</v>
      </c>
      <c r="J80" s="119">
        <f ca="1">HLOOKUP($H$4,'Met Data'!$H$2:$M$368,G80,FALSE)*L80</f>
        <v>2.0852941176470501</v>
      </c>
      <c r="K80" s="96">
        <f ca="1">HLOOKUP($H$4,'Met Data'!$O$2:$T$368,G80,FALSE)</f>
        <v>3.15831903524233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45420</v>
      </c>
      <c r="Q80">
        <f ca="1"/>
        <v>73.308061369720207</v>
      </c>
      <c r="R80">
        <f ca="1"/>
        <v>2.2766726794697099</v>
      </c>
      <c r="S80">
        <f ca="1"/>
        <v>3.5285814353244405E-2</v>
      </c>
      <c r="T80">
        <f ca="1"/>
        <v>0.2506708741188185</v>
      </c>
      <c r="U80">
        <f ca="1"/>
        <v>0</v>
      </c>
      <c r="V80">
        <f ca="1"/>
        <v>81.088859880975903</v>
      </c>
      <c r="W80">
        <f ca="1"/>
        <v>20.6247752305961</v>
      </c>
      <c r="X80">
        <f ca="1"/>
        <v>0</v>
      </c>
      <c r="Y80">
        <f ca="1"/>
        <v>0.34520615390442483</v>
      </c>
      <c r="Z80">
        <f ca="1"/>
        <v>0</v>
      </c>
      <c r="AA80">
        <f ca="1"/>
        <v>0</v>
      </c>
      <c r="AB80">
        <f ca="1"/>
        <v>0.99998563689005604</v>
      </c>
      <c r="AD80" s="2">
        <f t="shared" ca="1" si="12"/>
        <v>45420</v>
      </c>
      <c r="AE80">
        <f t="shared" ca="1" si="13"/>
        <v>0</v>
      </c>
      <c r="AG80" s="63">
        <f t="shared" ca="1" si="17"/>
        <v>75.584734049189919</v>
      </c>
      <c r="AH80" s="63">
        <f t="shared" ca="1" si="18"/>
        <v>75.584734049189919</v>
      </c>
      <c r="AI80" s="3">
        <f t="shared" ca="1" si="19"/>
        <v>0</v>
      </c>
    </row>
    <row r="81" spans="7:35">
      <c r="G81" s="3">
        <f t="shared" ca="1" si="14"/>
        <v>86</v>
      </c>
      <c r="H81" s="95">
        <f t="shared" ca="1" si="16"/>
        <v>45376</v>
      </c>
      <c r="I81" s="119">
        <f ca="1">HLOOKUP($H$4,'Met Data'!$A$2:$F$368,G81,FALSE)</f>
        <v>13.613235294117599</v>
      </c>
      <c r="J81" s="119">
        <f ca="1">HLOOKUP($H$4,'Met Data'!$H$2:$M$368,G81,FALSE)*L81</f>
        <v>0.36764705882352899</v>
      </c>
      <c r="K81" s="96">
        <f ca="1">HLOOKUP($H$4,'Met Data'!$O$2:$T$368,G81,FALSE)</f>
        <v>2.9834653601225298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45421</v>
      </c>
      <c r="Q81">
        <f ca="1"/>
        <v>71.295147883001377</v>
      </c>
      <c r="R81">
        <f ca="1"/>
        <v>2.2977404226955098</v>
      </c>
      <c r="S81">
        <f ca="1"/>
        <v>3.3913190585536768E-2</v>
      </c>
      <c r="T81">
        <f ca="1"/>
        <v>0.25091374539115108</v>
      </c>
      <c r="U81">
        <f ca="1"/>
        <v>0</v>
      </c>
      <c r="V81">
        <f ca="1"/>
        <v>83.386600303671401</v>
      </c>
      <c r="W81">
        <f ca="1"/>
        <v>21.2092005120208</v>
      </c>
      <c r="X81">
        <f ca="1"/>
        <v>0</v>
      </c>
      <c r="Y81">
        <f ca="1"/>
        <v>0.35594680622854696</v>
      </c>
      <c r="Z81">
        <f ca="1"/>
        <v>0</v>
      </c>
      <c r="AA81">
        <f ca="1"/>
        <v>0</v>
      </c>
      <c r="AB81">
        <f ca="1"/>
        <v>0.99998844758277505</v>
      </c>
      <c r="AD81" s="2">
        <f t="shared" ca="1" si="12"/>
        <v>45421</v>
      </c>
      <c r="AE81">
        <f t="shared" ca="1" si="13"/>
        <v>0</v>
      </c>
      <c r="AG81" s="63">
        <f t="shared" ca="1" si="17"/>
        <v>73.592888305696889</v>
      </c>
      <c r="AH81" s="63">
        <f t="shared" ca="1" si="18"/>
        <v>73.592888305696889</v>
      </c>
      <c r="AI81" s="3">
        <f t="shared" ca="1" si="19"/>
        <v>0</v>
      </c>
    </row>
    <row r="82" spans="7:35">
      <c r="G82" s="3">
        <f t="shared" ca="1" si="14"/>
        <v>87</v>
      </c>
      <c r="H82" s="95">
        <f t="shared" ca="1" si="16"/>
        <v>45377</v>
      </c>
      <c r="I82" s="119">
        <f ca="1">HLOOKUP($H$4,'Met Data'!$A$2:$F$368,G82,FALSE)</f>
        <v>14.4676470588235</v>
      </c>
      <c r="J82" s="119">
        <f ca="1">HLOOKUP($H$4,'Met Data'!$H$2:$M$368,G82,FALSE)*L82</f>
        <v>1.0823529411764701</v>
      </c>
      <c r="K82" s="96">
        <f ca="1">HLOOKUP($H$4,'Met Data'!$O$2:$T$368,G82,FALSE)</f>
        <v>2.8333092043964401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45422</v>
      </c>
      <c r="Q82">
        <f ca="1"/>
        <v>69.157448615934982</v>
      </c>
      <c r="R82">
        <f ca="1"/>
        <v>2.42585969540362</v>
      </c>
      <c r="S82">
        <f ca="1"/>
        <v>3.3092217472102448E-2</v>
      </c>
      <c r="T82">
        <f ca="1"/>
        <v>0.25506821086512232</v>
      </c>
      <c r="U82">
        <f ca="1"/>
        <v>0</v>
      </c>
      <c r="V82">
        <f ca="1"/>
        <v>85.812459999075003</v>
      </c>
      <c r="W82">
        <f ca="1"/>
        <v>21.8262126519387</v>
      </c>
      <c r="X82">
        <f ca="1"/>
        <v>0</v>
      </c>
      <c r="Y82">
        <f ca="1"/>
        <v>0.3422135038489903</v>
      </c>
      <c r="Z82">
        <f ca="1"/>
        <v>0</v>
      </c>
      <c r="AA82">
        <f ca="1"/>
        <v>0</v>
      </c>
      <c r="AB82">
        <f ca="1"/>
        <v>0.99999077604013198</v>
      </c>
      <c r="AD82" s="2">
        <f t="shared" ca="1" si="12"/>
        <v>45422</v>
      </c>
      <c r="AE82">
        <f t="shared" ca="1" si="13"/>
        <v>0</v>
      </c>
      <c r="AG82" s="63">
        <f t="shared" ca="1" si="17"/>
        <v>71.583308311338598</v>
      </c>
      <c r="AH82" s="63">
        <f t="shared" ca="1" si="18"/>
        <v>71.583308311338598</v>
      </c>
      <c r="AI82" s="3">
        <f t="shared" ca="1" si="19"/>
        <v>0</v>
      </c>
    </row>
    <row r="83" spans="7:35">
      <c r="G83" s="3">
        <f t="shared" ca="1" si="14"/>
        <v>88</v>
      </c>
      <c r="H83" s="95">
        <f t="shared" ca="1" si="16"/>
        <v>45378</v>
      </c>
      <c r="I83" s="119">
        <f ca="1">HLOOKUP($H$4,'Met Data'!$A$2:$F$368,G83,FALSE)</f>
        <v>14.926470588235199</v>
      </c>
      <c r="J83" s="119">
        <f ca="1">HLOOKUP($H$4,'Met Data'!$H$2:$M$368,G83,FALSE)*L83</f>
        <v>0.94705882352941095</v>
      </c>
      <c r="K83" s="96">
        <f ca="1">HLOOKUP($H$4,'Met Data'!$O$2:$T$368,G83,FALSE)</f>
        <v>3.21972745270357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45423</v>
      </c>
      <c r="Q83">
        <f ca="1"/>
        <v>66.892035041145533</v>
      </c>
      <c r="R83">
        <f ca="1"/>
        <v>2.56334425687281</v>
      </c>
      <c r="S83">
        <f ca="1"/>
        <v>3.2963314063565008E-2</v>
      </c>
      <c r="T83">
        <f ca="1"/>
        <v>0.26496736801979587</v>
      </c>
      <c r="U83">
        <f ca="1"/>
        <v>0</v>
      </c>
      <c r="V83">
        <f ca="1"/>
        <v>88.375804255947898</v>
      </c>
      <c r="W83">
        <f ca="1"/>
        <v>22.4781936911867</v>
      </c>
      <c r="X83">
        <f ca="1"/>
        <v>0</v>
      </c>
      <c r="Y83">
        <f ca="1"/>
        <v>0.34528528305600287</v>
      </c>
      <c r="Z83">
        <f ca="1"/>
        <v>0</v>
      </c>
      <c r="AA83">
        <f ca="1"/>
        <v>0</v>
      </c>
      <c r="AB83">
        <f ca="1"/>
        <v>0.999992691690057</v>
      </c>
      <c r="AD83" s="2">
        <f t="shared" ca="1" si="12"/>
        <v>45423</v>
      </c>
      <c r="AE83">
        <f t="shared" ca="1" si="13"/>
        <v>0</v>
      </c>
      <c r="AG83" s="63">
        <f t="shared" ca="1" si="17"/>
        <v>69.455379298018343</v>
      </c>
      <c r="AH83" s="63">
        <f t="shared" ca="1" si="18"/>
        <v>69.455379298018343</v>
      </c>
      <c r="AI83" s="3">
        <f t="shared" ca="1" si="19"/>
        <v>0</v>
      </c>
    </row>
    <row r="84" spans="7:35">
      <c r="G84" s="3">
        <f t="shared" ca="1" si="14"/>
        <v>89</v>
      </c>
      <c r="H84" s="95">
        <f t="shared" ca="1" si="16"/>
        <v>45379</v>
      </c>
      <c r="I84" s="119">
        <f ca="1">HLOOKUP($H$4,'Met Data'!$A$2:$F$368,G84,FALSE)</f>
        <v>14.8691176470588</v>
      </c>
      <c r="J84" s="119">
        <f ca="1">HLOOKUP($H$4,'Met Data'!$H$2:$M$368,G84,FALSE)*L84</f>
        <v>1.0558823529411701</v>
      </c>
      <c r="K84" s="96">
        <f ca="1">HLOOKUP($H$4,'Met Data'!$O$2:$T$368,G84,FALSE)</f>
        <v>3.2466735955910102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45424</v>
      </c>
      <c r="Q84">
        <f ca="1"/>
        <v>64.708853011302139</v>
      </c>
      <c r="R84">
        <f ca="1"/>
        <v>2.4592454345447501</v>
      </c>
      <c r="S84">
        <f ca="1"/>
        <v>2.9441914278365289E-2</v>
      </c>
      <c r="T84">
        <f ca="1"/>
        <v>0.24662149042300055</v>
      </c>
      <c r="U84">
        <f ca="1"/>
        <v>0</v>
      </c>
      <c r="V84">
        <f ca="1"/>
        <v>90.835049690492596</v>
      </c>
      <c r="W84">
        <f ca="1"/>
        <v>23.103697421277499</v>
      </c>
      <c r="X84">
        <f ca="1"/>
        <v>0</v>
      </c>
      <c r="Y84">
        <f ca="1"/>
        <v>0.33800607152822576</v>
      </c>
      <c r="Z84">
        <f ca="1"/>
        <v>0</v>
      </c>
      <c r="AA84">
        <f ca="1"/>
        <v>0</v>
      </c>
      <c r="AB84">
        <f ca="1"/>
        <v>0.99999412762154005</v>
      </c>
      <c r="AD84" s="2">
        <f t="shared" ca="1" si="12"/>
        <v>45424</v>
      </c>
      <c r="AE84">
        <f t="shared" ca="1" si="13"/>
        <v>0</v>
      </c>
      <c r="AG84" s="63">
        <f t="shared" ca="1" si="17"/>
        <v>67.168098445846894</v>
      </c>
      <c r="AH84" s="63">
        <f t="shared" ca="1" si="18"/>
        <v>67.168098445846894</v>
      </c>
      <c r="AI84" s="3">
        <f t="shared" ca="1" si="19"/>
        <v>0</v>
      </c>
    </row>
    <row r="85" spans="7:35">
      <c r="G85" s="3">
        <f t="shared" ca="1" si="14"/>
        <v>90</v>
      </c>
      <c r="H85" s="95">
        <f t="shared" ca="1" si="16"/>
        <v>45380</v>
      </c>
      <c r="I85" s="119">
        <f ca="1">HLOOKUP($H$4,'Met Data'!$A$2:$F$368,G85,FALSE)</f>
        <v>14.9382352941176</v>
      </c>
      <c r="J85" s="119">
        <f ca="1">HLOOKUP($H$4,'Met Data'!$H$2:$M$368,G85,FALSE)*L85</f>
        <v>2.7852941176470498</v>
      </c>
      <c r="K85" s="96">
        <f ca="1">HLOOKUP($H$4,'Met Data'!$O$2:$T$368,G85,FALSE)</f>
        <v>3.4072037420100298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45425</v>
      </c>
      <c r="Q85">
        <f ca="1"/>
        <v>62.503002055594408</v>
      </c>
      <c r="R85">
        <f ca="1"/>
        <v>2.47804807171185</v>
      </c>
      <c r="S85">
        <f ca="1"/>
        <v>2.8022282434875478E-2</v>
      </c>
      <c r="T85">
        <f ca="1"/>
        <v>0.24417483356924183</v>
      </c>
      <c r="U85">
        <f ca="1"/>
        <v>0</v>
      </c>
      <c r="V85">
        <f ca="1"/>
        <v>93.313097762204507</v>
      </c>
      <c r="W85">
        <f ca="1"/>
        <v>23.733983561256402</v>
      </c>
      <c r="X85">
        <f ca="1"/>
        <v>0</v>
      </c>
      <c r="Y85">
        <f ca="1"/>
        <v>0.33954437087839523</v>
      </c>
      <c r="Z85">
        <f ca="1"/>
        <v>0</v>
      </c>
      <c r="AA85">
        <f ca="1"/>
        <v>0</v>
      </c>
      <c r="AB85">
        <f ca="1"/>
        <v>0.99999526914443204</v>
      </c>
      <c r="AD85" s="2">
        <f t="shared" ca="1" si="12"/>
        <v>45425</v>
      </c>
      <c r="AE85">
        <f t="shared" ca="1" si="13"/>
        <v>0</v>
      </c>
      <c r="AG85" s="63">
        <f t="shared" ca="1" si="17"/>
        <v>64.981050127306261</v>
      </c>
      <c r="AH85" s="63">
        <f t="shared" ca="1" si="18"/>
        <v>64.981050127306261</v>
      </c>
      <c r="AI85" s="3">
        <f t="shared" ca="1" si="19"/>
        <v>0</v>
      </c>
    </row>
    <row r="86" spans="7:35">
      <c r="G86" s="3">
        <f t="shared" ca="1" si="14"/>
        <v>91</v>
      </c>
      <c r="H86" s="95">
        <f t="shared" ca="1" si="16"/>
        <v>45381</v>
      </c>
      <c r="I86" s="119">
        <f ca="1">HLOOKUP($H$4,'Met Data'!$A$2:$F$368,G86,FALSE)</f>
        <v>14.0308823529411</v>
      </c>
      <c r="J86" s="119">
        <f ca="1">HLOOKUP($H$4,'Met Data'!$H$2:$M$368,G86,FALSE)*L86</f>
        <v>1.8794117647058799</v>
      </c>
      <c r="K86" s="96">
        <f ca="1">HLOOKUP($H$4,'Met Data'!$O$2:$T$368,G86,FALSE)</f>
        <v>3.0552812923505202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45426</v>
      </c>
      <c r="Q86">
        <f ca="1"/>
        <v>60.340451712244231</v>
      </c>
      <c r="R86">
        <f ca="1"/>
        <v>2.42254054326723</v>
      </c>
      <c r="S86">
        <f ca="1"/>
        <v>2.5858568580702013E-2</v>
      </c>
      <c r="T86">
        <f ca="1"/>
        <v>0.23413163133635237</v>
      </c>
      <c r="U86">
        <f ca="1"/>
        <v>0</v>
      </c>
      <c r="V86">
        <f ca="1"/>
        <v>95.735638305471696</v>
      </c>
      <c r="W86">
        <f ca="1"/>
        <v>24.350151482043898</v>
      </c>
      <c r="X86">
        <f ca="1"/>
        <v>0</v>
      </c>
      <c r="Y86">
        <f ca="1"/>
        <v>0.33800920975395038</v>
      </c>
      <c r="Z86">
        <f ca="1"/>
        <v>0</v>
      </c>
      <c r="AA86">
        <f ca="1"/>
        <v>0</v>
      </c>
      <c r="AB86">
        <f ca="1"/>
        <v>0.99999615528394503</v>
      </c>
      <c r="AD86" s="2">
        <f t="shared" ca="1" si="12"/>
        <v>45426</v>
      </c>
      <c r="AE86">
        <f t="shared" ca="1" si="13"/>
        <v>0</v>
      </c>
      <c r="AG86" s="63">
        <f t="shared" ca="1" si="17"/>
        <v>62.762992255511463</v>
      </c>
      <c r="AH86" s="63">
        <f t="shared" ca="1" si="18"/>
        <v>62.762992255511463</v>
      </c>
      <c r="AI86" s="3">
        <f t="shared" ca="1" si="19"/>
        <v>0</v>
      </c>
    </row>
    <row r="87" spans="7:35">
      <c r="G87" s="3">
        <f t="shared" ca="1" si="14"/>
        <v>92</v>
      </c>
      <c r="H87" s="95">
        <f t="shared" ca="1" si="16"/>
        <v>45382</v>
      </c>
      <c r="I87" s="119">
        <f ca="1">HLOOKUP($H$4,'Met Data'!$A$2:$F$368,G87,FALSE)</f>
        <v>13.4647058823529</v>
      </c>
      <c r="J87" s="119">
        <f ca="1">HLOOKUP($H$4,'Met Data'!$H$2:$M$368,G87,FALSE)*L87</f>
        <v>1.0852941176470501</v>
      </c>
      <c r="K87" s="96">
        <f ca="1">HLOOKUP($H$4,'Met Data'!$O$2:$T$368,G87,FALSE)</f>
        <v>3.01312511683413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45427</v>
      </c>
      <c r="Q87">
        <f ca="1"/>
        <v>58.005924689780947</v>
      </c>
      <c r="R87">
        <f ca="1"/>
        <v>2.6096524122412599</v>
      </c>
      <c r="S87">
        <f ca="1"/>
        <v>2.6427160986372655E-2</v>
      </c>
      <c r="T87">
        <f ca="1"/>
        <v>0.24869822879160478</v>
      </c>
      <c r="U87">
        <f ca="1"/>
        <v>0</v>
      </c>
      <c r="V87">
        <f ca="1"/>
        <v>98.345290717712999</v>
      </c>
      <c r="W87">
        <f ca="1"/>
        <v>25.013910899940001</v>
      </c>
      <c r="X87">
        <f ca="1"/>
        <v>0</v>
      </c>
      <c r="Y87">
        <f ca="1"/>
        <v>0.34270478884757027</v>
      </c>
      <c r="Z87">
        <f ca="1"/>
        <v>0</v>
      </c>
      <c r="AA87">
        <f ca="1"/>
        <v>0</v>
      </c>
      <c r="AB87">
        <f ca="1"/>
        <v>0.99999691255288004</v>
      </c>
      <c r="AD87" s="2">
        <f t="shared" ca="1" si="12"/>
        <v>45427</v>
      </c>
      <c r="AE87">
        <f t="shared" ca="1" si="13"/>
        <v>0</v>
      </c>
      <c r="AG87" s="63">
        <f t="shared" ca="1" si="17"/>
        <v>60.615577102022208</v>
      </c>
      <c r="AH87" s="63">
        <f t="shared" ca="1" si="18"/>
        <v>60.615577102022208</v>
      </c>
      <c r="AI87" s="3">
        <f t="shared" ca="1" si="19"/>
        <v>0</v>
      </c>
    </row>
    <row r="88" spans="7:35">
      <c r="G88" s="3">
        <f t="shared" ca="1" si="14"/>
        <v>93</v>
      </c>
      <c r="H88" s="95">
        <f t="shared" ca="1" si="16"/>
        <v>45383</v>
      </c>
      <c r="I88" s="119">
        <f ca="1">HLOOKUP($H$4,'Met Data'!$A$2:$F$368,G88,FALSE)</f>
        <v>14.017647058823499</v>
      </c>
      <c r="J88" s="119">
        <f ca="1">HLOOKUP($H$4,'Met Data'!$H$2:$M$368,G88,FALSE)*L88</f>
        <v>0.94117647058823495</v>
      </c>
      <c r="K88" s="96">
        <f ca="1">HLOOKUP($H$4,'Met Data'!$O$2:$T$368,G88,FALSE)</f>
        <v>3.2186093862229201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45428</v>
      </c>
      <c r="Q88">
        <f ca="1"/>
        <v>55.842278361560787</v>
      </c>
      <c r="R88">
        <f ca="1"/>
        <v>2.4212794790190602</v>
      </c>
      <c r="S88">
        <f ca="1"/>
        <v>2.389935756374939E-2</v>
      </c>
      <c r="T88">
        <f ca="1"/>
        <v>0.23373379323515273</v>
      </c>
      <c r="U88">
        <f ca="1"/>
        <v>0</v>
      </c>
      <c r="V88">
        <f ca="1"/>
        <v>100.766570196732</v>
      </c>
      <c r="W88">
        <f ca="1"/>
        <v>25.629758071777498</v>
      </c>
      <c r="X88">
        <f ca="1"/>
        <v>0</v>
      </c>
      <c r="Y88">
        <f ca="1"/>
        <v>0.36512839416070131</v>
      </c>
      <c r="Z88">
        <f ca="1"/>
        <v>0</v>
      </c>
      <c r="AA88">
        <f ca="1"/>
        <v>0</v>
      </c>
      <c r="AB88">
        <f ca="1"/>
        <v>0.99999747210716705</v>
      </c>
      <c r="AD88" s="2">
        <f t="shared" ca="1" si="12"/>
        <v>45428</v>
      </c>
      <c r="AE88">
        <f t="shared" ca="1" si="13"/>
        <v>0</v>
      </c>
      <c r="AG88" s="63">
        <f t="shared" ca="1" si="17"/>
        <v>58.26355784057985</v>
      </c>
      <c r="AH88" s="63">
        <f t="shared" ca="1" si="18"/>
        <v>58.26355784057985</v>
      </c>
      <c r="AI88" s="3">
        <f t="shared" ca="1" si="19"/>
        <v>0</v>
      </c>
    </row>
    <row r="89" spans="7:35">
      <c r="G89" s="3">
        <f t="shared" ca="1" si="14"/>
        <v>94</v>
      </c>
      <c r="H89" s="95">
        <f t="shared" ca="1" si="16"/>
        <v>45384</v>
      </c>
      <c r="I89" s="119">
        <f ca="1">HLOOKUP($H$4,'Met Data'!$A$2:$F$368,G89,FALSE)</f>
        <v>13.6090909090909</v>
      </c>
      <c r="J89" s="119">
        <f ca="1">HLOOKUP($H$4,'Met Data'!$H$2:$M$368,G89,FALSE)*L89</f>
        <v>1.49117647058823</v>
      </c>
      <c r="K89" s="96">
        <f ca="1">HLOOKUP($H$4,'Met Data'!$O$2:$T$368,G89,FALSE)</f>
        <v>3.07176916757397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45429</v>
      </c>
      <c r="Q89">
        <f ca="1"/>
        <v>53.693430190009209</v>
      </c>
      <c r="R89">
        <f ca="1"/>
        <v>2.4001232949067299</v>
      </c>
      <c r="S89">
        <f ca="1"/>
        <v>2.2543380094703025E-2</v>
      </c>
      <c r="T89">
        <f ca="1"/>
        <v>0.22873174326044976</v>
      </c>
      <c r="U89">
        <f ca="1"/>
        <v>0</v>
      </c>
      <c r="V89">
        <f ca="1"/>
        <v>103.16669349163899</v>
      </c>
      <c r="W89">
        <f ca="1"/>
        <v>26.240224214177701</v>
      </c>
      <c r="X89">
        <f ca="1"/>
        <v>0</v>
      </c>
      <c r="Y89">
        <f ca="1"/>
        <v>0.36644005076488201</v>
      </c>
      <c r="Z89">
        <f ca="1"/>
        <v>0</v>
      </c>
      <c r="AA89">
        <f ca="1"/>
        <v>0</v>
      </c>
      <c r="AB89">
        <f ca="1"/>
        <v>0.99999791999190901</v>
      </c>
      <c r="AD89" s="2">
        <f t="shared" ca="1" si="12"/>
        <v>45429</v>
      </c>
      <c r="AE89">
        <f t="shared" ca="1" si="13"/>
        <v>0</v>
      </c>
      <c r="AG89" s="63">
        <f t="shared" ca="1" si="17"/>
        <v>56.093553484915937</v>
      </c>
      <c r="AH89" s="63">
        <f t="shared" ca="1" si="18"/>
        <v>56.093553484915937</v>
      </c>
      <c r="AI89" s="3">
        <f t="shared" ca="1" si="19"/>
        <v>0</v>
      </c>
    </row>
    <row r="90" spans="7:35">
      <c r="G90" s="3">
        <f t="shared" ca="1" si="14"/>
        <v>95</v>
      </c>
      <c r="H90" s="95">
        <f t="shared" ca="1" si="16"/>
        <v>45385</v>
      </c>
      <c r="I90" s="119">
        <f ca="1">HLOOKUP($H$4,'Met Data'!$A$2:$F$368,G90,FALSE)</f>
        <v>13.085294117647001</v>
      </c>
      <c r="J90" s="119">
        <f ca="1">HLOOKUP($H$4,'Met Data'!$H$2:$M$368,G90,FALSE)*L90</f>
        <v>1.72941176470588</v>
      </c>
      <c r="K90" s="96">
        <f ca="1">HLOOKUP($H$4,'Met Data'!$O$2:$T$368,G90,FALSE)</f>
        <v>2.7784232053438802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45430</v>
      </c>
      <c r="Q90">
        <f ca="1"/>
        <v>51.428897904825504</v>
      </c>
      <c r="R90">
        <f ca="1"/>
        <v>2.5239648740684801</v>
      </c>
      <c r="S90">
        <f ca="1"/>
        <v>2.2504975540158512E-2</v>
      </c>
      <c r="T90">
        <f ca="1"/>
        <v>0.23692761334461795</v>
      </c>
      <c r="U90">
        <f ca="1"/>
        <v>0</v>
      </c>
      <c r="V90">
        <f ca="1"/>
        <v>105.69065836570699</v>
      </c>
      <c r="W90">
        <f ca="1"/>
        <v>26.882189193016799</v>
      </c>
      <c r="X90">
        <f ca="1"/>
        <v>0</v>
      </c>
      <c r="Y90">
        <f ca="1"/>
        <v>0.3690529279044043</v>
      </c>
      <c r="Z90">
        <f ca="1"/>
        <v>0</v>
      </c>
      <c r="AA90">
        <f ca="1"/>
        <v>0</v>
      </c>
      <c r="AB90">
        <f ca="1"/>
        <v>0.99999830014466295</v>
      </c>
      <c r="AD90" s="2">
        <f t="shared" ca="1" si="12"/>
        <v>45430</v>
      </c>
      <c r="AE90">
        <f t="shared" ca="1" si="13"/>
        <v>0</v>
      </c>
      <c r="AG90" s="63">
        <f t="shared" ca="1" si="17"/>
        <v>53.952862778893987</v>
      </c>
      <c r="AH90" s="63">
        <f t="shared" ca="1" si="18"/>
        <v>53.952862778893987</v>
      </c>
      <c r="AI90" s="3">
        <f t="shared" ca="1" si="19"/>
        <v>0</v>
      </c>
    </row>
    <row r="91" spans="7:35">
      <c r="G91" s="3">
        <f t="shared" ca="1" si="14"/>
        <v>96</v>
      </c>
      <c r="H91" s="95">
        <f t="shared" ca="1" si="16"/>
        <v>45386</v>
      </c>
      <c r="I91" s="119">
        <f ca="1">HLOOKUP($H$4,'Met Data'!$A$2:$F$368,G91,FALSE)</f>
        <v>12.85</v>
      </c>
      <c r="J91" s="119">
        <f ca="1">HLOOKUP($H$4,'Met Data'!$H$2:$M$368,G91,FALSE)*L91</f>
        <v>1.3441176470588201</v>
      </c>
      <c r="K91" s="96">
        <f ca="1">HLOOKUP($H$4,'Met Data'!$O$2:$T$368,G91,FALSE)</f>
        <v>2.61431180626996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45431</v>
      </c>
      <c r="Q91">
        <f ca="1"/>
        <v>49.108704037494782</v>
      </c>
      <c r="R91">
        <f ca="1"/>
        <v>2.5837703465180399</v>
      </c>
      <c r="S91">
        <f ca="1"/>
        <v>2.2087464298081727E-2</v>
      </c>
      <c r="T91">
        <f ca="1"/>
        <v>0.24148901488923455</v>
      </c>
      <c r="U91">
        <f ca="1"/>
        <v>0</v>
      </c>
      <c r="V91">
        <f ca="1"/>
        <v>108.274428712225</v>
      </c>
      <c r="W91">
        <f ca="1"/>
        <v>27.539365563761599</v>
      </c>
      <c r="X91">
        <f ca="1"/>
        <v>0</v>
      </c>
      <c r="Y91">
        <f ca="1"/>
        <v>0.37873462776892625</v>
      </c>
      <c r="Z91">
        <f ca="1"/>
        <v>0</v>
      </c>
      <c r="AA91">
        <f ca="1"/>
        <v>0</v>
      </c>
      <c r="AB91">
        <f ca="1"/>
        <v>0.99999861293066705</v>
      </c>
      <c r="AD91" s="2">
        <f t="shared" ca="1" si="12"/>
        <v>45431</v>
      </c>
      <c r="AE91">
        <f t="shared" ca="1" si="13"/>
        <v>0</v>
      </c>
      <c r="AG91" s="63">
        <f t="shared" ca="1" si="17"/>
        <v>51.692474384012819</v>
      </c>
      <c r="AH91" s="63">
        <f t="shared" ca="1" si="18"/>
        <v>51.692474384012819</v>
      </c>
      <c r="AI91" s="3">
        <f t="shared" ca="1" si="19"/>
        <v>0</v>
      </c>
    </row>
    <row r="92" spans="7:35">
      <c r="G92" s="3">
        <f t="shared" ca="1" si="14"/>
        <v>97</v>
      </c>
      <c r="H92" s="95">
        <f t="shared" ca="1" si="16"/>
        <v>45387</v>
      </c>
      <c r="I92" s="119">
        <f ca="1">HLOOKUP($H$4,'Met Data'!$A$2:$F$368,G92,FALSE)</f>
        <v>12.9941176470588</v>
      </c>
      <c r="J92" s="119">
        <f ca="1">HLOOKUP($H$4,'Met Data'!$H$2:$M$368,G92,FALSE)*L92</f>
        <v>2.2911764705882298</v>
      </c>
      <c r="K92" s="96">
        <f ca="1">HLOOKUP($H$4,'Met Data'!$O$2:$T$368,G92,FALSE)</f>
        <v>2.55102036350638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45432</v>
      </c>
      <c r="Q92">
        <f ca="1"/>
        <v>46.820865019926018</v>
      </c>
      <c r="R92">
        <f ca="1"/>
        <v>2.5501280189142799</v>
      </c>
      <c r="S92">
        <f ca="1"/>
        <v>2.1226629349058612E-2</v>
      </c>
      <c r="T92">
        <f ca="1"/>
        <v>0.24106237199645367</v>
      </c>
      <c r="U92">
        <f ca="1"/>
        <v>0</v>
      </c>
      <c r="V92">
        <f ca="1"/>
        <v>110.82455673114001</v>
      </c>
      <c r="W92">
        <f ca="1"/>
        <v>28.187985081615899</v>
      </c>
      <c r="X92">
        <f ca="1"/>
        <v>0</v>
      </c>
      <c r="Y92">
        <f ca="1"/>
        <v>0.3986677936154564</v>
      </c>
      <c r="Z92">
        <f ca="1"/>
        <v>0</v>
      </c>
      <c r="AA92">
        <f ca="1"/>
        <v>0</v>
      </c>
      <c r="AB92">
        <f ca="1"/>
        <v>0.99999886168624397</v>
      </c>
      <c r="AD92" s="2">
        <f t="shared" ca="1" si="12"/>
        <v>45432</v>
      </c>
      <c r="AE92">
        <f t="shared" ca="1" si="13"/>
        <v>0</v>
      </c>
      <c r="AG92" s="63">
        <f t="shared" ca="1" si="17"/>
        <v>49.370993038840297</v>
      </c>
      <c r="AH92" s="63">
        <f t="shared" ca="1" si="18"/>
        <v>49.370993038840297</v>
      </c>
      <c r="AI92" s="3">
        <f t="shared" ca="1" si="19"/>
        <v>0</v>
      </c>
    </row>
    <row r="93" spans="7:35">
      <c r="G93" s="3">
        <f t="shared" ca="1" si="14"/>
        <v>98</v>
      </c>
      <c r="H93" s="95">
        <f t="shared" ca="1" si="16"/>
        <v>45388</v>
      </c>
      <c r="I93" s="119">
        <f ca="1">HLOOKUP($H$4,'Met Data'!$A$2:$F$368,G93,FALSE)</f>
        <v>12.891176470588199</v>
      </c>
      <c r="J93" s="119">
        <f ca="1">HLOOKUP($H$4,'Met Data'!$H$2:$M$368,G93,FALSE)*L93</f>
        <v>3.5058823529411698</v>
      </c>
      <c r="K93" s="96">
        <f ca="1">HLOOKUP($H$4,'Met Data'!$O$2:$T$368,G93,FALSE)</f>
        <v>2.5900977274770201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45433</v>
      </c>
      <c r="Q93">
        <f ca="1"/>
        <v>44.707971086412101</v>
      </c>
      <c r="R93">
        <f ca="1"/>
        <v>2.3557241811398502</v>
      </c>
      <c r="S93">
        <f ca="1"/>
        <v>1.9003269681007851E-2</v>
      </c>
      <c r="T93">
        <f ca="1"/>
        <v>0.2238269779449259</v>
      </c>
      <c r="U93">
        <f ca="1"/>
        <v>0</v>
      </c>
      <c r="V93">
        <f ca="1"/>
        <v>113.180280912279</v>
      </c>
      <c r="W93">
        <f ca="1"/>
        <v>28.787158405949299</v>
      </c>
      <c r="X93">
        <f ca="1"/>
        <v>0</v>
      </c>
      <c r="Y93">
        <f ca="1"/>
        <v>0.40650927073356824</v>
      </c>
      <c r="Z93">
        <f ca="1"/>
        <v>0</v>
      </c>
      <c r="AA93">
        <f ca="1"/>
        <v>0</v>
      </c>
      <c r="AB93">
        <f ca="1"/>
        <v>0.99999904922246496</v>
      </c>
      <c r="AD93" s="2">
        <f t="shared" ca="1" si="12"/>
        <v>45433</v>
      </c>
      <c r="AE93">
        <f t="shared" ca="1" si="13"/>
        <v>0</v>
      </c>
      <c r="AG93" s="63">
        <f t="shared" ca="1" si="17"/>
        <v>47.06369526755195</v>
      </c>
      <c r="AH93" s="63">
        <f t="shared" ca="1" si="18"/>
        <v>47.06369526755195</v>
      </c>
      <c r="AI93" s="3">
        <f t="shared" ca="1" si="19"/>
        <v>0</v>
      </c>
    </row>
    <row r="94" spans="7:35">
      <c r="G94" s="3">
        <f t="shared" ca="1" si="14"/>
        <v>99</v>
      </c>
      <c r="H94" s="95">
        <f t="shared" ca="1" si="16"/>
        <v>45389</v>
      </c>
      <c r="I94" s="119">
        <f ca="1">HLOOKUP($H$4,'Met Data'!$A$2:$F$368,G94,FALSE)</f>
        <v>12.924999999999899</v>
      </c>
      <c r="J94" s="119">
        <f ca="1">HLOOKUP($H$4,'Met Data'!$H$2:$M$368,G94,FALSE)*L94</f>
        <v>2.1029411764705799</v>
      </c>
      <c r="K94" s="96">
        <f ca="1">HLOOKUP($H$4,'Met Data'!$O$2:$T$368,G94,FALSE)</f>
        <v>2.6944935581784701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45434</v>
      </c>
      <c r="Q94">
        <f ca="1"/>
        <v>42.391831461064676</v>
      </c>
      <c r="R94">
        <f ca="1"/>
        <v>2.57677156458386</v>
      </c>
      <c r="S94">
        <f ca="1"/>
        <v>1.972455246233551E-2</v>
      </c>
      <c r="T94">
        <f ca="1"/>
        <v>0.24090738677409546</v>
      </c>
      <c r="U94">
        <f ca="1"/>
        <v>0</v>
      </c>
      <c r="V94">
        <f ca="1"/>
        <v>115.757052476863</v>
      </c>
      <c r="W94">
        <f ca="1"/>
        <v>29.442554651723899</v>
      </c>
      <c r="X94">
        <f ca="1"/>
        <v>0</v>
      </c>
      <c r="Y94">
        <f ca="1"/>
        <v>0.41081549962688046</v>
      </c>
      <c r="Z94">
        <f ca="1"/>
        <v>0</v>
      </c>
      <c r="AA94">
        <f ca="1"/>
        <v>0</v>
      </c>
      <c r="AB94">
        <f ca="1"/>
        <v>0.99999921708339001</v>
      </c>
      <c r="AD94" s="2">
        <f t="shared" ca="1" si="12"/>
        <v>45434</v>
      </c>
      <c r="AE94">
        <f t="shared" ca="1" si="13"/>
        <v>0</v>
      </c>
      <c r="AG94" s="63">
        <f t="shared" ca="1" si="17"/>
        <v>44.968603025648534</v>
      </c>
      <c r="AH94" s="63">
        <f t="shared" ca="1" si="18"/>
        <v>44.968603025648534</v>
      </c>
      <c r="AI94" s="3">
        <f t="shared" ca="1" si="19"/>
        <v>0</v>
      </c>
    </row>
    <row r="95" spans="7:35">
      <c r="G95" s="3">
        <f t="shared" ca="1" si="14"/>
        <v>100</v>
      </c>
      <c r="H95" s="95">
        <f t="shared" ca="1" si="16"/>
        <v>45390</v>
      </c>
      <c r="I95" s="119">
        <f ca="1">HLOOKUP($H$4,'Met Data'!$A$2:$F$368,G95,FALSE)</f>
        <v>12.363235294117599</v>
      </c>
      <c r="J95" s="119">
        <f ca="1">HLOOKUP($H$4,'Met Data'!$H$2:$M$368,G95,FALSE)*L95</f>
        <v>2.8117647058823501</v>
      </c>
      <c r="K95" s="96">
        <f ca="1">HLOOKUP($H$4,'Met Data'!$O$2:$T$368,G95,FALSE)</f>
        <v>2.27410330215878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45435</v>
      </c>
      <c r="Q95">
        <f ca="1"/>
        <v>40.111180014174096</v>
      </c>
      <c r="R95">
        <f ca="1"/>
        <v>2.5476557244351001</v>
      </c>
      <c r="S95">
        <f ca="1"/>
        <v>1.9508906942974136E-2</v>
      </c>
      <c r="T95">
        <f ca="1"/>
        <v>0.24749537060154833</v>
      </c>
      <c r="U95">
        <f ca="1"/>
        <v>0</v>
      </c>
      <c r="V95">
        <f ca="1"/>
        <v>118.304708201298</v>
      </c>
      <c r="W95">
        <f ca="1"/>
        <v>30.090545346852</v>
      </c>
      <c r="X95">
        <f ca="1"/>
        <v>0</v>
      </c>
      <c r="Y95">
        <f ca="1"/>
        <v>0.44962318580144156</v>
      </c>
      <c r="Z95">
        <f ca="1"/>
        <v>0</v>
      </c>
      <c r="AA95">
        <f ca="1"/>
        <v>0</v>
      </c>
      <c r="AB95">
        <f ca="1"/>
        <v>0.99999935221550496</v>
      </c>
      <c r="AD95" s="2">
        <f t="shared" ca="1" si="12"/>
        <v>45435</v>
      </c>
      <c r="AE95">
        <f t="shared" ca="1" si="13"/>
        <v>0</v>
      </c>
      <c r="AG95" s="63">
        <f t="shared" ca="1" si="17"/>
        <v>42.658835738609199</v>
      </c>
      <c r="AH95" s="63">
        <f t="shared" ca="1" si="18"/>
        <v>42.658835738609199</v>
      </c>
      <c r="AI95" s="3">
        <f t="shared" ca="1" si="19"/>
        <v>0</v>
      </c>
    </row>
    <row r="96" spans="7:35">
      <c r="G96" s="3">
        <f t="shared" ca="1" si="14"/>
        <v>101</v>
      </c>
      <c r="H96" s="95">
        <f t="shared" ca="1" si="16"/>
        <v>45391</v>
      </c>
      <c r="I96" s="119">
        <f ca="1">HLOOKUP($H$4,'Met Data'!$A$2:$F$368,G96,FALSE)</f>
        <v>11.3573529411764</v>
      </c>
      <c r="J96" s="119">
        <f ca="1">HLOOKUP($H$4,'Met Data'!$H$2:$M$368,G96,FALSE)*L96</f>
        <v>2.0676470588235198</v>
      </c>
      <c r="K96" s="96">
        <f ca="1">HLOOKUP($H$4,'Met Data'!$O$2:$T$368,G96,FALSE)</f>
        <v>2.42845739075634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45436</v>
      </c>
      <c r="Q96">
        <f ca="1"/>
        <v>37.912692422201033</v>
      </c>
      <c r="R96">
        <f ca="1"/>
        <v>2.4572848792012101</v>
      </c>
      <c r="S96">
        <f ca="1"/>
        <v>1.8257828580559021E-2</v>
      </c>
      <c r="T96">
        <f ca="1"/>
        <v>0.24053945864759177</v>
      </c>
      <c r="U96">
        <f ca="1"/>
        <v>0</v>
      </c>
      <c r="V96">
        <f ca="1"/>
        <v>120.76199308050001</v>
      </c>
      <c r="W96">
        <f ca="1"/>
        <v>30.715550413953199</v>
      </c>
      <c r="X96">
        <f ca="1"/>
        <v>0</v>
      </c>
      <c r="Y96">
        <f ca="1"/>
        <v>0.46110204348585998</v>
      </c>
      <c r="Z96">
        <f ca="1"/>
        <v>0</v>
      </c>
      <c r="AA96">
        <f ca="1"/>
        <v>0</v>
      </c>
      <c r="AB96">
        <f ca="1"/>
        <v>0.99999945916037702</v>
      </c>
      <c r="AD96" s="2">
        <f t="shared" ca="1" si="12"/>
        <v>45436</v>
      </c>
      <c r="AE96">
        <f t="shared" ca="1" si="13"/>
        <v>0</v>
      </c>
      <c r="AG96" s="63">
        <f t="shared" ca="1" si="17"/>
        <v>40.369977301402244</v>
      </c>
      <c r="AH96" s="63">
        <f t="shared" ca="1" si="18"/>
        <v>40.369977301402244</v>
      </c>
      <c r="AI96" s="3">
        <f t="shared" ca="1" si="19"/>
        <v>0</v>
      </c>
    </row>
    <row r="97" spans="7:35">
      <c r="G97" s="3">
        <f t="shared" ca="1" si="14"/>
        <v>102</v>
      </c>
      <c r="H97" s="95">
        <f t="shared" ca="1" si="16"/>
        <v>45392</v>
      </c>
      <c r="I97" s="119">
        <f ca="1">HLOOKUP($H$4,'Met Data'!$A$2:$F$368,G97,FALSE)</f>
        <v>11.6044117647058</v>
      </c>
      <c r="J97" s="119">
        <f ca="1">HLOOKUP($H$4,'Met Data'!$H$2:$M$368,G97,FALSE)*L97</f>
        <v>1.3794117647058799</v>
      </c>
      <c r="K97" s="96">
        <f ca="1">HLOOKUP($H$4,'Met Data'!$O$2:$T$368,G97,FALSE)</f>
        <v>2.30587050945396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45437</v>
      </c>
      <c r="Q97">
        <f ca="1"/>
        <v>35.65188706076151</v>
      </c>
      <c r="R97">
        <f ca="1"/>
        <v>2.5442737940069802</v>
      </c>
      <c r="S97">
        <f ca="1"/>
        <v>1.9288327387158688E-2</v>
      </c>
      <c r="T97">
        <f ca="1"/>
        <v>0.26418010518030477</v>
      </c>
      <c r="U97">
        <f ca="1"/>
        <v>0</v>
      </c>
      <c r="V97">
        <f ca="1"/>
        <v>123.306266874507</v>
      </c>
      <c r="W97">
        <f ca="1"/>
        <v>31.362680922428801</v>
      </c>
      <c r="X97">
        <f ca="1"/>
        <v>0</v>
      </c>
      <c r="Y97">
        <f ca="1"/>
        <v>0.51747263421455536</v>
      </c>
      <c r="Z97">
        <f ca="1"/>
        <v>0</v>
      </c>
      <c r="AA97">
        <f ca="1"/>
        <v>0</v>
      </c>
      <c r="AB97">
        <f ca="1"/>
        <v>0.99999955030605203</v>
      </c>
      <c r="AD97" s="2">
        <f t="shared" ca="1" si="12"/>
        <v>45437</v>
      </c>
      <c r="AE97">
        <f t="shared" ca="1" si="13"/>
        <v>0</v>
      </c>
      <c r="AG97" s="63">
        <f t="shared" ca="1" si="17"/>
        <v>38.196160854768493</v>
      </c>
      <c r="AH97" s="63">
        <f t="shared" ca="1" si="18"/>
        <v>38.196160854768493</v>
      </c>
      <c r="AI97" s="3">
        <f t="shared" ca="1" si="19"/>
        <v>0</v>
      </c>
    </row>
    <row r="98" spans="7:35">
      <c r="G98" s="3">
        <f t="shared" ca="1" si="14"/>
        <v>103</v>
      </c>
      <c r="H98" s="95">
        <f t="shared" ca="1" si="16"/>
        <v>45393</v>
      </c>
      <c r="I98" s="119">
        <f ca="1">HLOOKUP($H$4,'Met Data'!$A$2:$F$368,G98,FALSE)</f>
        <v>11.445454545454499</v>
      </c>
      <c r="J98" s="119">
        <f ca="1">HLOOKUP($H$4,'Met Data'!$H$2:$M$368,G98,FALSE)*L98</f>
        <v>1.8117647058823501</v>
      </c>
      <c r="K98" s="96">
        <f ca="1">HLOOKUP($H$4,'Met Data'!$O$2:$T$368,G98,FALSE)</f>
        <v>2.1258259155745698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45438</v>
      </c>
      <c r="Q98">
        <f ca="1"/>
        <v>33.385448244697464</v>
      </c>
      <c r="R98">
        <f ca="1"/>
        <v>2.5429350799214601</v>
      </c>
      <c r="S98">
        <f ca="1"/>
        <v>1.8124556897646471E-2</v>
      </c>
      <c r="T98">
        <f ca="1"/>
        <v>0.25837170695977163</v>
      </c>
      <c r="U98">
        <f ca="1"/>
        <v>0</v>
      </c>
      <c r="V98">
        <f ca="1"/>
        <v>125.849201954428</v>
      </c>
      <c r="W98">
        <f ca="1"/>
        <v>32.009470931887101</v>
      </c>
      <c r="X98">
        <f ca="1"/>
        <v>0</v>
      </c>
      <c r="Y98">
        <f ca="1"/>
        <v>0.50895015264834487</v>
      </c>
      <c r="Z98">
        <f ca="1"/>
        <v>0</v>
      </c>
      <c r="AA98">
        <f ca="1"/>
        <v>0</v>
      </c>
      <c r="AB98">
        <f ca="1"/>
        <v>0.99999962523706498</v>
      </c>
      <c r="AD98" s="2">
        <f t="shared" ca="1" si="12"/>
        <v>45438</v>
      </c>
      <c r="AE98">
        <f t="shared" ca="1" si="13"/>
        <v>0</v>
      </c>
      <c r="AG98" s="63">
        <f t="shared" ca="1" si="17"/>
        <v>35.928383324618927</v>
      </c>
      <c r="AH98" s="63">
        <f t="shared" ca="1" si="18"/>
        <v>35.928383324618927</v>
      </c>
      <c r="AI98" s="3">
        <f t="shared" ca="1" si="19"/>
        <v>0</v>
      </c>
    </row>
    <row r="99" spans="7:35">
      <c r="G99" s="3">
        <f t="shared" ca="1" si="14"/>
        <v>104</v>
      </c>
      <c r="H99" s="95">
        <f t="shared" ca="1" si="16"/>
        <v>45394</v>
      </c>
      <c r="I99" s="119">
        <f ca="1">HLOOKUP($H$4,'Met Data'!$A$2:$F$368,G99,FALSE)</f>
        <v>11.897058823529401</v>
      </c>
      <c r="J99" s="119">
        <f ca="1">HLOOKUP($H$4,'Met Data'!$H$2:$M$368,G99,FALSE)*L99</f>
        <v>1.4117647058823499</v>
      </c>
      <c r="K99" s="96">
        <f ca="1">HLOOKUP($H$4,'Met Data'!$O$2:$T$368,G99,FALSE)</f>
        <v>2.2855460299238599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45439</v>
      </c>
      <c r="Q99">
        <f ca="1"/>
        <v>31.168228386579816</v>
      </c>
      <c r="R99">
        <f ca="1"/>
        <v>2.49045460456006</v>
      </c>
      <c r="S99">
        <f ca="1"/>
        <v>1.7266912876635843E-2</v>
      </c>
      <c r="T99">
        <f ca="1"/>
        <v>0.25596783356577468</v>
      </c>
      <c r="U99">
        <f ca="1"/>
        <v>0</v>
      </c>
      <c r="V99">
        <f ca="1"/>
        <v>128.339656558988</v>
      </c>
      <c r="W99">
        <f ca="1"/>
        <v>32.642912646525197</v>
      </c>
      <c r="X99">
        <f ca="1"/>
        <v>0</v>
      </c>
      <c r="Y99">
        <f ca="1"/>
        <v>0.52305165916570795</v>
      </c>
      <c r="Z99">
        <f ca="1"/>
        <v>0</v>
      </c>
      <c r="AA99">
        <f ca="1"/>
        <v>0</v>
      </c>
      <c r="AB99">
        <f ca="1"/>
        <v>0.99999968587581201</v>
      </c>
      <c r="AD99" s="2">
        <f t="shared" ca="1" si="12"/>
        <v>45439</v>
      </c>
      <c r="AE99">
        <f t="shared" ca="1" si="13"/>
        <v>0</v>
      </c>
      <c r="AG99" s="63">
        <f t="shared" ca="1" si="17"/>
        <v>33.658682991139877</v>
      </c>
      <c r="AH99" s="63">
        <f t="shared" ca="1" si="18"/>
        <v>33.658682991139877</v>
      </c>
      <c r="AI99" s="3">
        <f t="shared" ca="1" si="19"/>
        <v>0</v>
      </c>
    </row>
    <row r="100" spans="7:35">
      <c r="G100" s="3">
        <f t="shared" ca="1" si="14"/>
        <v>105</v>
      </c>
      <c r="H100" s="95">
        <f t="shared" ca="1" si="16"/>
        <v>45395</v>
      </c>
      <c r="I100" s="119">
        <f ca="1">HLOOKUP($H$4,'Met Data'!$A$2:$F$368,G100,FALSE)</f>
        <v>11.5014705882352</v>
      </c>
      <c r="J100" s="119">
        <f ca="1">HLOOKUP($H$4,'Met Data'!$H$2:$M$368,G100,FALSE)*L100</f>
        <v>1.26470588235294</v>
      </c>
      <c r="K100" s="96">
        <f ca="1">HLOOKUP($H$4,'Met Data'!$O$2:$T$368,G100,FALSE)</f>
        <v>2.1675311808748998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45440</v>
      </c>
      <c r="Q100">
        <f ca="1"/>
        <v>115.88029127715626</v>
      </c>
      <c r="R100">
        <f ca="1"/>
        <v>2.5751689686704302</v>
      </c>
      <c r="S100">
        <f ca="1"/>
        <v>1.7487616892481128E-2</v>
      </c>
      <c r="T100">
        <f ca="1"/>
        <v>0.26974424235439987</v>
      </c>
      <c r="U100">
        <f ca="1"/>
        <v>87</v>
      </c>
      <c r="V100">
        <f ca="1"/>
        <v>130.91482552765899</v>
      </c>
      <c r="W100">
        <f ca="1"/>
        <v>33.297901275513098</v>
      </c>
      <c r="X100">
        <f ca="1"/>
        <v>0</v>
      </c>
      <c r="Y100">
        <f ca="1"/>
        <v>0.54786128308438531</v>
      </c>
      <c r="Z100">
        <f ca="1"/>
        <v>0</v>
      </c>
      <c r="AA100">
        <f ca="1"/>
        <v>0</v>
      </c>
      <c r="AB100">
        <f ca="1"/>
        <v>0.99999973776055695</v>
      </c>
      <c r="AD100" s="2">
        <f t="shared" ca="1" si="12"/>
        <v>45440</v>
      </c>
      <c r="AE100">
        <f t="shared" ca="1" si="13"/>
        <v>87</v>
      </c>
      <c r="AG100" s="63">
        <f t="shared" ca="1" si="17"/>
        <v>118.4554602458267</v>
      </c>
      <c r="AH100" s="63">
        <f t="shared" ca="1" si="18"/>
        <v>118.45546024582669</v>
      </c>
      <c r="AI100" s="3">
        <f t="shared" ca="1" si="19"/>
        <v>0</v>
      </c>
    </row>
    <row r="101" spans="7:35">
      <c r="G101" s="3">
        <f t="shared" ca="1" si="14"/>
        <v>106</v>
      </c>
      <c r="H101" s="95">
        <f t="shared" ca="1" si="16"/>
        <v>45396</v>
      </c>
      <c r="I101" s="119">
        <f ca="1">HLOOKUP($H$4,'Met Data'!$A$2:$F$368,G101,FALSE)</f>
        <v>12.461764705882301</v>
      </c>
      <c r="J101" s="119">
        <f ca="1">HLOOKUP($H$4,'Met Data'!$H$2:$M$368,G101,FALSE)*L101</f>
        <v>0.48529411764705799</v>
      </c>
      <c r="K101" s="96">
        <f ca="1">HLOOKUP($H$4,'Met Data'!$O$2:$T$368,G101,FALSE)</f>
        <v>2.6480171040382698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45441</v>
      </c>
      <c r="Q101">
        <f ca="1"/>
        <v>113.69424232765988</v>
      </c>
      <c r="R101">
        <f ca="1"/>
        <v>2.4613521946909298</v>
      </c>
      <c r="S101">
        <f ca="1"/>
        <v>1.6147326647754312E-2</v>
      </c>
      <c r="T101">
        <f ca="1"/>
        <v>0.25915591854678166</v>
      </c>
      <c r="U101">
        <f ca="1"/>
        <v>0</v>
      </c>
      <c r="V101">
        <f ca="1"/>
        <v>133.37617772234901</v>
      </c>
      <c r="W101">
        <f ca="1"/>
        <v>33.923940855467102</v>
      </c>
      <c r="X101">
        <f ca="1"/>
        <v>0</v>
      </c>
      <c r="Y101">
        <f ca="1"/>
        <v>0.55357042614837093</v>
      </c>
      <c r="Z101">
        <f ca="1"/>
        <v>0</v>
      </c>
      <c r="AA101">
        <f ca="1"/>
        <v>0</v>
      </c>
      <c r="AB101">
        <f ca="1"/>
        <v>0.99999977892779002</v>
      </c>
      <c r="AD101" s="2">
        <f t="shared" ca="1" si="12"/>
        <v>45441</v>
      </c>
      <c r="AE101">
        <f t="shared" ca="1" si="13"/>
        <v>0</v>
      </c>
      <c r="AG101" s="63">
        <f t="shared" ca="1" si="17"/>
        <v>116.1555945223508</v>
      </c>
      <c r="AH101" s="63">
        <f t="shared" ca="1" si="18"/>
        <v>116.15559452235081</v>
      </c>
      <c r="AI101" s="3">
        <f t="shared" ca="1" si="19"/>
        <v>0</v>
      </c>
    </row>
    <row r="102" spans="7:35">
      <c r="G102" s="3">
        <f t="shared" ca="1" si="14"/>
        <v>107</v>
      </c>
      <c r="H102" s="95">
        <f t="shared" ca="1" si="16"/>
        <v>45397</v>
      </c>
      <c r="I102" s="119">
        <f ca="1">HLOOKUP($H$4,'Met Data'!$A$2:$F$368,G102,FALSE)</f>
        <v>12.083823529411699</v>
      </c>
      <c r="J102" s="119">
        <f ca="1">HLOOKUP($H$4,'Met Data'!$H$2:$M$368,G102,FALSE)*L102</f>
        <v>1.1558823529411699</v>
      </c>
      <c r="K102" s="96">
        <f ca="1">HLOOKUP($H$4,'Met Data'!$O$2:$T$368,G102,FALSE)</f>
        <v>2.1774423034333599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45442</v>
      </c>
      <c r="Q102">
        <f ca="1"/>
        <v>111.46381242608147</v>
      </c>
      <c r="R102">
        <f ca="1"/>
        <v>2.5014957620606402</v>
      </c>
      <c r="S102">
        <f ca="1"/>
        <v>1.5334441165933299E-2</v>
      </c>
      <c r="T102">
        <f ca="1"/>
        <v>0.25573141931630966</v>
      </c>
      <c r="U102">
        <f ca="1"/>
        <v>0</v>
      </c>
      <c r="V102">
        <f ca="1"/>
        <v>135.87767348441</v>
      </c>
      <c r="W102">
        <f ca="1"/>
        <v>34.560190864512997</v>
      </c>
      <c r="X102">
        <f ca="1"/>
        <v>0</v>
      </c>
      <c r="Y102">
        <f ca="1"/>
        <v>0.53950498851469753</v>
      </c>
      <c r="Z102">
        <f ca="1"/>
        <v>0</v>
      </c>
      <c r="AA102">
        <f ca="1"/>
        <v>0</v>
      </c>
      <c r="AB102">
        <f ca="1"/>
        <v>0.99999981383603698</v>
      </c>
      <c r="AD102" s="2">
        <f t="shared" ca="1" si="12"/>
        <v>45442</v>
      </c>
      <c r="AE102">
        <f t="shared" ca="1" si="13"/>
        <v>0</v>
      </c>
      <c r="AG102" s="63">
        <f t="shared" ca="1" si="17"/>
        <v>113.96530818814212</v>
      </c>
      <c r="AH102" s="63">
        <f t="shared" ca="1" si="18"/>
        <v>113.96530818814212</v>
      </c>
      <c r="AI102" s="3">
        <f t="shared" ca="1" si="19"/>
        <v>0</v>
      </c>
    </row>
    <row r="103" spans="7:35">
      <c r="G103" s="3">
        <f t="shared" ca="1" si="14"/>
        <v>108</v>
      </c>
      <c r="H103" s="95">
        <f t="shared" ca="1" si="16"/>
        <v>45398</v>
      </c>
      <c r="I103" s="119">
        <f ca="1">HLOOKUP($H$4,'Met Data'!$A$2:$F$368,G103,FALSE)</f>
        <v>12.307352941176401</v>
      </c>
      <c r="J103" s="119">
        <f ca="1">HLOOKUP($H$4,'Met Data'!$H$2:$M$368,G103,FALSE)*L103</f>
        <v>1.68823529411764</v>
      </c>
      <c r="K103" s="96">
        <f ca="1">HLOOKUP($H$4,'Met Data'!$O$2:$T$368,G103,FALSE)</f>
        <v>2.0825962231468602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45443</v>
      </c>
      <c r="Q103">
        <f ca="1"/>
        <v>109.19014843315556</v>
      </c>
      <c r="R103">
        <f ca="1"/>
        <v>2.55574143460026</v>
      </c>
      <c r="S103">
        <f ca="1"/>
        <v>1.5386132578967704E-2</v>
      </c>
      <c r="T103">
        <f ca="1"/>
        <v>0.26669130909537264</v>
      </c>
      <c r="U103">
        <f ca="1"/>
        <v>0</v>
      </c>
      <c r="V103">
        <f ca="1"/>
        <v>138.43341491901</v>
      </c>
      <c r="W103">
        <f ca="1"/>
        <v>35.210238142443899</v>
      </c>
      <c r="X103">
        <f ca="1"/>
        <v>0</v>
      </c>
      <c r="Y103">
        <f ca="1"/>
        <v>0.56349995990288748</v>
      </c>
      <c r="Z103">
        <f ca="1"/>
        <v>0</v>
      </c>
      <c r="AA103">
        <f ca="1"/>
        <v>0</v>
      </c>
      <c r="AB103">
        <f ca="1"/>
        <v>0.99999984355430105</v>
      </c>
      <c r="AD103" s="2">
        <f t="shared" ca="1" si="12"/>
        <v>45443</v>
      </c>
      <c r="AE103">
        <f t="shared" ca="1" si="13"/>
        <v>0</v>
      </c>
      <c r="AG103" s="63">
        <f t="shared" ca="1" si="17"/>
        <v>111.74588986775582</v>
      </c>
      <c r="AH103" s="63">
        <f t="shared" ca="1" si="18"/>
        <v>111.74588986775582</v>
      </c>
      <c r="AI103" s="3">
        <f t="shared" ca="1" si="19"/>
        <v>0</v>
      </c>
    </row>
    <row r="104" spans="7:35">
      <c r="G104" s="3">
        <f t="shared" ca="1" si="14"/>
        <v>109</v>
      </c>
      <c r="H104" s="95">
        <f t="shared" ca="1" si="16"/>
        <v>45399</v>
      </c>
      <c r="I104" s="119">
        <f ca="1">HLOOKUP($H$4,'Met Data'!$A$2:$F$368,G104,FALSE)</f>
        <v>11.5970588235294</v>
      </c>
      <c r="J104" s="119">
        <f ca="1">HLOOKUP($H$4,'Met Data'!$H$2:$M$368,G104,FALSE)*L104</f>
        <v>1.19117647058823</v>
      </c>
      <c r="K104" s="96">
        <f ca="1">HLOOKUP($H$4,'Met Data'!$O$2:$T$368,G104,FALSE)</f>
        <v>1.83123332157564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45444</v>
      </c>
      <c r="Q104">
        <f ca="1"/>
        <v>106.98909703761093</v>
      </c>
      <c r="R104">
        <f ca="1"/>
        <v>2.4769045257414501</v>
      </c>
      <c r="S104">
        <f ca="1"/>
        <v>1.450554933997239E-2</v>
      </c>
      <c r="T104">
        <f ca="1"/>
        <v>0.26134758085686155</v>
      </c>
      <c r="U104">
        <f ca="1"/>
        <v>0</v>
      </c>
      <c r="V104">
        <f ca="1"/>
        <v>140.91031944475199</v>
      </c>
      <c r="W104">
        <f ca="1"/>
        <v>35.840233423991201</v>
      </c>
      <c r="X104">
        <f ca="1"/>
        <v>0</v>
      </c>
      <c r="Y104">
        <f ca="1"/>
        <v>0.573773471377234</v>
      </c>
      <c r="Z104">
        <f ca="1"/>
        <v>0</v>
      </c>
      <c r="AA104">
        <f ca="1"/>
        <v>0</v>
      </c>
      <c r="AB104">
        <f ca="1"/>
        <v>0.99999986761950899</v>
      </c>
      <c r="AD104" s="2">
        <f t="shared" ca="1" si="12"/>
        <v>45444</v>
      </c>
      <c r="AE104">
        <f t="shared" ca="1" si="13"/>
        <v>0</v>
      </c>
      <c r="AG104" s="63">
        <f t="shared" ca="1" si="17"/>
        <v>109.46600156335239</v>
      </c>
      <c r="AH104" s="63">
        <f t="shared" ca="1" si="18"/>
        <v>109.46600156335238</v>
      </c>
      <c r="AI104" s="3">
        <f t="shared" ca="1" si="19"/>
        <v>0</v>
      </c>
    </row>
    <row r="105" spans="7:35">
      <c r="G105" s="3">
        <f t="shared" ca="1" si="14"/>
        <v>110</v>
      </c>
      <c r="H105" s="95">
        <f t="shared" ca="1" si="16"/>
        <v>45400</v>
      </c>
      <c r="I105" s="119">
        <f ca="1">HLOOKUP($H$4,'Met Data'!$A$2:$F$368,G105,FALSE)</f>
        <v>11.710294117647001</v>
      </c>
      <c r="J105" s="119">
        <f ca="1">HLOOKUP($H$4,'Met Data'!$H$2:$M$368,G105,FALSE)*L105</f>
        <v>0.876470588235294</v>
      </c>
      <c r="K105" s="96">
        <f ca="1">HLOOKUP($H$4,'Met Data'!$O$2:$T$368,G105,FALSE)</f>
        <v>1.9918324383127699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45445</v>
      </c>
      <c r="Q105">
        <f ca="1"/>
        <v>104.85933110452407</v>
      </c>
      <c r="R105">
        <f ca="1"/>
        <v>2.4006702404231799</v>
      </c>
      <c r="S105">
        <f ca="1"/>
        <v>1.3745557538996422E-2</v>
      </c>
      <c r="T105">
        <f ca="1"/>
        <v>0.25715874979732356</v>
      </c>
      <c r="U105">
        <f ca="1"/>
        <v>0</v>
      </c>
      <c r="V105">
        <f ca="1"/>
        <v>143.310989685175</v>
      </c>
      <c r="W105">
        <f ca="1"/>
        <v>36.450838680794497</v>
      </c>
      <c r="X105">
        <f ca="1"/>
        <v>0</v>
      </c>
      <c r="Y105">
        <f ca="1"/>
        <v>0.58593259976032974</v>
      </c>
      <c r="Z105">
        <f ca="1"/>
        <v>0</v>
      </c>
      <c r="AA105">
        <f ca="1"/>
        <v>0</v>
      </c>
      <c r="AB105">
        <f ca="1"/>
        <v>0.99999988725260602</v>
      </c>
      <c r="AD105" s="2">
        <f t="shared" ca="1" si="12"/>
        <v>45445</v>
      </c>
      <c r="AE105">
        <f t="shared" ca="1" si="13"/>
        <v>0</v>
      </c>
      <c r="AG105" s="63">
        <f t="shared" ca="1" si="17"/>
        <v>107.26000134494726</v>
      </c>
      <c r="AH105" s="63">
        <f t="shared" ca="1" si="18"/>
        <v>107.26000134494726</v>
      </c>
      <c r="AI105" s="3">
        <f t="shared" ca="1" si="19"/>
        <v>0</v>
      </c>
    </row>
    <row r="106" spans="7:35">
      <c r="G106" s="3">
        <f t="shared" ca="1" si="14"/>
        <v>111</v>
      </c>
      <c r="H106" s="95">
        <f t="shared" ca="1" si="16"/>
        <v>45401</v>
      </c>
      <c r="I106" s="119">
        <f ca="1">HLOOKUP($H$4,'Met Data'!$A$2:$F$368,G106,FALSE)</f>
        <v>12.0897058823529</v>
      </c>
      <c r="J106" s="119">
        <f ca="1">HLOOKUP($H$4,'Met Data'!$H$2:$M$368,G106,FALSE)*L106</f>
        <v>1.6147058823529401</v>
      </c>
      <c r="K106" s="96">
        <f ca="1">HLOOKUP($H$4,'Met Data'!$O$2:$T$368,G106,FALSE)</f>
        <v>2.3214267905608299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45446</v>
      </c>
      <c r="Q106">
        <f ca="1"/>
        <v>102.76707013984361</v>
      </c>
      <c r="R106">
        <f ca="1"/>
        <v>2.36301635437641</v>
      </c>
      <c r="S106">
        <f ca="1"/>
        <v>1.3263068671705014E-2</v>
      </c>
      <c r="T106">
        <f ca="1"/>
        <v>0.25749232102423902</v>
      </c>
      <c r="U106">
        <f ca="1"/>
        <v>0</v>
      </c>
      <c r="V106">
        <f ca="1"/>
        <v>145.67400603955099</v>
      </c>
      <c r="W106">
        <f ca="1"/>
        <v>37.0518667535381</v>
      </c>
      <c r="X106">
        <f ca="1"/>
        <v>0</v>
      </c>
      <c r="Y106">
        <f ca="1"/>
        <v>0.60105236954101238</v>
      </c>
      <c r="Z106">
        <f ca="1"/>
        <v>0</v>
      </c>
      <c r="AA106">
        <f ca="1"/>
        <v>0</v>
      </c>
      <c r="AB106">
        <f ca="1"/>
        <v>0.99999990361267299</v>
      </c>
      <c r="AD106" s="2">
        <f t="shared" ca="1" si="12"/>
        <v>45446</v>
      </c>
      <c r="AE106">
        <f t="shared" ca="1" si="13"/>
        <v>0</v>
      </c>
      <c r="AG106" s="63">
        <f t="shared" ca="1" si="17"/>
        <v>105.13008649422002</v>
      </c>
      <c r="AH106" s="63">
        <f t="shared" ca="1" si="18"/>
        <v>105.13008649422002</v>
      </c>
      <c r="AI106" s="3">
        <f t="shared" ca="1" si="19"/>
        <v>0</v>
      </c>
    </row>
    <row r="107" spans="7:35">
      <c r="G107" s="3">
        <f t="shared" ca="1" si="14"/>
        <v>112</v>
      </c>
      <c r="H107" s="95">
        <f t="shared" ca="1" si="16"/>
        <v>45402</v>
      </c>
      <c r="I107" s="119">
        <f ca="1">HLOOKUP($H$4,'Met Data'!$A$2:$F$368,G107,FALSE)</f>
        <v>11.1882352941176</v>
      </c>
      <c r="J107" s="119">
        <f ca="1">HLOOKUP($H$4,'Met Data'!$H$2:$M$368,G107,FALSE)*L107</f>
        <v>1.6352941176470499</v>
      </c>
      <c r="K107" s="96">
        <f ca="1">HLOOKUP($H$4,'Met Data'!$O$2:$T$368,G107,FALSE)</f>
        <v>1.88439420500637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45447</v>
      </c>
      <c r="Q107">
        <f ca="1"/>
        <v>100.68005065355672</v>
      </c>
      <c r="R107">
        <f ca="1"/>
        <v>2.3553792198843002</v>
      </c>
      <c r="S107">
        <f ca="1"/>
        <v>1.2696088775939529E-2</v>
      </c>
      <c r="T107">
        <f ca="1"/>
        <v>0.2556636448214698</v>
      </c>
      <c r="U107">
        <f ca="1"/>
        <v>0</v>
      </c>
      <c r="V107">
        <f ca="1"/>
        <v>148.029385259436</v>
      </c>
      <c r="W107">
        <f ca="1"/>
        <v>37.650952337725997</v>
      </c>
      <c r="X107">
        <f ca="1"/>
        <v>0</v>
      </c>
      <c r="Y107">
        <f ca="1"/>
        <v>0.60201162758922699</v>
      </c>
      <c r="Z107">
        <f ca="1"/>
        <v>0</v>
      </c>
      <c r="AA107">
        <f ca="1"/>
        <v>0</v>
      </c>
      <c r="AB107">
        <f ca="1"/>
        <v>0.99999991746148897</v>
      </c>
      <c r="AD107" s="2">
        <f t="shared" ca="1" si="12"/>
        <v>45447</v>
      </c>
      <c r="AE107">
        <f t="shared" ca="1" si="13"/>
        <v>0</v>
      </c>
      <c r="AG107" s="63">
        <f t="shared" ca="1" si="17"/>
        <v>103.03542987344102</v>
      </c>
      <c r="AH107" s="63">
        <f t="shared" ca="1" si="18"/>
        <v>103.03542987344102</v>
      </c>
      <c r="AI107" s="3">
        <f t="shared" ca="1" si="19"/>
        <v>0</v>
      </c>
    </row>
    <row r="108" spans="7:35">
      <c r="G108" s="3">
        <f t="shared" ca="1" si="14"/>
        <v>113</v>
      </c>
      <c r="H108" s="95">
        <f t="shared" ca="1" si="16"/>
        <v>45403</v>
      </c>
      <c r="I108" s="119">
        <f ca="1">HLOOKUP($H$4,'Met Data'!$A$2:$F$368,G108,FALSE)</f>
        <v>11.0044117647058</v>
      </c>
      <c r="J108" s="119">
        <f ca="1">HLOOKUP($H$4,'Met Data'!$H$2:$M$368,G108,FALSE)*L108</f>
        <v>0.81176470588235194</v>
      </c>
      <c r="K108" s="96">
        <f ca="1">HLOOKUP($H$4,'Met Data'!$O$2:$T$368,G108,FALSE)</f>
        <v>1.9179571566201901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45448</v>
      </c>
      <c r="Q108">
        <f ca="1"/>
        <v>98.677831838234482</v>
      </c>
      <c r="R108">
        <f ca="1"/>
        <v>2.26197522661323</v>
      </c>
      <c r="S108">
        <f ca="1"/>
        <v>1.1879887121267529E-2</v>
      </c>
      <c r="T108">
        <f ca="1"/>
        <v>0.24787652416972922</v>
      </c>
      <c r="U108">
        <f ca="1"/>
        <v>0</v>
      </c>
      <c r="V108">
        <f ca="1"/>
        <v>150.291360486049</v>
      </c>
      <c r="W108">
        <f ca="1"/>
        <v>38.226280819277697</v>
      </c>
      <c r="X108">
        <f ca="1"/>
        <v>0</v>
      </c>
      <c r="Y108">
        <f ca="1"/>
        <v>0.60622008924575421</v>
      </c>
      <c r="Z108">
        <f ca="1"/>
        <v>0</v>
      </c>
      <c r="AA108">
        <f ca="1"/>
        <v>0</v>
      </c>
      <c r="AB108">
        <f ca="1"/>
        <v>0.99999992881093203</v>
      </c>
      <c r="AD108" s="2">
        <f t="shared" ca="1" si="12"/>
        <v>45448</v>
      </c>
      <c r="AE108">
        <f t="shared" ca="1" si="13"/>
        <v>0</v>
      </c>
      <c r="AG108" s="63">
        <f t="shared" ca="1" si="17"/>
        <v>100.93980706484771</v>
      </c>
      <c r="AH108" s="63">
        <f t="shared" ca="1" si="18"/>
        <v>100.93980706484771</v>
      </c>
      <c r="AI108" s="3">
        <f t="shared" ca="1" si="19"/>
        <v>0</v>
      </c>
    </row>
    <row r="109" spans="7:35">
      <c r="G109" s="3">
        <f t="shared" ca="1" si="14"/>
        <v>114</v>
      </c>
      <c r="H109" s="95">
        <f t="shared" ca="1" si="16"/>
        <v>45404</v>
      </c>
      <c r="I109" s="119">
        <f ca="1">HLOOKUP($H$4,'Met Data'!$A$2:$F$368,G109,FALSE)</f>
        <v>11.586764705882301</v>
      </c>
      <c r="J109" s="119">
        <f ca="1">HLOOKUP($H$4,'Met Data'!$H$2:$M$368,G109,FALSE)*L109</f>
        <v>0.77352941176470502</v>
      </c>
      <c r="K109" s="96">
        <f ca="1">HLOOKUP($H$4,'Met Data'!$O$2:$T$368,G109,FALSE)</f>
        <v>2.1115808573458499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45449</v>
      </c>
      <c r="Q109">
        <f ca="1"/>
        <v>96.601535331956427</v>
      </c>
      <c r="R109">
        <f ca="1"/>
        <v>2.3478998327594498</v>
      </c>
      <c r="S109">
        <f ca="1"/>
        <v>1.2008764953506557E-2</v>
      </c>
      <c r="T109">
        <f ca="1"/>
        <v>0.25959456152788773</v>
      </c>
      <c r="U109">
        <f ca="1"/>
        <v>0</v>
      </c>
      <c r="V109">
        <f ca="1"/>
        <v>152.639260318808</v>
      </c>
      <c r="W109">
        <f ca="1"/>
        <v>38.823464037610002</v>
      </c>
      <c r="X109">
        <f ca="1"/>
        <v>0</v>
      </c>
      <c r="Y109">
        <f ca="1"/>
        <v>0.62324333263540477</v>
      </c>
      <c r="Z109">
        <f ca="1"/>
        <v>0</v>
      </c>
      <c r="AA109">
        <f ca="1"/>
        <v>0</v>
      </c>
      <c r="AB109">
        <f ca="1"/>
        <v>0.99999993888182803</v>
      </c>
      <c r="AD109" s="2">
        <f t="shared" ca="1" si="12"/>
        <v>45449</v>
      </c>
      <c r="AE109">
        <f t="shared" ca="1" si="13"/>
        <v>0</v>
      </c>
      <c r="AG109" s="63">
        <f t="shared" ca="1" si="17"/>
        <v>98.949435164715879</v>
      </c>
      <c r="AH109" s="63">
        <f t="shared" ca="1" si="18"/>
        <v>98.949435164715879</v>
      </c>
      <c r="AI109" s="3">
        <f t="shared" ca="1" si="19"/>
        <v>0</v>
      </c>
    </row>
    <row r="110" spans="7:35">
      <c r="G110" s="3">
        <f t="shared" ca="1" si="14"/>
        <v>115</v>
      </c>
      <c r="H110" s="95">
        <f t="shared" ca="1" si="16"/>
        <v>45405</v>
      </c>
      <c r="I110" s="119">
        <f ca="1">HLOOKUP($H$4,'Met Data'!$A$2:$F$368,G110,FALSE)</f>
        <v>10.9985294117647</v>
      </c>
      <c r="J110" s="119">
        <f ca="1">HLOOKUP($H$4,'Met Data'!$H$2:$M$368,G110,FALSE)*L110</f>
        <v>1.75294117647058</v>
      </c>
      <c r="K110" s="96">
        <f ca="1">HLOOKUP($H$4,'Met Data'!$O$2:$T$368,G110,FALSE)</f>
        <v>1.81614923585608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45450</v>
      </c>
      <c r="Q110">
        <f ca="1"/>
        <v>94.351442224466481</v>
      </c>
      <c r="R110">
        <f ca="1"/>
        <v>2.5433211576275601</v>
      </c>
      <c r="S110">
        <f ca="1"/>
        <v>1.2511091290406284E-2</v>
      </c>
      <c r="T110">
        <f ca="1"/>
        <v>0.28071695884720665</v>
      </c>
      <c r="U110">
        <f ca="1"/>
        <v>0</v>
      </c>
      <c r="V110">
        <f ca="1"/>
        <v>155.18258147643601</v>
      </c>
      <c r="W110">
        <f ca="1"/>
        <v>39.470352245093501</v>
      </c>
      <c r="X110">
        <f ca="1"/>
        <v>0</v>
      </c>
      <c r="Y110">
        <f ca="1"/>
        <v>0.63819535138033745</v>
      </c>
      <c r="Z110">
        <f ca="1"/>
        <v>0</v>
      </c>
      <c r="AA110">
        <f ca="1"/>
        <v>0</v>
      </c>
      <c r="AB110">
        <f ca="1"/>
        <v>0.99999994813279003</v>
      </c>
      <c r="AD110" s="2">
        <f t="shared" ca="1" si="12"/>
        <v>45450</v>
      </c>
      <c r="AE110">
        <f t="shared" ca="1" si="13"/>
        <v>0</v>
      </c>
      <c r="AG110" s="63">
        <f t="shared" ca="1" si="17"/>
        <v>96.894763382094041</v>
      </c>
      <c r="AH110" s="63">
        <f t="shared" ca="1" si="18"/>
        <v>96.894763382094041</v>
      </c>
      <c r="AI110" s="3">
        <f t="shared" ca="1" si="19"/>
        <v>0</v>
      </c>
    </row>
    <row r="111" spans="7:35">
      <c r="G111" s="3">
        <f t="shared" ca="1" si="14"/>
        <v>116</v>
      </c>
      <c r="H111" s="95">
        <f t="shared" ca="1" si="16"/>
        <v>45406</v>
      </c>
      <c r="I111" s="119">
        <f ca="1">HLOOKUP($H$4,'Met Data'!$A$2:$F$368,G111,FALSE)</f>
        <v>11.547058823529399</v>
      </c>
      <c r="J111" s="119">
        <f ca="1">HLOOKUP($H$4,'Met Data'!$H$2:$M$368,G111,FALSE)*L111</f>
        <v>1.70294117647058</v>
      </c>
      <c r="K111" s="96">
        <f ca="1">HLOOKUP($H$4,'Met Data'!$O$2:$T$368,G111,FALSE)</f>
        <v>1.8798608741396901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45451</v>
      </c>
      <c r="Q111">
        <f ca="1"/>
        <v>92.020888742903978</v>
      </c>
      <c r="R111">
        <f ca="1"/>
        <v>2.6317879021250401</v>
      </c>
      <c r="S111">
        <f ca="1"/>
        <v>1.2384135097462945E-2</v>
      </c>
      <c r="T111">
        <f ca="1"/>
        <v>0.28885028546507224</v>
      </c>
      <c r="U111">
        <f ca="1"/>
        <v>0</v>
      </c>
      <c r="V111">
        <f ca="1"/>
        <v>157.814369378561</v>
      </c>
      <c r="W111">
        <f ca="1"/>
        <v>40.139741776720903</v>
      </c>
      <c r="X111">
        <f ca="1"/>
        <v>0</v>
      </c>
      <c r="Y111">
        <f ca="1"/>
        <v>0.64261812611090585</v>
      </c>
      <c r="Z111">
        <f ca="1"/>
        <v>0</v>
      </c>
      <c r="AA111">
        <f ca="1"/>
        <v>0</v>
      </c>
      <c r="AB111">
        <f ca="1"/>
        <v>0.99999995618427895</v>
      </c>
      <c r="AD111" s="2">
        <f t="shared" ca="1" si="12"/>
        <v>45451</v>
      </c>
      <c r="AE111">
        <f t="shared" ca="1" si="13"/>
        <v>0</v>
      </c>
      <c r="AG111" s="63">
        <f t="shared" ca="1" si="17"/>
        <v>94.652676645029018</v>
      </c>
      <c r="AH111" s="63">
        <f t="shared" ca="1" si="18"/>
        <v>94.652676645029018</v>
      </c>
      <c r="AI111" s="3">
        <f t="shared" ca="1" si="19"/>
        <v>0</v>
      </c>
    </row>
    <row r="112" spans="7:35">
      <c r="G112" s="3">
        <f t="shared" ca="1" si="14"/>
        <v>117</v>
      </c>
      <c r="H112" s="95">
        <f t="shared" ca="1" si="16"/>
        <v>45407</v>
      </c>
      <c r="I112" s="119">
        <f ca="1">HLOOKUP($H$4,'Met Data'!$A$2:$F$368,G112,FALSE)</f>
        <v>11.6955882352941</v>
      </c>
      <c r="J112" s="119">
        <f ca="1">HLOOKUP($H$4,'Met Data'!$H$2:$M$368,G112,FALSE)*L112</f>
        <v>0.41176470588235198</v>
      </c>
      <c r="K112" s="96">
        <f ca="1">HLOOKUP($H$4,'Met Data'!$O$2:$T$368,G112,FALSE)</f>
        <v>1.88699621875139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45452</v>
      </c>
      <c r="Q112">
        <f ca="1"/>
        <v>89.678700584875173</v>
      </c>
      <c r="R112">
        <f ca="1"/>
        <v>2.6488746968535701</v>
      </c>
      <c r="S112">
        <f ca="1"/>
        <v>1.2143526141258576E-2</v>
      </c>
      <c r="T112">
        <f ca="1"/>
        <v>0.29454301268350697</v>
      </c>
      <c r="U112">
        <f ca="1"/>
        <v>0</v>
      </c>
      <c r="V112">
        <f ca="1"/>
        <v>160.46324407541499</v>
      </c>
      <c r="W112">
        <f ca="1"/>
        <v>40.813477297442397</v>
      </c>
      <c r="X112">
        <f ca="1"/>
        <v>0</v>
      </c>
      <c r="Y112">
        <f ca="1"/>
        <v>0.65725732567647954</v>
      </c>
      <c r="Z112">
        <f ca="1"/>
        <v>0</v>
      </c>
      <c r="AA112">
        <f ca="1"/>
        <v>0</v>
      </c>
      <c r="AB112">
        <f ca="1"/>
        <v>0.99999996298591198</v>
      </c>
      <c r="AD112" s="2">
        <f t="shared" ca="1" si="12"/>
        <v>45452</v>
      </c>
      <c r="AE112">
        <f t="shared" ca="1" si="13"/>
        <v>0</v>
      </c>
      <c r="AG112" s="63">
        <f t="shared" ca="1" si="17"/>
        <v>92.327575281728741</v>
      </c>
      <c r="AH112" s="63">
        <f t="shared" ca="1" si="18"/>
        <v>92.327575281728741</v>
      </c>
      <c r="AI112" s="3">
        <f t="shared" ca="1" si="19"/>
        <v>0</v>
      </c>
    </row>
    <row r="113" spans="7:35">
      <c r="G113" s="3">
        <f t="shared" ca="1" si="14"/>
        <v>118</v>
      </c>
      <c r="H113" s="95">
        <f t="shared" ca="1" si="16"/>
        <v>45408</v>
      </c>
      <c r="I113" s="119">
        <f ca="1">HLOOKUP($H$4,'Met Data'!$A$2:$F$368,G113,FALSE)</f>
        <v>11.833823529411699</v>
      </c>
      <c r="J113" s="119">
        <f ca="1">HLOOKUP($H$4,'Met Data'!$H$2:$M$368,G113,FALSE)*L113</f>
        <v>1.79705882352941</v>
      </c>
      <c r="K113" s="96">
        <f ca="1">HLOOKUP($H$4,'Met Data'!$O$2:$T$368,G113,FALSE)</f>
        <v>1.76466679700699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45453</v>
      </c>
      <c r="Q113">
        <f ca="1"/>
        <v>87.387877598518145</v>
      </c>
      <c r="R113">
        <f ca="1"/>
        <v>2.5901338143669901</v>
      </c>
      <c r="S113">
        <f ca="1"/>
        <v>1.1421131695755093E-2</v>
      </c>
      <c r="T113">
        <f ca="1"/>
        <v>0.28788969631421035</v>
      </c>
      <c r="U113">
        <f ca="1"/>
        <v>0</v>
      </c>
      <c r="V113">
        <f ca="1"/>
        <v>163.05337788978201</v>
      </c>
      <c r="W113">
        <f ca="1"/>
        <v>41.472272202401001</v>
      </c>
      <c r="X113">
        <f ca="1"/>
        <v>0</v>
      </c>
      <c r="Y113">
        <f ca="1"/>
        <v>0.65772836215334274</v>
      </c>
      <c r="Z113">
        <f ca="1"/>
        <v>0</v>
      </c>
      <c r="AA113">
        <f ca="1"/>
        <v>0</v>
      </c>
      <c r="AB113">
        <f ca="1"/>
        <v>0.99999996858330598</v>
      </c>
      <c r="AD113" s="2">
        <f t="shared" ca="1" si="12"/>
        <v>45453</v>
      </c>
      <c r="AE113">
        <f t="shared" ca="1" si="13"/>
        <v>0</v>
      </c>
      <c r="AG113" s="63">
        <f t="shared" ca="1" si="17"/>
        <v>89.978011412885138</v>
      </c>
      <c r="AH113" s="63">
        <f t="shared" ca="1" si="18"/>
        <v>89.978011412885138</v>
      </c>
      <c r="AI113" s="3">
        <f t="shared" ca="1" si="19"/>
        <v>0</v>
      </c>
    </row>
    <row r="114" spans="7:35">
      <c r="G114" s="3">
        <f t="shared" ca="1" si="14"/>
        <v>119</v>
      </c>
      <c r="H114" s="95">
        <f t="shared" ca="1" si="16"/>
        <v>45409</v>
      </c>
      <c r="I114" s="119">
        <f ca="1">HLOOKUP($H$4,'Met Data'!$A$2:$F$368,G114,FALSE)</f>
        <v>12.1279411764705</v>
      </c>
      <c r="J114" s="119">
        <f ca="1">HLOOKUP($H$4,'Met Data'!$H$2:$M$368,G114,FALSE)*L114</f>
        <v>2.1588235294117601</v>
      </c>
      <c r="K114" s="96">
        <f ca="1">HLOOKUP($H$4,'Met Data'!$O$2:$T$368,G114,FALSE)</f>
        <v>1.95217239254561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45454</v>
      </c>
      <c r="Q114">
        <f ca="1"/>
        <v>85.07225875003742</v>
      </c>
      <c r="R114">
        <f ca="1"/>
        <v>2.6375238984139999</v>
      </c>
      <c r="S114">
        <f ca="1"/>
        <v>1.1832470199152567E-2</v>
      </c>
      <c r="T114">
        <f ca="1"/>
        <v>0.31007257973412178</v>
      </c>
      <c r="U114">
        <f ca="1"/>
        <v>0</v>
      </c>
      <c r="V114">
        <f ca="1"/>
        <v>165.69090178819599</v>
      </c>
      <c r="W114">
        <f ca="1"/>
        <v>42.143120672214998</v>
      </c>
      <c r="X114">
        <f ca="1"/>
        <v>0</v>
      </c>
      <c r="Y114">
        <f ca="1"/>
        <v>0.705863017623657</v>
      </c>
      <c r="Z114">
        <f ca="1"/>
        <v>0</v>
      </c>
      <c r="AA114">
        <f ca="1"/>
        <v>0</v>
      </c>
      <c r="AB114">
        <f ca="1"/>
        <v>0.999999973389045</v>
      </c>
      <c r="AD114" s="2">
        <f t="shared" ca="1" si="12"/>
        <v>45454</v>
      </c>
      <c r="AE114">
        <f t="shared" ca="1" si="13"/>
        <v>0</v>
      </c>
      <c r="AG114" s="63">
        <f t="shared" ca="1" si="17"/>
        <v>87.709782648451423</v>
      </c>
      <c r="AH114" s="63">
        <f t="shared" ca="1" si="18"/>
        <v>87.709782648451423</v>
      </c>
      <c r="AI114" s="3">
        <f t="shared" ca="1" si="19"/>
        <v>0</v>
      </c>
    </row>
    <row r="115" spans="7:35">
      <c r="G115" s="3">
        <f t="shared" ca="1" si="14"/>
        <v>120</v>
      </c>
      <c r="H115" s="95">
        <f t="shared" ca="1" si="16"/>
        <v>45410</v>
      </c>
      <c r="I115" s="119">
        <f ca="1">HLOOKUP($H$4,'Met Data'!$A$2:$F$368,G115,FALSE)</f>
        <v>10.824999999999999</v>
      </c>
      <c r="J115" s="119">
        <f ca="1">HLOOKUP($H$4,'Met Data'!$H$2:$M$368,G115,FALSE)*L115</f>
        <v>5.4352941176470502</v>
      </c>
      <c r="K115" s="96">
        <f ca="1">HLOOKUP($H$4,'Met Data'!$O$2:$T$368,G115,FALSE)</f>
        <v>1.6384329462009699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45455</v>
      </c>
      <c r="Q115">
        <f ca="1"/>
        <v>83.008632646454984</v>
      </c>
      <c r="R115">
        <f ca="1"/>
        <v>2.3636522252017498</v>
      </c>
      <c r="S115">
        <f ca="1"/>
        <v>1.0628648926967799E-2</v>
      </c>
      <c r="T115">
        <f ca="1"/>
        <v>0.28939747269234678</v>
      </c>
      <c r="U115">
        <f ca="1"/>
        <v>0</v>
      </c>
      <c r="V115">
        <f ca="1"/>
        <v>168.054554013397</v>
      </c>
      <c r="W115">
        <f ca="1"/>
        <v>42.744310477320603</v>
      </c>
      <c r="X115">
        <f ca="1"/>
        <v>0</v>
      </c>
      <c r="Y115">
        <f ca="1"/>
        <v>0.72221218403034892</v>
      </c>
      <c r="Z115">
        <f ca="1"/>
        <v>0</v>
      </c>
      <c r="AA115">
        <f ca="1"/>
        <v>0</v>
      </c>
      <c r="AB115">
        <f ca="1"/>
        <v>0.99999997705042798</v>
      </c>
      <c r="AD115" s="2">
        <f t="shared" ca="1" si="12"/>
        <v>45455</v>
      </c>
      <c r="AE115">
        <f t="shared" ca="1" si="13"/>
        <v>0</v>
      </c>
      <c r="AG115" s="63">
        <f t="shared" ca="1" si="17"/>
        <v>85.372284871656731</v>
      </c>
      <c r="AH115" s="63">
        <f t="shared" ca="1" si="18"/>
        <v>85.372284871656731</v>
      </c>
      <c r="AI115" s="3">
        <f t="shared" ca="1" si="19"/>
        <v>0</v>
      </c>
    </row>
    <row r="116" spans="7:35">
      <c r="G116" s="3">
        <f t="shared" ca="1" si="14"/>
        <v>121</v>
      </c>
      <c r="H116" s="95">
        <f t="shared" ca="1" si="16"/>
        <v>45411</v>
      </c>
      <c r="I116" s="119">
        <f ca="1">HLOOKUP($H$4,'Met Data'!$A$2:$F$368,G116,FALSE)</f>
        <v>10.554411764705799</v>
      </c>
      <c r="J116" s="119">
        <f ca="1">HLOOKUP($H$4,'Met Data'!$H$2:$M$368,G116,FALSE)*L116</f>
        <v>2.5852941176470501</v>
      </c>
      <c r="K116" s="96">
        <f ca="1">HLOOKUP($H$4,'Met Data'!$O$2:$T$368,G116,FALSE)</f>
        <v>1.6462620711534199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45456</v>
      </c>
      <c r="Q116">
        <f ca="1"/>
        <v>80.822387350197857</v>
      </c>
      <c r="R116">
        <f ca="1"/>
        <v>2.5003331168104199</v>
      </c>
      <c r="S116">
        <f ca="1"/>
        <v>1.0734955908063171E-2</v>
      </c>
      <c r="T116">
        <f ca="1"/>
        <v>0.30335286464522371</v>
      </c>
      <c r="U116">
        <f ca="1"/>
        <v>0</v>
      </c>
      <c r="V116">
        <f ca="1"/>
        <v>170.55488713020799</v>
      </c>
      <c r="W116">
        <f ca="1"/>
        <v>43.380264770074596</v>
      </c>
      <c r="X116">
        <f ca="1"/>
        <v>0</v>
      </c>
      <c r="Y116">
        <f ca="1"/>
        <v>0.72769868810655747</v>
      </c>
      <c r="Z116">
        <f ca="1"/>
        <v>0</v>
      </c>
      <c r="AA116">
        <f ca="1"/>
        <v>0</v>
      </c>
      <c r="AB116">
        <f ca="1"/>
        <v>0.999999980362549</v>
      </c>
      <c r="AD116" s="2">
        <f t="shared" ca="1" si="12"/>
        <v>45456</v>
      </c>
      <c r="AE116">
        <f t="shared" ca="1" si="13"/>
        <v>0</v>
      </c>
      <c r="AG116" s="63">
        <f t="shared" ca="1" si="17"/>
        <v>83.322720467008267</v>
      </c>
      <c r="AH116" s="63">
        <f t="shared" ca="1" si="18"/>
        <v>83.322720467008281</v>
      </c>
      <c r="AI116" s="3">
        <f t="shared" ca="1" si="19"/>
        <v>0</v>
      </c>
    </row>
    <row r="117" spans="7:35">
      <c r="G117" s="3">
        <f t="shared" ca="1" si="14"/>
        <v>122</v>
      </c>
      <c r="H117" s="95">
        <f t="shared" ca="1" si="16"/>
        <v>45412</v>
      </c>
      <c r="I117" s="119">
        <f ca="1">HLOOKUP($H$4,'Met Data'!$A$2:$F$368,G117,FALSE)</f>
        <v>10.2014705882352</v>
      </c>
      <c r="J117" s="119">
        <f ca="1">HLOOKUP($H$4,'Met Data'!$H$2:$M$368,G117,FALSE)*L117</f>
        <v>1.01176470588235</v>
      </c>
      <c r="K117" s="96">
        <f ca="1">HLOOKUP($H$4,'Met Data'!$O$2:$T$368,G117,FALSE)</f>
        <v>1.5886994013641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45457</v>
      </c>
      <c r="Q117">
        <f ca="1"/>
        <v>78.608815846533346</v>
      </c>
      <c r="R117">
        <f ca="1"/>
        <v>2.54880564711087</v>
      </c>
      <c r="S117">
        <f ca="1"/>
        <v>1.1038796153556518E-2</v>
      </c>
      <c r="T117">
        <f ca="1"/>
        <v>0.32419534729281219</v>
      </c>
      <c r="U117">
        <f ca="1"/>
        <v>0</v>
      </c>
      <c r="V117">
        <f ca="1"/>
        <v>173.103692777319</v>
      </c>
      <c r="W117">
        <f ca="1"/>
        <v>44.028547945535401</v>
      </c>
      <c r="X117">
        <f ca="1"/>
        <v>0</v>
      </c>
      <c r="Y117">
        <f ca="1"/>
        <v>0.76930442148161859</v>
      </c>
      <c r="Z117">
        <f ca="1"/>
        <v>0</v>
      </c>
      <c r="AA117">
        <f ca="1"/>
        <v>0</v>
      </c>
      <c r="AB117">
        <f ca="1"/>
        <v>0.99999998323545303</v>
      </c>
      <c r="AD117" s="2">
        <f t="shared" ca="1" si="12"/>
        <v>45457</v>
      </c>
      <c r="AE117">
        <f t="shared" ca="1" si="13"/>
        <v>0</v>
      </c>
      <c r="AG117" s="63">
        <f t="shared" ca="1" si="17"/>
        <v>81.157621493644228</v>
      </c>
      <c r="AH117" s="63">
        <f t="shared" ca="1" si="18"/>
        <v>81.157621493644214</v>
      </c>
      <c r="AI117" s="3">
        <f t="shared" ca="1" si="19"/>
        <v>0</v>
      </c>
    </row>
    <row r="118" spans="7:35">
      <c r="G118" s="3">
        <f t="shared" ca="1" si="14"/>
        <v>123</v>
      </c>
      <c r="H118" s="95">
        <f t="shared" ca="1" si="16"/>
        <v>45413</v>
      </c>
      <c r="I118" s="119">
        <f ca="1">HLOOKUP($H$4,'Met Data'!$A$2:$F$368,G118,FALSE)</f>
        <v>10.3191176470588</v>
      </c>
      <c r="J118" s="119">
        <f ca="1">HLOOKUP($H$4,'Met Data'!$H$2:$M$368,G118,FALSE)*L118</f>
        <v>0.91470588235294104</v>
      </c>
      <c r="K118" s="96">
        <f ca="1">HLOOKUP($H$4,'Met Data'!$O$2:$T$368,G118,FALSE)</f>
        <v>1.52724346363737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45458</v>
      </c>
      <c r="Q118">
        <f ca="1"/>
        <v>76.608137984948542</v>
      </c>
      <c r="R118">
        <f ca="1"/>
        <v>2.3231588117448601</v>
      </c>
      <c r="S118">
        <f ca="1"/>
        <v>1.023292624115868E-2</v>
      </c>
      <c r="T118">
        <f ca="1"/>
        <v>0.31224802391889706</v>
      </c>
      <c r="U118">
        <f ca="1"/>
        <v>0</v>
      </c>
      <c r="V118">
        <f ca="1"/>
        <v>175.42685158906301</v>
      </c>
      <c r="W118">
        <f ca="1"/>
        <v>44.619438338957401</v>
      </c>
      <c r="X118">
        <f ca="1"/>
        <v>0</v>
      </c>
      <c r="Y118">
        <f ca="1"/>
        <v>0.79736953546216238</v>
      </c>
      <c r="Z118">
        <f ca="1"/>
        <v>0</v>
      </c>
      <c r="AA118">
        <f ca="1"/>
        <v>0</v>
      </c>
      <c r="AB118">
        <f ca="1"/>
        <v>0.99999998547784397</v>
      </c>
      <c r="AD118" s="2">
        <f t="shared" ca="1" si="12"/>
        <v>45458</v>
      </c>
      <c r="AE118">
        <f t="shared" ca="1" si="13"/>
        <v>0</v>
      </c>
      <c r="AG118" s="63">
        <f t="shared" ca="1" si="17"/>
        <v>78.931296796693402</v>
      </c>
      <c r="AH118" s="63">
        <f t="shared" ca="1" si="18"/>
        <v>78.931296796693402</v>
      </c>
      <c r="AI118" s="3">
        <f t="shared" ca="1" si="19"/>
        <v>0</v>
      </c>
    </row>
    <row r="119" spans="7:35">
      <c r="G119" s="3">
        <f t="shared" ca="1" si="14"/>
        <v>124</v>
      </c>
      <c r="H119" s="95">
        <f t="shared" ca="1" si="16"/>
        <v>45414</v>
      </c>
      <c r="I119" s="119">
        <f ca="1">HLOOKUP($H$4,'Met Data'!$A$2:$F$368,G119,FALSE)</f>
        <v>10.267647058823499</v>
      </c>
      <c r="J119" s="119">
        <f ca="1">HLOOKUP($H$4,'Met Data'!$H$2:$M$368,G119,FALSE)*L119</f>
        <v>0.91764705882352904</v>
      </c>
      <c r="K119" s="96">
        <f ca="1">HLOOKUP($H$4,'Met Data'!$O$2:$T$368,G119,FALSE)</f>
        <v>1.7604236957874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45459</v>
      </c>
      <c r="Q119">
        <f ca="1"/>
        <v>74.81716569889133</v>
      </c>
      <c r="R119">
        <f ca="1"/>
        <v>2.10473113673743</v>
      </c>
      <c r="S119">
        <f ca="1"/>
        <v>9.6129540907554656E-3</v>
      </c>
      <c r="T119">
        <f ca="1"/>
        <v>0.30414589658944902</v>
      </c>
      <c r="U119">
        <f ca="1"/>
        <v>0</v>
      </c>
      <c r="V119">
        <f ca="1"/>
        <v>177.531582725801</v>
      </c>
      <c r="W119">
        <f ca="1"/>
        <v>45.154772128084097</v>
      </c>
      <c r="X119">
        <f ca="1"/>
        <v>0</v>
      </c>
      <c r="Y119">
        <f ca="1"/>
        <v>0.83319168571192337</v>
      </c>
      <c r="Z119">
        <f ca="1"/>
        <v>0</v>
      </c>
      <c r="AA119">
        <f ca="1"/>
        <v>0</v>
      </c>
      <c r="AB119">
        <f ca="1"/>
        <v>0.99999998724368799</v>
      </c>
      <c r="AD119" s="2">
        <f t="shared" ca="1" si="12"/>
        <v>45459</v>
      </c>
      <c r="AE119">
        <f t="shared" ca="1" si="13"/>
        <v>0</v>
      </c>
      <c r="AG119" s="63">
        <f t="shared" ca="1" si="17"/>
        <v>76.921896835628743</v>
      </c>
      <c r="AH119" s="63">
        <f t="shared" ca="1" si="18"/>
        <v>76.921896835628758</v>
      </c>
      <c r="AI119" s="3">
        <f t="shared" ca="1" si="19"/>
        <v>0</v>
      </c>
    </row>
    <row r="120" spans="7:35">
      <c r="G120" s="3">
        <f t="shared" ca="1" si="14"/>
        <v>125</v>
      </c>
      <c r="H120" s="95">
        <f t="shared" ca="1" si="16"/>
        <v>45415</v>
      </c>
      <c r="I120" s="119">
        <f ca="1">HLOOKUP($H$4,'Met Data'!$A$2:$F$368,G120,FALSE)</f>
        <v>10.807352941176401</v>
      </c>
      <c r="J120" s="119">
        <f ca="1">HLOOKUP($H$4,'Met Data'!$H$2:$M$368,G120,FALSE)*L120</f>
        <v>1.78529411764705</v>
      </c>
      <c r="K120" s="96">
        <f ca="1">HLOOKUP($H$4,'Met Data'!$O$2:$T$368,G120,FALSE)</f>
        <v>1.87410891042832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45460</v>
      </c>
      <c r="Q120">
        <f ca="1"/>
        <v>72.88319207370003</v>
      </c>
      <c r="R120">
        <f ca="1"/>
        <v>2.27331759080786</v>
      </c>
      <c r="S120">
        <f ca="1"/>
        <v>1.0037120417976553E-2</v>
      </c>
      <c r="T120">
        <f ca="1"/>
        <v>0.32930684519859471</v>
      </c>
      <c r="U120">
        <f ca="1"/>
        <v>0</v>
      </c>
      <c r="V120">
        <f ca="1"/>
        <v>179.80490031660901</v>
      </c>
      <c r="W120">
        <f ca="1"/>
        <v>45.732985515311398</v>
      </c>
      <c r="X120">
        <f ca="1"/>
        <v>0</v>
      </c>
      <c r="Y120">
        <f ca="1"/>
        <v>0.85439469718426075</v>
      </c>
      <c r="Z120">
        <f ca="1"/>
        <v>0</v>
      </c>
      <c r="AA120">
        <f ca="1"/>
        <v>0</v>
      </c>
      <c r="AB120">
        <f ca="1"/>
        <v>0.99999998890574504</v>
      </c>
      <c r="AD120" s="2">
        <f t="shared" ca="1" si="12"/>
        <v>45460</v>
      </c>
      <c r="AE120">
        <f t="shared" ca="1" si="13"/>
        <v>0</v>
      </c>
      <c r="AG120" s="63">
        <f t="shared" ca="1" si="17"/>
        <v>75.156509664507908</v>
      </c>
      <c r="AH120" s="63">
        <f t="shared" ca="1" si="18"/>
        <v>75.156509664507894</v>
      </c>
      <c r="AI120" s="3">
        <f t="shared" ca="1" si="19"/>
        <v>0</v>
      </c>
    </row>
    <row r="121" spans="7:35">
      <c r="G121" s="3">
        <f t="shared" ca="1" si="14"/>
        <v>126</v>
      </c>
      <c r="H121" s="95">
        <f t="shared" ca="1" si="16"/>
        <v>45416</v>
      </c>
      <c r="I121" s="119">
        <f ca="1">HLOOKUP($H$4,'Met Data'!$A$2:$F$368,G121,FALSE)</f>
        <v>10.7742424242424</v>
      </c>
      <c r="J121" s="119">
        <f ca="1">HLOOKUP($H$4,'Met Data'!$H$2:$M$368,G121,FALSE)*L121</f>
        <v>1.0941176470588201</v>
      </c>
      <c r="K121" s="96">
        <f ca="1">HLOOKUP($H$4,'Met Data'!$O$2:$T$368,G121,FALSE)</f>
        <v>1.5837713381857701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45461</v>
      </c>
      <c r="Q121">
        <f ca="1"/>
        <v>70.981369584739241</v>
      </c>
      <c r="R121">
        <f ca="1"/>
        <v>2.24594090641085</v>
      </c>
      <c r="S121">
        <f ca="1"/>
        <v>9.8186662663550806E-3</v>
      </c>
      <c r="T121">
        <f ca="1"/>
        <v>0.33429975118369715</v>
      </c>
      <c r="U121">
        <f ca="1"/>
        <v>0</v>
      </c>
      <c r="V121">
        <f ca="1"/>
        <v>182.05084122302</v>
      </c>
      <c r="W121">
        <f ca="1"/>
        <v>46.304235702376701</v>
      </c>
      <c r="X121">
        <f ca="1"/>
        <v>0</v>
      </c>
      <c r="Y121">
        <f ca="1"/>
        <v>0.8746154188923575</v>
      </c>
      <c r="Z121">
        <f ca="1"/>
        <v>0</v>
      </c>
      <c r="AA121">
        <f ca="1"/>
        <v>0</v>
      </c>
      <c r="AB121">
        <f ca="1"/>
        <v>0.99999999033106102</v>
      </c>
      <c r="AD121" s="2">
        <f t="shared" ca="1" si="12"/>
        <v>45461</v>
      </c>
      <c r="AE121">
        <f t="shared" ca="1" si="13"/>
        <v>0</v>
      </c>
      <c r="AG121" s="63">
        <f t="shared" ca="1" si="17"/>
        <v>73.227310491150078</v>
      </c>
      <c r="AH121" s="63">
        <f t="shared" ca="1" si="18"/>
        <v>73.227310491150092</v>
      </c>
      <c r="AI121" s="3">
        <f t="shared" ca="1" si="19"/>
        <v>0</v>
      </c>
    </row>
    <row r="122" spans="7:35">
      <c r="G122" s="3">
        <f t="shared" ca="1" si="14"/>
        <v>127</v>
      </c>
      <c r="H122" s="95">
        <f t="shared" ca="1" si="16"/>
        <v>45417</v>
      </c>
      <c r="I122" s="119">
        <f ca="1">HLOOKUP($H$4,'Met Data'!$A$2:$F$368,G122,FALSE)</f>
        <v>11.583823529411699</v>
      </c>
      <c r="J122" s="119">
        <f ca="1">HLOOKUP($H$4,'Met Data'!$H$2:$M$368,G122,FALSE)*L122</f>
        <v>3.2617647058823498</v>
      </c>
      <c r="K122" s="96">
        <f ca="1">HLOOKUP($H$4,'Met Data'!$O$2:$T$368,G122,FALSE)</f>
        <v>1.9285474517201799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45462</v>
      </c>
      <c r="Q122">
        <f ca="1"/>
        <v>69.061459597510705</v>
      </c>
      <c r="R122">
        <f ca="1"/>
        <v>2.2745184388026001</v>
      </c>
      <c r="S122">
        <f ca="1"/>
        <v>9.7620884303069033E-3</v>
      </c>
      <c r="T122">
        <f ca="1"/>
        <v>0.34484636314375983</v>
      </c>
      <c r="U122">
        <f ca="1"/>
        <v>0</v>
      </c>
      <c r="V122">
        <f ca="1"/>
        <v>184.32535966182201</v>
      </c>
      <c r="W122">
        <f ca="1"/>
        <v>46.882754522680898</v>
      </c>
      <c r="X122">
        <f ca="1"/>
        <v>0</v>
      </c>
      <c r="Y122">
        <f ca="1"/>
        <v>0.89337474355621849</v>
      </c>
      <c r="Z122">
        <f ca="1"/>
        <v>0</v>
      </c>
      <c r="AA122">
        <f ca="1"/>
        <v>0</v>
      </c>
      <c r="AB122">
        <f ca="1"/>
        <v>0.99999999158481201</v>
      </c>
      <c r="AD122" s="2">
        <f t="shared" ca="1" si="12"/>
        <v>45462</v>
      </c>
      <c r="AE122">
        <f t="shared" ca="1" si="13"/>
        <v>0</v>
      </c>
      <c r="AG122" s="63">
        <f t="shared" ca="1" si="17"/>
        <v>71.335978036313307</v>
      </c>
      <c r="AH122" s="63">
        <f t="shared" ca="1" si="18"/>
        <v>71.335978036313307</v>
      </c>
      <c r="AI122" s="3">
        <f t="shared" ca="1" si="19"/>
        <v>0</v>
      </c>
    </row>
    <row r="123" spans="7:35">
      <c r="G123" s="3">
        <f t="shared" ca="1" si="14"/>
        <v>128</v>
      </c>
      <c r="H123" s="95">
        <f t="shared" ca="1" si="16"/>
        <v>45418</v>
      </c>
      <c r="I123" s="119">
        <f ca="1">HLOOKUP($H$4,'Met Data'!$A$2:$F$368,G123,FALSE)</f>
        <v>11.138235294117599</v>
      </c>
      <c r="J123" s="119">
        <f ca="1">HLOOKUP($H$4,'Met Data'!$H$2:$M$368,G123,FALSE)*L123</f>
        <v>1.1176470588235199</v>
      </c>
      <c r="K123" s="96">
        <f ca="1">HLOOKUP($H$4,'Met Data'!$O$2:$T$368,G123,FALSE)</f>
        <v>1.69465579062546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45463</v>
      </c>
      <c r="Q123">
        <f ca="1"/>
        <v>67.107121819345878</v>
      </c>
      <c r="R123">
        <f ca="1"/>
        <v>2.32152086263324</v>
      </c>
      <c r="S123">
        <f ca="1"/>
        <v>9.7515969609247577E-3</v>
      </c>
      <c r="T123">
        <f ca="1"/>
        <v>0.35743148750748077</v>
      </c>
      <c r="U123">
        <f ca="1"/>
        <v>0</v>
      </c>
      <c r="V123">
        <f ca="1"/>
        <v>186.64688052445501</v>
      </c>
      <c r="W123">
        <f ca="1"/>
        <v>47.473228307307103</v>
      </c>
      <c r="X123">
        <f ca="1"/>
        <v>0</v>
      </c>
      <c r="Y123">
        <f ca="1"/>
        <v>0.91135031584725068</v>
      </c>
      <c r="Z123">
        <f ca="1"/>
        <v>0</v>
      </c>
      <c r="AA123">
        <f ca="1"/>
        <v>0</v>
      </c>
      <c r="AB123">
        <f ca="1"/>
        <v>0.999999992694384</v>
      </c>
      <c r="AD123" s="2">
        <f t="shared" ca="1" si="12"/>
        <v>45463</v>
      </c>
      <c r="AE123">
        <f t="shared" ca="1" si="13"/>
        <v>0</v>
      </c>
      <c r="AG123" s="63">
        <f t="shared" ca="1" si="17"/>
        <v>69.428642681979113</v>
      </c>
      <c r="AH123" s="63">
        <f t="shared" ca="1" si="18"/>
        <v>69.428642681979113</v>
      </c>
      <c r="AI123" s="3">
        <f t="shared" ca="1" si="19"/>
        <v>0</v>
      </c>
    </row>
    <row r="124" spans="7:35">
      <c r="G124" s="3">
        <f t="shared" ca="1" si="14"/>
        <v>129</v>
      </c>
      <c r="H124" s="95">
        <f t="shared" ca="1" si="16"/>
        <v>45419</v>
      </c>
      <c r="I124" s="119">
        <f ca="1">HLOOKUP($H$4,'Met Data'!$A$2:$F$368,G124,FALSE)</f>
        <v>10.079411764705799</v>
      </c>
      <c r="J124" s="119">
        <f ca="1">HLOOKUP($H$4,'Met Data'!$H$2:$M$368,G124,FALSE)*L124</f>
        <v>3.0588235294117601</v>
      </c>
      <c r="K124" s="96">
        <f ca="1">HLOOKUP($H$4,'Met Data'!$O$2:$T$368,G124,FALSE)</f>
        <v>1.6998944555739099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45464</v>
      </c>
      <c r="Q124">
        <f ca="1"/>
        <v>65.287636801822899</v>
      </c>
      <c r="R124">
        <f ca="1"/>
        <v>2.1783631221895199</v>
      </c>
      <c r="S124">
        <f ca="1"/>
        <v>9.203065690371659E-3</v>
      </c>
      <c r="T124">
        <f ca="1"/>
        <v>0.3496750389761733</v>
      </c>
      <c r="U124">
        <f ca="1"/>
        <v>0</v>
      </c>
      <c r="V124">
        <f ca="1"/>
        <v>188.82524364664499</v>
      </c>
      <c r="W124">
        <f ca="1"/>
        <v>48.027290231864001</v>
      </c>
      <c r="X124">
        <f ca="1"/>
        <v>0</v>
      </c>
      <c r="Y124">
        <f ca="1"/>
        <v>0.93126373312042288</v>
      </c>
      <c r="Z124">
        <f ca="1"/>
        <v>0</v>
      </c>
      <c r="AA124">
        <f ca="1"/>
        <v>0</v>
      </c>
      <c r="AB124">
        <f ca="1"/>
        <v>0.99999999360023495</v>
      </c>
      <c r="AD124" s="2">
        <f t="shared" ca="1" si="12"/>
        <v>45464</v>
      </c>
      <c r="AE124">
        <f t="shared" ca="1" si="13"/>
        <v>0</v>
      </c>
      <c r="AG124" s="63">
        <f t="shared" ca="1" si="17"/>
        <v>67.465999924012422</v>
      </c>
      <c r="AH124" s="63">
        <f t="shared" ca="1" si="18"/>
        <v>67.465999924012422</v>
      </c>
      <c r="AI124" s="3">
        <f t="shared" ca="1" si="19"/>
        <v>0</v>
      </c>
    </row>
    <row r="125" spans="7:35">
      <c r="G125" s="3">
        <f t="shared" ca="1" si="14"/>
        <v>130</v>
      </c>
      <c r="H125" s="95">
        <f t="shared" ca="1" si="16"/>
        <v>45420</v>
      </c>
      <c r="I125" s="119">
        <f ca="1">HLOOKUP($H$4,'Met Data'!$A$2:$F$368,G125,FALSE)</f>
        <v>10.2279411764705</v>
      </c>
      <c r="J125" s="119">
        <f ca="1">HLOOKUP($H$4,'Met Data'!$H$2:$M$368,G125,FALSE)*L125</f>
        <v>0.78235294117647003</v>
      </c>
      <c r="K125" s="96">
        <f ca="1">HLOOKUP($H$4,'Met Data'!$O$2:$T$368,G125,FALSE)</f>
        <v>1.6080556103689001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45465</v>
      </c>
      <c r="Q125">
        <f ca="1"/>
        <v>63.445215452348982</v>
      </c>
      <c r="R125">
        <f ca="1"/>
        <v>2.2057080938372202</v>
      </c>
      <c r="S125">
        <f ca="1"/>
        <v>9.0076980092277381E-3</v>
      </c>
      <c r="T125">
        <f ca="1"/>
        <v>0.35427904635407992</v>
      </c>
      <c r="U125">
        <f ca="1"/>
        <v>0</v>
      </c>
      <c r="V125">
        <f ca="1"/>
        <v>191.03095174048201</v>
      </c>
      <c r="W125">
        <f ca="1"/>
        <v>48.588307290513903</v>
      </c>
      <c r="X125">
        <f ca="1"/>
        <v>0</v>
      </c>
      <c r="Y125">
        <f ca="1"/>
        <v>0.93580326853364748</v>
      </c>
      <c r="Z125">
        <f ca="1"/>
        <v>0</v>
      </c>
      <c r="AA125">
        <f ca="1"/>
        <v>0</v>
      </c>
      <c r="AB125">
        <f ca="1"/>
        <v>0.99999999440163201</v>
      </c>
      <c r="AD125" s="2">
        <f t="shared" ca="1" si="12"/>
        <v>45465</v>
      </c>
      <c r="AE125">
        <f t="shared" ca="1" si="13"/>
        <v>0</v>
      </c>
      <c r="AG125" s="63">
        <f t="shared" ca="1" si="17"/>
        <v>65.650923546186206</v>
      </c>
      <c r="AH125" s="63">
        <f t="shared" ca="1" si="18"/>
        <v>65.650923546186206</v>
      </c>
      <c r="AI125" s="3">
        <f t="shared" ca="1" si="19"/>
        <v>0</v>
      </c>
    </row>
    <row r="126" spans="7:35">
      <c r="G126" s="3">
        <f t="shared" ca="1" si="14"/>
        <v>131</v>
      </c>
      <c r="H126" s="95">
        <f t="shared" ca="1" si="16"/>
        <v>45421</v>
      </c>
      <c r="I126" s="119">
        <f ca="1">HLOOKUP($H$4,'Met Data'!$A$2:$F$368,G126,FALSE)</f>
        <v>10.1044117647058</v>
      </c>
      <c r="J126" s="119">
        <f ca="1">HLOOKUP($H$4,'Met Data'!$H$2:$M$368,G126,FALSE)*L126</f>
        <v>1.99411764705882</v>
      </c>
      <c r="K126" s="96">
        <f ca="1">HLOOKUP($H$4,'Met Data'!$O$2:$T$368,G126,FALSE)</f>
        <v>1.41413311869791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45466</v>
      </c>
      <c r="Q126">
        <f ca="1"/>
        <v>61.509783839682598</v>
      </c>
      <c r="R126">
        <f ca="1"/>
        <v>2.3174234651238201</v>
      </c>
      <c r="S126">
        <f ca="1"/>
        <v>9.1594529051803875E-3</v>
      </c>
      <c r="T126">
        <f ca="1"/>
        <v>0.37283239955225028</v>
      </c>
      <c r="U126">
        <f ca="1"/>
        <v>0</v>
      </c>
      <c r="V126">
        <f ca="1"/>
        <v>193.348375205606</v>
      </c>
      <c r="W126">
        <f ca="1"/>
        <v>49.177738910991103</v>
      </c>
      <c r="X126">
        <f ca="1"/>
        <v>0</v>
      </c>
      <c r="Y126">
        <f ca="1"/>
        <v>0.94934842803942499</v>
      </c>
      <c r="Z126">
        <f ca="1"/>
        <v>0</v>
      </c>
      <c r="AA126">
        <f ca="1"/>
        <v>0</v>
      </c>
      <c r="AB126">
        <f ca="1"/>
        <v>0.99999999513455695</v>
      </c>
      <c r="AD126" s="2">
        <f t="shared" ca="1" si="12"/>
        <v>45466</v>
      </c>
      <c r="AE126">
        <f t="shared" ca="1" si="13"/>
        <v>0</v>
      </c>
      <c r="AG126" s="63">
        <f t="shared" ca="1" si="17"/>
        <v>63.827207304806414</v>
      </c>
      <c r="AH126" s="63">
        <f t="shared" ca="1" si="18"/>
        <v>63.827207304806421</v>
      </c>
      <c r="AI126" s="3">
        <f t="shared" ca="1" si="19"/>
        <v>0</v>
      </c>
    </row>
    <row r="127" spans="7:35">
      <c r="G127" s="3">
        <f t="shared" ca="1" si="14"/>
        <v>132</v>
      </c>
      <c r="H127" s="95">
        <f t="shared" ca="1" si="16"/>
        <v>45422</v>
      </c>
      <c r="I127" s="119">
        <f ca="1">HLOOKUP($H$4,'Met Data'!$A$2:$F$368,G127,FALSE)</f>
        <v>10.4441176470588</v>
      </c>
      <c r="J127" s="119">
        <f ca="1">HLOOKUP($H$4,'Met Data'!$H$2:$M$368,G127,FALSE)*L127</f>
        <v>0.92058823529411704</v>
      </c>
      <c r="K127" s="96">
        <f ca="1">HLOOKUP($H$4,'Met Data'!$O$2:$T$368,G127,FALSE)</f>
        <v>1.66219643843515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45467</v>
      </c>
      <c r="Q127">
        <f ca="1"/>
        <v>59.594648831467026</v>
      </c>
      <c r="R127">
        <f ca="1"/>
        <v>2.2972128960179798</v>
      </c>
      <c r="S127">
        <f ca="1"/>
        <v>8.863903157859454E-3</v>
      </c>
      <c r="T127">
        <f ca="1"/>
        <v>0.37321398464455191</v>
      </c>
      <c r="U127">
        <f ca="1"/>
        <v>0</v>
      </c>
      <c r="V127">
        <f ca="1"/>
        <v>195.64558810162401</v>
      </c>
      <c r="W127">
        <f ca="1"/>
        <v>49.762030017152199</v>
      </c>
      <c r="X127">
        <f ca="1"/>
        <v>0</v>
      </c>
      <c r="Y127">
        <f ca="1"/>
        <v>0.95614773245168938</v>
      </c>
      <c r="Z127">
        <f ca="1"/>
        <v>0</v>
      </c>
      <c r="AA127">
        <f ca="1"/>
        <v>0</v>
      </c>
      <c r="AB127">
        <f ca="1"/>
        <v>0.99999999576544796</v>
      </c>
      <c r="AD127" s="2">
        <f t="shared" ca="1" si="12"/>
        <v>45467</v>
      </c>
      <c r="AE127">
        <f t="shared" ca="1" si="13"/>
        <v>0</v>
      </c>
      <c r="AG127" s="63">
        <f t="shared" ca="1" si="17"/>
        <v>61.891861727485008</v>
      </c>
      <c r="AH127" s="63">
        <f t="shared" ca="1" si="18"/>
        <v>61.891861727485008</v>
      </c>
      <c r="AI127" s="3">
        <f t="shared" ca="1" si="19"/>
        <v>0</v>
      </c>
    </row>
    <row r="128" spans="7:35">
      <c r="G128" s="3">
        <f t="shared" ca="1" si="14"/>
        <v>133</v>
      </c>
      <c r="H128" s="95">
        <f t="shared" ca="1" si="16"/>
        <v>45423</v>
      </c>
      <c r="I128" s="119">
        <f ca="1">HLOOKUP($H$4,'Met Data'!$A$2:$F$368,G128,FALSE)</f>
        <v>10.801470588235199</v>
      </c>
      <c r="J128" s="119">
        <f ca="1">HLOOKUP($H$4,'Met Data'!$H$2:$M$368,G128,FALSE)*L128</f>
        <v>1.73823529411764</v>
      </c>
      <c r="K128" s="96">
        <f ca="1">HLOOKUP($H$4,'Met Data'!$O$2:$T$368,G128,FALSE)</f>
        <v>1.5723667757897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45468</v>
      </c>
      <c r="Q128">
        <f ca="1"/>
        <v>57.60010894142723</v>
      </c>
      <c r="R128">
        <f ca="1"/>
        <v>2.3883579308301801</v>
      </c>
      <c r="S128">
        <f ca="1"/>
        <v>8.8473908960082781E-3</v>
      </c>
      <c r="T128">
        <f ca="1"/>
        <v>0.38497064989437274</v>
      </c>
      <c r="U128">
        <f ca="1"/>
        <v>0</v>
      </c>
      <c r="V128">
        <f ca="1"/>
        <v>198.033946032454</v>
      </c>
      <c r="W128">
        <f ca="1"/>
        <v>50.369503664776403</v>
      </c>
      <c r="X128">
        <f ca="1"/>
        <v>0</v>
      </c>
      <c r="Y128">
        <f ca="1"/>
        <v>0.95892305923137588</v>
      </c>
      <c r="Z128">
        <f ca="1"/>
        <v>0</v>
      </c>
      <c r="AA128">
        <f ca="1"/>
        <v>0</v>
      </c>
      <c r="AB128">
        <f ca="1"/>
        <v>0.99999999633409797</v>
      </c>
      <c r="AD128" s="2">
        <f t="shared" ca="1" si="12"/>
        <v>45468</v>
      </c>
      <c r="AE128">
        <f t="shared" ca="1" si="13"/>
        <v>0</v>
      </c>
      <c r="AG128" s="63">
        <f t="shared" ca="1" si="17"/>
        <v>59.988466872257405</v>
      </c>
      <c r="AH128" s="63">
        <f t="shared" ca="1" si="18"/>
        <v>59.988466872257412</v>
      </c>
      <c r="AI128" s="3">
        <f t="shared" ca="1" si="19"/>
        <v>0</v>
      </c>
    </row>
    <row r="129" spans="7:35">
      <c r="G129" s="3">
        <f t="shared" ca="1" si="14"/>
        <v>134</v>
      </c>
      <c r="H129" s="95">
        <f t="shared" ca="1" si="16"/>
        <v>45424</v>
      </c>
      <c r="I129" s="119">
        <f ca="1">HLOOKUP($H$4,'Met Data'!$A$2:$F$368,G129,FALSE)</f>
        <v>10.149999999999901</v>
      </c>
      <c r="J129" s="119">
        <f ca="1">HLOOKUP($H$4,'Met Data'!$H$2:$M$368,G129,FALSE)*L129</f>
        <v>1.23235294117647</v>
      </c>
      <c r="K129" s="96">
        <f ca="1">HLOOKUP($H$4,'Met Data'!$O$2:$T$368,G129,FALSE)</f>
        <v>1.62543661304557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45469</v>
      </c>
      <c r="Q129">
        <f ca="1"/>
        <v>55.762713690302384</v>
      </c>
      <c r="R129">
        <f ca="1"/>
        <v>2.2099881029770398</v>
      </c>
      <c r="S129">
        <f ca="1"/>
        <v>8.1203091446440112E-3</v>
      </c>
      <c r="T129">
        <f ca="1"/>
        <v>0.36447254270754914</v>
      </c>
      <c r="U129">
        <f ca="1"/>
        <v>0</v>
      </c>
      <c r="V129">
        <f ca="1"/>
        <v>200.243934135431</v>
      </c>
      <c r="W129">
        <f ca="1"/>
        <v>50.931609334446598</v>
      </c>
      <c r="X129">
        <f ca="1"/>
        <v>0</v>
      </c>
      <c r="Y129">
        <f ca="1"/>
        <v>0.9723663409184703</v>
      </c>
      <c r="Z129">
        <f ca="1"/>
        <v>0</v>
      </c>
      <c r="AA129">
        <f ca="1"/>
        <v>0</v>
      </c>
      <c r="AB129">
        <f ca="1"/>
        <v>0.99999999679158202</v>
      </c>
      <c r="AD129" s="2">
        <f t="shared" ca="1" si="12"/>
        <v>45469</v>
      </c>
      <c r="AE129">
        <f t="shared" ca="1" si="13"/>
        <v>0</v>
      </c>
      <c r="AG129" s="63">
        <f t="shared" ca="1" si="17"/>
        <v>57.97270179327942</v>
      </c>
      <c r="AH129" s="63">
        <f t="shared" ca="1" si="18"/>
        <v>57.972701793279427</v>
      </c>
      <c r="AI129" s="3">
        <f t="shared" ca="1" si="19"/>
        <v>0</v>
      </c>
    </row>
    <row r="130" spans="7:35">
      <c r="G130" s="3">
        <f t="shared" ca="1" si="14"/>
        <v>135</v>
      </c>
      <c r="H130" s="95">
        <f t="shared" ca="1" si="16"/>
        <v>45425</v>
      </c>
      <c r="I130" s="119">
        <f ca="1">HLOOKUP($H$4,'Met Data'!$A$2:$F$368,G130,FALSE)</f>
        <v>10.029411764705801</v>
      </c>
      <c r="J130" s="119">
        <f ca="1">HLOOKUP($H$4,'Met Data'!$H$2:$M$368,G130,FALSE)*L130</f>
        <v>1.69705882352941</v>
      </c>
      <c r="K130" s="96">
        <f ca="1">HLOOKUP($H$4,'Met Data'!$O$2:$T$368,G130,FALSE)</f>
        <v>1.6139957133282601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45470</v>
      </c>
      <c r="Q130">
        <f ca="1"/>
        <v>54.005760991833014</v>
      </c>
      <c r="R130">
        <f ca="1"/>
        <v>2.1184386518840501</v>
      </c>
      <c r="S130">
        <f ca="1"/>
        <v>7.662621774088052E-3</v>
      </c>
      <c r="T130">
        <f ca="1"/>
        <v>0.35382333164059471</v>
      </c>
      <c r="U130">
        <f ca="1"/>
        <v>0</v>
      </c>
      <c r="V130">
        <f ca="1"/>
        <v>202.362372787315</v>
      </c>
      <c r="W130">
        <f ca="1"/>
        <v>51.470429600251897</v>
      </c>
      <c r="X130">
        <f ca="1"/>
        <v>0</v>
      </c>
      <c r="Y130">
        <f ca="1"/>
        <v>0.98535777978101036</v>
      </c>
      <c r="Z130">
        <f ca="1"/>
        <v>0</v>
      </c>
      <c r="AA130">
        <f ca="1"/>
        <v>0</v>
      </c>
      <c r="AB130">
        <f ca="1"/>
        <v>0.99999999717615895</v>
      </c>
      <c r="AD130" s="2">
        <f t="shared" ca="1" si="12"/>
        <v>45470</v>
      </c>
      <c r="AE130">
        <f t="shared" ca="1" si="13"/>
        <v>0</v>
      </c>
      <c r="AG130" s="63">
        <f t="shared" ca="1" si="17"/>
        <v>56.12419964371707</v>
      </c>
      <c r="AH130" s="63">
        <f t="shared" ca="1" si="18"/>
        <v>56.124199643717063</v>
      </c>
      <c r="AI130" s="3">
        <f t="shared" ca="1" si="19"/>
        <v>0</v>
      </c>
    </row>
    <row r="131" spans="7:35">
      <c r="G131" s="3">
        <f t="shared" ca="1" si="14"/>
        <v>136</v>
      </c>
      <c r="H131" s="95">
        <f t="shared" ca="1" si="16"/>
        <v>45426</v>
      </c>
      <c r="I131" s="119">
        <f ca="1">HLOOKUP($H$4,'Met Data'!$A$2:$F$368,G131,FALSE)</f>
        <v>9.6235294117647001</v>
      </c>
      <c r="J131" s="119">
        <f ca="1">HLOOKUP($H$4,'Met Data'!$H$2:$M$368,G131,FALSE)*L131</f>
        <v>1.51764705882352</v>
      </c>
      <c r="K131" s="96">
        <f ca="1">HLOOKUP($H$4,'Met Data'!$O$2:$T$368,G131,FALSE)</f>
        <v>1.6005498237626701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45471</v>
      </c>
      <c r="Q131">
        <f ca="1"/>
        <v>52.176136432499916</v>
      </c>
      <c r="R131">
        <f ca="1"/>
        <v>2.2003140556182599</v>
      </c>
      <c r="S131">
        <f ca="1"/>
        <v>7.6531029815498641E-3</v>
      </c>
      <c r="T131">
        <f ca="1"/>
        <v>0.36303639330360682</v>
      </c>
      <c r="U131">
        <f ca="1"/>
        <v>0</v>
      </c>
      <c r="V131">
        <f ca="1"/>
        <v>204.562686842933</v>
      </c>
      <c r="W131">
        <f ca="1"/>
        <v>52.030074697007002</v>
      </c>
      <c r="X131">
        <f ca="1"/>
        <v>0</v>
      </c>
      <c r="Y131">
        <f ca="1"/>
        <v>1</v>
      </c>
      <c r="Z131">
        <f ca="1"/>
        <v>1.3221597058755563</v>
      </c>
      <c r="AA131">
        <f ca="1"/>
        <v>0</v>
      </c>
      <c r="AB131">
        <f ca="1"/>
        <v>0.99999999752670099</v>
      </c>
      <c r="AD131" s="2">
        <f t="shared" ca="1" si="12"/>
        <v>45471</v>
      </c>
      <c r="AE131">
        <f t="shared" ca="1" si="13"/>
        <v>0</v>
      </c>
      <c r="AG131" s="63">
        <f t="shared" ca="1" si="17"/>
        <v>54.376450488118174</v>
      </c>
      <c r="AH131" s="63">
        <f t="shared" ca="1" si="18"/>
        <v>54.376450488118174</v>
      </c>
      <c r="AI131" s="3">
        <f t="shared" ca="1" si="19"/>
        <v>0</v>
      </c>
    </row>
    <row r="132" spans="7:35">
      <c r="G132" s="3">
        <f t="shared" ca="1" si="14"/>
        <v>137</v>
      </c>
      <c r="H132" s="95">
        <f t="shared" ca="1" si="16"/>
        <v>45427</v>
      </c>
      <c r="I132" s="119">
        <f ca="1">HLOOKUP($H$4,'Met Data'!$A$2:$F$368,G132,FALSE)</f>
        <v>10.177941176470499</v>
      </c>
      <c r="J132" s="119">
        <f ca="1">HLOOKUP($H$4,'Met Data'!$H$2:$M$368,G132,FALSE)*L132</f>
        <v>2.0147058823529398</v>
      </c>
      <c r="K132" s="96">
        <f ca="1">HLOOKUP($H$4,'Met Data'!$O$2:$T$368,G132,FALSE)</f>
        <v>1.76114821084059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45472</v>
      </c>
      <c r="Q132">
        <f ca="1"/>
        <v>50.238118141762172</v>
      </c>
      <c r="R132">
        <f ca="1"/>
        <v>2.3230109087364199</v>
      </c>
      <c r="S132">
        <f ca="1"/>
        <v>7.7452886998514714E-3</v>
      </c>
      <c r="T132">
        <f ca="1"/>
        <v>0.37724732929882659</v>
      </c>
      <c r="U132">
        <f ca="1"/>
        <v>0</v>
      </c>
      <c r="V132">
        <f ca="1"/>
        <v>206.88569775166999</v>
      </c>
      <c r="W132">
        <f ca="1"/>
        <v>52.620927471620398</v>
      </c>
      <c r="X132">
        <f ca="1"/>
        <v>0</v>
      </c>
      <c r="Y132">
        <f ca="1"/>
        <v>1</v>
      </c>
      <c r="Z132">
        <f ca="1"/>
        <v>0.95963097731662117</v>
      </c>
      <c r="AA132">
        <f ca="1"/>
        <v>0</v>
      </c>
      <c r="AB132">
        <f ca="1"/>
        <v>0.99999999784958704</v>
      </c>
      <c r="AD132" s="2">
        <f t="shared" ca="1" si="12"/>
        <v>45472</v>
      </c>
      <c r="AE132">
        <f t="shared" ca="1" si="13"/>
        <v>0</v>
      </c>
      <c r="AG132" s="63">
        <f t="shared" ca="1" si="17"/>
        <v>52.561129050498593</v>
      </c>
      <c r="AH132" s="63">
        <f t="shared" ca="1" si="18"/>
        <v>52.561129050498593</v>
      </c>
      <c r="AI132" s="3">
        <f t="shared" ca="1" si="19"/>
        <v>0</v>
      </c>
    </row>
    <row r="133" spans="7:35">
      <c r="G133" s="3">
        <f t="shared" ca="1" si="14"/>
        <v>138</v>
      </c>
      <c r="H133" s="95">
        <f t="shared" ca="1" si="16"/>
        <v>45428</v>
      </c>
      <c r="I133" s="119">
        <f ca="1">HLOOKUP($H$4,'Met Data'!$A$2:$F$368,G133,FALSE)</f>
        <v>9.2779411764705806</v>
      </c>
      <c r="J133" s="119">
        <f ca="1">HLOOKUP($H$4,'Met Data'!$H$2:$M$368,G133,FALSE)*L133</f>
        <v>2.7235294117647002</v>
      </c>
      <c r="K133" s="96">
        <f ca="1">HLOOKUP($H$4,'Met Data'!$O$2:$T$368,G133,FALSE)</f>
        <v>1.51265723824432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45473</v>
      </c>
      <c r="Q133">
        <f ca="1"/>
        <v>48.517535215927367</v>
      </c>
      <c r="R133">
        <f ca="1"/>
        <v>2.0764525738564998</v>
      </c>
      <c r="S133">
        <f ca="1"/>
        <v>6.9890636113569826E-3</v>
      </c>
      <c r="T133">
        <f ca="1"/>
        <v>0.34888058441033987</v>
      </c>
      <c r="U133">
        <f ca="1"/>
        <v>0</v>
      </c>
      <c r="V133">
        <f ca="1"/>
        <v>208.96215032552601</v>
      </c>
      <c r="W133">
        <f ca="1"/>
        <v>53.149068669753497</v>
      </c>
      <c r="X133">
        <f ca="1"/>
        <v>0</v>
      </c>
      <c r="Y133">
        <f ca="1"/>
        <v>1</v>
      </c>
      <c r="Z133">
        <f ca="1"/>
        <v>0.26610385407418136</v>
      </c>
      <c r="AA133">
        <f ca="1"/>
        <v>0</v>
      </c>
      <c r="AB133">
        <f ca="1"/>
        <v>0.99999999810233298</v>
      </c>
      <c r="AD133" s="2">
        <f t="shared" ca="1" si="12"/>
        <v>45473</v>
      </c>
      <c r="AE133">
        <f t="shared" ca="1" si="13"/>
        <v>0</v>
      </c>
      <c r="AG133" s="63">
        <f t="shared" ca="1" si="17"/>
        <v>50.593987789783867</v>
      </c>
      <c r="AH133" s="63">
        <f t="shared" ca="1" si="18"/>
        <v>50.593987789783867</v>
      </c>
      <c r="AI133" s="3">
        <f t="shared" ca="1" si="19"/>
        <v>0</v>
      </c>
    </row>
    <row r="134" spans="7:35">
      <c r="G134" s="3">
        <f t="shared" ca="1" si="14"/>
        <v>139</v>
      </c>
      <c r="H134" s="95">
        <f t="shared" ca="1" si="16"/>
        <v>45429</v>
      </c>
      <c r="I134" s="119">
        <f ca="1">HLOOKUP($H$4,'Met Data'!$A$2:$F$368,G134,FALSE)</f>
        <v>9.0485294117647008</v>
      </c>
      <c r="J134" s="119">
        <f ca="1">HLOOKUP($H$4,'Met Data'!$H$2:$M$368,G134,FALSE)*L134</f>
        <v>1.5</v>
      </c>
      <c r="K134" s="96">
        <f ca="1">HLOOKUP($H$4,'Met Data'!$O$2:$T$368,G134,FALSE)</f>
        <v>1.42917243065086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45474</v>
      </c>
      <c r="Q134">
        <f ca="1"/>
        <v>46.902416942699467</v>
      </c>
      <c r="R134">
        <f ca="1"/>
        <v>1.95744544039013</v>
      </c>
      <c r="S134">
        <f ca="1"/>
        <v>6.5800843217260763E-3</v>
      </c>
      <c r="T134">
        <f ca="1"/>
        <v>0.33574708284050764</v>
      </c>
      <c r="U134">
        <f ca="1"/>
        <v>0</v>
      </c>
      <c r="V134">
        <f ca="1"/>
        <v>210.91959576591699</v>
      </c>
      <c r="W134">
        <f ca="1"/>
        <v>53.6469406622005</v>
      </c>
      <c r="X134">
        <f ca="1"/>
        <v>0</v>
      </c>
      <c r="Y134">
        <f ca="1"/>
        <v>1</v>
      </c>
      <c r="Z134">
        <f ca="1"/>
        <v>0.56586575188849508</v>
      </c>
      <c r="AA134">
        <f ca="1"/>
        <v>0</v>
      </c>
      <c r="AB134">
        <f ca="1"/>
        <v>0.99999999831335395</v>
      </c>
      <c r="AD134" s="2">
        <f t="shared" ref="AD134:AD197" ca="1" si="22">IFERROR(P134,$AD$4)</f>
        <v>45474</v>
      </c>
      <c r="AE134">
        <f t="shared" ref="AE134:AE197" ca="1" si="23">IFERROR(U134,0)</f>
        <v>0</v>
      </c>
      <c r="AG134" s="63">
        <f t="shared" ca="1" si="17"/>
        <v>48.859862383089599</v>
      </c>
      <c r="AH134" s="63">
        <f t="shared" ca="1" si="18"/>
        <v>48.859862383089599</v>
      </c>
      <c r="AI134" s="3">
        <f t="shared" ca="1" si="19"/>
        <v>0</v>
      </c>
    </row>
    <row r="135" spans="7:35">
      <c r="G135" s="3">
        <f t="shared" ref="G135:G198" ca="1" si="24">H135-DATE(YEAR(H135),1,0)+1</f>
        <v>140</v>
      </c>
      <c r="H135" s="95">
        <f t="shared" ca="1" si="16"/>
        <v>45430</v>
      </c>
      <c r="I135" s="119">
        <f ca="1">HLOOKUP($H$4,'Met Data'!$A$2:$F$368,G135,FALSE)</f>
        <v>9.3647058823529399</v>
      </c>
      <c r="J135" s="119">
        <f ca="1">HLOOKUP($H$4,'Met Data'!$H$2:$M$368,G135,FALSE)*L135</f>
        <v>1.5735294117647001</v>
      </c>
      <c r="K135" s="96">
        <f ca="1">HLOOKUP($H$4,'Met Data'!$O$2:$T$368,G135,FALSE)</f>
        <v>1.4324355889067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45475</v>
      </c>
      <c r="Q135">
        <f ca="1"/>
        <v>45.115799758411612</v>
      </c>
      <c r="R135">
        <f ca="1"/>
        <v>2.1508669368162701</v>
      </c>
      <c r="S135">
        <f ca="1"/>
        <v>6.8587763050231842E-3</v>
      </c>
      <c r="T135">
        <f ca="1"/>
        <v>0.35739097622338983</v>
      </c>
      <c r="U135">
        <f ca="1"/>
        <v>0</v>
      </c>
      <c r="V135">
        <f ca="1"/>
        <v>213.07046270273301</v>
      </c>
      <c r="W135">
        <f ca="1"/>
        <v>54.194008991781999</v>
      </c>
      <c r="X135">
        <f ca="1"/>
        <v>0</v>
      </c>
      <c r="Y135">
        <f ca="1"/>
        <v>1</v>
      </c>
      <c r="Z135">
        <f ca="1"/>
        <v>0.55546408333935204</v>
      </c>
      <c r="AA135">
        <f ca="1"/>
        <v>0</v>
      </c>
      <c r="AB135">
        <f ca="1"/>
        <v>0.99999999851833299</v>
      </c>
      <c r="AD135" s="2">
        <f t="shared" ca="1" si="22"/>
        <v>45475</v>
      </c>
      <c r="AE135">
        <f t="shared" ca="1" si="23"/>
        <v>0</v>
      </c>
      <c r="AG135" s="63">
        <f t="shared" ca="1" si="17"/>
        <v>47.266666695227883</v>
      </c>
      <c r="AH135" s="63">
        <f t="shared" ca="1" si="18"/>
        <v>47.266666695227883</v>
      </c>
      <c r="AI135" s="3">
        <f t="shared" ca="1" si="19"/>
        <v>0</v>
      </c>
    </row>
    <row r="136" spans="7:35">
      <c r="G136" s="3">
        <f t="shared" ca="1" si="24"/>
        <v>141</v>
      </c>
      <c r="H136" s="95">
        <f t="shared" ref="H136:H199" ca="1" si="26">H135+1</f>
        <v>45431</v>
      </c>
      <c r="I136" s="119">
        <f ca="1">HLOOKUP($H$4,'Met Data'!$A$2:$F$368,G136,FALSE)</f>
        <v>9.4352941176470502</v>
      </c>
      <c r="J136" s="119">
        <f ca="1">HLOOKUP($H$4,'Met Data'!$H$2:$M$368,G136,FALSE)*L136</f>
        <v>1.9352941176470499</v>
      </c>
      <c r="K136" s="96">
        <f ca="1">HLOOKUP($H$4,'Met Data'!$O$2:$T$368,G136,FALSE)</f>
        <v>1.4124835611223401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45476</v>
      </c>
      <c r="Q136">
        <f ca="1"/>
        <v>43.247991833534869</v>
      </c>
      <c r="R136">
        <f ca="1"/>
        <v>2.2428384300977799</v>
      </c>
      <c r="S136">
        <f ca="1"/>
        <v>6.9196916120830565E-3</v>
      </c>
      <c r="T136">
        <f ca="1"/>
        <v>0.36811081360894765</v>
      </c>
      <c r="U136">
        <f ca="1"/>
        <v>0</v>
      </c>
      <c r="V136">
        <f ca="1"/>
        <v>215.31330113283099</v>
      </c>
      <c r="W136">
        <f ca="1"/>
        <v>54.764470070741702</v>
      </c>
      <c r="X136">
        <f ca="1"/>
        <v>0</v>
      </c>
      <c r="Y136">
        <f ca="1"/>
        <v>1</v>
      </c>
      <c r="Z136">
        <f ca="1"/>
        <v>0.25888452436453946</v>
      </c>
      <c r="AA136">
        <f ca="1"/>
        <v>0</v>
      </c>
      <c r="AB136">
        <f ca="1"/>
        <v>0.99999999870569001</v>
      </c>
      <c r="AD136" s="2">
        <f t="shared" ca="1" si="22"/>
        <v>45476</v>
      </c>
      <c r="AE136">
        <f t="shared" ca="1" si="23"/>
        <v>0</v>
      </c>
      <c r="AG136" s="63">
        <f t="shared" ref="AG136:AG199" ca="1" si="27">Q135+S136+T136+U136</f>
        <v>45.490830263632645</v>
      </c>
      <c r="AH136" s="63">
        <f t="shared" ref="AH136:AH199" ca="1" si="28">Q136+R136+X136</f>
        <v>45.490830263632645</v>
      </c>
      <c r="AI136" s="3">
        <f t="shared" ref="AI136:AI199" ca="1" si="29">AH136-AG136</f>
        <v>0</v>
      </c>
    </row>
    <row r="137" spans="7:35">
      <c r="G137" s="3">
        <f t="shared" ca="1" si="24"/>
        <v>142</v>
      </c>
      <c r="H137" s="95">
        <f t="shared" ca="1" si="26"/>
        <v>45432</v>
      </c>
      <c r="I137" s="119">
        <f ca="1">HLOOKUP($H$4,'Met Data'!$A$2:$F$368,G137,FALSE)</f>
        <v>9.1705882352941099</v>
      </c>
      <c r="J137" s="119">
        <f ca="1">HLOOKUP($H$4,'Met Data'!$H$2:$M$368,G137,FALSE)*L137</f>
        <v>2.3529411764705799</v>
      </c>
      <c r="K137" s="96">
        <f ca="1">HLOOKUP($H$4,'Met Data'!$O$2:$T$368,G137,FALSE)</f>
        <v>1.2765511235284199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45477</v>
      </c>
      <c r="Q137">
        <f ca="1"/>
        <v>41.298020905385904</v>
      </c>
      <c r="R137">
        <f ca="1"/>
        <v>2.3362574015608901</v>
      </c>
      <c r="S137">
        <f ca="1"/>
        <v>6.988692371066918E-3</v>
      </c>
      <c r="T137">
        <f ca="1"/>
        <v>0.37929778104086248</v>
      </c>
      <c r="U137">
        <f ca="1"/>
        <v>0</v>
      </c>
      <c r="V137">
        <f ca="1"/>
        <v>217.64955853439099</v>
      </c>
      <c r="W137">
        <f ca="1"/>
        <v>55.358692062008302</v>
      </c>
      <c r="X137">
        <f ca="1"/>
        <v>0</v>
      </c>
      <c r="Y137">
        <f ca="1"/>
        <v>0.99805218294332265</v>
      </c>
      <c r="Z137">
        <f ca="1"/>
        <v>0</v>
      </c>
      <c r="AA137">
        <f ca="1"/>
        <v>0</v>
      </c>
      <c r="AB137">
        <f ca="1"/>
        <v>0.99999999887583602</v>
      </c>
      <c r="AD137" s="2">
        <f t="shared" ca="1" si="22"/>
        <v>45477</v>
      </c>
      <c r="AE137">
        <f t="shared" ca="1" si="23"/>
        <v>0</v>
      </c>
      <c r="AG137" s="63">
        <f t="shared" ca="1" si="27"/>
        <v>43.634278306946797</v>
      </c>
      <c r="AH137" s="63">
        <f t="shared" ca="1" si="28"/>
        <v>43.634278306946797</v>
      </c>
      <c r="AI137" s="3">
        <f t="shared" ca="1" si="29"/>
        <v>0</v>
      </c>
    </row>
    <row r="138" spans="7:35">
      <c r="G138" s="3">
        <f t="shared" ca="1" si="24"/>
        <v>143</v>
      </c>
      <c r="H138" s="95">
        <f t="shared" ca="1" si="26"/>
        <v>45433</v>
      </c>
      <c r="I138" s="119">
        <f ca="1">HLOOKUP($H$4,'Met Data'!$A$2:$F$368,G138,FALSE)</f>
        <v>8.3529411764705799</v>
      </c>
      <c r="J138" s="119">
        <f ca="1">HLOOKUP($H$4,'Met Data'!$H$2:$M$368,G138,FALSE)*L138</f>
        <v>1.5852941176470501</v>
      </c>
      <c r="K138" s="96">
        <f ca="1">HLOOKUP($H$4,'Met Data'!$O$2:$T$368,G138,FALSE)</f>
        <v>1.1618550175400399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45478</v>
      </c>
      <c r="Q138">
        <f ca="1"/>
        <v>39.417046926713198</v>
      </c>
      <c r="R138">
        <f ca="1"/>
        <v>2.2580525486314098</v>
      </c>
      <c r="S138">
        <f ca="1"/>
        <v>6.6974879284202871E-3</v>
      </c>
      <c r="T138">
        <f ca="1"/>
        <v>0.37038108203028253</v>
      </c>
      <c r="U138">
        <f ca="1"/>
        <v>0</v>
      </c>
      <c r="V138">
        <f ca="1"/>
        <v>219.907611083023</v>
      </c>
      <c r="W138">
        <f ca="1"/>
        <v>55.933022818942803</v>
      </c>
      <c r="X138">
        <f ca="1"/>
        <v>0</v>
      </c>
      <c r="Y138">
        <f ca="1"/>
        <v>1</v>
      </c>
      <c r="Z138">
        <f ca="1"/>
        <v>1.9930867700418773</v>
      </c>
      <c r="AA138">
        <f ca="1"/>
        <v>0</v>
      </c>
      <c r="AB138">
        <f ca="1"/>
        <v>0.99999999901914005</v>
      </c>
      <c r="AD138" s="2">
        <f t="shared" ca="1" si="22"/>
        <v>45478</v>
      </c>
      <c r="AE138">
        <f t="shared" ca="1" si="23"/>
        <v>0</v>
      </c>
      <c r="AG138" s="63">
        <f t="shared" ca="1" si="27"/>
        <v>41.675099475344609</v>
      </c>
      <c r="AH138" s="63">
        <f t="shared" ca="1" si="28"/>
        <v>41.675099475344609</v>
      </c>
      <c r="AI138" s="3">
        <f t="shared" ca="1" si="29"/>
        <v>0</v>
      </c>
    </row>
    <row r="139" spans="7:35">
      <c r="G139" s="3">
        <f t="shared" ca="1" si="24"/>
        <v>144</v>
      </c>
      <c r="H139" s="95">
        <f t="shared" ca="1" si="26"/>
        <v>45434</v>
      </c>
      <c r="I139" s="119">
        <f ca="1">HLOOKUP($H$4,'Met Data'!$A$2:$F$368,G139,FALSE)</f>
        <v>9.0132352941176404</v>
      </c>
      <c r="J139" s="119">
        <f ca="1">HLOOKUP($H$4,'Met Data'!$H$2:$M$368,G139,FALSE)*L139</f>
        <v>1.6205882352941099</v>
      </c>
      <c r="K139" s="96">
        <f ca="1">HLOOKUP($H$4,'Met Data'!$O$2:$T$368,G139,FALSE)</f>
        <v>1.3880525200190601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45479</v>
      </c>
      <c r="Q139">
        <f ca="1"/>
        <v>37.77602903922687</v>
      </c>
      <c r="R139">
        <f ca="1"/>
        <v>1.9869108998139799</v>
      </c>
      <c r="S139">
        <f ca="1"/>
        <v>6.0441253065448564E-3</v>
      </c>
      <c r="T139">
        <f ca="1"/>
        <v>0.33984888702110777</v>
      </c>
      <c r="U139">
        <f ca="1"/>
        <v>0</v>
      </c>
      <c r="V139">
        <f ca="1"/>
        <v>221.89452198283701</v>
      </c>
      <c r="W139">
        <f ca="1"/>
        <v>56.4383892869389</v>
      </c>
      <c r="X139">
        <f ca="1"/>
        <v>0</v>
      </c>
      <c r="Y139">
        <f ca="1"/>
        <v>0.99868638772353724</v>
      </c>
      <c r="Z139">
        <f ca="1"/>
        <v>0</v>
      </c>
      <c r="AA139">
        <f ca="1"/>
        <v>0</v>
      </c>
      <c r="AB139">
        <f ca="1"/>
        <v>0.99999999913017401</v>
      </c>
      <c r="AD139" s="2">
        <f t="shared" ca="1" si="22"/>
        <v>45479</v>
      </c>
      <c r="AE139">
        <f t="shared" ca="1" si="23"/>
        <v>0</v>
      </c>
      <c r="AG139" s="63">
        <f t="shared" ca="1" si="27"/>
        <v>39.762939939040848</v>
      </c>
      <c r="AH139" s="63">
        <f t="shared" ca="1" si="28"/>
        <v>39.762939939040848</v>
      </c>
      <c r="AI139" s="3">
        <f t="shared" ca="1" si="29"/>
        <v>0</v>
      </c>
    </row>
    <row r="140" spans="7:35">
      <c r="G140" s="3">
        <f t="shared" ca="1" si="24"/>
        <v>145</v>
      </c>
      <c r="H140" s="95">
        <f t="shared" ca="1" si="26"/>
        <v>45435</v>
      </c>
      <c r="I140" s="119">
        <f ca="1">HLOOKUP($H$4,'Met Data'!$A$2:$F$368,G140,FALSE)</f>
        <v>8.7911764705882298</v>
      </c>
      <c r="J140" s="119">
        <f ca="1">HLOOKUP($H$4,'Met Data'!$H$2:$M$368,G140,FALSE)*L140</f>
        <v>3.3764705882352901</v>
      </c>
      <c r="K140" s="96">
        <f ca="1">HLOOKUP($H$4,'Met Data'!$O$2:$T$368,G140,FALSE)</f>
        <v>1.28085602366637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45480</v>
      </c>
      <c r="Q140">
        <f ca="1"/>
        <v>36.24817151172703</v>
      </c>
      <c r="R140">
        <f ca="1"/>
        <v>1.85982846876436</v>
      </c>
      <c r="S140">
        <f ca="1"/>
        <v>5.7183958613933328E-3</v>
      </c>
      <c r="T140">
        <f ca="1"/>
        <v>0.32625254540312759</v>
      </c>
      <c r="U140">
        <f ca="1"/>
        <v>0</v>
      </c>
      <c r="V140">
        <f ca="1"/>
        <v>223.754350451601</v>
      </c>
      <c r="W140">
        <f ca="1"/>
        <v>56.911432614863799</v>
      </c>
      <c r="X140">
        <f ca="1"/>
        <v>0</v>
      </c>
      <c r="Y140">
        <f ca="1"/>
        <v>1</v>
      </c>
      <c r="Z140">
        <f ca="1"/>
        <v>0.64132670802505487</v>
      </c>
      <c r="AA140">
        <f ca="1"/>
        <v>0</v>
      </c>
      <c r="AB140">
        <f ca="1"/>
        <v>0.99999999922280103</v>
      </c>
      <c r="AD140" s="2">
        <f t="shared" ca="1" si="22"/>
        <v>45480</v>
      </c>
      <c r="AE140">
        <f t="shared" ca="1" si="23"/>
        <v>0</v>
      </c>
      <c r="AG140" s="63">
        <f t="shared" ca="1" si="27"/>
        <v>38.107999980491392</v>
      </c>
      <c r="AH140" s="63">
        <f t="shared" ca="1" si="28"/>
        <v>38.107999980491392</v>
      </c>
      <c r="AI140" s="3">
        <f t="shared" ca="1" si="29"/>
        <v>0</v>
      </c>
    </row>
    <row r="141" spans="7:35">
      <c r="G141" s="3">
        <f t="shared" ca="1" si="24"/>
        <v>146</v>
      </c>
      <c r="H141" s="95">
        <f t="shared" ca="1" si="26"/>
        <v>45436</v>
      </c>
      <c r="I141" s="119">
        <f ca="1">HLOOKUP($H$4,'Met Data'!$A$2:$F$368,G141,FALSE)</f>
        <v>8.3720588235294109</v>
      </c>
      <c r="J141" s="119">
        <f ca="1">HLOOKUP($H$4,'Met Data'!$H$2:$M$368,G141,FALSE)*L141</f>
        <v>1.9058823529411699</v>
      </c>
      <c r="K141" s="96">
        <f ca="1">HLOOKUP($H$4,'Met Data'!$O$2:$T$368,G141,FALSE)</f>
        <v>1.28602442078779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45481</v>
      </c>
      <c r="Q141">
        <f ca="1"/>
        <v>34.648714958111228</v>
      </c>
      <c r="R141">
        <f ca="1"/>
        <v>1.9405879214784001</v>
      </c>
      <c r="S141">
        <f ca="1"/>
        <v>5.7985580905040024E-3</v>
      </c>
      <c r="T141">
        <f ca="1"/>
        <v>0.33533280977209412</v>
      </c>
      <c r="U141">
        <f ca="1"/>
        <v>0</v>
      </c>
      <c r="V141">
        <f ca="1"/>
        <v>225.69493837307999</v>
      </c>
      <c r="W141">
        <f ca="1"/>
        <v>57.405016934022399</v>
      </c>
      <c r="X141">
        <f ca="1"/>
        <v>0</v>
      </c>
      <c r="Y141">
        <f ca="1"/>
        <v>1</v>
      </c>
      <c r="Z141">
        <f ca="1"/>
        <v>0.1671233152343703</v>
      </c>
      <c r="AA141">
        <f ca="1"/>
        <v>0</v>
      </c>
      <c r="AB141">
        <f ca="1"/>
        <v>0.99999999930906802</v>
      </c>
      <c r="AD141" s="2">
        <f t="shared" ca="1" si="22"/>
        <v>45481</v>
      </c>
      <c r="AE141">
        <f t="shared" ca="1" si="23"/>
        <v>0</v>
      </c>
      <c r="AG141" s="63">
        <f t="shared" ca="1" si="27"/>
        <v>36.589302879589631</v>
      </c>
      <c r="AH141" s="63">
        <f t="shared" ca="1" si="28"/>
        <v>36.589302879589624</v>
      </c>
      <c r="AI141" s="3">
        <f t="shared" ca="1" si="29"/>
        <v>0</v>
      </c>
    </row>
    <row r="142" spans="7:35">
      <c r="G142" s="3">
        <f t="shared" ca="1" si="24"/>
        <v>147</v>
      </c>
      <c r="H142" s="95">
        <f t="shared" ca="1" si="26"/>
        <v>45437</v>
      </c>
      <c r="I142" s="119">
        <f ca="1">HLOOKUP($H$4,'Met Data'!$A$2:$F$368,G142,FALSE)</f>
        <v>8.5632352941176393</v>
      </c>
      <c r="J142" s="119">
        <f ca="1">HLOOKUP($H$4,'Met Data'!$H$2:$M$368,G142,FALSE)*L142</f>
        <v>4.3794117647058801</v>
      </c>
      <c r="K142" s="96">
        <f ca="1">HLOOKUP($H$4,'Met Data'!$O$2:$T$368,G142,FALSE)</f>
        <v>1.33540018897607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45482</v>
      </c>
      <c r="Q142">
        <f ca="1"/>
        <v>32.985648119589747</v>
      </c>
      <c r="R142">
        <f ca="1"/>
        <v>2.0126164486689202</v>
      </c>
      <c r="S142">
        <f ca="1"/>
        <v>5.8664589435863945E-3</v>
      </c>
      <c r="T142">
        <f ca="1"/>
        <v>0.34368315120385645</v>
      </c>
      <c r="U142">
        <f ca="1"/>
        <v>0</v>
      </c>
      <c r="V142">
        <f ca="1"/>
        <v>227.707554821749</v>
      </c>
      <c r="W142">
        <f ca="1"/>
        <v>57.916921552488198</v>
      </c>
      <c r="X142">
        <f ca="1"/>
        <v>0</v>
      </c>
      <c r="Y142">
        <f ca="1"/>
        <v>0.99903601342554438</v>
      </c>
      <c r="Z142">
        <f ca="1"/>
        <v>0</v>
      </c>
      <c r="AA142">
        <f ca="1"/>
        <v>0</v>
      </c>
      <c r="AB142">
        <f ca="1"/>
        <v>0.99999999938856099</v>
      </c>
      <c r="AD142" s="2">
        <f t="shared" ca="1" si="22"/>
        <v>45482</v>
      </c>
      <c r="AE142">
        <f t="shared" ca="1" si="23"/>
        <v>0</v>
      </c>
      <c r="AG142" s="63">
        <f t="shared" ca="1" si="27"/>
        <v>34.998264568258669</v>
      </c>
      <c r="AH142" s="63">
        <f t="shared" ca="1" si="28"/>
        <v>34.998264568258669</v>
      </c>
      <c r="AI142" s="3">
        <f t="shared" ca="1" si="29"/>
        <v>0</v>
      </c>
    </row>
    <row r="143" spans="7:35">
      <c r="G143" s="3">
        <f t="shared" ca="1" si="24"/>
        <v>148</v>
      </c>
      <c r="H143" s="95">
        <f t="shared" ca="1" si="26"/>
        <v>45438</v>
      </c>
      <c r="I143" s="119">
        <f ca="1">HLOOKUP($H$4,'Met Data'!$A$2:$F$368,G143,FALSE)</f>
        <v>8.4573529411764703</v>
      </c>
      <c r="J143" s="119">
        <f ca="1">HLOOKUP($H$4,'Met Data'!$H$2:$M$368,G143,FALSE)*L143</f>
        <v>0.997058823529411</v>
      </c>
      <c r="K143" s="96">
        <f ca="1">HLOOKUP($H$4,'Met Data'!$O$2:$T$368,G143,FALSE)</f>
        <v>1.45727309162839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45483</v>
      </c>
      <c r="Q143">
        <f ca="1"/>
        <v>31.35483408565711</v>
      </c>
      <c r="R143">
        <f ca="1"/>
        <v>1.97663682121873</v>
      </c>
      <c r="S143">
        <f ca="1"/>
        <v>5.7350968236846711E-3</v>
      </c>
      <c r="T143">
        <f ca="1"/>
        <v>0.3400876904624105</v>
      </c>
      <c r="U143">
        <f ca="1"/>
        <v>0</v>
      </c>
      <c r="V143">
        <f ca="1"/>
        <v>229.68419164296699</v>
      </c>
      <c r="W143">
        <f ca="1"/>
        <v>58.419674830928599</v>
      </c>
      <c r="X143">
        <f ca="1"/>
        <v>0</v>
      </c>
      <c r="Y143">
        <f ca="1"/>
        <v>1</v>
      </c>
      <c r="Z143">
        <f ca="1"/>
        <v>0.52481807833500227</v>
      </c>
      <c r="AA143">
        <f ca="1"/>
        <v>0</v>
      </c>
      <c r="AB143">
        <f ca="1"/>
        <v>0.99999999945784701</v>
      </c>
      <c r="AD143" s="2">
        <f t="shared" ca="1" si="22"/>
        <v>45483</v>
      </c>
      <c r="AE143">
        <f t="shared" ca="1" si="23"/>
        <v>0</v>
      </c>
      <c r="AG143" s="63">
        <f t="shared" ca="1" si="27"/>
        <v>33.331470906875843</v>
      </c>
      <c r="AH143" s="63">
        <f t="shared" ca="1" si="28"/>
        <v>33.331470906875843</v>
      </c>
      <c r="AI143" s="3">
        <f t="shared" ca="1" si="29"/>
        <v>0</v>
      </c>
    </row>
    <row r="144" spans="7:35">
      <c r="G144" s="3">
        <f t="shared" ca="1" si="24"/>
        <v>149</v>
      </c>
      <c r="H144" s="95">
        <f t="shared" ca="1" si="26"/>
        <v>45439</v>
      </c>
      <c r="I144" s="119">
        <f ca="1">HLOOKUP($H$4,'Met Data'!$A$2:$F$368,G144,FALSE)</f>
        <v>8.1897058823529392</v>
      </c>
      <c r="J144" s="119">
        <f ca="1">HLOOKUP($H$4,'Met Data'!$H$2:$M$368,G144,FALSE)*L144</f>
        <v>2.3676470588235201</v>
      </c>
      <c r="K144" s="96">
        <f ca="1">HLOOKUP($H$4,'Met Data'!$O$2:$T$368,G144,FALSE)</f>
        <v>1.60616595463803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45484</v>
      </c>
      <c r="Q144">
        <f ca="1"/>
        <v>29.653625549497711</v>
      </c>
      <c r="R144">
        <f ca="1"/>
        <v>2.0565858607259302</v>
      </c>
      <c r="S144">
        <f ca="1"/>
        <v>5.828209882935198E-3</v>
      </c>
      <c r="T144">
        <f ca="1"/>
        <v>0.34954911468359717</v>
      </c>
      <c r="U144">
        <f ca="1"/>
        <v>0</v>
      </c>
      <c r="V144">
        <f ca="1"/>
        <v>231.74077750369301</v>
      </c>
      <c r="W144">
        <f ca="1"/>
        <v>58.942762973765497</v>
      </c>
      <c r="X144">
        <f ca="1"/>
        <v>0</v>
      </c>
      <c r="Y144">
        <f ca="1"/>
        <v>1</v>
      </c>
      <c r="Z144">
        <f ca="1"/>
        <v>3.6124554221181882E-2</v>
      </c>
      <c r="AA144">
        <f ca="1"/>
        <v>0</v>
      </c>
      <c r="AB144">
        <f ca="1"/>
        <v>0.99999999952174001</v>
      </c>
      <c r="AD144" s="2">
        <f t="shared" ca="1" si="22"/>
        <v>45484</v>
      </c>
      <c r="AE144">
        <f t="shared" ca="1" si="23"/>
        <v>0</v>
      </c>
      <c r="AG144" s="63">
        <f t="shared" ca="1" si="27"/>
        <v>31.710211410223643</v>
      </c>
      <c r="AH144" s="63">
        <f t="shared" ca="1" si="28"/>
        <v>31.710211410223643</v>
      </c>
      <c r="AI144" s="3">
        <f t="shared" ca="1" si="29"/>
        <v>0</v>
      </c>
    </row>
    <row r="145" spans="7:35">
      <c r="G145" s="3">
        <f t="shared" ca="1" si="24"/>
        <v>150</v>
      </c>
      <c r="H145" s="95">
        <f t="shared" ca="1" si="26"/>
        <v>45440</v>
      </c>
      <c r="I145" s="119">
        <f ca="1">HLOOKUP($H$4,'Met Data'!$A$2:$F$368,G145,FALSE)</f>
        <v>8.3764705882352892</v>
      </c>
      <c r="J145" s="119">
        <f ca="1">HLOOKUP($H$4,'Met Data'!$H$2:$M$368,G145,FALSE)*L145</f>
        <v>2.75</v>
      </c>
      <c r="K145" s="96">
        <f ca="1">HLOOKUP($H$4,'Met Data'!$O$2:$T$368,G145,FALSE)</f>
        <v>1.41028048478178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45485</v>
      </c>
      <c r="Q145">
        <f ca="1"/>
        <v>27.932152566128323</v>
      </c>
      <c r="R145">
        <f ca="1"/>
        <v>2.0800748529977402</v>
      </c>
      <c r="S145">
        <f ca="1"/>
        <v>5.8197324976987375E-3</v>
      </c>
      <c r="T145">
        <f ca="1"/>
        <v>0.35278213713065076</v>
      </c>
      <c r="U145">
        <f ca="1"/>
        <v>0</v>
      </c>
      <c r="V145">
        <f ca="1"/>
        <v>233.82085235669101</v>
      </c>
      <c r="W145">
        <f ca="1"/>
        <v>59.471825490723603</v>
      </c>
      <c r="X145">
        <f ca="1"/>
        <v>0</v>
      </c>
      <c r="Y145">
        <f ca="1"/>
        <v>1</v>
      </c>
      <c r="Z145">
        <f ca="1"/>
        <v>0.24082627426229664</v>
      </c>
      <c r="AA145">
        <f ca="1"/>
        <v>0</v>
      </c>
      <c r="AB145">
        <f ca="1"/>
        <v>0.99999999957883301</v>
      </c>
      <c r="AD145" s="2">
        <f t="shared" ca="1" si="22"/>
        <v>45485</v>
      </c>
      <c r="AE145">
        <f t="shared" ca="1" si="23"/>
        <v>0</v>
      </c>
      <c r="AG145" s="63">
        <f t="shared" ca="1" si="27"/>
        <v>30.012227419126059</v>
      </c>
      <c r="AH145" s="63">
        <f t="shared" ca="1" si="28"/>
        <v>30.012227419126063</v>
      </c>
      <c r="AI145" s="3">
        <f t="shared" ca="1" si="29"/>
        <v>0</v>
      </c>
    </row>
    <row r="146" spans="7:35">
      <c r="G146" s="3">
        <f t="shared" ca="1" si="24"/>
        <v>151</v>
      </c>
      <c r="H146" s="95">
        <f t="shared" ca="1" si="26"/>
        <v>45441</v>
      </c>
      <c r="I146" s="119">
        <f ca="1">HLOOKUP($H$4,'Met Data'!$A$2:$F$368,G146,FALSE)</f>
        <v>7.9235294117646999</v>
      </c>
      <c r="J146" s="119">
        <f ca="1">HLOOKUP($H$4,'Met Data'!$H$2:$M$368,G146,FALSE)*L146</f>
        <v>1.52647058823529</v>
      </c>
      <c r="K146" s="96">
        <f ca="1">HLOOKUP($H$4,'Met Data'!$O$2:$T$368,G146,FALSE)</f>
        <v>1.2181769845433199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45486</v>
      </c>
      <c r="Q146">
        <f ca="1"/>
        <v>26.135226788376606</v>
      </c>
      <c r="R146">
        <f ca="1"/>
        <v>2.1662718930348301</v>
      </c>
      <c r="S146">
        <f ca="1"/>
        <v>5.9354360168129006E-3</v>
      </c>
      <c r="T146">
        <f ca="1"/>
        <v>0.3634106792663041</v>
      </c>
      <c r="U146">
        <f ca="1"/>
        <v>0</v>
      </c>
      <c r="V146">
        <f ca="1"/>
        <v>235.98712424972601</v>
      </c>
      <c r="W146">
        <f ca="1"/>
        <v>60.022812037430299</v>
      </c>
      <c r="X146">
        <f ca="1"/>
        <v>0</v>
      </c>
      <c r="Y146">
        <f ca="1"/>
        <v>0.99726397536095968</v>
      </c>
      <c r="Z146">
        <f ca="1"/>
        <v>0</v>
      </c>
      <c r="AA146">
        <f ca="1"/>
        <v>0</v>
      </c>
      <c r="AB146">
        <f ca="1"/>
        <v>0.99999999963118802</v>
      </c>
      <c r="AD146" s="2">
        <f t="shared" ca="1" si="22"/>
        <v>45486</v>
      </c>
      <c r="AE146">
        <f t="shared" ca="1" si="23"/>
        <v>0</v>
      </c>
      <c r="AG146" s="63">
        <f t="shared" ca="1" si="27"/>
        <v>28.301498681411442</v>
      </c>
      <c r="AH146" s="63">
        <f t="shared" ca="1" si="28"/>
        <v>28.301498681411438</v>
      </c>
      <c r="AI146" s="3">
        <f t="shared" ca="1" si="29"/>
        <v>0</v>
      </c>
    </row>
    <row r="147" spans="7:35">
      <c r="G147" s="3">
        <f t="shared" ca="1" si="24"/>
        <v>152</v>
      </c>
      <c r="H147" s="95">
        <f t="shared" ca="1" si="26"/>
        <v>45442</v>
      </c>
      <c r="I147" s="119">
        <f ca="1">HLOOKUP($H$4,'Met Data'!$A$2:$F$368,G147,FALSE)</f>
        <v>7.9742424242424201</v>
      </c>
      <c r="J147" s="119">
        <f ca="1">HLOOKUP($H$4,'Met Data'!$H$2:$M$368,G147,FALSE)*L147</f>
        <v>0.65454545454545399</v>
      </c>
      <c r="K147" s="96">
        <f ca="1">HLOOKUP($H$4,'Met Data'!$O$2:$T$368,G147,FALSE)</f>
        <v>1.4140792042866701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45487</v>
      </c>
      <c r="Q147">
        <f ca="1"/>
        <v>28.894711274134835</v>
      </c>
      <c r="R147">
        <f ca="1"/>
        <v>2.0554609066390701</v>
      </c>
      <c r="S147">
        <f ca="1"/>
        <v>4.4636907275298512</v>
      </c>
      <c r="T147">
        <f ca="1"/>
        <v>0.35125466486744678</v>
      </c>
      <c r="U147">
        <f ca="1"/>
        <v>0</v>
      </c>
      <c r="V147">
        <f ca="1"/>
        <v>238.04258515636499</v>
      </c>
      <c r="W147">
        <f ca="1"/>
        <v>60.545614050640602</v>
      </c>
      <c r="X147">
        <f ca="1"/>
        <v>0</v>
      </c>
      <c r="Y147">
        <f ca="1"/>
        <v>0.99541537348928766</v>
      </c>
      <c r="Z147">
        <f ca="1"/>
        <v>0</v>
      </c>
      <c r="AA147">
        <f ca="1"/>
        <v>0</v>
      </c>
      <c r="AB147">
        <f ca="1"/>
        <v>0.99999999967495001</v>
      </c>
      <c r="AD147" s="2">
        <f t="shared" ca="1" si="22"/>
        <v>45487</v>
      </c>
      <c r="AE147">
        <f t="shared" ca="1" si="23"/>
        <v>0</v>
      </c>
      <c r="AG147" s="63">
        <f t="shared" ca="1" si="27"/>
        <v>30.950172180773905</v>
      </c>
      <c r="AH147" s="63">
        <f t="shared" ca="1" si="28"/>
        <v>30.950172180773905</v>
      </c>
      <c r="AI147" s="3">
        <f t="shared" ca="1" si="29"/>
        <v>0</v>
      </c>
    </row>
    <row r="148" spans="7:35">
      <c r="G148" s="3">
        <f t="shared" ca="1" si="24"/>
        <v>153</v>
      </c>
      <c r="H148" s="95">
        <f t="shared" ca="1" si="26"/>
        <v>45443</v>
      </c>
      <c r="I148" s="119">
        <f ca="1">HLOOKUP($H$4,'Met Data'!$A$2:$F$368,G148,FALSE)</f>
        <v>8.0696969696969596</v>
      </c>
      <c r="J148" s="119">
        <f ca="1">HLOOKUP($H$4,'Met Data'!$H$2:$M$368,G148,FALSE)*L148</f>
        <v>2.6606060606060602</v>
      </c>
      <c r="K148" s="96">
        <f ca="1">HLOOKUP($H$4,'Met Data'!$O$2:$T$368,G148,FALSE)</f>
        <v>1.3648777039729501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45488</v>
      </c>
      <c r="Q148">
        <f ca="1"/>
        <v>33.734081119895862</v>
      </c>
      <c r="R148">
        <f ca="1"/>
        <v>0</v>
      </c>
      <c r="S148">
        <f ca="1"/>
        <v>4.4687991581787543</v>
      </c>
      <c r="T148">
        <f ca="1"/>
        <v>0.37057068758227246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1</v>
      </c>
      <c r="Z148">
        <f ca="1"/>
        <v>0.5749666700916265</v>
      </c>
      <c r="AA148">
        <f ca="1"/>
        <v>0</v>
      </c>
      <c r="AB148">
        <f ca="1"/>
        <v>0</v>
      </c>
      <c r="AD148" s="2">
        <f t="shared" ca="1" si="22"/>
        <v>45488</v>
      </c>
      <c r="AE148">
        <f t="shared" ca="1" si="23"/>
        <v>0</v>
      </c>
      <c r="AG148" s="63">
        <f t="shared" ca="1" si="27"/>
        <v>33.734081119895862</v>
      </c>
      <c r="AH148" s="63">
        <f t="shared" ca="1" si="28"/>
        <v>33.734081119895862</v>
      </c>
      <c r="AI148" s="3">
        <f t="shared" ca="1" si="29"/>
        <v>0</v>
      </c>
    </row>
    <row r="149" spans="7:35">
      <c r="G149" s="3">
        <f t="shared" ca="1" si="24"/>
        <v>154</v>
      </c>
      <c r="H149" s="95">
        <f t="shared" ca="1" si="26"/>
        <v>45444</v>
      </c>
      <c r="I149" s="119">
        <f ca="1">HLOOKUP($H$4,'Met Data'!$A$2:$F$368,G149,FALSE)</f>
        <v>7.75</v>
      </c>
      <c r="J149" s="119">
        <f ca="1">HLOOKUP($H$4,'Met Data'!$H$2:$M$368,G149,FALSE)*L149</f>
        <v>1.6818181818181801</v>
      </c>
      <c r="K149" s="96">
        <f ca="1">HLOOKUP($H$4,'Met Data'!$O$2:$T$368,G149,FALSE)</f>
        <v>1.1270486273289499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45489</v>
      </c>
      <c r="Q149">
        <f ca="1"/>
        <v>38.394874381431336</v>
      </c>
      <c r="R149">
        <f ca="1"/>
        <v>0</v>
      </c>
      <c r="S149">
        <f ca="1"/>
        <v>4.2855890586783119</v>
      </c>
      <c r="T149">
        <f ca="1"/>
        <v>0.37520420285715989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1</v>
      </c>
      <c r="Z149">
        <f ca="1"/>
        <v>1.3598833474729588</v>
      </c>
      <c r="AA149">
        <f ca="1"/>
        <v>0</v>
      </c>
      <c r="AB149">
        <f ca="1"/>
        <v>0</v>
      </c>
      <c r="AD149" s="2">
        <f t="shared" ca="1" si="22"/>
        <v>45489</v>
      </c>
      <c r="AE149">
        <f t="shared" ca="1" si="23"/>
        <v>0</v>
      </c>
      <c r="AG149" s="63">
        <f t="shared" ca="1" si="27"/>
        <v>38.394874381431336</v>
      </c>
      <c r="AH149" s="63">
        <f t="shared" ca="1" si="28"/>
        <v>38.394874381431336</v>
      </c>
      <c r="AI149" s="3">
        <f t="shared" ca="1" si="29"/>
        <v>0</v>
      </c>
    </row>
    <row r="150" spans="7:35">
      <c r="G150" s="3">
        <f t="shared" ca="1" si="24"/>
        <v>155</v>
      </c>
      <c r="H150" s="95">
        <f t="shared" ca="1" si="26"/>
        <v>45445</v>
      </c>
      <c r="I150" s="119">
        <f ca="1">HLOOKUP($H$4,'Met Data'!$A$2:$F$368,G150,FALSE)</f>
        <v>7.4484848484848403</v>
      </c>
      <c r="J150" s="119">
        <f ca="1">HLOOKUP($H$4,'Met Data'!$H$2:$M$368,G150,FALSE)*L150</f>
        <v>1.9090909090909001</v>
      </c>
      <c r="K150" s="96">
        <f ca="1">HLOOKUP($H$4,'Met Data'!$O$2:$T$368,G150,FALSE)</f>
        <v>1.25249803659369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45490</v>
      </c>
      <c r="Q150">
        <f ca="1"/>
        <v>42.770182341504402</v>
      </c>
      <c r="R150">
        <f ca="1"/>
        <v>0</v>
      </c>
      <c r="S150">
        <f ca="1"/>
        <v>4.0050532461282273</v>
      </c>
      <c r="T150">
        <f ca="1"/>
        <v>0.37025471394484138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1</v>
      </c>
      <c r="Z150">
        <f ca="1"/>
        <v>2.5898229402415041</v>
      </c>
      <c r="AA150">
        <f ca="1"/>
        <v>0</v>
      </c>
      <c r="AB150">
        <f ca="1"/>
        <v>0</v>
      </c>
      <c r="AD150" s="2">
        <f t="shared" ca="1" si="22"/>
        <v>45490</v>
      </c>
      <c r="AE150">
        <f t="shared" ca="1" si="23"/>
        <v>0</v>
      </c>
      <c r="AG150" s="63">
        <f t="shared" ca="1" si="27"/>
        <v>42.770182341504402</v>
      </c>
      <c r="AH150" s="63">
        <f t="shared" ca="1" si="28"/>
        <v>42.770182341504402</v>
      </c>
      <c r="AI150" s="3">
        <f t="shared" ca="1" si="29"/>
        <v>0</v>
      </c>
    </row>
    <row r="151" spans="7:35">
      <c r="G151" s="3">
        <f t="shared" ca="1" si="24"/>
        <v>156</v>
      </c>
      <c r="H151" s="95">
        <f t="shared" ca="1" si="26"/>
        <v>45446</v>
      </c>
      <c r="I151" s="119">
        <f ca="1">HLOOKUP($H$4,'Met Data'!$A$2:$F$368,G151,FALSE)</f>
        <v>7.27424242424242</v>
      </c>
      <c r="J151" s="119">
        <f ca="1">HLOOKUP($H$4,'Met Data'!$H$2:$M$368,G151,FALSE)*L151</f>
        <v>2.05151515151515</v>
      </c>
      <c r="K151" s="96">
        <f ca="1">HLOOKUP($H$4,'Met Data'!$O$2:$T$368,G151,FALSE)</f>
        <v>1.2350476326500801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45491</v>
      </c>
      <c r="Q151">
        <f ca="1"/>
        <v>47.030514820188237</v>
      </c>
      <c r="R151">
        <f ca="1"/>
        <v>0</v>
      </c>
      <c r="S151">
        <f ca="1"/>
        <v>3.8812914050272411</v>
      </c>
      <c r="T151">
        <f ca="1"/>
        <v>0.37904107365659678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1</v>
      </c>
      <c r="Z151">
        <f ca="1"/>
        <v>0.91929821286002067</v>
      </c>
      <c r="AA151">
        <f ca="1"/>
        <v>0</v>
      </c>
      <c r="AB151">
        <f ca="1"/>
        <v>0</v>
      </c>
      <c r="AD151" s="2">
        <f t="shared" ca="1" si="22"/>
        <v>45491</v>
      </c>
      <c r="AE151">
        <f t="shared" ca="1" si="23"/>
        <v>0</v>
      </c>
      <c r="AG151" s="63">
        <f t="shared" ca="1" si="27"/>
        <v>47.030514820188237</v>
      </c>
      <c r="AH151" s="63">
        <f t="shared" ca="1" si="28"/>
        <v>47.030514820188237</v>
      </c>
      <c r="AI151" s="3">
        <f t="shared" ca="1" si="29"/>
        <v>0</v>
      </c>
    </row>
    <row r="152" spans="7:35">
      <c r="G152" s="3">
        <f t="shared" ca="1" si="24"/>
        <v>157</v>
      </c>
      <c r="H152" s="95">
        <f t="shared" ca="1" si="26"/>
        <v>45447</v>
      </c>
      <c r="I152" s="119">
        <f ca="1">HLOOKUP($H$4,'Met Data'!$A$2:$F$368,G152,FALSE)</f>
        <v>7.1969696969696901</v>
      </c>
      <c r="J152" s="119">
        <f ca="1">HLOOKUP($H$4,'Met Data'!$H$2:$M$368,G152,FALSE)*L152</f>
        <v>1.2333333333333301</v>
      </c>
      <c r="K152" s="96">
        <f ca="1">HLOOKUP($H$4,'Met Data'!$O$2:$T$368,G152,FALSE)</f>
        <v>1.1815334376359199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45492</v>
      </c>
      <c r="Q152">
        <f ca="1"/>
        <v>51.158118157369408</v>
      </c>
      <c r="R152">
        <f ca="1"/>
        <v>0</v>
      </c>
      <c r="S152">
        <f ca="1"/>
        <v>3.7411361476390255</v>
      </c>
      <c r="T152">
        <f ca="1"/>
        <v>0.38646718954214609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1</v>
      </c>
      <c r="Z152">
        <f ca="1"/>
        <v>0.59394248723528875</v>
      </c>
      <c r="AA152">
        <f ca="1"/>
        <v>0</v>
      </c>
      <c r="AB152">
        <f ca="1"/>
        <v>0</v>
      </c>
      <c r="AD152" s="2">
        <f t="shared" ca="1" si="22"/>
        <v>45492</v>
      </c>
      <c r="AE152">
        <f t="shared" ca="1" si="23"/>
        <v>0</v>
      </c>
      <c r="AG152" s="63">
        <f t="shared" ca="1" si="27"/>
        <v>51.158118157369408</v>
      </c>
      <c r="AH152" s="63">
        <f t="shared" ca="1" si="28"/>
        <v>51.158118157369408</v>
      </c>
      <c r="AI152" s="3">
        <f t="shared" ca="1" si="29"/>
        <v>0</v>
      </c>
    </row>
    <row r="153" spans="7:35">
      <c r="G153" s="3">
        <f t="shared" ca="1" si="24"/>
        <v>158</v>
      </c>
      <c r="H153" s="95">
        <f t="shared" ca="1" si="26"/>
        <v>45448</v>
      </c>
      <c r="I153" s="119">
        <f ca="1">HLOOKUP($H$4,'Met Data'!$A$2:$F$368,G153,FALSE)</f>
        <v>6.8636363636363598</v>
      </c>
      <c r="J153" s="119">
        <f ca="1">HLOOKUP($H$4,'Met Data'!$H$2:$M$368,G153,FALSE)*L153</f>
        <v>1.3454545454545399</v>
      </c>
      <c r="K153" s="96">
        <f ca="1">HLOOKUP($H$4,'Met Data'!$O$2:$T$368,G153,FALSE)</f>
        <v>1.11819764768331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45493</v>
      </c>
      <c r="Q153">
        <f ca="1"/>
        <v>54.904633723557957</v>
      </c>
      <c r="R153">
        <f ca="1"/>
        <v>0</v>
      </c>
      <c r="S153">
        <f ca="1"/>
        <v>3.37764902134181</v>
      </c>
      <c r="T153">
        <f ca="1"/>
        <v>0.36886654484673914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1</v>
      </c>
      <c r="Z153">
        <f ca="1"/>
        <v>1.0056684765791104</v>
      </c>
      <c r="AA153">
        <f ca="1"/>
        <v>0</v>
      </c>
      <c r="AB153">
        <f ca="1"/>
        <v>0</v>
      </c>
      <c r="AD153" s="2">
        <f t="shared" ca="1" si="22"/>
        <v>45493</v>
      </c>
      <c r="AE153">
        <f t="shared" ca="1" si="23"/>
        <v>0</v>
      </c>
      <c r="AG153" s="63">
        <f t="shared" ca="1" si="27"/>
        <v>54.904633723557957</v>
      </c>
      <c r="AH153" s="63">
        <f t="shared" ca="1" si="28"/>
        <v>54.904633723557957</v>
      </c>
      <c r="AI153" s="3">
        <f t="shared" ca="1" si="29"/>
        <v>0</v>
      </c>
    </row>
    <row r="154" spans="7:35">
      <c r="G154" s="3">
        <f t="shared" ca="1" si="24"/>
        <v>159</v>
      </c>
      <c r="H154" s="95">
        <f t="shared" ca="1" si="26"/>
        <v>45449</v>
      </c>
      <c r="I154" s="119">
        <f ca="1">HLOOKUP($H$4,'Met Data'!$A$2:$F$368,G154,FALSE)</f>
        <v>7.0772727272727201</v>
      </c>
      <c r="J154" s="119">
        <f ca="1">HLOOKUP($H$4,'Met Data'!$H$2:$M$368,G154,FALSE)*L154</f>
        <v>2.1393939393939299</v>
      </c>
      <c r="K154" s="96">
        <f ca="1">HLOOKUP($H$4,'Met Data'!$O$2:$T$368,G154,FALSE)</f>
        <v>1.2201388257180199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45494</v>
      </c>
      <c r="Q154">
        <f ca="1"/>
        <v>58.585135833383333</v>
      </c>
      <c r="R154">
        <f ca="1"/>
        <v>0</v>
      </c>
      <c r="S154">
        <f ca="1"/>
        <v>3.2996616772256999</v>
      </c>
      <c r="T154">
        <f ca="1"/>
        <v>0.38084043259967915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1</v>
      </c>
      <c r="Z154">
        <f ca="1"/>
        <v>1.3251740943136454</v>
      </c>
      <c r="AA154">
        <f ca="1"/>
        <v>0</v>
      </c>
      <c r="AB154">
        <f ca="1"/>
        <v>0</v>
      </c>
      <c r="AD154" s="2">
        <f t="shared" ca="1" si="22"/>
        <v>45494</v>
      </c>
      <c r="AE154">
        <f t="shared" ca="1" si="23"/>
        <v>0</v>
      </c>
      <c r="AG154" s="63">
        <f t="shared" ca="1" si="27"/>
        <v>58.585135833383333</v>
      </c>
      <c r="AH154" s="63">
        <f t="shared" ca="1" si="28"/>
        <v>58.585135833383333</v>
      </c>
      <c r="AI154" s="3">
        <f t="shared" ca="1" si="29"/>
        <v>0</v>
      </c>
    </row>
    <row r="155" spans="7:35">
      <c r="G155" s="3">
        <f t="shared" ca="1" si="24"/>
        <v>160</v>
      </c>
      <c r="H155" s="95">
        <f t="shared" ca="1" si="26"/>
        <v>45450</v>
      </c>
      <c r="I155" s="119">
        <f ca="1">HLOOKUP($H$4,'Met Data'!$A$2:$F$368,G155,FALSE)</f>
        <v>7.6151515151515099</v>
      </c>
      <c r="J155" s="119">
        <f ca="1">HLOOKUP($H$4,'Met Data'!$H$2:$M$368,G155,FALSE)*L155</f>
        <v>2.0727272727272701</v>
      </c>
      <c r="K155" s="96">
        <f ca="1">HLOOKUP($H$4,'Met Data'!$O$2:$T$368,G155,FALSE)</f>
        <v>1.26531828522689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45495</v>
      </c>
      <c r="Q155">
        <f ca="1"/>
        <v>62.187305535382933</v>
      </c>
      <c r="R155">
        <f ca="1"/>
        <v>0</v>
      </c>
      <c r="S155">
        <f ca="1"/>
        <v>3.2098900649173174</v>
      </c>
      <c r="T155">
        <f ca="1"/>
        <v>0.39227963708228097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0.99018941128334115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45495</v>
      </c>
      <c r="AE155">
        <f t="shared" ca="1" si="23"/>
        <v>0</v>
      </c>
      <c r="AG155" s="63">
        <f t="shared" ca="1" si="27"/>
        <v>62.187305535382933</v>
      </c>
      <c r="AH155" s="63">
        <f t="shared" ca="1" si="28"/>
        <v>62.187305535382933</v>
      </c>
      <c r="AI155" s="3">
        <f t="shared" ca="1" si="29"/>
        <v>0</v>
      </c>
    </row>
    <row r="156" spans="7:35">
      <c r="G156" s="3">
        <f t="shared" ca="1" si="24"/>
        <v>161</v>
      </c>
      <c r="H156" s="95">
        <f t="shared" ca="1" si="26"/>
        <v>45451</v>
      </c>
      <c r="I156" s="119">
        <f ca="1">HLOOKUP($H$4,'Met Data'!$A$2:$F$368,G156,FALSE)</f>
        <v>7.8272727272727201</v>
      </c>
      <c r="J156" s="119">
        <f ca="1">HLOOKUP($H$4,'Met Data'!$H$2:$M$368,G156,FALSE)*L156</f>
        <v>1.4757575757575701</v>
      </c>
      <c r="K156" s="96">
        <f ca="1">HLOOKUP($H$4,'Met Data'!$O$2:$T$368,G156,FALSE)</f>
        <v>1.2369277599155599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45496</v>
      </c>
      <c r="Q156">
        <f ca="1"/>
        <v>65.564507523395562</v>
      </c>
      <c r="R156">
        <f ca="1"/>
        <v>0</v>
      </c>
      <c r="S156">
        <f ca="1"/>
        <v>2.9900455222229567</v>
      </c>
      <c r="T156">
        <f ca="1"/>
        <v>0.38715646578966667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0.97751946543385004</v>
      </c>
      <c r="Z156">
        <f ca="1"/>
        <v>0</v>
      </c>
      <c r="AA156">
        <f ca="1"/>
        <v>0</v>
      </c>
      <c r="AB156">
        <f ca="1"/>
        <v>0</v>
      </c>
      <c r="AD156" s="2">
        <f t="shared" ca="1" si="22"/>
        <v>45496</v>
      </c>
      <c r="AE156">
        <f t="shared" ca="1" si="23"/>
        <v>0</v>
      </c>
      <c r="AG156" s="63">
        <f t="shared" ca="1" si="27"/>
        <v>65.564507523395562</v>
      </c>
      <c r="AH156" s="63">
        <f t="shared" ca="1" si="28"/>
        <v>65.564507523395562</v>
      </c>
      <c r="AI156" s="3">
        <f t="shared" ca="1" si="29"/>
        <v>0</v>
      </c>
    </row>
    <row r="157" spans="7:35">
      <c r="G157" s="3">
        <f t="shared" ca="1" si="24"/>
        <v>162</v>
      </c>
      <c r="H157" s="95">
        <f t="shared" ca="1" si="26"/>
        <v>45452</v>
      </c>
      <c r="I157" s="119">
        <f ca="1">HLOOKUP($H$4,'Met Data'!$A$2:$F$368,G157,FALSE)</f>
        <v>7.8272727272727201</v>
      </c>
      <c r="J157" s="119">
        <f ca="1">HLOOKUP($H$4,'Met Data'!$H$2:$M$368,G157,FALSE)*L157</f>
        <v>1.8848484848484801</v>
      </c>
      <c r="K157" s="96">
        <f ca="1">HLOOKUP($H$4,'Met Data'!$O$2:$T$368,G157,FALSE)</f>
        <v>1.0943317227835101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45497</v>
      </c>
      <c r="Q157">
        <f ca="1"/>
        <v>68.803677012417992</v>
      </c>
      <c r="R157">
        <f ca="1"/>
        <v>0</v>
      </c>
      <c r="S157">
        <f ca="1"/>
        <v>2.8483974156667529</v>
      </c>
      <c r="T157">
        <f ca="1"/>
        <v>0.39077207335568109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1</v>
      </c>
      <c r="Z157">
        <f ca="1"/>
        <v>7.3570295682756637E-3</v>
      </c>
      <c r="AA157">
        <f ca="1"/>
        <v>0</v>
      </c>
      <c r="AB157">
        <f ca="1"/>
        <v>0</v>
      </c>
      <c r="AD157" s="2">
        <f t="shared" ca="1" si="22"/>
        <v>45497</v>
      </c>
      <c r="AE157">
        <f t="shared" ca="1" si="23"/>
        <v>0</v>
      </c>
      <c r="AG157" s="63">
        <f t="shared" ca="1" si="27"/>
        <v>68.803677012417992</v>
      </c>
      <c r="AH157" s="63">
        <f t="shared" ca="1" si="28"/>
        <v>68.803677012417992</v>
      </c>
      <c r="AI157" s="3">
        <f t="shared" ca="1" si="29"/>
        <v>0</v>
      </c>
    </row>
    <row r="158" spans="7:35">
      <c r="G158" s="3">
        <f t="shared" ca="1" si="24"/>
        <v>163</v>
      </c>
      <c r="H158" s="95">
        <f t="shared" ca="1" si="26"/>
        <v>45453</v>
      </c>
      <c r="I158" s="119">
        <f ca="1">HLOOKUP($H$4,'Met Data'!$A$2:$F$368,G158,FALSE)</f>
        <v>7.6075757575757503</v>
      </c>
      <c r="J158" s="119">
        <f ca="1">HLOOKUP($H$4,'Met Data'!$H$2:$M$368,G158,FALSE)*L158</f>
        <v>1.28484848484848</v>
      </c>
      <c r="K158" s="96">
        <f ca="1">HLOOKUP($H$4,'Met Data'!$O$2:$T$368,G158,FALSE)</f>
        <v>1.2594125286590201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45498</v>
      </c>
      <c r="Q158">
        <f ca="1"/>
        <v>71.867138145458782</v>
      </c>
      <c r="R158">
        <f ca="1"/>
        <v>0</v>
      </c>
      <c r="S158">
        <f ca="1"/>
        <v>2.6745844638559504</v>
      </c>
      <c r="T158">
        <f ca="1"/>
        <v>0.3888766691848356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0.99793458464167895</v>
      </c>
      <c r="Z158">
        <f ca="1"/>
        <v>0</v>
      </c>
      <c r="AA158">
        <f ca="1"/>
        <v>0</v>
      </c>
      <c r="AB158">
        <f ca="1"/>
        <v>0</v>
      </c>
      <c r="AD158" s="2">
        <f t="shared" ca="1" si="22"/>
        <v>45498</v>
      </c>
      <c r="AE158">
        <f t="shared" ca="1" si="23"/>
        <v>0</v>
      </c>
      <c r="AG158" s="63">
        <f t="shared" ca="1" si="27"/>
        <v>71.867138145458782</v>
      </c>
      <c r="AH158" s="63">
        <f t="shared" ca="1" si="28"/>
        <v>71.867138145458782</v>
      </c>
      <c r="AI158" s="3">
        <f t="shared" ca="1" si="29"/>
        <v>0</v>
      </c>
    </row>
    <row r="159" spans="7:35">
      <c r="G159" s="3">
        <f t="shared" ca="1" si="24"/>
        <v>164</v>
      </c>
      <c r="H159" s="95">
        <f t="shared" ca="1" si="26"/>
        <v>45454</v>
      </c>
      <c r="I159" s="119">
        <f ca="1">HLOOKUP($H$4,'Met Data'!$A$2:$F$368,G159,FALSE)</f>
        <v>7.7030303030302996</v>
      </c>
      <c r="J159" s="119">
        <f ca="1">HLOOKUP($H$4,'Met Data'!$H$2:$M$368,G159,FALSE)*L159</f>
        <v>3.9121212121212099</v>
      </c>
      <c r="K159" s="96">
        <f ca="1">HLOOKUP($H$4,'Met Data'!$O$2:$T$368,G159,FALSE)</f>
        <v>1.3128498286819099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45499</v>
      </c>
      <c r="Q159">
        <f ca="1"/>
        <v>74.885169572908254</v>
      </c>
      <c r="R159">
        <f ca="1"/>
        <v>0</v>
      </c>
      <c r="S159">
        <f ca="1"/>
        <v>2.6146908509298328</v>
      </c>
      <c r="T159">
        <f ca="1"/>
        <v>0.40334057651964589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1</v>
      </c>
      <c r="Z159">
        <f ca="1"/>
        <v>0.76315688928561798</v>
      </c>
      <c r="AA159">
        <f ca="1"/>
        <v>0</v>
      </c>
      <c r="AB159">
        <f ca="1"/>
        <v>0</v>
      </c>
      <c r="AD159" s="2">
        <f t="shared" ca="1" si="22"/>
        <v>45499</v>
      </c>
      <c r="AE159">
        <f t="shared" ca="1" si="23"/>
        <v>0</v>
      </c>
      <c r="AG159" s="63">
        <f t="shared" ca="1" si="27"/>
        <v>74.885169572908254</v>
      </c>
      <c r="AH159" s="63">
        <f t="shared" ca="1" si="28"/>
        <v>74.885169572908254</v>
      </c>
      <c r="AI159" s="3">
        <f t="shared" ca="1" si="29"/>
        <v>0</v>
      </c>
    </row>
    <row r="160" spans="7:35">
      <c r="G160" s="3">
        <f t="shared" ca="1" si="24"/>
        <v>165</v>
      </c>
      <c r="H160" s="95">
        <f t="shared" ca="1" si="26"/>
        <v>45455</v>
      </c>
      <c r="I160" s="119">
        <f ca="1">HLOOKUP($H$4,'Met Data'!$A$2:$F$368,G160,FALSE)</f>
        <v>6.8681818181818102</v>
      </c>
      <c r="J160" s="119">
        <f ca="1">HLOOKUP($H$4,'Met Data'!$H$2:$M$368,G160,FALSE)*L160</f>
        <v>2.0303030303030298</v>
      </c>
      <c r="K160" s="96">
        <f ca="1">HLOOKUP($H$4,'Met Data'!$O$2:$T$368,G160,FALSE)</f>
        <v>1.1474480520873001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45500</v>
      </c>
      <c r="Q160">
        <f ca="1"/>
        <v>77.729637560526655</v>
      </c>
      <c r="R160">
        <f ca="1"/>
        <v>0</v>
      </c>
      <c r="S160">
        <f ca="1"/>
        <v>2.4440612725258575</v>
      </c>
      <c r="T160">
        <f ca="1"/>
        <v>0.40040671509253944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0.98717888873023285</v>
      </c>
      <c r="Z160">
        <f ca="1"/>
        <v>0</v>
      </c>
      <c r="AA160">
        <f ca="1"/>
        <v>0</v>
      </c>
      <c r="AB160">
        <f ca="1"/>
        <v>0</v>
      </c>
      <c r="AD160" s="2">
        <f t="shared" ca="1" si="22"/>
        <v>45500</v>
      </c>
      <c r="AE160">
        <f t="shared" ca="1" si="23"/>
        <v>0</v>
      </c>
      <c r="AG160" s="63">
        <f t="shared" ca="1" si="27"/>
        <v>77.729637560526655</v>
      </c>
      <c r="AH160" s="63">
        <f t="shared" ca="1" si="28"/>
        <v>77.729637560526655</v>
      </c>
      <c r="AI160" s="3">
        <f t="shared" ca="1" si="29"/>
        <v>0</v>
      </c>
    </row>
    <row r="161" spans="7:35">
      <c r="G161" s="3">
        <f t="shared" ca="1" si="24"/>
        <v>166</v>
      </c>
      <c r="H161" s="95">
        <f t="shared" ca="1" si="26"/>
        <v>45456</v>
      </c>
      <c r="I161" s="119">
        <f ca="1">HLOOKUP($H$4,'Met Data'!$A$2:$F$368,G161,FALSE)</f>
        <v>7.2318181818181797</v>
      </c>
      <c r="J161" s="119">
        <f ca="1">HLOOKUP($H$4,'Met Data'!$H$2:$M$368,G161,FALSE)*L161</f>
        <v>1.5575757575757501</v>
      </c>
      <c r="K161" s="96">
        <f ca="1">HLOOKUP($H$4,'Met Data'!$O$2:$T$368,G161,FALSE)</f>
        <v>1.2613045443409601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45501</v>
      </c>
      <c r="Q161">
        <f ca="1"/>
        <v>80.554629447904844</v>
      </c>
      <c r="R161">
        <f ca="1"/>
        <v>0</v>
      </c>
      <c r="S161">
        <f ca="1"/>
        <v>2.4058460038141334</v>
      </c>
      <c r="T161">
        <f ca="1"/>
        <v>0.41914588356405991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0.97382298824066227</v>
      </c>
      <c r="Z161">
        <f ca="1"/>
        <v>0</v>
      </c>
      <c r="AA161">
        <f ca="1"/>
        <v>0</v>
      </c>
      <c r="AB161">
        <f ca="1"/>
        <v>0</v>
      </c>
      <c r="AD161" s="2">
        <f t="shared" ca="1" si="22"/>
        <v>45501</v>
      </c>
      <c r="AE161">
        <f t="shared" ca="1" si="23"/>
        <v>0</v>
      </c>
      <c r="AG161" s="63">
        <f t="shared" ca="1" si="27"/>
        <v>80.554629447904844</v>
      </c>
      <c r="AH161" s="63">
        <f t="shared" ca="1" si="28"/>
        <v>80.554629447904844</v>
      </c>
      <c r="AI161" s="3">
        <f t="shared" ca="1" si="29"/>
        <v>0</v>
      </c>
    </row>
    <row r="162" spans="7:35">
      <c r="G162" s="3">
        <f t="shared" ca="1" si="24"/>
        <v>167</v>
      </c>
      <c r="H162" s="95">
        <f t="shared" ca="1" si="26"/>
        <v>45457</v>
      </c>
      <c r="I162" s="119">
        <f ca="1">HLOOKUP($H$4,'Met Data'!$A$2:$F$368,G162,FALSE)</f>
        <v>7.3390624999999998</v>
      </c>
      <c r="J162" s="119">
        <f ca="1">HLOOKUP($H$4,'Met Data'!$H$2:$M$368,G162,FALSE)*L162</f>
        <v>3.41818181818181</v>
      </c>
      <c r="K162" s="96">
        <f ca="1">HLOOKUP($H$4,'Met Data'!$O$2:$T$368,G162,FALSE)</f>
        <v>1.17147222127628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45502</v>
      </c>
      <c r="Q162">
        <f ca="1"/>
        <v>83.064756488187157</v>
      </c>
      <c r="R162">
        <f ca="1"/>
        <v>0</v>
      </c>
      <c r="S162">
        <f ca="1"/>
        <v>2.1179130288203964</v>
      </c>
      <c r="T162">
        <f ca="1"/>
        <v>0.39221401146191126</v>
      </c>
      <c r="U162">
        <f ca="1"/>
        <v>0</v>
      </c>
      <c r="V162">
        <f ca="1"/>
        <v>2.2926263569341199</v>
      </c>
      <c r="W162">
        <f ca="1"/>
        <v>0.58312452991585295</v>
      </c>
      <c r="X162">
        <f ca="1"/>
        <v>0</v>
      </c>
      <c r="Y162">
        <f ca="1"/>
        <v>0.97425268217281369</v>
      </c>
      <c r="Z162">
        <f ca="1"/>
        <v>0</v>
      </c>
      <c r="AA162">
        <f ca="1"/>
        <v>0</v>
      </c>
      <c r="AB162">
        <f ca="1"/>
        <v>7.7453537409945704E-3</v>
      </c>
      <c r="AD162" s="2">
        <f t="shared" ca="1" si="22"/>
        <v>45502</v>
      </c>
      <c r="AE162">
        <f t="shared" ca="1" si="23"/>
        <v>0</v>
      </c>
      <c r="AG162" s="63">
        <f t="shared" ca="1" si="27"/>
        <v>83.064756488187157</v>
      </c>
      <c r="AH162" s="63">
        <f t="shared" ca="1" si="28"/>
        <v>83.064756488187157</v>
      </c>
      <c r="AI162" s="3">
        <f t="shared" ca="1" si="29"/>
        <v>0</v>
      </c>
    </row>
    <row r="163" spans="7:35">
      <c r="G163" s="3">
        <f t="shared" ca="1" si="24"/>
        <v>168</v>
      </c>
      <c r="H163" s="95">
        <f t="shared" ca="1" si="26"/>
        <v>45458</v>
      </c>
      <c r="I163" s="119">
        <f ca="1">HLOOKUP($H$4,'Met Data'!$A$2:$F$368,G163,FALSE)</f>
        <v>6.6624999999999996</v>
      </c>
      <c r="J163" s="119">
        <f ca="1">HLOOKUP($H$4,'Met Data'!$H$2:$M$368,G163,FALSE)*L163</f>
        <v>2.5727272727272701</v>
      </c>
      <c r="K163" s="96">
        <f ca="1">HLOOKUP($H$4,'Met Data'!$O$2:$T$368,G163,FALSE)</f>
        <v>1.0572111213197799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45503</v>
      </c>
      <c r="Q163">
        <f ca="1"/>
        <v>85.485035950587417</v>
      </c>
      <c r="R163">
        <f ca="1"/>
        <v>5.6356776878117902E-2</v>
      </c>
      <c r="S163">
        <f ca="1"/>
        <v>2.0695710106040224</v>
      </c>
      <c r="T163">
        <f ca="1"/>
        <v>0.40706522867435141</v>
      </c>
      <c r="U163">
        <f ca="1"/>
        <v>0</v>
      </c>
      <c r="V163">
        <f ca="1"/>
        <v>2.34898313381224</v>
      </c>
      <c r="W163">
        <f ca="1"/>
        <v>0.59745875360006995</v>
      </c>
      <c r="X163">
        <f ca="1"/>
        <v>0</v>
      </c>
      <c r="Y163">
        <f ca="1"/>
        <v>0.9594862320812112</v>
      </c>
      <c r="Z163">
        <f ca="1"/>
        <v>0</v>
      </c>
      <c r="AA163">
        <f ca="1"/>
        <v>0</v>
      </c>
      <c r="AB163">
        <f ca="1"/>
        <v>9.02914920937627E-3</v>
      </c>
      <c r="AD163" s="2">
        <f t="shared" ca="1" si="22"/>
        <v>45503</v>
      </c>
      <c r="AE163">
        <f t="shared" ca="1" si="23"/>
        <v>0</v>
      </c>
      <c r="AG163" s="63">
        <f t="shared" ca="1" si="27"/>
        <v>85.541392727465535</v>
      </c>
      <c r="AH163" s="63">
        <f t="shared" ca="1" si="28"/>
        <v>85.541392727465535</v>
      </c>
      <c r="AI163" s="3">
        <f t="shared" ca="1" si="29"/>
        <v>0</v>
      </c>
    </row>
    <row r="164" spans="7:35">
      <c r="G164" s="3">
        <f t="shared" ca="1" si="24"/>
        <v>169</v>
      </c>
      <c r="H164" s="95">
        <f t="shared" ca="1" si="26"/>
        <v>45459</v>
      </c>
      <c r="I164" s="119">
        <f ca="1">HLOOKUP($H$4,'Met Data'!$A$2:$F$368,G164,FALSE)</f>
        <v>6.015625</v>
      </c>
      <c r="J164" s="119">
        <f ca="1">HLOOKUP($H$4,'Met Data'!$H$2:$M$368,G164,FALSE)*L164</f>
        <v>3.0060606060606001</v>
      </c>
      <c r="K164" s="96">
        <f ca="1">HLOOKUP($H$4,'Met Data'!$O$2:$T$368,G164,FALSE)</f>
        <v>1.0716644953435599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45504</v>
      </c>
      <c r="Q164">
        <f ca="1"/>
        <v>87.837936554723427</v>
      </c>
      <c r="R164">
        <f ca="1"/>
        <v>5.9526737996771703E-2</v>
      </c>
      <c r="S164">
        <f ca="1"/>
        <v>1.9948354614142545</v>
      </c>
      <c r="T164">
        <f ca="1"/>
        <v>0.41759188071853426</v>
      </c>
      <c r="U164">
        <f ca="1"/>
        <v>0</v>
      </c>
      <c r="V164">
        <f ca="1"/>
        <v>2.4085098718090099</v>
      </c>
      <c r="W164">
        <f ca="1"/>
        <v>0.61259925000359705</v>
      </c>
      <c r="X164">
        <f ca="1"/>
        <v>0</v>
      </c>
      <c r="Y164">
        <f ca="1"/>
        <v>0.96436464214728879</v>
      </c>
      <c r="Z164">
        <f ca="1"/>
        <v>0</v>
      </c>
      <c r="AA164">
        <f ca="1"/>
        <v>0</v>
      </c>
      <c r="AB164">
        <f ca="1"/>
        <v>1.0573537068935501E-2</v>
      </c>
      <c r="AD164" s="2">
        <f t="shared" ca="1" si="22"/>
        <v>45504</v>
      </c>
      <c r="AE164">
        <f t="shared" ca="1" si="23"/>
        <v>0</v>
      </c>
      <c r="AG164" s="63">
        <f t="shared" ca="1" si="27"/>
        <v>87.897463292720204</v>
      </c>
      <c r="AH164" s="63">
        <f t="shared" ca="1" si="28"/>
        <v>87.897463292720204</v>
      </c>
      <c r="AI164" s="3">
        <f t="shared" ca="1" si="29"/>
        <v>0</v>
      </c>
    </row>
    <row r="165" spans="7:35">
      <c r="G165" s="3">
        <f t="shared" ca="1" si="24"/>
        <v>170</v>
      </c>
      <c r="H165" s="95">
        <f t="shared" ca="1" si="26"/>
        <v>45460</v>
      </c>
      <c r="I165" s="119">
        <f ca="1">HLOOKUP($H$4,'Met Data'!$A$2:$F$368,G165,FALSE)</f>
        <v>6.4772727272727204</v>
      </c>
      <c r="J165" s="119">
        <f ca="1">HLOOKUP($H$4,'Met Data'!$H$2:$M$368,G165,FALSE)*L165</f>
        <v>2.2727272727272698</v>
      </c>
      <c r="K165" s="96">
        <f ca="1">HLOOKUP($H$4,'Met Data'!$O$2:$T$368,G165,FALSE)</f>
        <v>1.12776465530811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45505</v>
      </c>
      <c r="Q165">
        <f ca="1"/>
        <v>90.003892248558344</v>
      </c>
      <c r="R165">
        <f ca="1"/>
        <v>5.8724247701517698E-2</v>
      </c>
      <c r="S165">
        <f ca="1"/>
        <v>1.8193309447338777</v>
      </c>
      <c r="T165">
        <f ca="1"/>
        <v>0.4053489968025582</v>
      </c>
      <c r="U165">
        <f ca="1"/>
        <v>0</v>
      </c>
      <c r="V165">
        <f ca="1"/>
        <v>2.4672341195105298</v>
      </c>
      <c r="W165">
        <f ca="1"/>
        <v>0.62753563474507001</v>
      </c>
      <c r="X165">
        <f ca="1"/>
        <v>0</v>
      </c>
      <c r="Y165">
        <f ca="1"/>
        <v>0.9646606791835457</v>
      </c>
      <c r="Z165">
        <f ca="1"/>
        <v>0</v>
      </c>
      <c r="AA165">
        <f ca="1"/>
        <v>0</v>
      </c>
      <c r="AB165">
        <f ca="1"/>
        <v>1.2306969634204801E-2</v>
      </c>
      <c r="AD165" s="2">
        <f t="shared" ca="1" si="22"/>
        <v>45505</v>
      </c>
      <c r="AE165">
        <f t="shared" ca="1" si="23"/>
        <v>0</v>
      </c>
      <c r="AG165" s="63">
        <f t="shared" ca="1" si="27"/>
        <v>90.062616496259864</v>
      </c>
      <c r="AH165" s="63">
        <f t="shared" ca="1" si="28"/>
        <v>90.062616496259864</v>
      </c>
      <c r="AI165" s="3">
        <f t="shared" ca="1" si="29"/>
        <v>0</v>
      </c>
    </row>
    <row r="166" spans="7:35">
      <c r="G166" s="3">
        <f t="shared" ca="1" si="24"/>
        <v>171</v>
      </c>
      <c r="H166" s="95">
        <f t="shared" ca="1" si="26"/>
        <v>45461</v>
      </c>
      <c r="I166" s="119">
        <f ca="1">HLOOKUP($H$4,'Met Data'!$A$2:$F$368,G166,FALSE)</f>
        <v>6.3803030303030299</v>
      </c>
      <c r="J166" s="119">
        <f ca="1">HLOOKUP($H$4,'Met Data'!$H$2:$M$368,G166,FALSE)*L166</f>
        <v>2.1939393939393899</v>
      </c>
      <c r="K166" s="96">
        <f ca="1">HLOOKUP($H$4,'Met Data'!$O$2:$T$368,G166,FALSE)</f>
        <v>1.1020204232536399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45506</v>
      </c>
      <c r="Q166">
        <f ca="1"/>
        <v>91.968592729920971</v>
      </c>
      <c r="R166">
        <f ca="1"/>
        <v>5.6952876728537202E-2</v>
      </c>
      <c r="S166">
        <f ca="1"/>
        <v>1.6348335952131947</v>
      </c>
      <c r="T166">
        <f ca="1"/>
        <v>0.38681976287797226</v>
      </c>
      <c r="U166">
        <f ca="1"/>
        <v>0</v>
      </c>
      <c r="V166">
        <f ca="1"/>
        <v>2.5241869962390702</v>
      </c>
      <c r="W166">
        <f ca="1"/>
        <v>0.642021475130372</v>
      </c>
      <c r="X166">
        <f ca="1"/>
        <v>0</v>
      </c>
      <c r="Y166">
        <f ca="1"/>
        <v>0.95589236144702927</v>
      </c>
      <c r="Z166">
        <f ca="1"/>
        <v>0</v>
      </c>
      <c r="AA166">
        <f ca="1"/>
        <v>0</v>
      </c>
      <c r="AB166">
        <f ca="1"/>
        <v>1.42077668869955E-2</v>
      </c>
      <c r="AD166" s="2">
        <f t="shared" ca="1" si="22"/>
        <v>45506</v>
      </c>
      <c r="AE166">
        <f t="shared" ca="1" si="23"/>
        <v>0</v>
      </c>
      <c r="AG166" s="63">
        <f t="shared" ca="1" si="27"/>
        <v>92.025545606649516</v>
      </c>
      <c r="AH166" s="63">
        <f t="shared" ca="1" si="28"/>
        <v>92.025545606649501</v>
      </c>
      <c r="AI166" s="3">
        <f t="shared" ca="1" si="29"/>
        <v>0</v>
      </c>
    </row>
    <row r="167" spans="7:35">
      <c r="G167" s="3">
        <f t="shared" ca="1" si="24"/>
        <v>172</v>
      </c>
      <c r="H167" s="95">
        <f t="shared" ca="1" si="26"/>
        <v>45462</v>
      </c>
      <c r="I167" s="119">
        <f ca="1">HLOOKUP($H$4,'Met Data'!$A$2:$F$368,G167,FALSE)</f>
        <v>6.4439393939393899</v>
      </c>
      <c r="J167" s="119">
        <f ca="1">HLOOKUP($H$4,'Met Data'!$H$2:$M$368,G167,FALSE)*L167</f>
        <v>2.1121212121212101</v>
      </c>
      <c r="K167" s="96">
        <f ca="1">HLOOKUP($H$4,'Met Data'!$O$2:$T$368,G167,FALSE)</f>
        <v>1.0991176814324299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45507</v>
      </c>
      <c r="Q167">
        <f ca="1"/>
        <v>93.935269379238278</v>
      </c>
      <c r="R167">
        <f ca="1"/>
        <v>6.2013036833889097E-2</v>
      </c>
      <c r="S167">
        <f ca="1"/>
        <v>1.6212119240277332</v>
      </c>
      <c r="T167">
        <f ca="1"/>
        <v>0.4074777621234516</v>
      </c>
      <c r="U167">
        <f ca="1"/>
        <v>0</v>
      </c>
      <c r="V167">
        <f ca="1"/>
        <v>2.5862000330729602</v>
      </c>
      <c r="W167">
        <f ca="1"/>
        <v>0.65779435623812199</v>
      </c>
      <c r="X167">
        <f ca="1"/>
        <v>0</v>
      </c>
      <c r="Y167">
        <f ca="1"/>
        <v>0.95945122032654895</v>
      </c>
      <c r="Z167">
        <f ca="1"/>
        <v>0</v>
      </c>
      <c r="AA167">
        <f ca="1"/>
        <v>0</v>
      </c>
      <c r="AB167">
        <f ca="1"/>
        <v>1.6548243003177199E-2</v>
      </c>
      <c r="AD167" s="2">
        <f t="shared" ca="1" si="22"/>
        <v>45507</v>
      </c>
      <c r="AE167">
        <f t="shared" ca="1" si="23"/>
        <v>0</v>
      </c>
      <c r="AG167" s="63">
        <f t="shared" ca="1" si="27"/>
        <v>93.997282416072153</v>
      </c>
      <c r="AH167" s="63">
        <f t="shared" ca="1" si="28"/>
        <v>93.997282416072167</v>
      </c>
      <c r="AI167" s="3">
        <f t="shared" ca="1" si="29"/>
        <v>0</v>
      </c>
    </row>
    <row r="168" spans="7:35">
      <c r="G168" s="3">
        <f t="shared" ca="1" si="24"/>
        <v>173</v>
      </c>
      <c r="H168" s="95">
        <f t="shared" ca="1" si="26"/>
        <v>45463</v>
      </c>
      <c r="I168" s="119">
        <f ca="1">HLOOKUP($H$4,'Met Data'!$A$2:$F$368,G168,FALSE)</f>
        <v>6.5606060606060597</v>
      </c>
      <c r="J168" s="119">
        <f ca="1">HLOOKUP($H$4,'Met Data'!$H$2:$M$368,G168,FALSE)*L168</f>
        <v>2.0333333333333301</v>
      </c>
      <c r="K168" s="96">
        <f ca="1">HLOOKUP($H$4,'Met Data'!$O$2:$T$368,G168,FALSE)</f>
        <v>1.06265243044536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45508</v>
      </c>
      <c r="Q168">
        <f ca="1"/>
        <v>95.839575489349812</v>
      </c>
      <c r="R168">
        <f ca="1"/>
        <v>6.5045168496016298E-2</v>
      </c>
      <c r="S168">
        <f ca="1"/>
        <v>1.5535892258899935</v>
      </c>
      <c r="T168">
        <f ca="1"/>
        <v>0.41576205271755939</v>
      </c>
      <c r="U168">
        <f ca="1"/>
        <v>0</v>
      </c>
      <c r="V168">
        <f ca="1"/>
        <v>2.6512452015689698</v>
      </c>
      <c r="W168">
        <f ca="1"/>
        <v>0.67433845344254295</v>
      </c>
      <c r="X168">
        <f ca="1"/>
        <v>0</v>
      </c>
      <c r="Y168">
        <f ca="1"/>
        <v>0.96439703066132998</v>
      </c>
      <c r="Z168">
        <f ca="1"/>
        <v>0</v>
      </c>
      <c r="AA168">
        <f ca="1"/>
        <v>0</v>
      </c>
      <c r="AB168">
        <f ca="1"/>
        <v>1.93370481549981E-2</v>
      </c>
      <c r="AD168" s="2">
        <f t="shared" ca="1" si="22"/>
        <v>45508</v>
      </c>
      <c r="AE168">
        <f t="shared" ca="1" si="23"/>
        <v>0</v>
      </c>
      <c r="AG168" s="63">
        <f t="shared" ca="1" si="27"/>
        <v>95.904620657845825</v>
      </c>
      <c r="AH168" s="63">
        <f t="shared" ca="1" si="28"/>
        <v>95.904620657845825</v>
      </c>
      <c r="AI168" s="3">
        <f t="shared" ca="1" si="29"/>
        <v>0</v>
      </c>
    </row>
    <row r="169" spans="7:35">
      <c r="G169" s="3">
        <f t="shared" ca="1" si="24"/>
        <v>174</v>
      </c>
      <c r="H169" s="95">
        <f t="shared" ca="1" si="26"/>
        <v>45464</v>
      </c>
      <c r="I169" s="119">
        <f ca="1">HLOOKUP($H$4,'Met Data'!$A$2:$F$368,G169,FALSE)</f>
        <v>6.1424242424242399</v>
      </c>
      <c r="J169" s="119">
        <f ca="1">HLOOKUP($H$4,'Met Data'!$H$2:$M$368,G169,FALSE)*L169</f>
        <v>2.0939393939393902</v>
      </c>
      <c r="K169" s="96">
        <f ca="1">HLOOKUP($H$4,'Met Data'!$O$2:$T$368,G169,FALSE)</f>
        <v>1.01861486176599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45509</v>
      </c>
      <c r="Q169">
        <f ca="1"/>
        <v>97.636136917962759</v>
      </c>
      <c r="R169">
        <f ca="1"/>
        <v>6.7420926672970199E-2</v>
      </c>
      <c r="S169">
        <f ca="1"/>
        <v>1.4504450008506069</v>
      </c>
      <c r="T169">
        <f ca="1"/>
        <v>0.41353735443531126</v>
      </c>
      <c r="U169">
        <f ca="1"/>
        <v>0</v>
      </c>
      <c r="V169">
        <f ca="1"/>
        <v>2.71866612824194</v>
      </c>
      <c r="W169">
        <f ca="1"/>
        <v>0.69148681957458202</v>
      </c>
      <c r="X169">
        <f ca="1"/>
        <v>0</v>
      </c>
      <c r="Y169">
        <f ca="1"/>
        <v>0.9489014694025989</v>
      </c>
      <c r="Z169">
        <f ca="1"/>
        <v>0</v>
      </c>
      <c r="AA169">
        <f ca="1"/>
        <v>0</v>
      </c>
      <c r="AB169">
        <f ca="1"/>
        <v>2.2625359998465398E-2</v>
      </c>
      <c r="AD169" s="2">
        <f t="shared" ca="1" si="22"/>
        <v>45509</v>
      </c>
      <c r="AE169">
        <f t="shared" ca="1" si="23"/>
        <v>0</v>
      </c>
      <c r="AG169" s="63">
        <f t="shared" ca="1" si="27"/>
        <v>97.703557844635725</v>
      </c>
      <c r="AH169" s="63">
        <f t="shared" ca="1" si="28"/>
        <v>97.703557844635725</v>
      </c>
      <c r="AI169" s="3">
        <f t="shared" ca="1" si="29"/>
        <v>0</v>
      </c>
    </row>
    <row r="170" spans="7:35">
      <c r="G170" s="3">
        <f t="shared" ca="1" si="24"/>
        <v>175</v>
      </c>
      <c r="H170" s="95">
        <f t="shared" ca="1" si="26"/>
        <v>45465</v>
      </c>
      <c r="I170" s="119">
        <f ca="1">HLOOKUP($H$4,'Met Data'!$A$2:$F$368,G170,FALSE)</f>
        <v>6.20757575757575</v>
      </c>
      <c r="J170" s="119">
        <f ca="1">HLOOKUP($H$4,'Met Data'!$H$2:$M$368,G170,FALSE)*L170</f>
        <v>1.41818181818181</v>
      </c>
      <c r="K170" s="96">
        <f ca="1">HLOOKUP($H$4,'Met Data'!$O$2:$T$368,G170,FALSE)</f>
        <v>1.17304690631908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45510</v>
      </c>
      <c r="Q170">
        <f ca="1"/>
        <v>99.391826652463592</v>
      </c>
      <c r="R170">
        <f ca="1"/>
        <v>7.03610369076553E-2</v>
      </c>
      <c r="S170">
        <f ca="1"/>
        <v>1.4003257514304721</v>
      </c>
      <c r="T170">
        <f ca="1"/>
        <v>0.42572501997802481</v>
      </c>
      <c r="U170">
        <f ca="1"/>
        <v>0</v>
      </c>
      <c r="V170">
        <f ca="1"/>
        <v>2.7890271651496001</v>
      </c>
      <c r="W170">
        <f ca="1"/>
        <v>0.70938299635326796</v>
      </c>
      <c r="X170">
        <f ca="1"/>
        <v>0</v>
      </c>
      <c r="Y170">
        <f ca="1"/>
        <v>0.98484221692411544</v>
      </c>
      <c r="Z170">
        <f ca="1"/>
        <v>0</v>
      </c>
      <c r="AA170">
        <f ca="1"/>
        <v>0</v>
      </c>
      <c r="AB170">
        <f ca="1"/>
        <v>2.6532568521776299E-2</v>
      </c>
      <c r="AD170" s="2">
        <f t="shared" ca="1" si="22"/>
        <v>45510</v>
      </c>
      <c r="AE170">
        <f t="shared" ca="1" si="23"/>
        <v>0</v>
      </c>
      <c r="AG170" s="63">
        <f t="shared" ca="1" si="27"/>
        <v>99.462187689371262</v>
      </c>
      <c r="AH170" s="63">
        <f t="shared" ca="1" si="28"/>
        <v>99.462187689371248</v>
      </c>
      <c r="AI170" s="3">
        <f t="shared" ca="1" si="29"/>
        <v>0</v>
      </c>
    </row>
    <row r="171" spans="7:35">
      <c r="G171" s="3">
        <f t="shared" ca="1" si="24"/>
        <v>176</v>
      </c>
      <c r="H171" s="95">
        <f t="shared" ca="1" si="26"/>
        <v>45466</v>
      </c>
      <c r="I171" s="119">
        <f ca="1">HLOOKUP($H$4,'Met Data'!$A$2:$F$368,G171,FALSE)</f>
        <v>6.5106060606060598</v>
      </c>
      <c r="J171" s="119">
        <f ca="1">HLOOKUP($H$4,'Met Data'!$H$2:$M$368,G171,FALSE)*L171</f>
        <v>1.78484848484848</v>
      </c>
      <c r="K171" s="96">
        <f ca="1">HLOOKUP($H$4,'Met Data'!$O$2:$T$368,G171,FALSE)</f>
        <v>1.05340987186552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45511</v>
      </c>
      <c r="Q171">
        <f ca="1"/>
        <v>101.01144129737614</v>
      </c>
      <c r="R171">
        <f ca="1"/>
        <v>6.9560887158429494E-2</v>
      </c>
      <c r="S171">
        <f ca="1"/>
        <v>1.2755914708138221</v>
      </c>
      <c r="T171">
        <f ca="1"/>
        <v>0.41358406125714398</v>
      </c>
      <c r="U171">
        <f ca="1"/>
        <v>0</v>
      </c>
      <c r="V171">
        <f ca="1"/>
        <v>2.85858805230803</v>
      </c>
      <c r="W171">
        <f ca="1"/>
        <v>0.72707565678269404</v>
      </c>
      <c r="X171">
        <f ca="1"/>
        <v>0</v>
      </c>
      <c r="Y171">
        <f ca="1"/>
        <v>1</v>
      </c>
      <c r="Z171">
        <f ca="1"/>
        <v>0.72481748099924204</v>
      </c>
      <c r="AA171">
        <f ca="1"/>
        <v>0</v>
      </c>
      <c r="AB171">
        <f ca="1"/>
        <v>3.0919777252221399E-2</v>
      </c>
      <c r="AD171" s="2">
        <f t="shared" ca="1" si="22"/>
        <v>45511</v>
      </c>
      <c r="AE171">
        <f t="shared" ca="1" si="23"/>
        <v>0</v>
      </c>
      <c r="AG171" s="63">
        <f t="shared" ca="1" si="27"/>
        <v>101.08100218453455</v>
      </c>
      <c r="AH171" s="63">
        <f t="shared" ca="1" si="28"/>
        <v>101.08100218453457</v>
      </c>
      <c r="AI171" s="3">
        <f t="shared" ca="1" si="29"/>
        <v>0</v>
      </c>
    </row>
    <row r="172" spans="7:35">
      <c r="G172" s="3">
        <f t="shared" ca="1" si="24"/>
        <v>177</v>
      </c>
      <c r="H172" s="95">
        <f t="shared" ca="1" si="26"/>
        <v>45467</v>
      </c>
      <c r="I172" s="119">
        <f ca="1">HLOOKUP($H$4,'Met Data'!$A$2:$F$368,G172,FALSE)</f>
        <v>6.4439393939393899</v>
      </c>
      <c r="J172" s="119">
        <f ca="1">HLOOKUP($H$4,'Met Data'!$H$2:$M$368,G172,FALSE)*L172</f>
        <v>1.4909090909090901</v>
      </c>
      <c r="K172" s="96">
        <f ca="1">HLOOKUP($H$4,'Met Data'!$O$2:$T$368,G172,FALSE)</f>
        <v>1.1237466528878399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45512</v>
      </c>
      <c r="Q172">
        <f ca="1"/>
        <v>102.44222779050769</v>
      </c>
      <c r="R172">
        <f ca="1"/>
        <v>6.4445671198738896E-2</v>
      </c>
      <c r="S172">
        <f ca="1"/>
        <v>1.1119407531548688</v>
      </c>
      <c r="T172">
        <f ca="1"/>
        <v>0.38329141117542742</v>
      </c>
      <c r="U172">
        <f ca="1"/>
        <v>0</v>
      </c>
      <c r="V172">
        <f ca="1"/>
        <v>2.9230337235067698</v>
      </c>
      <c r="W172">
        <f ca="1"/>
        <v>0.74346727315280803</v>
      </c>
      <c r="X172">
        <f ca="1"/>
        <v>0</v>
      </c>
      <c r="Y172">
        <f ca="1"/>
        <v>1</v>
      </c>
      <c r="Z172">
        <f ca="1"/>
        <v>9.1586732002078008E-2</v>
      </c>
      <c r="AA172">
        <f ca="1"/>
        <v>0</v>
      </c>
      <c r="AB172">
        <f ca="1"/>
        <v>3.5492304555763902E-2</v>
      </c>
      <c r="AD172" s="2">
        <f t="shared" ca="1" si="22"/>
        <v>45512</v>
      </c>
      <c r="AE172">
        <f t="shared" ca="1" si="23"/>
        <v>0</v>
      </c>
      <c r="AG172" s="63">
        <f t="shared" ca="1" si="27"/>
        <v>102.50667346170643</v>
      </c>
      <c r="AH172" s="63">
        <f t="shared" ca="1" si="28"/>
        <v>102.50667346170643</v>
      </c>
      <c r="AI172" s="3">
        <f t="shared" ca="1" si="29"/>
        <v>0</v>
      </c>
    </row>
    <row r="173" spans="7:35">
      <c r="G173" s="3">
        <f t="shared" ca="1" si="24"/>
        <v>178</v>
      </c>
      <c r="H173" s="95">
        <f t="shared" ca="1" si="26"/>
        <v>45468</v>
      </c>
      <c r="I173" s="119">
        <f ca="1">HLOOKUP($H$4,'Met Data'!$A$2:$F$368,G173,FALSE)</f>
        <v>6.6909090909090896</v>
      </c>
      <c r="J173" s="119">
        <f ca="1">HLOOKUP($H$4,'Met Data'!$H$2:$M$368,G173,FALSE)*L173</f>
        <v>1.3090909090909</v>
      </c>
      <c r="K173" s="96">
        <f ca="1">HLOOKUP($H$4,'Met Data'!$O$2:$T$368,G173,FALSE)</f>
        <v>1.1592232631741799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45513</v>
      </c>
      <c r="Q173">
        <f ca="1"/>
        <v>103.87257069104368</v>
      </c>
      <c r="R173">
        <f ca="1"/>
        <v>7.0245967985183497E-2</v>
      </c>
      <c r="S173">
        <f ca="1"/>
        <v>1.0983834949182096</v>
      </c>
      <c r="T173">
        <f ca="1"/>
        <v>0.40220537360296049</v>
      </c>
      <c r="U173">
        <f ca="1"/>
        <v>0</v>
      </c>
      <c r="V173">
        <f ca="1"/>
        <v>2.9932796914919502</v>
      </c>
      <c r="W173">
        <f ca="1"/>
        <v>0.76133418240121398</v>
      </c>
      <c r="X173">
        <f ca="1"/>
        <v>0</v>
      </c>
      <c r="Y173">
        <f ca="1"/>
        <v>1</v>
      </c>
      <c r="Z173">
        <f ca="1"/>
        <v>2.0246675387497248E-2</v>
      </c>
      <c r="AA173">
        <f ca="1"/>
        <v>0</v>
      </c>
      <c r="AB173">
        <f ca="1"/>
        <v>4.1080701104517198E-2</v>
      </c>
      <c r="AD173" s="2">
        <f t="shared" ca="1" si="22"/>
        <v>45513</v>
      </c>
      <c r="AE173">
        <f t="shared" ca="1" si="23"/>
        <v>0</v>
      </c>
      <c r="AG173" s="63">
        <f t="shared" ca="1" si="27"/>
        <v>103.94281665902886</v>
      </c>
      <c r="AH173" s="63">
        <f t="shared" ca="1" si="28"/>
        <v>103.94281665902886</v>
      </c>
      <c r="AI173" s="3">
        <f t="shared" ca="1" si="29"/>
        <v>0</v>
      </c>
    </row>
    <row r="174" spans="7:35">
      <c r="G174" s="3">
        <f t="shared" ca="1" si="24"/>
        <v>179</v>
      </c>
      <c r="H174" s="95">
        <f t="shared" ca="1" si="26"/>
        <v>45469</v>
      </c>
      <c r="I174" s="119">
        <f ca="1">HLOOKUP($H$4,'Met Data'!$A$2:$F$368,G174,FALSE)</f>
        <v>6.1848484848484802</v>
      </c>
      <c r="J174" s="119">
        <f ca="1">HLOOKUP($H$4,'Met Data'!$H$2:$M$368,G174,FALSE)*L174</f>
        <v>1.8060606060605999</v>
      </c>
      <c r="K174" s="96">
        <f ca="1">HLOOKUP($H$4,'Met Data'!$O$2:$T$368,G174,FALSE)</f>
        <v>1.0801233950998499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45514</v>
      </c>
      <c r="Q174">
        <f ca="1"/>
        <v>105.29939776038297</v>
      </c>
      <c r="R174">
        <f ca="1"/>
        <v>7.6430503251494503E-2</v>
      </c>
      <c r="S174">
        <f ca="1"/>
        <v>1.0813297539080509</v>
      </c>
      <c r="T174">
        <f ca="1"/>
        <v>0.4219278186827341</v>
      </c>
      <c r="U174">
        <f ca="1"/>
        <v>0</v>
      </c>
      <c r="V174">
        <f ca="1"/>
        <v>3.06971019474345</v>
      </c>
      <c r="W174">
        <f ca="1"/>
        <v>0.78077411474996306</v>
      </c>
      <c r="X174">
        <f ca="1"/>
        <v>0</v>
      </c>
      <c r="Y174">
        <f ca="1"/>
        <v>1</v>
      </c>
      <c r="Z174">
        <f ca="1"/>
        <v>0.14130917257556064</v>
      </c>
      <c r="AA174">
        <f ca="1"/>
        <v>0</v>
      </c>
      <c r="AB174">
        <f ca="1"/>
        <v>4.7936555494324698E-2</v>
      </c>
      <c r="AD174" s="2">
        <f t="shared" ca="1" si="22"/>
        <v>45514</v>
      </c>
      <c r="AE174">
        <f t="shared" ca="1" si="23"/>
        <v>0</v>
      </c>
      <c r="AG174" s="63">
        <f t="shared" ca="1" si="27"/>
        <v>105.37582826363446</v>
      </c>
      <c r="AH174" s="63">
        <f t="shared" ca="1" si="28"/>
        <v>105.37582826363447</v>
      </c>
      <c r="AI174" s="3">
        <f t="shared" ca="1" si="29"/>
        <v>0</v>
      </c>
    </row>
    <row r="175" spans="7:35">
      <c r="G175" s="3">
        <f t="shared" ca="1" si="24"/>
        <v>180</v>
      </c>
      <c r="H175" s="95">
        <f t="shared" ca="1" si="26"/>
        <v>45470</v>
      </c>
      <c r="I175" s="119">
        <f ca="1">HLOOKUP($H$4,'Met Data'!$A$2:$F$368,G175,FALSE)</f>
        <v>5.9242424242424203</v>
      </c>
      <c r="J175" s="119">
        <f ca="1">HLOOKUP($H$4,'Met Data'!$H$2:$M$368,G175,FALSE)*L175</f>
        <v>1.7121212121212099</v>
      </c>
      <c r="K175" s="96">
        <f ca="1">HLOOKUP($H$4,'Met Data'!$O$2:$T$368,G175,FALSE)</f>
        <v>1.01058351362291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45515</v>
      </c>
      <c r="Q175">
        <f ca="1"/>
        <v>106.68827195606644</v>
      </c>
      <c r="R175">
        <f ca="1"/>
        <v>8.0731975814191795E-2</v>
      </c>
      <c r="S175">
        <f ca="1"/>
        <v>1.037269969127351</v>
      </c>
      <c r="T175">
        <f ca="1"/>
        <v>0.43233620237032266</v>
      </c>
      <c r="U175">
        <f ca="1"/>
        <v>0</v>
      </c>
      <c r="V175">
        <f ca="1"/>
        <v>3.15044217055764</v>
      </c>
      <c r="W175">
        <f ca="1"/>
        <v>0.80130811729400797</v>
      </c>
      <c r="X175">
        <f ca="1"/>
        <v>0</v>
      </c>
      <c r="Y175">
        <f ca="1"/>
        <v>0.99179116578665638</v>
      </c>
      <c r="Z175">
        <f ca="1"/>
        <v>0</v>
      </c>
      <c r="AA175">
        <f ca="1"/>
        <v>0</v>
      </c>
      <c r="AB175">
        <f ca="1"/>
        <v>5.61282714036841E-2</v>
      </c>
      <c r="AD175" s="2">
        <f t="shared" ca="1" si="22"/>
        <v>45515</v>
      </c>
      <c r="AE175">
        <f t="shared" ca="1" si="23"/>
        <v>0</v>
      </c>
      <c r="AG175" s="63">
        <f t="shared" ca="1" si="27"/>
        <v>106.76900393188065</v>
      </c>
      <c r="AH175" s="63">
        <f t="shared" ca="1" si="28"/>
        <v>106.76900393188063</v>
      </c>
      <c r="AI175" s="3">
        <f t="shared" ca="1" si="29"/>
        <v>0</v>
      </c>
    </row>
    <row r="176" spans="7:35">
      <c r="G176" s="3">
        <f t="shared" ca="1" si="24"/>
        <v>181</v>
      </c>
      <c r="H176" s="95">
        <f t="shared" ca="1" si="26"/>
        <v>45471</v>
      </c>
      <c r="I176" s="119">
        <f ca="1">HLOOKUP($H$4,'Met Data'!$A$2:$F$368,G176,FALSE)</f>
        <v>6.1499999999999897</v>
      </c>
      <c r="J176" s="119">
        <f ca="1">HLOOKUP($H$4,'Met Data'!$H$2:$M$368,G176,FALSE)*L176</f>
        <v>3.14848484848484</v>
      </c>
      <c r="K176" s="96">
        <f ca="1">HLOOKUP($H$4,'Met Data'!$O$2:$T$368,G176,FALSE)</f>
        <v>1.0356452508213501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45516</v>
      </c>
      <c r="Q176">
        <f ca="1"/>
        <v>107.96773506868081</v>
      </c>
      <c r="R176">
        <f ca="1"/>
        <v>7.9549435879566796E-2</v>
      </c>
      <c r="S176">
        <f ca="1"/>
        <v>0.9403805193033179</v>
      </c>
      <c r="T176">
        <f ca="1"/>
        <v>0.41863202919061487</v>
      </c>
      <c r="U176">
        <f ca="1"/>
        <v>0</v>
      </c>
      <c r="V176">
        <f ca="1"/>
        <v>3.2299916064372001</v>
      </c>
      <c r="W176">
        <f ca="1"/>
        <v>0.82154134337641904</v>
      </c>
      <c r="X176">
        <f ca="1"/>
        <v>0</v>
      </c>
      <c r="Y176">
        <f ca="1"/>
        <v>0.99746617777738111</v>
      </c>
      <c r="Z176">
        <f ca="1"/>
        <v>0</v>
      </c>
      <c r="AA176">
        <f ca="1"/>
        <v>0</v>
      </c>
      <c r="AB176">
        <f ca="1"/>
        <v>6.5228875162875802E-2</v>
      </c>
      <c r="AD176" s="2">
        <f t="shared" ca="1" si="22"/>
        <v>45516</v>
      </c>
      <c r="AE176">
        <f t="shared" ca="1" si="23"/>
        <v>0</v>
      </c>
      <c r="AG176" s="63">
        <f t="shared" ca="1" si="27"/>
        <v>108.04728450456038</v>
      </c>
      <c r="AH176" s="63">
        <f t="shared" ca="1" si="28"/>
        <v>108.04728450456038</v>
      </c>
      <c r="AI176" s="3">
        <f t="shared" ca="1" si="29"/>
        <v>0</v>
      </c>
    </row>
    <row r="177" spans="7:35">
      <c r="G177" s="3">
        <f t="shared" ca="1" si="24"/>
        <v>182</v>
      </c>
      <c r="H177" s="95">
        <f t="shared" ca="1" si="26"/>
        <v>45472</v>
      </c>
      <c r="I177" s="119">
        <f ca="1">HLOOKUP($H$4,'Met Data'!$A$2:$F$368,G177,FALSE)</f>
        <v>6.4909090909090903</v>
      </c>
      <c r="J177" s="119">
        <f ca="1">HLOOKUP($H$4,'Met Data'!$H$2:$M$368,G177,FALSE)*L177</f>
        <v>2.17575757575757</v>
      </c>
      <c r="K177" s="96">
        <f ca="1">HLOOKUP($H$4,'Met Data'!$O$2:$T$368,G177,FALSE)</f>
        <v>1.2161265984409499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45517</v>
      </c>
      <c r="Q177">
        <f ca="1"/>
        <v>109.17138349880332</v>
      </c>
      <c r="R177">
        <f ca="1"/>
        <v>8.0199584530315199E-2</v>
      </c>
      <c r="S177">
        <f ca="1"/>
        <v>0.87050808482476327</v>
      </c>
      <c r="T177">
        <f ca="1"/>
        <v>0.41333992982806556</v>
      </c>
      <c r="U177">
        <f ca="1"/>
        <v>0</v>
      </c>
      <c r="V177">
        <f ca="1"/>
        <v>3.3101911909675201</v>
      </c>
      <c r="W177">
        <f ca="1"/>
        <v>0.84193993335478201</v>
      </c>
      <c r="X177">
        <f ca="1"/>
        <v>0</v>
      </c>
      <c r="Y177">
        <f ca="1"/>
        <v>1</v>
      </c>
      <c r="Z177">
        <f ca="1"/>
        <v>0.40123177169432012</v>
      </c>
      <c r="AA177">
        <f ca="1"/>
        <v>0</v>
      </c>
      <c r="AB177">
        <f ca="1"/>
        <v>7.5510040534380304E-2</v>
      </c>
      <c r="AD177" s="2">
        <f t="shared" ca="1" si="22"/>
        <v>45517</v>
      </c>
      <c r="AE177">
        <f t="shared" ca="1" si="23"/>
        <v>0</v>
      </c>
      <c r="AG177" s="63">
        <f t="shared" ca="1" si="27"/>
        <v>109.25158308333364</v>
      </c>
      <c r="AH177" s="63">
        <f t="shared" ca="1" si="28"/>
        <v>109.25158308333364</v>
      </c>
      <c r="AI177" s="3">
        <f t="shared" ca="1" si="29"/>
        <v>0</v>
      </c>
    </row>
    <row r="178" spans="7:35">
      <c r="G178" s="3">
        <f t="shared" ca="1" si="24"/>
        <v>183</v>
      </c>
      <c r="H178" s="95">
        <f t="shared" ca="1" si="26"/>
        <v>45473</v>
      </c>
      <c r="I178" s="119">
        <f ca="1">HLOOKUP($H$4,'Met Data'!$A$2:$F$368,G178,FALSE)</f>
        <v>5.80151515151515</v>
      </c>
      <c r="J178" s="119">
        <f ca="1">HLOOKUP($H$4,'Met Data'!$H$2:$M$368,G178,FALSE)*L178</f>
        <v>1.3575757575757501</v>
      </c>
      <c r="K178" s="96">
        <f ca="1">HLOOKUP($H$4,'Met Data'!$O$2:$T$368,G178,FALSE)</f>
        <v>1.0914719035015701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45518</v>
      </c>
      <c r="Q178">
        <f ca="1"/>
        <v>110.27652381514818</v>
      </c>
      <c r="R178">
        <f ca="1"/>
        <v>7.8039416252821098E-2</v>
      </c>
      <c r="S178">
        <f ca="1"/>
        <v>0.78581281719414164</v>
      </c>
      <c r="T178">
        <f ca="1"/>
        <v>0.39736691540352881</v>
      </c>
      <c r="U178">
        <f ca="1"/>
        <v>0</v>
      </c>
      <c r="V178">
        <f ca="1"/>
        <v>3.3882306072203399</v>
      </c>
      <c r="W178">
        <f ca="1"/>
        <v>0.86178908922778197</v>
      </c>
      <c r="X178">
        <f ca="1"/>
        <v>0</v>
      </c>
      <c r="Y178">
        <f ca="1"/>
        <v>1</v>
      </c>
      <c r="Z178">
        <f ca="1"/>
        <v>0.40524650561096109</v>
      </c>
      <c r="AA178">
        <f ca="1"/>
        <v>0</v>
      </c>
      <c r="AB178">
        <f ca="1"/>
        <v>8.6644188149909096E-2</v>
      </c>
      <c r="AD178" s="2">
        <f t="shared" ca="1" si="22"/>
        <v>45518</v>
      </c>
      <c r="AE178">
        <f t="shared" ca="1" si="23"/>
        <v>0</v>
      </c>
      <c r="AG178" s="63">
        <f t="shared" ca="1" si="27"/>
        <v>110.35456323140099</v>
      </c>
      <c r="AH178" s="63">
        <f t="shared" ca="1" si="28"/>
        <v>110.354563231401</v>
      </c>
      <c r="AI178" s="3">
        <f t="shared" ca="1" si="29"/>
        <v>0</v>
      </c>
    </row>
    <row r="179" spans="7:35">
      <c r="G179" s="3">
        <f t="shared" ca="1" si="24"/>
        <v>184</v>
      </c>
      <c r="H179" s="95">
        <f t="shared" ca="1" si="26"/>
        <v>45474</v>
      </c>
      <c r="I179" s="119">
        <f ca="1">HLOOKUP($H$4,'Met Data'!$A$2:$F$368,G179,FALSE)</f>
        <v>5.4696969696969697</v>
      </c>
      <c r="J179" s="119">
        <f ca="1">HLOOKUP($H$4,'Met Data'!$H$2:$M$368,G179,FALSE)*L179</f>
        <v>1.66363636363636</v>
      </c>
      <c r="K179" s="96">
        <f ca="1">HLOOKUP($H$4,'Met Data'!$O$2:$T$368,G179,FALSE)</f>
        <v>1.0977706117478601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45519</v>
      </c>
      <c r="Q179">
        <f ca="1"/>
        <v>111.35898832223373</v>
      </c>
      <c r="R179">
        <f ca="1"/>
        <v>8.2546535436733404E-2</v>
      </c>
      <c r="S179">
        <f ca="1"/>
        <v>0.75731903165566905</v>
      </c>
      <c r="T179">
        <f ca="1"/>
        <v>0.40769201086661944</v>
      </c>
      <c r="U179">
        <f ca="1"/>
        <v>0</v>
      </c>
      <c r="V179">
        <f ca="1"/>
        <v>3.4707771426570702</v>
      </c>
      <c r="W179">
        <f ca="1"/>
        <v>0.88278462106712496</v>
      </c>
      <c r="X179">
        <f ca="1"/>
        <v>0</v>
      </c>
      <c r="Y179">
        <f ca="1"/>
        <v>1</v>
      </c>
      <c r="Z179">
        <f ca="1"/>
        <v>0.31480543650840076</v>
      </c>
      <c r="AA179">
        <f ca="1"/>
        <v>0</v>
      </c>
      <c r="AB179">
        <f ca="1"/>
        <v>9.9695330766489093E-2</v>
      </c>
      <c r="AD179" s="2">
        <f t="shared" ca="1" si="22"/>
        <v>45519</v>
      </c>
      <c r="AE179">
        <f t="shared" ca="1" si="23"/>
        <v>0</v>
      </c>
      <c r="AG179" s="63">
        <f t="shared" ca="1" si="27"/>
        <v>111.44153485767048</v>
      </c>
      <c r="AH179" s="63">
        <f t="shared" ca="1" si="28"/>
        <v>111.44153485767046</v>
      </c>
      <c r="AI179" s="3">
        <f t="shared" ca="1" si="29"/>
        <v>0</v>
      </c>
    </row>
    <row r="180" spans="7:35">
      <c r="G180" s="3">
        <f t="shared" ca="1" si="24"/>
        <v>185</v>
      </c>
      <c r="H180" s="95">
        <f t="shared" ca="1" si="26"/>
        <v>45475</v>
      </c>
      <c r="I180" s="119">
        <f ca="1">HLOOKUP($H$4,'Met Data'!$A$2:$F$368,G180,FALSE)</f>
        <v>6.01212121212121</v>
      </c>
      <c r="J180" s="119">
        <f ca="1">HLOOKUP($H$4,'Met Data'!$H$2:$M$368,G180,FALSE)*L180</f>
        <v>1.73030303030303</v>
      </c>
      <c r="K180" s="96">
        <f ca="1">HLOOKUP($H$4,'Met Data'!$O$2:$T$368,G180,FALSE)</f>
        <v>1.17483894696367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45520</v>
      </c>
      <c r="Q180">
        <f ca="1"/>
        <v>112.45327230201481</v>
      </c>
      <c r="R180">
        <f ca="1"/>
        <v>9.1040500218539502E-2</v>
      </c>
      <c r="S180">
        <f ca="1"/>
        <v>0.75271720014848142</v>
      </c>
      <c r="T180">
        <f ca="1"/>
        <v>0.43260727985113517</v>
      </c>
      <c r="U180">
        <f ca="1"/>
        <v>0</v>
      </c>
      <c r="V180">
        <f ca="1"/>
        <v>3.5618176428756101</v>
      </c>
      <c r="W180">
        <f ca="1"/>
        <v>0.90594057438358</v>
      </c>
      <c r="X180">
        <f ca="1"/>
        <v>0</v>
      </c>
      <c r="Y180">
        <f ca="1"/>
        <v>1</v>
      </c>
      <c r="Z180">
        <f ca="1"/>
        <v>0.64891720331733893</v>
      </c>
      <c r="AA180">
        <f ca="1"/>
        <v>0</v>
      </c>
      <c r="AB180">
        <f ca="1"/>
        <v>0.115670359902402</v>
      </c>
      <c r="AD180" s="2">
        <f t="shared" ca="1" si="22"/>
        <v>45520</v>
      </c>
      <c r="AE180">
        <f t="shared" ca="1" si="23"/>
        <v>0</v>
      </c>
      <c r="AG180" s="63">
        <f t="shared" ca="1" si="27"/>
        <v>112.54431280223335</v>
      </c>
      <c r="AH180" s="63">
        <f t="shared" ca="1" si="28"/>
        <v>112.54431280223335</v>
      </c>
      <c r="AI180" s="3">
        <f t="shared" ca="1" si="29"/>
        <v>0</v>
      </c>
    </row>
    <row r="181" spans="7:35">
      <c r="G181" s="3">
        <f t="shared" ca="1" si="24"/>
        <v>186</v>
      </c>
      <c r="H181" s="95">
        <f t="shared" ca="1" si="26"/>
        <v>45476</v>
      </c>
      <c r="I181" s="119">
        <f ca="1">HLOOKUP($H$4,'Met Data'!$A$2:$F$368,G181,FALSE)</f>
        <v>6.2727272727272698</v>
      </c>
      <c r="J181" s="119">
        <f ca="1">HLOOKUP($H$4,'Met Data'!$H$2:$M$368,G181,FALSE)*L181</f>
        <v>1.39393939393939</v>
      </c>
      <c r="K181" s="96">
        <f ca="1">HLOOKUP($H$4,'Met Data'!$O$2:$T$368,G181,FALSE)</f>
        <v>1.1350548695748499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45521</v>
      </c>
      <c r="Q181">
        <f ca="1"/>
        <v>113.50213173796161</v>
      </c>
      <c r="R181">
        <f ca="1"/>
        <v>9.4043197526562303E-2</v>
      </c>
      <c r="S181">
        <f ca="1"/>
        <v>0.70769264292411549</v>
      </c>
      <c r="T181">
        <f ca="1"/>
        <v>0.43520999054925014</v>
      </c>
      <c r="U181">
        <f ca="1"/>
        <v>0</v>
      </c>
      <c r="V181">
        <f ca="1"/>
        <v>3.65586084040218</v>
      </c>
      <c r="W181">
        <f ca="1"/>
        <v>0.92986025723272703</v>
      </c>
      <c r="X181">
        <f ca="1"/>
        <v>0</v>
      </c>
      <c r="Y181">
        <f ca="1"/>
        <v>1</v>
      </c>
      <c r="Z181">
        <f ca="1"/>
        <v>0.80621053222002104</v>
      </c>
      <c r="AA181">
        <f ca="1"/>
        <v>0</v>
      </c>
      <c r="AB181">
        <f ca="1"/>
        <v>0.133964982869682</v>
      </c>
      <c r="AD181" s="2">
        <f t="shared" ca="1" si="22"/>
        <v>45521</v>
      </c>
      <c r="AE181">
        <f t="shared" ca="1" si="23"/>
        <v>0</v>
      </c>
      <c r="AG181" s="63">
        <f t="shared" ca="1" si="27"/>
        <v>113.59617493548818</v>
      </c>
      <c r="AH181" s="63">
        <f t="shared" ca="1" si="28"/>
        <v>113.59617493548816</v>
      </c>
      <c r="AI181" s="3">
        <f t="shared" ca="1" si="29"/>
        <v>0</v>
      </c>
    </row>
    <row r="182" spans="7:35">
      <c r="G182" s="3">
        <f t="shared" ca="1" si="24"/>
        <v>187</v>
      </c>
      <c r="H182" s="95">
        <f t="shared" ca="1" si="26"/>
        <v>45477</v>
      </c>
      <c r="I182" s="119">
        <f ca="1">HLOOKUP($H$4,'Met Data'!$A$2:$F$368,G182,FALSE)</f>
        <v>6.5393939393939302</v>
      </c>
      <c r="J182" s="119">
        <f ca="1">HLOOKUP($H$4,'Met Data'!$H$2:$M$368,G182,FALSE)*L182</f>
        <v>1.2030303030303</v>
      </c>
      <c r="K182" s="96">
        <f ca="1">HLOOKUP($H$4,'Met Data'!$O$2:$T$368,G182,FALSE)</f>
        <v>1.3082124240908799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45522</v>
      </c>
      <c r="Q182">
        <f ca="1"/>
        <v>114.47354847135993</v>
      </c>
      <c r="R182">
        <f ca="1"/>
        <v>9.2909479559888403E-2</v>
      </c>
      <c r="S182">
        <f ca="1"/>
        <v>0.64209930913250446</v>
      </c>
      <c r="T182">
        <f ca="1"/>
        <v>0.42222690382570915</v>
      </c>
      <c r="U182">
        <f ca="1"/>
        <v>0</v>
      </c>
      <c r="V182">
        <f ca="1"/>
        <v>3.7487703199620599</v>
      </c>
      <c r="W182">
        <f ca="1"/>
        <v>0.95349158138165502</v>
      </c>
      <c r="X182">
        <f ca="1"/>
        <v>0</v>
      </c>
      <c r="Y182">
        <f ca="1"/>
        <v>1</v>
      </c>
      <c r="Z182">
        <f ca="1"/>
        <v>0.20720435219148214</v>
      </c>
      <c r="AA182">
        <f ca="1"/>
        <v>0</v>
      </c>
      <c r="AB182">
        <f ca="1"/>
        <v>0.15385369060612999</v>
      </c>
      <c r="AD182" s="2">
        <f t="shared" ca="1" si="22"/>
        <v>45522</v>
      </c>
      <c r="AE182">
        <f t="shared" ca="1" si="23"/>
        <v>0</v>
      </c>
      <c r="AG182" s="63">
        <f t="shared" ca="1" si="27"/>
        <v>114.56645795091981</v>
      </c>
      <c r="AH182" s="63">
        <f t="shared" ca="1" si="28"/>
        <v>114.56645795091983</v>
      </c>
      <c r="AI182" s="3">
        <f t="shared" ca="1" si="29"/>
        <v>0</v>
      </c>
    </row>
    <row r="183" spans="7:35">
      <c r="G183" s="3">
        <f t="shared" ca="1" si="24"/>
        <v>188</v>
      </c>
      <c r="H183" s="95">
        <f t="shared" ca="1" si="26"/>
        <v>45478</v>
      </c>
      <c r="I183" s="119">
        <f ca="1">HLOOKUP($H$4,'Met Data'!$A$2:$F$368,G183,FALSE)</f>
        <v>6.3272727272727201</v>
      </c>
      <c r="J183" s="119">
        <f ca="1">HLOOKUP($H$4,'Met Data'!$H$2:$M$368,G183,FALSE)*L183</f>
        <v>3.2515151515151501</v>
      </c>
      <c r="K183" s="96">
        <f ca="1">HLOOKUP($H$4,'Met Data'!$O$2:$T$368,G183,FALSE)</f>
        <v>1.1532462604149001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45523</v>
      </c>
      <c r="Q183">
        <f ca="1"/>
        <v>115.40640991300896</v>
      </c>
      <c r="R183">
        <f ca="1"/>
        <v>9.5836548943877706E-2</v>
      </c>
      <c r="S183">
        <f ca="1"/>
        <v>0.60419437903112794</v>
      </c>
      <c r="T183">
        <f ca="1"/>
        <v>0.42450361156176641</v>
      </c>
      <c r="U183">
        <f ca="1"/>
        <v>0</v>
      </c>
      <c r="V183">
        <f ca="1"/>
        <v>3.8446068689059398</v>
      </c>
      <c r="W183">
        <f ca="1"/>
        <v>0.97786739926520705</v>
      </c>
      <c r="X183">
        <f ca="1"/>
        <v>0</v>
      </c>
      <c r="Y183">
        <f ca="1"/>
        <v>0.98904077776708832</v>
      </c>
      <c r="Z183">
        <f ca="1"/>
        <v>0</v>
      </c>
      <c r="AA183">
        <f ca="1"/>
        <v>0</v>
      </c>
      <c r="AB183">
        <f ca="1"/>
        <v>0.176250783410523</v>
      </c>
      <c r="AD183" s="2">
        <f t="shared" ca="1" si="22"/>
        <v>45523</v>
      </c>
      <c r="AE183">
        <f t="shared" ca="1" si="23"/>
        <v>0</v>
      </c>
      <c r="AG183" s="63">
        <f t="shared" ca="1" si="27"/>
        <v>115.50224646195282</v>
      </c>
      <c r="AH183" s="63">
        <f t="shared" ca="1" si="28"/>
        <v>115.50224646195284</v>
      </c>
      <c r="AI183" s="3">
        <f t="shared" ca="1" si="29"/>
        <v>0</v>
      </c>
    </row>
    <row r="184" spans="7:35">
      <c r="G184" s="3">
        <f t="shared" ca="1" si="24"/>
        <v>189</v>
      </c>
      <c r="H184" s="95">
        <f t="shared" ca="1" si="26"/>
        <v>45479</v>
      </c>
      <c r="I184" s="119">
        <f ca="1">HLOOKUP($H$4,'Met Data'!$A$2:$F$368,G184,FALSE)</f>
        <v>5.5742424242424198</v>
      </c>
      <c r="J184" s="119">
        <f ca="1">HLOOKUP($H$4,'Met Data'!$H$2:$M$368,G184,FALSE)*L184</f>
        <v>1.1151515151515099</v>
      </c>
      <c r="K184" s="96">
        <f ca="1">HLOOKUP($H$4,'Met Data'!$O$2:$T$368,G184,FALSE)</f>
        <v>1.1860865780805001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45524</v>
      </c>
      <c r="Q184">
        <f ca="1"/>
        <v>116.27027765639102</v>
      </c>
      <c r="R184">
        <f ca="1"/>
        <v>9.4164915530071003E-2</v>
      </c>
      <c r="S184">
        <f ca="1"/>
        <v>0.54741844783819715</v>
      </c>
      <c r="T184">
        <f ca="1"/>
        <v>0.41061421107393076</v>
      </c>
      <c r="U184">
        <f ca="1"/>
        <v>0</v>
      </c>
      <c r="V184">
        <f ca="1"/>
        <v>3.9387717844360099</v>
      </c>
      <c r="W184">
        <f ca="1"/>
        <v>1.0018180408239401</v>
      </c>
      <c r="X184">
        <f ca="1"/>
        <v>0</v>
      </c>
      <c r="Y184">
        <f ca="1"/>
        <v>1</v>
      </c>
      <c r="Z184">
        <f ca="1"/>
        <v>0.47510599558981426</v>
      </c>
      <c r="AA184">
        <f ca="1"/>
        <v>0</v>
      </c>
      <c r="AB184">
        <f ca="1"/>
        <v>0.200071781057958</v>
      </c>
      <c r="AD184" s="2">
        <f t="shared" ca="1" si="22"/>
        <v>45524</v>
      </c>
      <c r="AE184">
        <f t="shared" ca="1" si="23"/>
        <v>0</v>
      </c>
      <c r="AG184" s="63">
        <f t="shared" ca="1" si="27"/>
        <v>116.36444257192109</v>
      </c>
      <c r="AH184" s="63">
        <f t="shared" ca="1" si="28"/>
        <v>116.36444257192109</v>
      </c>
      <c r="AI184" s="3">
        <f t="shared" ca="1" si="29"/>
        <v>0</v>
      </c>
    </row>
    <row r="185" spans="7:35">
      <c r="G185" s="3">
        <f t="shared" ca="1" si="24"/>
        <v>190</v>
      </c>
      <c r="H185" s="95">
        <f t="shared" ca="1" si="26"/>
        <v>45480</v>
      </c>
      <c r="I185" s="119">
        <f ca="1">HLOOKUP($H$4,'Met Data'!$A$2:$F$368,G185,FALSE)</f>
        <v>5.2243939393939298</v>
      </c>
      <c r="J185" s="119">
        <f ca="1">HLOOKUP($H$4,'Met Data'!$H$2:$M$368,G185,FALSE)*L185</f>
        <v>1.7878787878787801</v>
      </c>
      <c r="K185" s="96">
        <f ca="1">HLOOKUP($H$4,'Met Data'!$O$2:$T$368,G185,FALSE)</f>
        <v>1.0756170169258299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45525</v>
      </c>
      <c r="Q185">
        <f ca="1"/>
        <v>117.11901380643334</v>
      </c>
      <c r="R185">
        <f ca="1"/>
        <v>9.9712097585805501E-2</v>
      </c>
      <c r="S185">
        <f ca="1"/>
        <v>0.52671830847148726</v>
      </c>
      <c r="T185">
        <f ca="1"/>
        <v>0.42172993915665419</v>
      </c>
      <c r="U185">
        <f ca="1"/>
        <v>0</v>
      </c>
      <c r="V185">
        <f ca="1"/>
        <v>4.0384838820218203</v>
      </c>
      <c r="W185">
        <f ca="1"/>
        <v>1.0271795960794601</v>
      </c>
      <c r="X185">
        <f ca="1"/>
        <v>0</v>
      </c>
      <c r="Y185">
        <f ca="1"/>
        <v>1</v>
      </c>
      <c r="Z185">
        <f ca="1"/>
        <v>1.8541727453487695</v>
      </c>
      <c r="AA185">
        <f ca="1"/>
        <v>0</v>
      </c>
      <c r="AB185">
        <f ca="1"/>
        <v>0.22715879358235599</v>
      </c>
      <c r="AD185" s="2">
        <f t="shared" ca="1" si="22"/>
        <v>45525</v>
      </c>
      <c r="AE185">
        <f t="shared" ca="1" si="23"/>
        <v>0</v>
      </c>
      <c r="AG185" s="63">
        <f t="shared" ca="1" si="27"/>
        <v>117.21872590401915</v>
      </c>
      <c r="AH185" s="63">
        <f t="shared" ca="1" si="28"/>
        <v>117.21872590401915</v>
      </c>
      <c r="AI185" s="3">
        <f t="shared" ca="1" si="29"/>
        <v>0</v>
      </c>
    </row>
    <row r="186" spans="7:35">
      <c r="G186" s="3">
        <f t="shared" ca="1" si="24"/>
        <v>191</v>
      </c>
      <c r="H186" s="95">
        <f t="shared" ca="1" si="26"/>
        <v>45481</v>
      </c>
      <c r="I186" s="119">
        <f ca="1">HLOOKUP($H$4,'Met Data'!$A$2:$F$368,G186,FALSE)</f>
        <v>5.4590909090909001</v>
      </c>
      <c r="J186" s="119">
        <f ca="1">HLOOKUP($H$4,'Met Data'!$H$2:$M$368,G186,FALSE)*L186</f>
        <v>1.32424242424242</v>
      </c>
      <c r="K186" s="96">
        <f ca="1">HLOOKUP($H$4,'Met Data'!$O$2:$T$368,G186,FALSE)</f>
        <v>1.1571191090080499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45526</v>
      </c>
      <c r="Q186">
        <f ca="1"/>
        <v>117.94241760341443</v>
      </c>
      <c r="R186">
        <f ca="1"/>
        <v>0.10394219158507099</v>
      </c>
      <c r="S186">
        <f ca="1"/>
        <v>0.4996793119413212</v>
      </c>
      <c r="T186">
        <f ca="1"/>
        <v>0.42766667662483115</v>
      </c>
      <c r="U186">
        <f ca="1"/>
        <v>0</v>
      </c>
      <c r="V186">
        <f ca="1"/>
        <v>4.1424260736068899</v>
      </c>
      <c r="W186">
        <f ca="1"/>
        <v>1.0536170665478399</v>
      </c>
      <c r="X186">
        <f ca="1"/>
        <v>0</v>
      </c>
      <c r="Y186">
        <f ca="1"/>
        <v>1</v>
      </c>
      <c r="Z186">
        <f ca="1"/>
        <v>0.21870039378976003</v>
      </c>
      <c r="AA186">
        <f ca="1"/>
        <v>0</v>
      </c>
      <c r="AB186">
        <f ca="1"/>
        <v>0.25727033435649399</v>
      </c>
      <c r="AD186" s="2">
        <f t="shared" ca="1" si="22"/>
        <v>45526</v>
      </c>
      <c r="AE186">
        <f t="shared" ca="1" si="23"/>
        <v>0</v>
      </c>
      <c r="AG186" s="63">
        <f t="shared" ca="1" si="27"/>
        <v>118.04635979499949</v>
      </c>
      <c r="AH186" s="63">
        <f t="shared" ca="1" si="28"/>
        <v>118.0463597949995</v>
      </c>
      <c r="AI186" s="3">
        <f t="shared" ca="1" si="29"/>
        <v>0</v>
      </c>
    </row>
    <row r="187" spans="7:35">
      <c r="G187" s="3">
        <f t="shared" ca="1" si="24"/>
        <v>192</v>
      </c>
      <c r="H187" s="95">
        <f t="shared" ca="1" si="26"/>
        <v>45482</v>
      </c>
      <c r="I187" s="119">
        <f ca="1">HLOOKUP($H$4,'Met Data'!$A$2:$F$368,G187,FALSE)</f>
        <v>5.67121212121212</v>
      </c>
      <c r="J187" s="119">
        <f ca="1">HLOOKUP($H$4,'Met Data'!$H$2:$M$368,G187,FALSE)*L187</f>
        <v>1.1303030303030299</v>
      </c>
      <c r="K187" s="96">
        <f ca="1">HLOOKUP($H$4,'Met Data'!$O$2:$T$368,G187,FALSE)</f>
        <v>1.1823583053236399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45527</v>
      </c>
      <c r="Q187">
        <f ca="1"/>
        <v>118.76894540378998</v>
      </c>
      <c r="R187">
        <f ca="1"/>
        <v>0.11313929571123001</v>
      </c>
      <c r="S187">
        <f ca="1"/>
        <v>0.49018866600283673</v>
      </c>
      <c r="T187">
        <f ca="1"/>
        <v>0.44947843008394861</v>
      </c>
      <c r="U187">
        <f ca="1"/>
        <v>0</v>
      </c>
      <c r="V187">
        <f ca="1"/>
        <v>4.2555653693181199</v>
      </c>
      <c r="W187">
        <f ca="1"/>
        <v>1.082393800457</v>
      </c>
      <c r="X187">
        <f ca="1"/>
        <v>0</v>
      </c>
      <c r="Y187">
        <f ca="1"/>
        <v>0.97064091481389048</v>
      </c>
      <c r="Z187">
        <f ca="1"/>
        <v>0</v>
      </c>
      <c r="AA187">
        <f ca="1"/>
        <v>0</v>
      </c>
      <c r="AB187">
        <f ca="1"/>
        <v>0.29195315036710001</v>
      </c>
      <c r="AD187" s="2">
        <f t="shared" ca="1" si="22"/>
        <v>45527</v>
      </c>
      <c r="AE187">
        <f t="shared" ca="1" si="23"/>
        <v>0</v>
      </c>
      <c r="AG187" s="63">
        <f t="shared" ca="1" si="27"/>
        <v>118.88208469950121</v>
      </c>
      <c r="AH187" s="63">
        <f t="shared" ca="1" si="28"/>
        <v>118.88208469950122</v>
      </c>
      <c r="AI187" s="3">
        <f t="shared" ca="1" si="29"/>
        <v>0</v>
      </c>
    </row>
    <row r="188" spans="7:35">
      <c r="G188" s="3">
        <f t="shared" ca="1" si="24"/>
        <v>193</v>
      </c>
      <c r="H188" s="95">
        <f t="shared" ca="1" si="26"/>
        <v>45483</v>
      </c>
      <c r="I188" s="119">
        <f ca="1">HLOOKUP($H$4,'Met Data'!$A$2:$F$368,G188,FALSE)</f>
        <v>5.5803030303030301</v>
      </c>
      <c r="J188" s="119">
        <f ca="1">HLOOKUP($H$4,'Met Data'!$H$2:$M$368,G188,FALSE)*L188</f>
        <v>1.71818181818181</v>
      </c>
      <c r="K188" s="96">
        <f ca="1">HLOOKUP($H$4,'Met Data'!$O$2:$T$368,G188,FALSE)</f>
        <v>1.1413084648267999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45528</v>
      </c>
      <c r="Q188">
        <f ca="1"/>
        <v>119.57396123061972</v>
      </c>
      <c r="R188">
        <f ca="1"/>
        <v>0.118888921475159</v>
      </c>
      <c r="S188">
        <f ca="1"/>
        <v>0.46548109031584772</v>
      </c>
      <c r="T188">
        <f ca="1"/>
        <v>0.45842365798905216</v>
      </c>
      <c r="U188">
        <f ca="1"/>
        <v>0</v>
      </c>
      <c r="V188">
        <f ca="1"/>
        <v>4.3744542907932802</v>
      </c>
      <c r="W188">
        <f ca="1"/>
        <v>1.11263293918003</v>
      </c>
      <c r="X188">
        <f ca="1"/>
        <v>0</v>
      </c>
      <c r="Y188">
        <f ca="1"/>
        <v>0.96028622986900891</v>
      </c>
      <c r="Z188">
        <f ca="1"/>
        <v>0</v>
      </c>
      <c r="AA188">
        <f ca="1"/>
        <v>0</v>
      </c>
      <c r="AB188">
        <f ca="1"/>
        <v>0.33014625901322903</v>
      </c>
      <c r="AD188" s="2">
        <f t="shared" ca="1" si="22"/>
        <v>45528</v>
      </c>
      <c r="AE188">
        <f t="shared" ca="1" si="23"/>
        <v>0</v>
      </c>
      <c r="AG188" s="63">
        <f t="shared" ca="1" si="27"/>
        <v>119.69285015209489</v>
      </c>
      <c r="AH188" s="63">
        <f t="shared" ca="1" si="28"/>
        <v>119.69285015209488</v>
      </c>
      <c r="AI188" s="3">
        <f t="shared" ca="1" si="29"/>
        <v>0</v>
      </c>
    </row>
    <row r="189" spans="7:35">
      <c r="G189" s="3">
        <f t="shared" ca="1" si="24"/>
        <v>194</v>
      </c>
      <c r="H189" s="95">
        <f t="shared" ca="1" si="26"/>
        <v>45484</v>
      </c>
      <c r="I189" s="119">
        <f ca="1">HLOOKUP($H$4,'Met Data'!$A$2:$F$368,G189,FALSE)</f>
        <v>5.8181818181818103</v>
      </c>
      <c r="J189" s="119">
        <f ca="1">HLOOKUP($H$4,'Met Data'!$H$2:$M$368,G189,FALSE)*L189</f>
        <v>1.27272727272727</v>
      </c>
      <c r="K189" s="96">
        <f ca="1">HLOOKUP($H$4,'Met Data'!$O$2:$T$368,G189,FALSE)</f>
        <v>1.2366027185060899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45529</v>
      </c>
      <c r="Q189">
        <f ca="1"/>
        <v>120.33923504665465</v>
      </c>
      <c r="R189">
        <f ca="1"/>
        <v>0.121227650373992</v>
      </c>
      <c r="S189">
        <f ca="1"/>
        <v>0.4306817726625809</v>
      </c>
      <c r="T189">
        <f ca="1"/>
        <v>0.45581969374633297</v>
      </c>
      <c r="U189">
        <f ca="1"/>
        <v>0</v>
      </c>
      <c r="V189">
        <f ca="1"/>
        <v>4.4956819411672697</v>
      </c>
      <c r="W189">
        <f ca="1"/>
        <v>1.14346692851428</v>
      </c>
      <c r="X189">
        <f ca="1"/>
        <v>0</v>
      </c>
      <c r="Y189">
        <f ca="1"/>
        <v>0.97526997683255501</v>
      </c>
      <c r="Z189">
        <f ca="1"/>
        <v>0</v>
      </c>
      <c r="AA189">
        <f ca="1"/>
        <v>0</v>
      </c>
      <c r="AB189">
        <f ca="1"/>
        <v>0.37043094585770397</v>
      </c>
      <c r="AD189" s="2">
        <f t="shared" ca="1" si="22"/>
        <v>45529</v>
      </c>
      <c r="AE189">
        <f t="shared" ca="1" si="23"/>
        <v>0</v>
      </c>
      <c r="AG189" s="63">
        <f t="shared" ca="1" si="27"/>
        <v>120.46046269702863</v>
      </c>
      <c r="AH189" s="63">
        <f t="shared" ca="1" si="28"/>
        <v>120.46046269702865</v>
      </c>
      <c r="AI189" s="3">
        <f t="shared" ca="1" si="29"/>
        <v>0</v>
      </c>
    </row>
    <row r="190" spans="7:35">
      <c r="G190" s="3">
        <f t="shared" ca="1" si="24"/>
        <v>195</v>
      </c>
      <c r="H190" s="95">
        <f t="shared" ca="1" si="26"/>
        <v>45485</v>
      </c>
      <c r="I190" s="119">
        <f ca="1">HLOOKUP($H$4,'Met Data'!$A$2:$F$368,G190,FALSE)</f>
        <v>5.8984848484848396</v>
      </c>
      <c r="J190" s="119">
        <f ca="1">HLOOKUP($H$4,'Met Data'!$H$2:$M$368,G190,FALSE)*L190</f>
        <v>1.44545454545454</v>
      </c>
      <c r="K190" s="96">
        <f ca="1">HLOOKUP($H$4,'Met Data'!$O$2:$T$368,G190,FALSE)</f>
        <v>1.20462827119224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45530</v>
      </c>
      <c r="Q190">
        <f ca="1"/>
        <v>121.07218950377839</v>
      </c>
      <c r="R190">
        <f ca="1"/>
        <v>0.124620387340084</v>
      </c>
      <c r="S190">
        <f ca="1"/>
        <v>0.40124825610567427</v>
      </c>
      <c r="T190">
        <f ca="1"/>
        <v>0.45632658835816015</v>
      </c>
      <c r="U190">
        <f ca="1"/>
        <v>0</v>
      </c>
      <c r="V190">
        <f ca="1"/>
        <v>4.6203023285073597</v>
      </c>
      <c r="W190">
        <f ca="1"/>
        <v>1.1751638531203501</v>
      </c>
      <c r="X190">
        <f ca="1"/>
        <v>0</v>
      </c>
      <c r="Y190">
        <f ca="1"/>
        <v>0.99403781082270248</v>
      </c>
      <c r="Z190">
        <f ca="1"/>
        <v>0</v>
      </c>
      <c r="AA190">
        <f ca="1"/>
        <v>0</v>
      </c>
      <c r="AB190">
        <f ca="1"/>
        <v>0.41265868447458698</v>
      </c>
      <c r="AD190" s="2">
        <f t="shared" ca="1" si="22"/>
        <v>45530</v>
      </c>
      <c r="AE190">
        <f t="shared" ca="1" si="23"/>
        <v>0</v>
      </c>
      <c r="AG190" s="63">
        <f t="shared" ca="1" si="27"/>
        <v>121.19680989111849</v>
      </c>
      <c r="AH190" s="63">
        <f t="shared" ca="1" si="28"/>
        <v>121.19680989111848</v>
      </c>
      <c r="AI190" s="3">
        <f t="shared" ca="1" si="29"/>
        <v>0</v>
      </c>
    </row>
    <row r="191" spans="7:35">
      <c r="G191" s="3">
        <f t="shared" ca="1" si="24"/>
        <v>196</v>
      </c>
      <c r="H191" s="95">
        <f t="shared" ca="1" si="26"/>
        <v>45486</v>
      </c>
      <c r="I191" s="119">
        <f ca="1">HLOOKUP($H$4,'Met Data'!$A$2:$F$368,G191,FALSE)</f>
        <v>6.1590909090909003</v>
      </c>
      <c r="J191" s="119">
        <f ca="1">HLOOKUP($H$4,'Met Data'!$H$2:$M$368,G191,FALSE)*L191</f>
        <v>0.93333333333333302</v>
      </c>
      <c r="K191" s="96">
        <f ca="1">HLOOKUP($H$4,'Met Data'!$O$2:$T$368,G191,FALSE)</f>
        <v>1.08107866384151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45531</v>
      </c>
      <c r="Q191">
        <f ca="1"/>
        <v>121.79592690985751</v>
      </c>
      <c r="R191">
        <f ca="1"/>
        <v>0.132826557287091</v>
      </c>
      <c r="S191">
        <f ca="1"/>
        <v>0.38521548540714434</v>
      </c>
      <c r="T191">
        <f ca="1"/>
        <v>0.47134847795905971</v>
      </c>
      <c r="U191">
        <f ca="1"/>
        <v>0</v>
      </c>
      <c r="V191">
        <f ca="1"/>
        <v>4.7531288857944496</v>
      </c>
      <c r="W191">
        <f ca="1"/>
        <v>1.2089479992129399</v>
      </c>
      <c r="X191">
        <f ca="1"/>
        <v>0</v>
      </c>
      <c r="Y191">
        <f ca="1"/>
        <v>0.99154321725989236</v>
      </c>
      <c r="Z191">
        <f ca="1"/>
        <v>0</v>
      </c>
      <c r="AA191">
        <f ca="1"/>
        <v>0</v>
      </c>
      <c r="AB191">
        <f ca="1"/>
        <v>0.457871124710167</v>
      </c>
      <c r="AD191" s="2">
        <f t="shared" ca="1" si="22"/>
        <v>45531</v>
      </c>
      <c r="AE191">
        <f t="shared" ca="1" si="23"/>
        <v>0</v>
      </c>
      <c r="AG191" s="63">
        <f t="shared" ca="1" si="27"/>
        <v>121.92875346714459</v>
      </c>
      <c r="AH191" s="63">
        <f t="shared" ca="1" si="28"/>
        <v>121.9287534671446</v>
      </c>
      <c r="AI191" s="3">
        <f t="shared" ca="1" si="29"/>
        <v>0</v>
      </c>
    </row>
    <row r="192" spans="7:35">
      <c r="G192" s="3">
        <f t="shared" ca="1" si="24"/>
        <v>197</v>
      </c>
      <c r="H192" s="95">
        <f t="shared" ca="1" si="26"/>
        <v>45487</v>
      </c>
      <c r="I192" s="119">
        <f ca="1">HLOOKUP($H$4,'Met Data'!$A$2:$F$368,G192,FALSE)</f>
        <v>5.8606060606060604</v>
      </c>
      <c r="J192" s="119">
        <f ca="1">HLOOKUP($H$4,'Met Data'!$H$2:$M$368,G192,FALSE)*L192</f>
        <v>0.95454545454545403</v>
      </c>
      <c r="K192" s="96">
        <f ca="1">HLOOKUP($H$4,'Met Data'!$O$2:$T$368,G192,FALSE)</f>
        <v>1.0543699556166799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45532</v>
      </c>
      <c r="Q192">
        <f ca="1"/>
        <v>122.46496615371487</v>
      </c>
      <c r="R192">
        <f ca="1"/>
        <v>0.130879316421151</v>
      </c>
      <c r="S192">
        <f ca="1"/>
        <v>0.34532837609401668</v>
      </c>
      <c r="T192">
        <f ca="1"/>
        <v>0.45459018418449493</v>
      </c>
      <c r="U192">
        <f ca="1"/>
        <v>0</v>
      </c>
      <c r="V192">
        <f ca="1"/>
        <v>4.8840082022156004</v>
      </c>
      <c r="W192">
        <f ca="1"/>
        <v>1.2422368688244001</v>
      </c>
      <c r="X192">
        <f ca="1"/>
        <v>0</v>
      </c>
      <c r="Y192">
        <f ca="1"/>
        <v>0.99600325117090471</v>
      </c>
      <c r="Z192">
        <f ca="1"/>
        <v>0</v>
      </c>
      <c r="AA192">
        <f ca="1"/>
        <v>0</v>
      </c>
      <c r="AB192">
        <f ca="1"/>
        <v>0.50192129553547604</v>
      </c>
      <c r="AD192" s="2">
        <f t="shared" ca="1" si="22"/>
        <v>45532</v>
      </c>
      <c r="AE192">
        <f t="shared" ca="1" si="23"/>
        <v>0</v>
      </c>
      <c r="AG192" s="63">
        <f t="shared" ca="1" si="27"/>
        <v>122.59584547013603</v>
      </c>
      <c r="AH192" s="63">
        <f t="shared" ca="1" si="28"/>
        <v>122.59584547013603</v>
      </c>
      <c r="AI192" s="3">
        <f t="shared" ca="1" si="29"/>
        <v>0</v>
      </c>
    </row>
    <row r="193" spans="7:35">
      <c r="G193" s="3">
        <f t="shared" ca="1" si="24"/>
        <v>198</v>
      </c>
      <c r="H193" s="95">
        <f t="shared" ca="1" si="26"/>
        <v>45488</v>
      </c>
      <c r="I193" s="119">
        <f ca="1">HLOOKUP($H$4,'Met Data'!$A$2:$F$368,G193,FALSE)</f>
        <v>6.3318181818181802</v>
      </c>
      <c r="J193" s="119">
        <f ca="1">HLOOKUP($H$4,'Met Data'!$H$2:$M$368,G193,FALSE)*L193</f>
        <v>1.9030303030303</v>
      </c>
      <c r="K193" s="96">
        <f ca="1">HLOOKUP($H$4,'Met Data'!$O$2:$T$368,G193,FALSE)</f>
        <v>1.0854702771695099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45533</v>
      </c>
      <c r="Q193">
        <f ca="1"/>
        <v>123.14503628486051</v>
      </c>
      <c r="R193">
        <f ca="1"/>
        <v>0.14410834185434099</v>
      </c>
      <c r="S193">
        <f ca="1"/>
        <v>0.34091296712816188</v>
      </c>
      <c r="T193">
        <f ca="1"/>
        <v>0.48326550587181633</v>
      </c>
      <c r="U193">
        <f ca="1"/>
        <v>0</v>
      </c>
      <c r="V193">
        <f ca="1"/>
        <v>5.02811654406994</v>
      </c>
      <c r="W193">
        <f ca="1"/>
        <v>1.2788905122960501</v>
      </c>
      <c r="X193">
        <f ca="1"/>
        <v>0</v>
      </c>
      <c r="Y193">
        <f ca="1"/>
        <v>0.98284392396977704</v>
      </c>
      <c r="Z193">
        <f ca="1"/>
        <v>0</v>
      </c>
      <c r="AA193">
        <f ca="1"/>
        <v>0</v>
      </c>
      <c r="AB193">
        <f ca="1"/>
        <v>0.54908175959894701</v>
      </c>
      <c r="AD193" s="2">
        <f t="shared" ca="1" si="22"/>
        <v>45533</v>
      </c>
      <c r="AE193">
        <f t="shared" ca="1" si="23"/>
        <v>0</v>
      </c>
      <c r="AG193" s="63">
        <f t="shared" ca="1" si="27"/>
        <v>123.28914462671484</v>
      </c>
      <c r="AH193" s="63">
        <f t="shared" ca="1" si="28"/>
        <v>123.28914462671484</v>
      </c>
      <c r="AI193" s="3">
        <f t="shared" ca="1" si="29"/>
        <v>0</v>
      </c>
    </row>
    <row r="194" spans="7:35">
      <c r="G194" s="3">
        <f t="shared" ca="1" si="24"/>
        <v>199</v>
      </c>
      <c r="H194" s="95">
        <f t="shared" ca="1" si="26"/>
        <v>45489</v>
      </c>
      <c r="I194" s="119">
        <f ca="1">HLOOKUP($H$4,'Met Data'!$A$2:$F$368,G194,FALSE)</f>
        <v>6.4424242424242397</v>
      </c>
      <c r="J194" s="119">
        <f ca="1">HLOOKUP($H$4,'Met Data'!$H$2:$M$368,G194,FALSE)*L194</f>
        <v>2.3454545454545399</v>
      </c>
      <c r="K194" s="96">
        <f ca="1">HLOOKUP($H$4,'Met Data'!$O$2:$T$368,G194,FALSE)</f>
        <v>0.98557119798157899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45534</v>
      </c>
      <c r="Q194">
        <f ca="1"/>
        <v>123.7372414151601</v>
      </c>
      <c r="R194">
        <f ca="1"/>
        <v>0.13275501943096199</v>
      </c>
      <c r="S194">
        <f ca="1"/>
        <v>0.2871559346239394</v>
      </c>
      <c r="T194">
        <f ca="1"/>
        <v>0.43780421510661521</v>
      </c>
      <c r="U194">
        <f ca="1"/>
        <v>0</v>
      </c>
      <c r="V194">
        <f ca="1"/>
        <v>5.1608715635009004</v>
      </c>
      <c r="W194">
        <f ca="1"/>
        <v>1.31265646289045</v>
      </c>
      <c r="X194">
        <f ca="1"/>
        <v>0</v>
      </c>
      <c r="Y194">
        <f ca="1"/>
        <v>0.95705933367618168</v>
      </c>
      <c r="Z194">
        <f ca="1"/>
        <v>0</v>
      </c>
      <c r="AA194">
        <f ca="1"/>
        <v>0</v>
      </c>
      <c r="AB194">
        <f ca="1"/>
        <v>0.59068115725504899</v>
      </c>
      <c r="AD194" s="2">
        <f t="shared" ca="1" si="22"/>
        <v>45534</v>
      </c>
      <c r="AE194">
        <f t="shared" ca="1" si="23"/>
        <v>0</v>
      </c>
      <c r="AG194" s="63">
        <f t="shared" ca="1" si="27"/>
        <v>123.86999643459106</v>
      </c>
      <c r="AH194" s="63">
        <f t="shared" ca="1" si="28"/>
        <v>123.86999643459106</v>
      </c>
      <c r="AI194" s="3">
        <f t="shared" ca="1" si="29"/>
        <v>0</v>
      </c>
    </row>
    <row r="195" spans="7:35">
      <c r="G195" s="3">
        <f t="shared" ca="1" si="24"/>
        <v>200</v>
      </c>
      <c r="H195" s="95">
        <f t="shared" ca="1" si="26"/>
        <v>45490</v>
      </c>
      <c r="I195" s="119">
        <f ca="1">HLOOKUP($H$4,'Met Data'!$A$2:$F$368,G195,FALSE)</f>
        <v>6.3242424242424198</v>
      </c>
      <c r="J195" s="119">
        <f ca="1">HLOOKUP($H$4,'Met Data'!$H$2:$M$368,G195,FALSE)*L195</f>
        <v>3.6</v>
      </c>
      <c r="K195" s="96">
        <f ca="1">HLOOKUP($H$4,'Met Data'!$O$2:$T$368,G195,FALSE)</f>
        <v>1.0101770597585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45535</v>
      </c>
      <c r="Q195">
        <f ca="1"/>
        <v>124.33442231225064</v>
      </c>
      <c r="R195">
        <f ca="1"/>
        <v>0.14812437093859299</v>
      </c>
      <c r="S195">
        <f ca="1"/>
        <v>0.28263282684150681</v>
      </c>
      <c r="T195">
        <f ca="1"/>
        <v>0.4626724411876173</v>
      </c>
      <c r="U195">
        <f ca="1"/>
        <v>0</v>
      </c>
      <c r="V195">
        <f ca="1"/>
        <v>5.3089959344394897</v>
      </c>
      <c r="W195">
        <f ca="1"/>
        <v>1.35033157462918</v>
      </c>
      <c r="X195">
        <f ca="1"/>
        <v>0</v>
      </c>
      <c r="Y195">
        <f ca="1"/>
        <v>0.94356127475428053</v>
      </c>
      <c r="Z195">
        <f ca="1"/>
        <v>0</v>
      </c>
      <c r="AA195">
        <f ca="1"/>
        <v>0</v>
      </c>
      <c r="AB195">
        <f ca="1"/>
        <v>0.63446002717757899</v>
      </c>
      <c r="AD195" s="2">
        <f t="shared" ca="1" si="22"/>
        <v>45535</v>
      </c>
      <c r="AE195">
        <f t="shared" ca="1" si="23"/>
        <v>0</v>
      </c>
      <c r="AG195" s="63">
        <f t="shared" ca="1" si="27"/>
        <v>124.48254668318923</v>
      </c>
      <c r="AH195" s="63">
        <f t="shared" ca="1" si="28"/>
        <v>124.48254668318923</v>
      </c>
      <c r="AI195" s="3">
        <f t="shared" ca="1" si="29"/>
        <v>0</v>
      </c>
    </row>
    <row r="196" spans="7:35">
      <c r="G196" s="3">
        <f t="shared" ca="1" si="24"/>
        <v>201</v>
      </c>
      <c r="H196" s="95">
        <f t="shared" ca="1" si="26"/>
        <v>45491</v>
      </c>
      <c r="I196" s="119">
        <f ca="1">HLOOKUP($H$4,'Met Data'!$A$2:$F$368,G196,FALSE)</f>
        <v>6.5333333333333297</v>
      </c>
      <c r="J196" s="119">
        <f ca="1">HLOOKUP($H$4,'Met Data'!$H$2:$M$368,G196,FALSE)*L196</f>
        <v>1.92121212121212</v>
      </c>
      <c r="K196" s="96">
        <f ca="1">HLOOKUP($H$4,'Met Data'!$O$2:$T$368,G196,FALSE)</f>
        <v>1.0019139083521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45536</v>
      </c>
      <c r="Q196">
        <f ca="1"/>
        <v>124.91599618908111</v>
      </c>
      <c r="R196">
        <f ca="1"/>
        <v>0.16024483251910701</v>
      </c>
      <c r="S196">
        <f ca="1"/>
        <v>0.26851858272675599</v>
      </c>
      <c r="T196">
        <f ca="1"/>
        <v>0.47330012662282356</v>
      </c>
      <c r="U196">
        <f ca="1"/>
        <v>0</v>
      </c>
      <c r="V196">
        <f ca="1"/>
        <v>5.4692407669585998</v>
      </c>
      <c r="W196">
        <f ca="1"/>
        <v>1.3910894994220799</v>
      </c>
      <c r="X196">
        <f ca="1"/>
        <v>0</v>
      </c>
      <c r="Y196">
        <f ca="1"/>
        <v>0.92498690276448792</v>
      </c>
      <c r="Z196">
        <f ca="1"/>
        <v>0</v>
      </c>
      <c r="AA196">
        <f ca="1"/>
        <v>0</v>
      </c>
      <c r="AB196">
        <f ca="1"/>
        <v>0.67823229663081697</v>
      </c>
      <c r="AD196" s="2">
        <f t="shared" ca="1" si="22"/>
        <v>45536</v>
      </c>
      <c r="AE196">
        <f t="shared" ca="1" si="23"/>
        <v>0</v>
      </c>
      <c r="AG196" s="63">
        <f t="shared" ca="1" si="27"/>
        <v>125.07624102160021</v>
      </c>
      <c r="AH196" s="63">
        <f t="shared" ca="1" si="28"/>
        <v>125.07624102160023</v>
      </c>
      <c r="AI196" s="3">
        <f t="shared" ca="1" si="29"/>
        <v>0</v>
      </c>
    </row>
    <row r="197" spans="7:35">
      <c r="G197" s="3">
        <f t="shared" ca="1" si="24"/>
        <v>202</v>
      </c>
      <c r="H197" s="95">
        <f t="shared" ca="1" si="26"/>
        <v>45492</v>
      </c>
      <c r="I197" s="119">
        <f ca="1">HLOOKUP($H$4,'Met Data'!$A$2:$F$368,G197,FALSE)</f>
        <v>6.70757575757575</v>
      </c>
      <c r="J197" s="119">
        <f ca="1">HLOOKUP($H$4,'Met Data'!$H$2:$M$368,G197,FALSE)*L197</f>
        <v>1.76969696969696</v>
      </c>
      <c r="K197" s="96">
        <f ca="1">HLOOKUP($H$4,'Met Data'!$O$2:$T$368,G197,FALSE)</f>
        <v>1.1757544824616699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45537</v>
      </c>
      <c r="Q197">
        <f ca="1"/>
        <v>125.44192107937323</v>
      </c>
      <c r="R197">
        <f ca="1"/>
        <v>0.15955519191036899</v>
      </c>
      <c r="S197">
        <f ca="1"/>
        <v>0.23671133896368701</v>
      </c>
      <c r="T197">
        <f ca="1"/>
        <v>0.44876874323880894</v>
      </c>
      <c r="U197">
        <f ca="1"/>
        <v>0</v>
      </c>
      <c r="V197">
        <f ca="1"/>
        <v>5.6287959588689702</v>
      </c>
      <c r="W197">
        <f ca="1"/>
        <v>1.4316720156253699</v>
      </c>
      <c r="X197">
        <f ca="1"/>
        <v>0</v>
      </c>
      <c r="Y197">
        <f ca="1"/>
        <v>0.90605157074254572</v>
      </c>
      <c r="Z197">
        <f ca="1"/>
        <v>0</v>
      </c>
      <c r="AA197">
        <f ca="1"/>
        <v>0</v>
      </c>
      <c r="AB197">
        <f ca="1"/>
        <v>0.71783810936064296</v>
      </c>
      <c r="AD197" s="2">
        <f t="shared" ca="1" si="22"/>
        <v>45537</v>
      </c>
      <c r="AE197">
        <f t="shared" ca="1" si="23"/>
        <v>0</v>
      </c>
      <c r="AG197" s="63">
        <f t="shared" ca="1" si="27"/>
        <v>125.60147627128362</v>
      </c>
      <c r="AH197" s="63">
        <f t="shared" ca="1" si="28"/>
        <v>125.6014762712836</v>
      </c>
      <c r="AI197" s="3">
        <f t="shared" ca="1" si="29"/>
        <v>0</v>
      </c>
    </row>
    <row r="198" spans="7:35">
      <c r="G198" s="3">
        <f t="shared" ca="1" si="24"/>
        <v>203</v>
      </c>
      <c r="H198" s="95">
        <f t="shared" ca="1" si="26"/>
        <v>45493</v>
      </c>
      <c r="I198" s="119">
        <f ca="1">HLOOKUP($H$4,'Met Data'!$A$2:$F$368,G198,FALSE)</f>
        <v>6.2909090909090901</v>
      </c>
      <c r="J198" s="119">
        <f ca="1">HLOOKUP($H$4,'Met Data'!$H$2:$M$368,G198,FALSE)*L198</f>
        <v>2.1</v>
      </c>
      <c r="K198" s="96">
        <f ca="1">HLOOKUP($H$4,'Met Data'!$O$2:$T$368,G198,FALSE)</f>
        <v>1.0943315234208899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45538</v>
      </c>
      <c r="Q198">
        <f ca="1"/>
        <v>125.92973326095191</v>
      </c>
      <c r="R198">
        <f ca="1"/>
        <v>0.16352279576051401</v>
      </c>
      <c r="S198">
        <f ca="1"/>
        <v>0.21473971264384772</v>
      </c>
      <c r="T198">
        <f ca="1"/>
        <v>0.43659526469533994</v>
      </c>
      <c r="U198">
        <f ca="1"/>
        <v>0</v>
      </c>
      <c r="V198">
        <f ca="1"/>
        <v>5.7923187546294796</v>
      </c>
      <c r="W198">
        <f ca="1"/>
        <v>1.4732636832427199</v>
      </c>
      <c r="X198">
        <f ca="1"/>
        <v>0</v>
      </c>
      <c r="Y198">
        <f ca="1"/>
        <v>0.8863686337904324</v>
      </c>
      <c r="Z198">
        <f ca="1"/>
        <v>0</v>
      </c>
      <c r="AA198">
        <f ca="1"/>
        <v>0</v>
      </c>
      <c r="AB198">
        <f ca="1"/>
        <v>0.75423808725253205</v>
      </c>
      <c r="AD198" s="2">
        <f t="shared" ref="AD198:AD261" ca="1" si="32">IFERROR(P198,$AD$4)</f>
        <v>45538</v>
      </c>
      <c r="AE198">
        <f t="shared" ref="AE198:AE261" ca="1" si="33">IFERROR(U198,0)</f>
        <v>0</v>
      </c>
      <c r="AG198" s="63">
        <f t="shared" ca="1" si="27"/>
        <v>126.09325605671242</v>
      </c>
      <c r="AH198" s="63">
        <f t="shared" ca="1" si="28"/>
        <v>126.09325605671242</v>
      </c>
      <c r="AI198" s="3">
        <f t="shared" ca="1" si="29"/>
        <v>0</v>
      </c>
    </row>
    <row r="199" spans="7:35">
      <c r="G199" s="3">
        <f t="shared" ref="G199:G262" ca="1" si="34">H199-DATE(YEAR(H199),1,0)+1</f>
        <v>204</v>
      </c>
      <c r="H199" s="95">
        <f t="shared" ca="1" si="26"/>
        <v>45494</v>
      </c>
      <c r="I199" s="119">
        <f ca="1">HLOOKUP($H$4,'Met Data'!$A$2:$F$368,G199,FALSE)</f>
        <v>6.5757575757575699</v>
      </c>
      <c r="J199" s="119">
        <f ca="1">HLOOKUP($H$4,'Met Data'!$H$2:$M$368,G199,FALSE)*L199</f>
        <v>2.55151515151515</v>
      </c>
      <c r="K199" s="96">
        <f ca="1">HLOOKUP($H$4,'Met Data'!$O$2:$T$368,G199,FALSE)</f>
        <v>1.2263410572015001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45539</v>
      </c>
      <c r="Q199">
        <f ca="1"/>
        <v>126.37331493586811</v>
      </c>
      <c r="R199">
        <f ca="1"/>
        <v>0.16330320847206201</v>
      </c>
      <c r="S199">
        <f ca="1"/>
        <v>0.19116853273874312</v>
      </c>
      <c r="T199">
        <f ca="1"/>
        <v>0.41571635064951479</v>
      </c>
      <c r="U199">
        <f ca="1"/>
        <v>0</v>
      </c>
      <c r="V199">
        <f ca="1"/>
        <v>5.9556219631015503</v>
      </c>
      <c r="W199">
        <f ca="1"/>
        <v>1.51479949931061</v>
      </c>
      <c r="X199">
        <f ca="1"/>
        <v>0</v>
      </c>
      <c r="Y199">
        <f ca="1"/>
        <v>0.86763697919566307</v>
      </c>
      <c r="Z199">
        <f ca="1"/>
        <v>0</v>
      </c>
      <c r="AA199">
        <f ca="1"/>
        <v>0</v>
      </c>
      <c r="AB199">
        <f ca="1"/>
        <v>0.78645926186694404</v>
      </c>
      <c r="AD199" s="2">
        <f t="shared" ca="1" si="32"/>
        <v>45539</v>
      </c>
      <c r="AE199">
        <f t="shared" ca="1" si="33"/>
        <v>0</v>
      </c>
      <c r="AG199" s="63">
        <f t="shared" ca="1" si="27"/>
        <v>126.53661814434017</v>
      </c>
      <c r="AH199" s="63">
        <f t="shared" ca="1" si="28"/>
        <v>126.53661814434017</v>
      </c>
      <c r="AI199" s="3">
        <f t="shared" ca="1" si="29"/>
        <v>0</v>
      </c>
    </row>
    <row r="200" spans="7:35">
      <c r="G200" s="3">
        <f t="shared" ca="1" si="34"/>
        <v>205</v>
      </c>
      <c r="H200" s="95">
        <f t="shared" ref="H200:H263" ca="1" si="36">H199+1</f>
        <v>45495</v>
      </c>
      <c r="I200" s="119">
        <f ca="1">HLOOKUP($H$4,'Met Data'!$A$2:$F$368,G200,FALSE)</f>
        <v>6.8424242424242401</v>
      </c>
      <c r="J200" s="119">
        <f ca="1">HLOOKUP($H$4,'Met Data'!$H$2:$M$368,G200,FALSE)*L200</f>
        <v>0.84545454545454501</v>
      </c>
      <c r="K200" s="96">
        <f ca="1">HLOOKUP($H$4,'Met Data'!$O$2:$T$368,G200,FALSE)</f>
        <v>1.3752263361541199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45540</v>
      </c>
      <c r="Q200">
        <f ca="1"/>
        <v>126.80440064595908</v>
      </c>
      <c r="R200">
        <f ca="1"/>
        <v>0.176239900972119</v>
      </c>
      <c r="S200">
        <f ca="1"/>
        <v>0.18273538985800997</v>
      </c>
      <c r="T200">
        <f ca="1"/>
        <v>0.42459022120509265</v>
      </c>
      <c r="U200">
        <f ca="1"/>
        <v>0</v>
      </c>
      <c r="V200">
        <f ca="1"/>
        <v>6.1318618640736604</v>
      </c>
      <c r="W200">
        <f ca="1"/>
        <v>1.5596257349926499</v>
      </c>
      <c r="X200">
        <f ca="1"/>
        <v>0</v>
      </c>
      <c r="Y200">
        <f ca="1"/>
        <v>0.84977025875073786</v>
      </c>
      <c r="Z200">
        <f ca="1"/>
        <v>0</v>
      </c>
      <c r="AA200">
        <f ca="1"/>
        <v>0</v>
      </c>
      <c r="AB200">
        <f ca="1"/>
        <v>0.81686874856251102</v>
      </c>
      <c r="AD200" s="2">
        <f t="shared" ca="1" si="32"/>
        <v>45540</v>
      </c>
      <c r="AE200">
        <f t="shared" ca="1" si="33"/>
        <v>0</v>
      </c>
      <c r="AG200" s="63">
        <f ca="1">Q199+S200+T200+U200</f>
        <v>126.98064054693121</v>
      </c>
      <c r="AH200" s="63">
        <f ca="1">Q200+R200+X200</f>
        <v>126.9806405469312</v>
      </c>
      <c r="AI200" s="3">
        <f ca="1">AH200-AG200</f>
        <v>0</v>
      </c>
    </row>
    <row r="201" spans="7:35">
      <c r="G201" s="3">
        <f t="shared" ca="1" si="34"/>
        <v>206</v>
      </c>
      <c r="H201" s="95">
        <f t="shared" ca="1" si="36"/>
        <v>45496</v>
      </c>
      <c r="I201" s="119">
        <f ca="1">HLOOKUP($H$4,'Met Data'!$A$2:$F$368,G201,FALSE)</f>
        <v>6.7236363636363601</v>
      </c>
      <c r="J201" s="119">
        <f ca="1">HLOOKUP($H$4,'Met Data'!$H$2:$M$368,G201,FALSE)*L201</f>
        <v>0.62727272727272698</v>
      </c>
      <c r="K201" s="96">
        <f ca="1">HLOOKUP($H$4,'Met Data'!$O$2:$T$368,G201,FALSE)</f>
        <v>1.3244433723498701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45541</v>
      </c>
      <c r="Q201">
        <f ca="1"/>
        <v>127.19480315376137</v>
      </c>
      <c r="R201">
        <f ca="1"/>
        <v>0.18236986234567901</v>
      </c>
      <c r="S201">
        <f ca="1"/>
        <v>0.1645397803497417</v>
      </c>
      <c r="T201">
        <f ca="1"/>
        <v>0.40823258979822497</v>
      </c>
      <c r="U201">
        <f ca="1"/>
        <v>0</v>
      </c>
      <c r="V201">
        <f ca="1"/>
        <v>6.3142317264193402</v>
      </c>
      <c r="W201">
        <f ca="1"/>
        <v>1.60601111302405</v>
      </c>
      <c r="X201">
        <f ca="1"/>
        <v>0</v>
      </c>
      <c r="Y201">
        <f ca="1"/>
        <v>0.8148216200536057</v>
      </c>
      <c r="Z201">
        <f ca="1"/>
        <v>0</v>
      </c>
      <c r="AA201">
        <f ca="1"/>
        <v>0</v>
      </c>
      <c r="AB201">
        <f ca="1"/>
        <v>0.84397157133401701</v>
      </c>
      <c r="AD201" s="2">
        <f t="shared" ca="1" si="32"/>
        <v>45541</v>
      </c>
      <c r="AE201">
        <f t="shared" ca="1" si="33"/>
        <v>0</v>
      </c>
      <c r="AG201" s="63">
        <f ca="1">Q200+S201+T201+U201</f>
        <v>127.37717301610705</v>
      </c>
      <c r="AH201" s="63">
        <f ca="1">Q201+R201+X201</f>
        <v>127.37717301610705</v>
      </c>
      <c r="AI201" s="3">
        <f ca="1">AH201-AG201</f>
        <v>0</v>
      </c>
    </row>
    <row r="202" spans="7:35">
      <c r="G202" s="3">
        <f t="shared" ca="1" si="34"/>
        <v>207</v>
      </c>
      <c r="H202" s="95">
        <f t="shared" ca="1" si="36"/>
        <v>45497</v>
      </c>
      <c r="I202" s="119">
        <f ca="1">HLOOKUP($H$4,'Met Data'!$A$2:$F$368,G202,FALSE)</f>
        <v>6.8075757575757496</v>
      </c>
      <c r="J202" s="119">
        <f ca="1">HLOOKUP($H$4,'Met Data'!$H$2:$M$368,G202,FALSE)*L202</f>
        <v>2.63636363636363</v>
      </c>
      <c r="K202" s="96">
        <f ca="1">HLOOKUP($H$4,'Met Data'!$O$2:$T$368,G202,FALSE)</f>
        <v>1.44760057498724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45542</v>
      </c>
      <c r="Q202">
        <f ca="1"/>
        <v>127.53953388788409</v>
      </c>
      <c r="R202">
        <f ca="1"/>
        <v>0.17978099590967</v>
      </c>
      <c r="S202">
        <f ca="1"/>
        <v>0.14410126456863281</v>
      </c>
      <c r="T202">
        <f ca="1"/>
        <v>0.38041046546374369</v>
      </c>
      <c r="U202">
        <f ca="1"/>
        <v>0</v>
      </c>
      <c r="V202">
        <f ca="1"/>
        <v>6.4940127223290096</v>
      </c>
      <c r="W202">
        <f ca="1"/>
        <v>1.65173801850542</v>
      </c>
      <c r="X202">
        <f ca="1"/>
        <v>0</v>
      </c>
      <c r="Y202">
        <f ca="1"/>
        <v>0.78934930806729631</v>
      </c>
      <c r="Z202">
        <f ca="1"/>
        <v>0</v>
      </c>
      <c r="AA202">
        <f ca="1"/>
        <v>0</v>
      </c>
      <c r="AB202">
        <f ca="1"/>
        <v>0.86681156843365703</v>
      </c>
      <c r="AD202" s="2">
        <f t="shared" ca="1" si="32"/>
        <v>45542</v>
      </c>
      <c r="AE202">
        <f t="shared" ca="1" si="33"/>
        <v>0</v>
      </c>
      <c r="AG202" s="63">
        <f ca="1">Q201+S202+T202+U202</f>
        <v>127.71931488379374</v>
      </c>
      <c r="AH202" s="63">
        <f ca="1">Q202+R202+X202</f>
        <v>127.71931488379376</v>
      </c>
      <c r="AI202" s="3">
        <f ca="1">AH202-AG202</f>
        <v>0</v>
      </c>
    </row>
    <row r="203" spans="7:35">
      <c r="G203" s="3">
        <f t="shared" ca="1" si="34"/>
        <v>208</v>
      </c>
      <c r="H203" s="95">
        <f t="shared" ca="1" si="36"/>
        <v>45498</v>
      </c>
      <c r="I203" s="119">
        <f ca="1">HLOOKUP($H$4,'Met Data'!$A$2:$F$368,G203,FALSE)</f>
        <v>6.7636363636363601</v>
      </c>
      <c r="J203" s="119">
        <f ca="1">HLOOKUP($H$4,'Met Data'!$H$2:$M$368,G203,FALSE)*L203</f>
        <v>1.49696969696969</v>
      </c>
      <c r="K203" s="96">
        <f ca="1">HLOOKUP($H$4,'Met Data'!$O$2:$T$368,G203,FALSE)</f>
        <v>1.60850212631903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45543</v>
      </c>
      <c r="Q203">
        <f ca="1"/>
        <v>127.84028871889176</v>
      </c>
      <c r="R203">
        <f ca="1"/>
        <v>0.17203358269085101</v>
      </c>
      <c r="S203">
        <f ca="1"/>
        <v>0.12456791019624802</v>
      </c>
      <c r="T203">
        <f ca="1"/>
        <v>0.34822050350227279</v>
      </c>
      <c r="U203">
        <f ca="1"/>
        <v>0</v>
      </c>
      <c r="V203">
        <f ca="1"/>
        <v>6.6660463050198704</v>
      </c>
      <c r="W203">
        <f ca="1"/>
        <v>1.6954943862767899</v>
      </c>
      <c r="X203">
        <f ca="1"/>
        <v>0</v>
      </c>
      <c r="Y203">
        <f ca="1"/>
        <v>0.7680361824104478</v>
      </c>
      <c r="Z203">
        <f ca="1"/>
        <v>0</v>
      </c>
      <c r="AA203">
        <f ca="1"/>
        <v>0</v>
      </c>
      <c r="AB203">
        <f ca="1"/>
        <v>0.88550074866548101</v>
      </c>
      <c r="AD203" s="2">
        <f t="shared" ca="1" si="32"/>
        <v>45543</v>
      </c>
      <c r="AE203">
        <f t="shared" ca="1" si="33"/>
        <v>0</v>
      </c>
      <c r="AG203" s="63">
        <f t="shared" ref="AG203:AG266" ca="1" si="37">Q202+S203+T203+U203</f>
        <v>128.0123223015826</v>
      </c>
      <c r="AH203" s="63">
        <f t="shared" ref="AH203:AH266" ca="1" si="38">Q203+R203+X203</f>
        <v>128.0123223015826</v>
      </c>
      <c r="AI203" s="3">
        <f t="shared" ref="AI203:AI266" ca="1" si="39">AH203-AG203</f>
        <v>0</v>
      </c>
    </row>
    <row r="204" spans="7:35">
      <c r="G204" s="3">
        <f t="shared" ca="1" si="34"/>
        <v>209</v>
      </c>
      <c r="H204" s="95">
        <f t="shared" ca="1" si="36"/>
        <v>45499</v>
      </c>
      <c r="I204" s="119">
        <f ca="1">HLOOKUP($H$4,'Met Data'!$A$2:$F$368,G204,FALSE)</f>
        <v>7.0954545454545404</v>
      </c>
      <c r="J204" s="119">
        <f ca="1">HLOOKUP($H$4,'Met Data'!$H$2:$M$368,G204,FALSE)*L204</f>
        <v>2.4303030303030302</v>
      </c>
      <c r="K204" s="96">
        <f ca="1">HLOOKUP($H$4,'Met Data'!$O$2:$T$368,G204,FALSE)</f>
        <v>1.55883335001025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45544</v>
      </c>
      <c r="Q204">
        <f ca="1"/>
        <v>128.13971848040887</v>
      </c>
      <c r="R204">
        <f ca="1"/>
        <v>0.19823878840897299</v>
      </c>
      <c r="S204">
        <f ca="1"/>
        <v>0.12574455372134707</v>
      </c>
      <c r="T204">
        <f ca="1"/>
        <v>0.37192399620474942</v>
      </c>
      <c r="U204">
        <f ca="1"/>
        <v>0</v>
      </c>
      <c r="V204">
        <f ca="1"/>
        <v>6.8642850934288404</v>
      </c>
      <c r="W204">
        <f ca="1"/>
        <v>1.74591599115473</v>
      </c>
      <c r="X204">
        <f ca="1"/>
        <v>0</v>
      </c>
      <c r="Y204">
        <f ca="1"/>
        <v>0.74054255767148314</v>
      </c>
      <c r="Z204">
        <f ca="1"/>
        <v>0</v>
      </c>
      <c r="AA204">
        <f ca="1"/>
        <v>0</v>
      </c>
      <c r="AB204">
        <f ca="1"/>
        <v>0.90372007736194404</v>
      </c>
      <c r="AD204" s="2">
        <f t="shared" ca="1" si="32"/>
        <v>45544</v>
      </c>
      <c r="AE204">
        <f t="shared" ca="1" si="33"/>
        <v>0</v>
      </c>
      <c r="AG204" s="63">
        <f t="shared" ca="1" si="37"/>
        <v>128.33795726881786</v>
      </c>
      <c r="AH204" s="63">
        <f t="shared" ca="1" si="38"/>
        <v>128.33795726881786</v>
      </c>
      <c r="AI204" s="3">
        <f t="shared" ca="1" si="39"/>
        <v>0</v>
      </c>
    </row>
    <row r="205" spans="7:35">
      <c r="G205" s="3">
        <f t="shared" ca="1" si="34"/>
        <v>210</v>
      </c>
      <c r="H205" s="95">
        <f t="shared" ca="1" si="36"/>
        <v>45500</v>
      </c>
      <c r="I205" s="119">
        <f ca="1">HLOOKUP($H$4,'Met Data'!$A$2:$F$368,G205,FALSE)</f>
        <v>7.0287878787878704</v>
      </c>
      <c r="J205" s="119">
        <f ca="1">HLOOKUP($H$4,'Met Data'!$H$2:$M$368,G205,FALSE)*L205</f>
        <v>0.79090909090909101</v>
      </c>
      <c r="K205" s="96">
        <f ca="1">HLOOKUP($H$4,'Met Data'!$O$2:$T$368,G205,FALSE)</f>
        <v>1.4832490994765199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45545</v>
      </c>
      <c r="Q205">
        <f ca="1"/>
        <v>128.43715451708584</v>
      </c>
      <c r="R205">
        <f ca="1"/>
        <v>0.219925251101839</v>
      </c>
      <c r="S205">
        <f ca="1"/>
        <v>0.12496448441484631</v>
      </c>
      <c r="T205">
        <f ca="1"/>
        <v>0.39239680336396066</v>
      </c>
      <c r="U205">
        <f ca="1"/>
        <v>0</v>
      </c>
      <c r="V205">
        <f ca="1"/>
        <v>7.0842103445306801</v>
      </c>
      <c r="W205">
        <f ca="1"/>
        <v>1.8018535006741101</v>
      </c>
      <c r="X205">
        <f ca="1"/>
        <v>0</v>
      </c>
      <c r="Y205">
        <f ca="1"/>
        <v>0.72755181370149569</v>
      </c>
      <c r="Z205">
        <f ca="1"/>
        <v>0</v>
      </c>
      <c r="AA205">
        <f ca="1"/>
        <v>0</v>
      </c>
      <c r="AB205">
        <f ca="1"/>
        <v>0.92041897710933196</v>
      </c>
      <c r="AD205" s="2">
        <f t="shared" ca="1" si="32"/>
        <v>45545</v>
      </c>
      <c r="AE205">
        <f t="shared" ca="1" si="33"/>
        <v>0</v>
      </c>
      <c r="AG205" s="63">
        <f t="shared" ca="1" si="37"/>
        <v>128.65707976818769</v>
      </c>
      <c r="AH205" s="63">
        <f t="shared" ca="1" si="38"/>
        <v>128.65707976818769</v>
      </c>
      <c r="AI205" s="3">
        <f t="shared" ca="1" si="39"/>
        <v>0</v>
      </c>
    </row>
    <row r="206" spans="7:35">
      <c r="G206" s="3">
        <f t="shared" ca="1" si="34"/>
        <v>211</v>
      </c>
      <c r="H206" s="95">
        <f t="shared" ca="1" si="36"/>
        <v>45501</v>
      </c>
      <c r="I206" s="119">
        <f ca="1">HLOOKUP($H$4,'Met Data'!$A$2:$F$368,G206,FALSE)</f>
        <v>7.4492424242424198</v>
      </c>
      <c r="J206" s="119">
        <f ca="1">HLOOKUP($H$4,'Met Data'!$H$2:$M$368,G206,FALSE)*L206</f>
        <v>0.79696969696969699</v>
      </c>
      <c r="K206" s="96">
        <f ca="1">HLOOKUP($H$4,'Met Data'!$O$2:$T$368,G206,FALSE)</f>
        <v>1.5379059871907199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45546</v>
      </c>
      <c r="Q206">
        <f ca="1"/>
        <v>128.70401097203305</v>
      </c>
      <c r="R206">
        <f ca="1"/>
        <v>0.22445320728682999</v>
      </c>
      <c r="S206">
        <f ca="1"/>
        <v>0.11334004940096065</v>
      </c>
      <c r="T206">
        <f ca="1"/>
        <v>0.37796961283307673</v>
      </c>
      <c r="U206">
        <f ca="1"/>
        <v>0</v>
      </c>
      <c r="V206">
        <f ca="1"/>
        <v>7.30866355181751</v>
      </c>
      <c r="W206">
        <f ca="1"/>
        <v>1.8589426860057601</v>
      </c>
      <c r="X206">
        <f ca="1"/>
        <v>0</v>
      </c>
      <c r="Y206">
        <f ca="1"/>
        <v>0.70586615283449405</v>
      </c>
      <c r="Z206">
        <f ca="1"/>
        <v>0</v>
      </c>
      <c r="AA206">
        <f ca="1"/>
        <v>0</v>
      </c>
      <c r="AB206">
        <f ca="1"/>
        <v>0.93431585312821597</v>
      </c>
      <c r="AD206" s="2">
        <f t="shared" ca="1" si="32"/>
        <v>45546</v>
      </c>
      <c r="AE206">
        <f t="shared" ca="1" si="33"/>
        <v>0</v>
      </c>
      <c r="AG206" s="63">
        <f t="shared" ca="1" si="37"/>
        <v>128.92846417931989</v>
      </c>
      <c r="AH206" s="63">
        <f t="shared" ca="1" si="38"/>
        <v>128.92846417931989</v>
      </c>
      <c r="AI206" s="3">
        <f t="shared" ca="1" si="39"/>
        <v>0</v>
      </c>
    </row>
    <row r="207" spans="7:35">
      <c r="G207" s="3">
        <f t="shared" ca="1" si="34"/>
        <v>212</v>
      </c>
      <c r="H207" s="95">
        <f t="shared" ca="1" si="36"/>
        <v>45502</v>
      </c>
      <c r="I207" s="119">
        <f ca="1">HLOOKUP($H$4,'Met Data'!$A$2:$F$368,G207,FALSE)</f>
        <v>6.8409090909090899</v>
      </c>
      <c r="J207" s="119">
        <f ca="1">HLOOKUP($H$4,'Met Data'!$H$2:$M$368,G207,FALSE)*L207</f>
        <v>1.59393939393939</v>
      </c>
      <c r="K207" s="96">
        <f ca="1">HLOOKUP($H$4,'Met Data'!$O$2:$T$368,G207,FALSE)</f>
        <v>1.61262260286068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45547</v>
      </c>
      <c r="Q207">
        <f ca="1"/>
        <v>128.94356423746223</v>
      </c>
      <c r="R207">
        <f ca="1"/>
        <v>0.225312659885437</v>
      </c>
      <c r="S207">
        <f ca="1"/>
        <v>0.10255455476095676</v>
      </c>
      <c r="T207">
        <f ca="1"/>
        <v>0.36231137055366347</v>
      </c>
      <c r="U207">
        <f ca="1"/>
        <v>0</v>
      </c>
      <c r="V207">
        <f ca="1"/>
        <v>7.5339762117029396</v>
      </c>
      <c r="W207">
        <f ca="1"/>
        <v>1.9162504712374899</v>
      </c>
      <c r="X207">
        <f ca="1"/>
        <v>0</v>
      </c>
      <c r="Y207">
        <f ca="1"/>
        <v>0.69192879323830436</v>
      </c>
      <c r="Z207">
        <f ca="1"/>
        <v>0</v>
      </c>
      <c r="AA207">
        <f ca="1"/>
        <v>0</v>
      </c>
      <c r="AB207">
        <f ca="1"/>
        <v>0.94566629589265305</v>
      </c>
      <c r="AD207" s="2">
        <f t="shared" ca="1" si="32"/>
        <v>45547</v>
      </c>
      <c r="AE207">
        <f t="shared" ca="1" si="33"/>
        <v>0</v>
      </c>
      <c r="AG207" s="63">
        <f t="shared" ca="1" si="37"/>
        <v>129.16887689734767</v>
      </c>
      <c r="AH207" s="63">
        <f t="shared" ca="1" si="38"/>
        <v>129.16887689734767</v>
      </c>
      <c r="AI207" s="3">
        <f t="shared" ca="1" si="39"/>
        <v>0</v>
      </c>
    </row>
    <row r="208" spans="7:35">
      <c r="G208" s="3">
        <f t="shared" ca="1" si="34"/>
        <v>213</v>
      </c>
      <c r="H208" s="95">
        <f t="shared" ca="1" si="36"/>
        <v>45503</v>
      </c>
      <c r="I208" s="119">
        <f ca="1">HLOOKUP($H$4,'Met Data'!$A$2:$F$368,G208,FALSE)</f>
        <v>7.1918181818181797</v>
      </c>
      <c r="J208" s="119">
        <f ca="1">HLOOKUP($H$4,'Met Data'!$H$2:$M$368,G208,FALSE)*L208</f>
        <v>0.86060606060606004</v>
      </c>
      <c r="K208" s="96">
        <f ca="1">HLOOKUP($H$4,'Met Data'!$O$2:$T$368,G208,FALSE)</f>
        <v>1.7014054560095799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45548</v>
      </c>
      <c r="Q208">
        <f ca="1"/>
        <v>129.16192102711628</v>
      </c>
      <c r="R208">
        <f ca="1"/>
        <v>0.24372694179264401</v>
      </c>
      <c r="S208">
        <f ca="1"/>
        <v>9.7524259230709731E-2</v>
      </c>
      <c r="T208">
        <f ca="1"/>
        <v>0.36455947221597845</v>
      </c>
      <c r="U208">
        <f ca="1"/>
        <v>0</v>
      </c>
      <c r="V208">
        <f ca="1"/>
        <v>7.7777031534955903</v>
      </c>
      <c r="W208">
        <f ca="1"/>
        <v>1.9782418890412701</v>
      </c>
      <c r="X208">
        <f ca="1"/>
        <v>0</v>
      </c>
      <c r="Y208">
        <f ca="1"/>
        <v>0.66093931906653214</v>
      </c>
      <c r="Z208">
        <f ca="1"/>
        <v>0</v>
      </c>
      <c r="AA208">
        <f ca="1"/>
        <v>0</v>
      </c>
      <c r="AB208">
        <f ca="1"/>
        <v>0.95558575356061504</v>
      </c>
      <c r="AD208" s="2">
        <f t="shared" ca="1" si="32"/>
        <v>45548</v>
      </c>
      <c r="AE208">
        <f t="shared" ca="1" si="33"/>
        <v>0</v>
      </c>
      <c r="AG208" s="63">
        <f t="shared" ca="1" si="37"/>
        <v>129.40564796890891</v>
      </c>
      <c r="AH208" s="63">
        <f t="shared" ca="1" si="38"/>
        <v>129.40564796890891</v>
      </c>
      <c r="AI208" s="3">
        <f t="shared" ca="1" si="39"/>
        <v>0</v>
      </c>
    </row>
    <row r="209" spans="7:35">
      <c r="G209" s="3">
        <f t="shared" ca="1" si="34"/>
        <v>214</v>
      </c>
      <c r="H209" s="95">
        <f t="shared" ca="1" si="36"/>
        <v>45504</v>
      </c>
      <c r="I209" s="119">
        <f ca="1">HLOOKUP($H$4,'Met Data'!$A$2:$F$368,G209,FALSE)</f>
        <v>7.4148484848484797</v>
      </c>
      <c r="J209" s="119">
        <f ca="1">HLOOKUP($H$4,'Met Data'!$H$2:$M$368,G209,FALSE)*L209</f>
        <v>1.7787878787878699</v>
      </c>
      <c r="K209" s="96">
        <f ca="1">HLOOKUP($H$4,'Met Data'!$O$2:$T$368,G209,FALSE)</f>
        <v>1.57863389711225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45549</v>
      </c>
      <c r="Q209">
        <f ca="1"/>
        <v>129.35819127030999</v>
      </c>
      <c r="R209">
        <f ca="1"/>
        <v>0.27165335601572099</v>
      </c>
      <c r="S209">
        <f ca="1"/>
        <v>9.4375352815774249E-2</v>
      </c>
      <c r="T209">
        <f ca="1"/>
        <v>0.3735482463936618</v>
      </c>
      <c r="U209">
        <f ca="1"/>
        <v>0</v>
      </c>
      <c r="V209">
        <f ca="1"/>
        <v>8.0493565095113109</v>
      </c>
      <c r="W209">
        <f ca="1"/>
        <v>2.0473363295930902</v>
      </c>
      <c r="X209">
        <f ca="1"/>
        <v>0</v>
      </c>
      <c r="Y209">
        <f ca="1"/>
        <v>0.62108823359891041</v>
      </c>
      <c r="Z209">
        <f ca="1"/>
        <v>0</v>
      </c>
      <c r="AA209">
        <f ca="1"/>
        <v>0</v>
      </c>
      <c r="AB209">
        <f ca="1"/>
        <v>0.96435634178684704</v>
      </c>
      <c r="AD209" s="2">
        <f t="shared" ca="1" si="32"/>
        <v>45549</v>
      </c>
      <c r="AE209">
        <f t="shared" ca="1" si="33"/>
        <v>0</v>
      </c>
      <c r="AG209" s="63">
        <f t="shared" ca="1" si="37"/>
        <v>129.62984462632571</v>
      </c>
      <c r="AH209" s="63">
        <f t="shared" ca="1" si="38"/>
        <v>129.62984462632571</v>
      </c>
      <c r="AI209" s="3">
        <f t="shared" ca="1" si="39"/>
        <v>0</v>
      </c>
    </row>
    <row r="210" spans="7:35">
      <c r="G210" s="3">
        <f t="shared" ca="1" si="34"/>
        <v>215</v>
      </c>
      <c r="H210" s="95">
        <f t="shared" ca="1" si="36"/>
        <v>45505</v>
      </c>
      <c r="I210" s="119">
        <f ca="1">HLOOKUP($H$4,'Met Data'!$A$2:$F$368,G210,FALSE)</f>
        <v>7.1409090909090898</v>
      </c>
      <c r="J210" s="119">
        <f ca="1">HLOOKUP($H$4,'Met Data'!$H$2:$M$368,G210,FALSE)*L210</f>
        <v>1.47272727272727</v>
      </c>
      <c r="K210" s="96">
        <f ca="1">HLOOKUP($H$4,'Met Data'!$O$2:$T$368,G210,FALSE)</f>
        <v>1.5098843625253899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45550</v>
      </c>
      <c r="Q210">
        <f ca="1"/>
        <v>129.50749876968496</v>
      </c>
      <c r="R210">
        <f ca="1"/>
        <v>0.27568434620835403</v>
      </c>
      <c r="S210">
        <f ca="1"/>
        <v>8.1990823800538237E-2</v>
      </c>
      <c r="T210">
        <f ca="1"/>
        <v>0.34300102178278513</v>
      </c>
      <c r="U210">
        <f ca="1"/>
        <v>0</v>
      </c>
      <c r="V210">
        <f ca="1"/>
        <v>8.32504085571966</v>
      </c>
      <c r="W210">
        <f ca="1"/>
        <v>2.1174560437373899</v>
      </c>
      <c r="X210">
        <f ca="1"/>
        <v>0</v>
      </c>
      <c r="Y210">
        <f ca="1"/>
        <v>0.57003035223871368</v>
      </c>
      <c r="Z210">
        <f ca="1"/>
        <v>0</v>
      </c>
      <c r="AA210">
        <f ca="1"/>
        <v>0</v>
      </c>
      <c r="AB210">
        <f ca="1"/>
        <v>0.97133989097101003</v>
      </c>
      <c r="AD210" s="2">
        <f t="shared" ca="1" si="32"/>
        <v>45550</v>
      </c>
      <c r="AE210">
        <f t="shared" ca="1" si="33"/>
        <v>0</v>
      </c>
      <c r="AG210" s="63">
        <f t="shared" ca="1" si="37"/>
        <v>129.78318311589331</v>
      </c>
      <c r="AH210" s="63">
        <f t="shared" ca="1" si="38"/>
        <v>129.78318311589331</v>
      </c>
      <c r="AI210" s="3">
        <f t="shared" ca="1" si="39"/>
        <v>0</v>
      </c>
    </row>
    <row r="211" spans="7:35">
      <c r="G211" s="3">
        <f t="shared" ca="1" si="34"/>
        <v>216</v>
      </c>
      <c r="H211" s="95">
        <f t="shared" ca="1" si="36"/>
        <v>45506</v>
      </c>
      <c r="I211" s="119">
        <f ca="1">HLOOKUP($H$4,'Met Data'!$A$2:$F$368,G211,FALSE)</f>
        <v>6.7681818181818096</v>
      </c>
      <c r="J211" s="119">
        <f ca="1">HLOOKUP($H$4,'Met Data'!$H$2:$M$368,G211,FALSE)*L211</f>
        <v>0.76666666666666605</v>
      </c>
      <c r="K211" s="96">
        <f ca="1">HLOOKUP($H$4,'Met Data'!$O$2:$T$368,G211,FALSE)</f>
        <v>1.28491883482887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45551</v>
      </c>
      <c r="Q211">
        <f ca="1"/>
        <v>129.6133886373832</v>
      </c>
      <c r="R211">
        <f ca="1"/>
        <v>0.26710544221348098</v>
      </c>
      <c r="S211">
        <f ca="1"/>
        <v>6.9110497612427935E-2</v>
      </c>
      <c r="T211">
        <f ca="1"/>
        <v>0.30388481229927666</v>
      </c>
      <c r="U211">
        <f ca="1"/>
        <v>0</v>
      </c>
      <c r="V211">
        <f ca="1"/>
        <v>8.5921462979331409</v>
      </c>
      <c r="W211">
        <f ca="1"/>
        <v>2.18539373230039</v>
      </c>
      <c r="X211">
        <f ca="1"/>
        <v>0</v>
      </c>
      <c r="Y211">
        <f ca="1"/>
        <v>0.52512926411285443</v>
      </c>
      <c r="Z211">
        <f ca="1"/>
        <v>0</v>
      </c>
      <c r="AA211">
        <f ca="1"/>
        <v>0</v>
      </c>
      <c r="AB211">
        <f ca="1"/>
        <v>0.97668184612777698</v>
      </c>
      <c r="AD211" s="2">
        <f t="shared" ca="1" si="32"/>
        <v>45551</v>
      </c>
      <c r="AE211">
        <f t="shared" ca="1" si="33"/>
        <v>0</v>
      </c>
      <c r="AG211" s="63">
        <f t="shared" ca="1" si="37"/>
        <v>129.88049407959667</v>
      </c>
      <c r="AH211" s="63">
        <f t="shared" ca="1" si="38"/>
        <v>129.88049407959667</v>
      </c>
      <c r="AI211" s="3">
        <f t="shared" ca="1" si="39"/>
        <v>0</v>
      </c>
    </row>
    <row r="212" spans="7:35">
      <c r="G212" s="3">
        <f t="shared" ca="1" si="34"/>
        <v>217</v>
      </c>
      <c r="H212" s="95">
        <f t="shared" ca="1" si="36"/>
        <v>45507</v>
      </c>
      <c r="I212" s="119">
        <f ca="1">HLOOKUP($H$4,'Met Data'!$A$2:$F$368,G212,FALSE)</f>
        <v>7.2015151515151503</v>
      </c>
      <c r="J212" s="119">
        <f ca="1">HLOOKUP($H$4,'Met Data'!$H$2:$M$368,G212,FALSE)*L212</f>
        <v>1.47272727272727</v>
      </c>
      <c r="K212" s="96">
        <f ca="1">HLOOKUP($H$4,'Met Data'!$O$2:$T$368,G212,FALSE)</f>
        <v>1.3386149785468899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45552</v>
      </c>
      <c r="Q212">
        <f ca="1"/>
        <v>129.69475973330958</v>
      </c>
      <c r="R212">
        <f ca="1"/>
        <v>0.26815423466279698</v>
      </c>
      <c r="S212">
        <f ca="1"/>
        <v>6.240321219326006E-2</v>
      </c>
      <c r="T212">
        <f ca="1"/>
        <v>0.28712211839595131</v>
      </c>
      <c r="U212">
        <f ca="1"/>
        <v>0</v>
      </c>
      <c r="V212">
        <f ca="1"/>
        <v>8.8603005325959394</v>
      </c>
      <c r="W212">
        <f ca="1"/>
        <v>2.2535981789428798</v>
      </c>
      <c r="X212">
        <f ca="1"/>
        <v>0</v>
      </c>
      <c r="Y212">
        <f ca="1"/>
        <v>0.50036384000201106</v>
      </c>
      <c r="Z212">
        <f ca="1"/>
        <v>0</v>
      </c>
      <c r="AA212">
        <f ca="1"/>
        <v>0</v>
      </c>
      <c r="AB212">
        <f ca="1"/>
        <v>0.98095036613489806</v>
      </c>
      <c r="AD212" s="2">
        <f t="shared" ca="1" si="32"/>
        <v>45552</v>
      </c>
      <c r="AE212">
        <f t="shared" ca="1" si="33"/>
        <v>0</v>
      </c>
      <c r="AG212" s="63">
        <f t="shared" ca="1" si="37"/>
        <v>129.96291396797241</v>
      </c>
      <c r="AH212" s="63">
        <f t="shared" ca="1" si="38"/>
        <v>129.96291396797238</v>
      </c>
      <c r="AI212" s="3">
        <f t="shared" ca="1" si="39"/>
        <v>0</v>
      </c>
    </row>
    <row r="213" spans="7:35">
      <c r="G213" s="3">
        <f t="shared" ca="1" si="34"/>
        <v>218</v>
      </c>
      <c r="H213" s="95">
        <f t="shared" ca="1" si="36"/>
        <v>45508</v>
      </c>
      <c r="I213" s="119">
        <f ca="1">HLOOKUP($H$4,'Met Data'!$A$2:$F$368,G213,FALSE)</f>
        <v>7.3742424242424196</v>
      </c>
      <c r="J213" s="119">
        <f ca="1">HLOOKUP($H$4,'Met Data'!$H$2:$M$368,G213,FALSE)*L213</f>
        <v>1.75757575757575</v>
      </c>
      <c r="K213" s="96">
        <f ca="1">HLOOKUP($H$4,'Met Data'!$O$2:$T$368,G213,FALSE)</f>
        <v>1.55222576978494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45553</v>
      </c>
      <c r="Q213">
        <f ca="1"/>
        <v>129.75969790545426</v>
      </c>
      <c r="R213">
        <f ca="1"/>
        <v>0.283811440047957</v>
      </c>
      <c r="S213">
        <f ca="1"/>
        <v>6.0044722429921649E-2</v>
      </c>
      <c r="T213">
        <f ca="1"/>
        <v>0.28870488976269187</v>
      </c>
      <c r="U213">
        <f ca="1"/>
        <v>0</v>
      </c>
      <c r="V213">
        <f ca="1"/>
        <v>9.1441119726439002</v>
      </c>
      <c r="W213">
        <f ca="1"/>
        <v>2.3257850017376902</v>
      </c>
      <c r="X213">
        <f ca="1"/>
        <v>0</v>
      </c>
      <c r="Y213">
        <f ca="1"/>
        <v>0.48392674034501831</v>
      </c>
      <c r="Z213">
        <f ca="1"/>
        <v>0</v>
      </c>
      <c r="AA213">
        <f ca="1"/>
        <v>0</v>
      </c>
      <c r="AB213">
        <f ca="1"/>
        <v>0.98453947794037799</v>
      </c>
      <c r="AD213" s="2">
        <f t="shared" ca="1" si="32"/>
        <v>45553</v>
      </c>
      <c r="AE213">
        <f t="shared" ca="1" si="33"/>
        <v>0</v>
      </c>
      <c r="AG213" s="63">
        <f t="shared" ca="1" si="37"/>
        <v>130.0435093455022</v>
      </c>
      <c r="AH213" s="63">
        <f t="shared" ca="1" si="38"/>
        <v>130.04350934550223</v>
      </c>
      <c r="AI213" s="3">
        <f t="shared" ca="1" si="39"/>
        <v>0</v>
      </c>
    </row>
    <row r="214" spans="7:35">
      <c r="G214" s="3">
        <f t="shared" ca="1" si="34"/>
        <v>219</v>
      </c>
      <c r="H214" s="95">
        <f t="shared" ca="1" si="36"/>
        <v>45509</v>
      </c>
      <c r="I214" s="119">
        <f ca="1">HLOOKUP($H$4,'Met Data'!$A$2:$F$368,G214,FALSE)</f>
        <v>7.4590909090909001</v>
      </c>
      <c r="J214" s="119">
        <f ca="1">HLOOKUP($H$4,'Met Data'!$H$2:$M$368,G214,FALSE)*L214</f>
        <v>0.60909090909090902</v>
      </c>
      <c r="K214" s="96">
        <f ca="1">HLOOKUP($H$4,'Met Data'!$O$2:$T$368,G214,FALSE)</f>
        <v>1.4979769801628799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45554</v>
      </c>
      <c r="Q214">
        <f ca="1"/>
        <v>129.80315318131642</v>
      </c>
      <c r="R214">
        <f ca="1"/>
        <v>0.28080040102738102</v>
      </c>
      <c r="S214">
        <f ca="1"/>
        <v>5.3885945588746154E-2</v>
      </c>
      <c r="T214">
        <f ca="1"/>
        <v>0.2703697313007874</v>
      </c>
      <c r="U214">
        <f ca="1"/>
        <v>0</v>
      </c>
      <c r="V214">
        <f ca="1"/>
        <v>9.4249123736712797</v>
      </c>
      <c r="W214">
        <f ca="1"/>
        <v>2.3972059733033499</v>
      </c>
      <c r="X214">
        <f ca="1"/>
        <v>0</v>
      </c>
      <c r="Y214">
        <f ca="1"/>
        <v>0.46249400136200614</v>
      </c>
      <c r="Z214">
        <f ca="1"/>
        <v>0</v>
      </c>
      <c r="AA214">
        <f ca="1"/>
        <v>0</v>
      </c>
      <c r="AB214">
        <f ca="1"/>
        <v>0.987359753536173</v>
      </c>
      <c r="AD214" s="2">
        <f t="shared" ca="1" si="32"/>
        <v>45554</v>
      </c>
      <c r="AE214">
        <f t="shared" ca="1" si="33"/>
        <v>0</v>
      </c>
      <c r="AG214" s="63">
        <f t="shared" ca="1" si="37"/>
        <v>130.08395358234378</v>
      </c>
      <c r="AH214" s="63">
        <f t="shared" ca="1" si="38"/>
        <v>130.08395358234381</v>
      </c>
      <c r="AI214" s="3">
        <f t="shared" ca="1" si="39"/>
        <v>0</v>
      </c>
    </row>
    <row r="215" spans="7:35">
      <c r="G215" s="3">
        <f t="shared" ca="1" si="34"/>
        <v>220</v>
      </c>
      <c r="H215" s="95">
        <f t="shared" ca="1" si="36"/>
        <v>45510</v>
      </c>
      <c r="I215" s="119">
        <f ca="1">HLOOKUP($H$4,'Met Data'!$A$2:$F$368,G215,FALSE)</f>
        <v>7.5939393939393902</v>
      </c>
      <c r="J215" s="119">
        <f ca="1">HLOOKUP($H$4,'Met Data'!$H$2:$M$368,G215,FALSE)*L215</f>
        <v>3.3848484848484799</v>
      </c>
      <c r="K215" s="96">
        <f ca="1">HLOOKUP($H$4,'Met Data'!$O$2:$T$368,G215,FALSE)</f>
        <v>1.51963915749211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45555</v>
      </c>
      <c r="Q215">
        <f ca="1"/>
        <v>129.8284779953963</v>
      </c>
      <c r="R215">
        <f ca="1"/>
        <v>0.303275108544099</v>
      </c>
      <c r="S215">
        <f ca="1"/>
        <v>5.2746121829500225E-2</v>
      </c>
      <c r="T215">
        <f ca="1"/>
        <v>0.27585380079449184</v>
      </c>
      <c r="U215">
        <f ca="1"/>
        <v>0</v>
      </c>
      <c r="V215">
        <f ca="1"/>
        <v>9.7281874822153807</v>
      </c>
      <c r="W215">
        <f ca="1"/>
        <v>2.4743433378678201</v>
      </c>
      <c r="X215">
        <f ca="1"/>
        <v>0</v>
      </c>
      <c r="Y215">
        <f ca="1"/>
        <v>0.44174439235982943</v>
      </c>
      <c r="Z215">
        <f ca="1"/>
        <v>0</v>
      </c>
      <c r="AA215">
        <f ca="1"/>
        <v>0</v>
      </c>
      <c r="AB215">
        <f ca="1"/>
        <v>0.98977436240106598</v>
      </c>
      <c r="AD215" s="2">
        <f t="shared" ca="1" si="32"/>
        <v>45555</v>
      </c>
      <c r="AE215">
        <f t="shared" ca="1" si="33"/>
        <v>0</v>
      </c>
      <c r="AG215" s="63">
        <f t="shared" ca="1" si="37"/>
        <v>130.13175310394041</v>
      </c>
      <c r="AH215" s="63">
        <f t="shared" ca="1" si="38"/>
        <v>130.13175310394038</v>
      </c>
      <c r="AI215" s="3">
        <f t="shared" ca="1" si="39"/>
        <v>0</v>
      </c>
    </row>
    <row r="216" spans="7:35">
      <c r="G216" s="3">
        <f t="shared" ca="1" si="34"/>
        <v>221</v>
      </c>
      <c r="H216" s="95">
        <f t="shared" ca="1" si="36"/>
        <v>45511</v>
      </c>
      <c r="I216" s="119">
        <f ca="1">HLOOKUP($H$4,'Met Data'!$A$2:$F$368,G216,FALSE)</f>
        <v>7.3257575757575699</v>
      </c>
      <c r="J216" s="119">
        <f ca="1">HLOOKUP($H$4,'Met Data'!$H$2:$M$368,G216,FALSE)*L216</f>
        <v>3.2363636363636301</v>
      </c>
      <c r="K216" s="96">
        <f ca="1">HLOOKUP($H$4,'Met Data'!$O$2:$T$368,G216,FALSE)</f>
        <v>1.7182656587563401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45556</v>
      </c>
      <c r="Q216">
        <f ca="1"/>
        <v>129.83544398515556</v>
      </c>
      <c r="R216">
        <f ca="1"/>
        <v>0.301504452321325</v>
      </c>
      <c r="S216">
        <f ca="1"/>
        <v>4.7851513429804982E-2</v>
      </c>
      <c r="T216">
        <f ca="1"/>
        <v>0.26061892865076774</v>
      </c>
      <c r="U216">
        <f ca="1"/>
        <v>0</v>
      </c>
      <c r="V216">
        <f ca="1"/>
        <v>10.0296919345367</v>
      </c>
      <c r="W216">
        <f ca="1"/>
        <v>2.5510303398712901</v>
      </c>
      <c r="X216">
        <f ca="1"/>
        <v>0</v>
      </c>
      <c r="Y216">
        <f ca="1"/>
        <v>0.42341292404833042</v>
      </c>
      <c r="Z216">
        <f ca="1"/>
        <v>0</v>
      </c>
      <c r="AA216">
        <f ca="1"/>
        <v>0</v>
      </c>
      <c r="AB216">
        <f ca="1"/>
        <v>0.99167205576064499</v>
      </c>
      <c r="AD216" s="2">
        <f t="shared" ca="1" si="32"/>
        <v>45556</v>
      </c>
      <c r="AE216">
        <f t="shared" ca="1" si="33"/>
        <v>0</v>
      </c>
      <c r="AG216" s="63">
        <f t="shared" ca="1" si="37"/>
        <v>130.13694843747686</v>
      </c>
      <c r="AH216" s="63">
        <f t="shared" ca="1" si="38"/>
        <v>130.13694843747689</v>
      </c>
      <c r="AI216" s="3">
        <f t="shared" ca="1" si="39"/>
        <v>0</v>
      </c>
    </row>
    <row r="217" spans="7:35">
      <c r="G217" s="3">
        <f t="shared" ca="1" si="34"/>
        <v>222</v>
      </c>
      <c r="H217" s="95">
        <f t="shared" ca="1" si="36"/>
        <v>45512</v>
      </c>
      <c r="I217" s="119">
        <f ca="1">HLOOKUP($H$4,'Met Data'!$A$2:$F$368,G217,FALSE)</f>
        <v>6.6333333333333302</v>
      </c>
      <c r="J217" s="119">
        <f ca="1">HLOOKUP($H$4,'Met Data'!$H$2:$M$368,G217,FALSE)*L217</f>
        <v>1.55151515151515</v>
      </c>
      <c r="K217" s="96">
        <f ca="1">HLOOKUP($H$4,'Met Data'!$O$2:$T$368,G217,FALSE)</f>
        <v>1.45992841951307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45557</v>
      </c>
      <c r="Q217">
        <f ca="1"/>
        <v>129.82262862107132</v>
      </c>
      <c r="R217">
        <f ca="1"/>
        <v>0.30338589204480798</v>
      </c>
      <c r="S217">
        <f ca="1"/>
        <v>4.3637753243132238E-2</v>
      </c>
      <c r="T217">
        <f ca="1"/>
        <v>0.24693277471742675</v>
      </c>
      <c r="U217">
        <f ca="1"/>
        <v>0</v>
      </c>
      <c r="V217">
        <f ca="1"/>
        <v>10.3330778265815</v>
      </c>
      <c r="W217">
        <f ca="1"/>
        <v>2.62819588197834</v>
      </c>
      <c r="X217">
        <f ca="1"/>
        <v>0</v>
      </c>
      <c r="Y217">
        <f ca="1"/>
        <v>0.39685677594640417</v>
      </c>
      <c r="Z217">
        <f ca="1"/>
        <v>0</v>
      </c>
      <c r="AA217">
        <f ca="1"/>
        <v>0</v>
      </c>
      <c r="AB217">
        <f ca="1"/>
        <v>0.99319051869592601</v>
      </c>
      <c r="AD217" s="2">
        <f t="shared" ca="1" si="32"/>
        <v>45557</v>
      </c>
      <c r="AE217">
        <f t="shared" ca="1" si="33"/>
        <v>0</v>
      </c>
      <c r="AG217" s="63">
        <f t="shared" ca="1" si="37"/>
        <v>130.12601451311613</v>
      </c>
      <c r="AH217" s="63">
        <f t="shared" ca="1" si="38"/>
        <v>130.12601451311613</v>
      </c>
      <c r="AI217" s="3">
        <f t="shared" ca="1" si="39"/>
        <v>0</v>
      </c>
    </row>
    <row r="218" spans="7:35">
      <c r="G218" s="3">
        <f t="shared" ca="1" si="34"/>
        <v>223</v>
      </c>
      <c r="H218" s="95">
        <f t="shared" ca="1" si="36"/>
        <v>45513</v>
      </c>
      <c r="I218" s="119">
        <f ca="1">HLOOKUP($H$4,'Met Data'!$A$2:$F$368,G218,FALSE)</f>
        <v>7.0696969696969703</v>
      </c>
      <c r="J218" s="119">
        <f ca="1">HLOOKUP($H$4,'Met Data'!$H$2:$M$368,G218,FALSE)*L218</f>
        <v>1.4545454545454499</v>
      </c>
      <c r="K218" s="96">
        <f ca="1">HLOOKUP($H$4,'Met Data'!$O$2:$T$368,G218,FALSE)</f>
        <v>1.43429877915796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45558</v>
      </c>
      <c r="Q218">
        <f ca="1"/>
        <v>129.79785892819928</v>
      </c>
      <c r="R218">
        <f ca="1"/>
        <v>0.32801262824891703</v>
      </c>
      <c r="S218">
        <f ca="1"/>
        <v>4.4091253441592926E-2</v>
      </c>
      <c r="T218">
        <f ca="1"/>
        <v>0.25915168193528265</v>
      </c>
      <c r="U218">
        <f ca="1"/>
        <v>0</v>
      </c>
      <c r="V218">
        <f ca="1"/>
        <v>10.661090454830401</v>
      </c>
      <c r="W218">
        <f ca="1"/>
        <v>2.7116251809025198</v>
      </c>
      <c r="X218">
        <f ca="1"/>
        <v>0</v>
      </c>
      <c r="Y218">
        <f ca="1"/>
        <v>0.39679010705619561</v>
      </c>
      <c r="Z218">
        <f ca="1"/>
        <v>0</v>
      </c>
      <c r="AA218">
        <f ca="1"/>
        <v>0</v>
      </c>
      <c r="AB218">
        <f ca="1"/>
        <v>0.99449126614108896</v>
      </c>
      <c r="AD218" s="2">
        <f t="shared" ca="1" si="32"/>
        <v>45558</v>
      </c>
      <c r="AE218">
        <f t="shared" ca="1" si="33"/>
        <v>0</v>
      </c>
      <c r="AG218" s="63">
        <f t="shared" ca="1" si="37"/>
        <v>130.1258715564482</v>
      </c>
      <c r="AH218" s="63">
        <f t="shared" ca="1" si="38"/>
        <v>130.1258715564482</v>
      </c>
      <c r="AI218" s="3">
        <f t="shared" ca="1" si="39"/>
        <v>0</v>
      </c>
    </row>
    <row r="219" spans="7:35">
      <c r="G219" s="3">
        <f t="shared" ca="1" si="34"/>
        <v>224</v>
      </c>
      <c r="H219" s="95">
        <f t="shared" ca="1" si="36"/>
        <v>45514</v>
      </c>
      <c r="I219" s="119">
        <f ca="1">HLOOKUP($H$4,'Met Data'!$A$2:$F$368,G219,FALSE)</f>
        <v>7.5106060606060598</v>
      </c>
      <c r="J219" s="119">
        <f ca="1">HLOOKUP($H$4,'Met Data'!$H$2:$M$368,G219,FALSE)*L219</f>
        <v>1.6030303030302999</v>
      </c>
      <c r="K219" s="96">
        <f ca="1">HLOOKUP($H$4,'Met Data'!$O$2:$T$368,G219,FALSE)</f>
        <v>1.4617211304547399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45559</v>
      </c>
      <c r="Q219">
        <f ca="1"/>
        <v>129.76644772104518</v>
      </c>
      <c r="R219">
        <f ca="1"/>
        <v>0.32101894420058502</v>
      </c>
      <c r="S219">
        <f ca="1"/>
        <v>4.076129327481226E-2</v>
      </c>
      <c r="T219">
        <f ca="1"/>
        <v>0.24884644377169671</v>
      </c>
      <c r="U219">
        <f ca="1"/>
        <v>0</v>
      </c>
      <c r="V219">
        <f ca="1"/>
        <v>10.982109399031</v>
      </c>
      <c r="W219">
        <f ca="1"/>
        <v>2.79327565149267</v>
      </c>
      <c r="X219">
        <f ca="1"/>
        <v>0</v>
      </c>
      <c r="Y219">
        <f ca="1"/>
        <v>0.40214353894658583</v>
      </c>
      <c r="Z219">
        <f ca="1"/>
        <v>0</v>
      </c>
      <c r="AA219">
        <f ca="1"/>
        <v>0</v>
      </c>
      <c r="AB219">
        <f ca="1"/>
        <v>0.99549904837401904</v>
      </c>
      <c r="AD219" s="2">
        <f t="shared" ca="1" si="32"/>
        <v>45559</v>
      </c>
      <c r="AE219">
        <f t="shared" ca="1" si="33"/>
        <v>0</v>
      </c>
      <c r="AG219" s="63">
        <f t="shared" ca="1" si="37"/>
        <v>130.08746666524578</v>
      </c>
      <c r="AH219" s="63">
        <f t="shared" ca="1" si="38"/>
        <v>130.08746666524576</v>
      </c>
      <c r="AI219" s="3">
        <f t="shared" ca="1" si="39"/>
        <v>0</v>
      </c>
    </row>
    <row r="220" spans="7:35">
      <c r="G220" s="3">
        <f t="shared" ca="1" si="34"/>
        <v>225</v>
      </c>
      <c r="H220" s="95">
        <f t="shared" ca="1" si="36"/>
        <v>45515</v>
      </c>
      <c r="I220" s="119">
        <f ca="1">HLOOKUP($H$4,'Met Data'!$A$2:$F$368,G220,FALSE)</f>
        <v>7.7378787878787803</v>
      </c>
      <c r="J220" s="119">
        <f ca="1">HLOOKUP($H$4,'Met Data'!$H$2:$M$368,G220,FALSE)*L220</f>
        <v>1.2</v>
      </c>
      <c r="K220" s="96">
        <f ca="1">HLOOKUP($H$4,'Met Data'!$O$2:$T$368,G220,FALSE)</f>
        <v>1.64327704752056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45560</v>
      </c>
      <c r="Q220">
        <f ca="1"/>
        <v>129.71556889598421</v>
      </c>
      <c r="R220">
        <f ca="1"/>
        <v>0.35806655159834699</v>
      </c>
      <c r="S220">
        <f ca="1"/>
        <v>4.1834961351753464E-2</v>
      </c>
      <c r="T220">
        <f ca="1"/>
        <v>0.26535276518560996</v>
      </c>
      <c r="U220">
        <f ca="1"/>
        <v>0</v>
      </c>
      <c r="V220">
        <f ca="1"/>
        <v>11.3401759506294</v>
      </c>
      <c r="W220">
        <f ca="1"/>
        <v>2.8843491004861601</v>
      </c>
      <c r="X220">
        <f ca="1"/>
        <v>0</v>
      </c>
      <c r="Y220">
        <f ca="1"/>
        <v>0.39029756971525981</v>
      </c>
      <c r="Z220">
        <f ca="1"/>
        <v>0</v>
      </c>
      <c r="AA220">
        <f ca="1"/>
        <v>0</v>
      </c>
      <c r="AB220">
        <f ca="1"/>
        <v>0.99638563465804197</v>
      </c>
      <c r="AD220" s="2">
        <f t="shared" ca="1" si="32"/>
        <v>45560</v>
      </c>
      <c r="AE220">
        <f t="shared" ca="1" si="33"/>
        <v>0</v>
      </c>
      <c r="AG220" s="63">
        <f t="shared" ca="1" si="37"/>
        <v>130.07363544758255</v>
      </c>
      <c r="AH220" s="63">
        <f t="shared" ca="1" si="38"/>
        <v>130.07363544758255</v>
      </c>
      <c r="AI220" s="3">
        <f t="shared" ca="1" si="39"/>
        <v>0</v>
      </c>
    </row>
    <row r="221" spans="7:35">
      <c r="G221" s="3">
        <f t="shared" ca="1" si="34"/>
        <v>226</v>
      </c>
      <c r="H221" s="95">
        <f t="shared" ca="1" si="36"/>
        <v>45516</v>
      </c>
      <c r="I221" s="119">
        <f ca="1">HLOOKUP($H$4,'Met Data'!$A$2:$F$368,G221,FALSE)</f>
        <v>7.4378787878787804</v>
      </c>
      <c r="J221" s="119">
        <f ca="1">HLOOKUP($H$4,'Met Data'!$H$2:$M$368,G221,FALSE)*L221</f>
        <v>2.0151515151515098</v>
      </c>
      <c r="K221" s="96">
        <f ca="1">HLOOKUP($H$4,'Met Data'!$O$2:$T$368,G221,FALSE)</f>
        <v>1.7219137683755099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45561</v>
      </c>
      <c r="Q221">
        <f ca="1"/>
        <v>129.63920958883159</v>
      </c>
      <c r="R221">
        <f ca="1"/>
        <v>0.37595026221171002</v>
      </c>
      <c r="S221">
        <f ca="1"/>
        <v>3.9449228219098131E-2</v>
      </c>
      <c r="T221">
        <f ca="1"/>
        <v>0.26014172684000247</v>
      </c>
      <c r="U221">
        <f ca="1"/>
        <v>0</v>
      </c>
      <c r="V221">
        <f ca="1"/>
        <v>11.7161262128411</v>
      </c>
      <c r="W221">
        <f ca="1"/>
        <v>2.9799712323965299</v>
      </c>
      <c r="X221">
        <f ca="1"/>
        <v>0</v>
      </c>
      <c r="Y221">
        <f ca="1"/>
        <v>0.35833125314325254</v>
      </c>
      <c r="Z221">
        <f ca="1"/>
        <v>0</v>
      </c>
      <c r="AA221">
        <f ca="1"/>
        <v>0</v>
      </c>
      <c r="AB221">
        <f ca="1"/>
        <v>0.99711069848045497</v>
      </c>
      <c r="AD221" s="2">
        <f t="shared" ca="1" si="32"/>
        <v>45561</v>
      </c>
      <c r="AE221">
        <f t="shared" ca="1" si="33"/>
        <v>0</v>
      </c>
      <c r="AG221" s="63">
        <f t="shared" ca="1" si="37"/>
        <v>130.01515985104331</v>
      </c>
      <c r="AH221" s="63">
        <f t="shared" ca="1" si="38"/>
        <v>130.01515985104331</v>
      </c>
      <c r="AI221" s="3">
        <f t="shared" ca="1" si="39"/>
        <v>0</v>
      </c>
    </row>
    <row r="222" spans="7:35">
      <c r="G222" s="3">
        <f t="shared" ca="1" si="34"/>
        <v>227</v>
      </c>
      <c r="H222" s="95">
        <f t="shared" ca="1" si="36"/>
        <v>45517</v>
      </c>
      <c r="I222" s="119">
        <f ca="1">HLOOKUP($H$4,'Met Data'!$A$2:$F$368,G222,FALSE)</f>
        <v>7.3203125</v>
      </c>
      <c r="J222" s="119">
        <f ca="1">HLOOKUP($H$4,'Met Data'!$H$2:$M$368,G222,FALSE)*L222</f>
        <v>2.2093750000000001</v>
      </c>
      <c r="K222" s="96">
        <f ca="1">HLOOKUP($H$4,'Met Data'!$O$2:$T$368,G222,FALSE)</f>
        <v>1.6752410691035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45562</v>
      </c>
      <c r="Q222">
        <f ca="1"/>
        <v>129.5571394824496</v>
      </c>
      <c r="R222">
        <f ca="1"/>
        <v>0.37779900190872001</v>
      </c>
      <c r="S222">
        <f ca="1"/>
        <v>3.766896030046496E-2</v>
      </c>
      <c r="T222">
        <f ca="1"/>
        <v>0.25805993522624338</v>
      </c>
      <c r="U222">
        <f ca="1"/>
        <v>0</v>
      </c>
      <c r="V222">
        <f ca="1"/>
        <v>12.093925214749801</v>
      </c>
      <c r="W222">
        <f ca="1"/>
        <v>3.0760635872298399</v>
      </c>
      <c r="X222">
        <f ca="1"/>
        <v>0</v>
      </c>
      <c r="Y222">
        <f ca="1"/>
        <v>0.37133076652981495</v>
      </c>
      <c r="Z222">
        <f ca="1"/>
        <v>0</v>
      </c>
      <c r="AA222">
        <f ca="1"/>
        <v>0</v>
      </c>
      <c r="AB222">
        <f ca="1"/>
        <v>0.99767837796748704</v>
      </c>
      <c r="AD222" s="2">
        <f t="shared" ca="1" si="32"/>
        <v>45562</v>
      </c>
      <c r="AE222">
        <f t="shared" ca="1" si="33"/>
        <v>0</v>
      </c>
      <c r="AG222" s="63">
        <f t="shared" ca="1" si="37"/>
        <v>129.9349384843583</v>
      </c>
      <c r="AH222" s="63">
        <f t="shared" ca="1" si="38"/>
        <v>129.93493848435833</v>
      </c>
      <c r="AI222" s="3">
        <f t="shared" ca="1" si="39"/>
        <v>0</v>
      </c>
    </row>
    <row r="223" spans="7:35">
      <c r="G223" s="3">
        <f t="shared" ca="1" si="34"/>
        <v>228</v>
      </c>
      <c r="H223" s="95">
        <f t="shared" ca="1" si="36"/>
        <v>45518</v>
      </c>
      <c r="I223" s="119">
        <f ca="1">HLOOKUP($H$4,'Met Data'!$A$2:$F$368,G223,FALSE)</f>
        <v>6.9593749999999996</v>
      </c>
      <c r="J223" s="119">
        <f ca="1">HLOOKUP($H$4,'Met Data'!$H$2:$M$368,G223,FALSE)*L223</f>
        <v>2.0531250000000001</v>
      </c>
      <c r="K223" s="96">
        <f ca="1">HLOOKUP($H$4,'Met Data'!$O$2:$T$368,G223,FALSE)</f>
        <v>1.6478784943890401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45563</v>
      </c>
      <c r="Q223">
        <f ca="1"/>
        <v>129.46548971896485</v>
      </c>
      <c r="R223">
        <f ca="1"/>
        <v>0.38377472751391101</v>
      </c>
      <c r="S223">
        <f ca="1"/>
        <v>3.6004726493246153E-2</v>
      </c>
      <c r="T223">
        <f ca="1"/>
        <v>0.25612023753591839</v>
      </c>
      <c r="U223">
        <f ca="1"/>
        <v>0</v>
      </c>
      <c r="V223">
        <f ca="1"/>
        <v>12.477699942263699</v>
      </c>
      <c r="W223">
        <f ca="1"/>
        <v>3.1736758548801101</v>
      </c>
      <c r="X223">
        <f ca="1"/>
        <v>0</v>
      </c>
      <c r="Y223">
        <f ca="1"/>
        <v>0.37518032820085939</v>
      </c>
      <c r="Z223">
        <f ca="1"/>
        <v>0</v>
      </c>
      <c r="AA223">
        <f ca="1"/>
        <v>0</v>
      </c>
      <c r="AB223">
        <f ca="1"/>
        <v>0.99812968866110896</v>
      </c>
      <c r="AD223" s="2">
        <f t="shared" ca="1" si="32"/>
        <v>45563</v>
      </c>
      <c r="AE223">
        <f t="shared" ca="1" si="33"/>
        <v>0</v>
      </c>
      <c r="AG223" s="63">
        <f t="shared" ca="1" si="37"/>
        <v>129.84926444647877</v>
      </c>
      <c r="AH223" s="63">
        <f t="shared" ca="1" si="38"/>
        <v>129.84926444647877</v>
      </c>
      <c r="AI223" s="3">
        <f t="shared" ca="1" si="39"/>
        <v>0</v>
      </c>
    </row>
    <row r="224" spans="7:35">
      <c r="G224" s="3">
        <f t="shared" ca="1" si="34"/>
        <v>229</v>
      </c>
      <c r="H224" s="95">
        <f t="shared" ca="1" si="36"/>
        <v>45519</v>
      </c>
      <c r="I224" s="119">
        <f ca="1">HLOOKUP($H$4,'Met Data'!$A$2:$F$368,G224,FALSE)</f>
        <v>7.1937499999999996</v>
      </c>
      <c r="J224" s="119">
        <f ca="1">HLOOKUP($H$4,'Met Data'!$H$2:$M$368,G224,FALSE)*L224</f>
        <v>2.03125</v>
      </c>
      <c r="K224" s="96">
        <f ca="1">HLOOKUP($H$4,'Met Data'!$O$2:$T$368,G224,FALSE)</f>
        <v>1.7164445634915999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45564</v>
      </c>
      <c r="Q224">
        <f ca="1"/>
        <v>129.33743615399914</v>
      </c>
      <c r="R224">
        <f ca="1"/>
        <v>0.44144815316231101</v>
      </c>
      <c r="S224">
        <f ca="1"/>
        <v>3.7333953914640006E-2</v>
      </c>
      <c r="T224">
        <f ca="1"/>
        <v>0.27606063428195565</v>
      </c>
      <c r="U224">
        <f ca="1"/>
        <v>0</v>
      </c>
      <c r="V224">
        <f ca="1"/>
        <v>12.919148095425999</v>
      </c>
      <c r="W224">
        <f ca="1"/>
        <v>3.2859572329670499</v>
      </c>
      <c r="X224">
        <f ca="1"/>
        <v>0</v>
      </c>
      <c r="Y224">
        <f ca="1"/>
        <v>0.34391255184497288</v>
      </c>
      <c r="Z224">
        <f ca="1"/>
        <v>0</v>
      </c>
      <c r="AA224">
        <f ca="1"/>
        <v>0</v>
      </c>
      <c r="AB224">
        <f ca="1"/>
        <v>0.99853105605877801</v>
      </c>
      <c r="AD224" s="2">
        <f t="shared" ca="1" si="32"/>
        <v>45564</v>
      </c>
      <c r="AE224">
        <f t="shared" ca="1" si="33"/>
        <v>0</v>
      </c>
      <c r="AG224" s="63">
        <f t="shared" ca="1" si="37"/>
        <v>129.77888430716143</v>
      </c>
      <c r="AH224" s="63">
        <f t="shared" ca="1" si="38"/>
        <v>129.77888430716143</v>
      </c>
      <c r="AI224" s="3">
        <f t="shared" ca="1" si="39"/>
        <v>0</v>
      </c>
    </row>
    <row r="225" spans="7:35">
      <c r="G225" s="3">
        <f t="shared" ca="1" si="34"/>
        <v>230</v>
      </c>
      <c r="H225" s="95">
        <f t="shared" ca="1" si="36"/>
        <v>45520</v>
      </c>
      <c r="I225" s="119">
        <f ca="1">HLOOKUP($H$4,'Met Data'!$A$2:$F$368,G225,FALSE)</f>
        <v>7.7437500000000004</v>
      </c>
      <c r="J225" s="119">
        <f ca="1">HLOOKUP($H$4,'Met Data'!$H$2:$M$368,G225,FALSE)*L225</f>
        <v>2.4874999999999998</v>
      </c>
      <c r="K225" s="96">
        <f ca="1">HLOOKUP($H$4,'Met Data'!$O$2:$T$368,G225,FALSE)</f>
        <v>1.83858279668266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45565</v>
      </c>
      <c r="Q225">
        <f ca="1"/>
        <v>129.18356643330065</v>
      </c>
      <c r="R225">
        <f ca="1"/>
        <v>0.45675842358318702</v>
      </c>
      <c r="S225">
        <f ca="1"/>
        <v>3.485024120496405E-2</v>
      </c>
      <c r="T225">
        <f ca="1"/>
        <v>0.26803846167977502</v>
      </c>
      <c r="U225">
        <f ca="1"/>
        <v>0</v>
      </c>
      <c r="V225">
        <f ca="1"/>
        <v>13.375906519009201</v>
      </c>
      <c r="W225">
        <f ca="1"/>
        <v>3.4021327450523402</v>
      </c>
      <c r="X225">
        <f ca="1"/>
        <v>0</v>
      </c>
      <c r="Y225">
        <f ca="1"/>
        <v>0.31617380632861614</v>
      </c>
      <c r="Z225">
        <f ca="1"/>
        <v>0</v>
      </c>
      <c r="AA225">
        <f ca="1"/>
        <v>0</v>
      </c>
      <c r="AB225">
        <f ca="1"/>
        <v>0.99884732811076604</v>
      </c>
      <c r="AD225" s="2">
        <f t="shared" ca="1" si="32"/>
        <v>45565</v>
      </c>
      <c r="AE225">
        <f t="shared" ca="1" si="33"/>
        <v>0</v>
      </c>
      <c r="AG225" s="63">
        <f t="shared" ca="1" si="37"/>
        <v>129.64032485688386</v>
      </c>
      <c r="AH225" s="63">
        <f t="shared" ca="1" si="38"/>
        <v>129.64032485688384</v>
      </c>
      <c r="AI225" s="3">
        <f t="shared" ca="1" si="39"/>
        <v>0</v>
      </c>
    </row>
    <row r="226" spans="7:35">
      <c r="G226" s="3">
        <f t="shared" ca="1" si="34"/>
        <v>231</v>
      </c>
      <c r="H226" s="95">
        <f t="shared" ca="1" si="36"/>
        <v>45521</v>
      </c>
      <c r="I226" s="119">
        <f ca="1">HLOOKUP($H$4,'Met Data'!$A$2:$F$368,G226,FALSE)</f>
        <v>7.8</v>
      </c>
      <c r="J226" s="119">
        <f ca="1">HLOOKUP($H$4,'Met Data'!$H$2:$M$368,G226,FALSE)*L226</f>
        <v>2.4656250000000002</v>
      </c>
      <c r="K226" s="96">
        <f ca="1">HLOOKUP($H$4,'Met Data'!$O$2:$T$368,G226,FALSE)</f>
        <v>1.65941446777998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45566</v>
      </c>
      <c r="Q226">
        <f ca="1"/>
        <v>129.00451092616137</v>
      </c>
      <c r="R226">
        <f ca="1"/>
        <v>0.48367766200151302</v>
      </c>
      <c r="S226">
        <f ca="1"/>
        <v>3.3867038230965818E-2</v>
      </c>
      <c r="T226">
        <f ca="1"/>
        <v>0.27075511663124041</v>
      </c>
      <c r="U226">
        <f ca="1"/>
        <v>0</v>
      </c>
      <c r="V226">
        <f ca="1"/>
        <v>13.8595841810107</v>
      </c>
      <c r="W226">
        <f ca="1"/>
        <v>3.5251551069092502</v>
      </c>
      <c r="X226">
        <f ca="1"/>
        <v>0</v>
      </c>
      <c r="Y226">
        <f ca="1"/>
        <v>0.30064394126539445</v>
      </c>
      <c r="Z226">
        <f ca="1"/>
        <v>0</v>
      </c>
      <c r="AA226">
        <f ca="1"/>
        <v>0</v>
      </c>
      <c r="AB226">
        <f ca="1"/>
        <v>0.99910140683680804</v>
      </c>
      <c r="AD226" s="2">
        <f t="shared" ca="1" si="32"/>
        <v>45566</v>
      </c>
      <c r="AE226">
        <f t="shared" ca="1" si="33"/>
        <v>0</v>
      </c>
      <c r="AG226" s="63">
        <f t="shared" ca="1" si="37"/>
        <v>129.48818858816287</v>
      </c>
      <c r="AH226" s="63">
        <f t="shared" ca="1" si="38"/>
        <v>129.4881885881629</v>
      </c>
      <c r="AI226" s="3">
        <f t="shared" ca="1" si="39"/>
        <v>0</v>
      </c>
    </row>
    <row r="227" spans="7:35">
      <c r="G227" s="3">
        <f t="shared" ca="1" si="34"/>
        <v>232</v>
      </c>
      <c r="H227" s="95">
        <f t="shared" ca="1" si="36"/>
        <v>45522</v>
      </c>
      <c r="I227" s="119">
        <f ca="1">HLOOKUP($H$4,'Met Data'!$A$2:$F$368,G227,FALSE)</f>
        <v>7.5171875000000004</v>
      </c>
      <c r="J227" s="119">
        <f ca="1">HLOOKUP($H$4,'Met Data'!$H$2:$M$368,G227,FALSE)*L227</f>
        <v>2.0375000000000001</v>
      </c>
      <c r="K227" s="96">
        <f ca="1">HLOOKUP($H$4,'Met Data'!$O$2:$T$368,G227,FALSE)</f>
        <v>1.8302956478085199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45567</v>
      </c>
      <c r="Q227">
        <f ca="1"/>
        <v>128.828930031109</v>
      </c>
      <c r="R227">
        <f ca="1"/>
        <v>0.46668817995294498</v>
      </c>
      <c r="S227">
        <f ca="1"/>
        <v>3.1291533160128893E-2</v>
      </c>
      <c r="T227">
        <f ca="1"/>
        <v>0.25981575174045085</v>
      </c>
      <c r="U227">
        <f ca="1"/>
        <v>0</v>
      </c>
      <c r="V227">
        <f ca="1"/>
        <v>14.326272360963699</v>
      </c>
      <c r="W227">
        <f ca="1"/>
        <v>3.6438562309407598</v>
      </c>
      <c r="X227">
        <f ca="1"/>
        <v>0</v>
      </c>
      <c r="Y227">
        <f ca="1"/>
        <v>0.32477529578239867</v>
      </c>
      <c r="Z227">
        <f ca="1"/>
        <v>0</v>
      </c>
      <c r="AA227">
        <f ca="1"/>
        <v>0</v>
      </c>
      <c r="AB227">
        <f ca="1"/>
        <v>0.999288323368967</v>
      </c>
      <c r="AD227" s="2">
        <f t="shared" ca="1" si="32"/>
        <v>45567</v>
      </c>
      <c r="AE227">
        <f t="shared" ca="1" si="33"/>
        <v>0</v>
      </c>
      <c r="AG227" s="63">
        <f t="shared" ca="1" si="37"/>
        <v>129.29561821106196</v>
      </c>
      <c r="AH227" s="63">
        <f t="shared" ca="1" si="38"/>
        <v>129.29561821106194</v>
      </c>
      <c r="AI227" s="3">
        <f t="shared" ca="1" si="39"/>
        <v>0</v>
      </c>
    </row>
    <row r="228" spans="7:35">
      <c r="G228" s="3">
        <f t="shared" ca="1" si="34"/>
        <v>233</v>
      </c>
      <c r="H228" s="95">
        <f t="shared" ca="1" si="36"/>
        <v>45523</v>
      </c>
      <c r="I228" s="119">
        <f ca="1">HLOOKUP($H$4,'Met Data'!$A$2:$F$368,G228,FALSE)</f>
        <v>7.5671875000000002</v>
      </c>
      <c r="J228" s="119">
        <f ca="1">HLOOKUP($H$4,'Met Data'!$H$2:$M$368,G228,FALSE)*L228</f>
        <v>1.278125</v>
      </c>
      <c r="K228" s="96">
        <f ca="1">HLOOKUP($H$4,'Met Data'!$O$2:$T$368,G228,FALSE)</f>
        <v>1.86992300057723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45568</v>
      </c>
      <c r="Q228">
        <f ca="1"/>
        <v>128.6513802814265</v>
      </c>
      <c r="R228">
        <f ca="1"/>
        <v>0.46806243642692602</v>
      </c>
      <c r="S228">
        <f ca="1"/>
        <v>3.0215806863338912E-2</v>
      </c>
      <c r="T228">
        <f ca="1"/>
        <v>0.26029687988110478</v>
      </c>
      <c r="U228">
        <f ca="1"/>
        <v>0</v>
      </c>
      <c r="V228">
        <f ca="1"/>
        <v>14.794334797390601</v>
      </c>
      <c r="W228">
        <f ca="1"/>
        <v>3.7629068941189101</v>
      </c>
      <c r="X228">
        <f ca="1"/>
        <v>0</v>
      </c>
      <c r="Y228">
        <f ca="1"/>
        <v>0.34812386867534506</v>
      </c>
      <c r="Z228">
        <f ca="1"/>
        <v>0</v>
      </c>
      <c r="AA228">
        <f ca="1"/>
        <v>0</v>
      </c>
      <c r="AB228">
        <f ca="1"/>
        <v>0.99943306784344099</v>
      </c>
      <c r="AD228" s="2">
        <f t="shared" ca="1" si="32"/>
        <v>45568</v>
      </c>
      <c r="AE228">
        <f t="shared" ca="1" si="33"/>
        <v>0</v>
      </c>
      <c r="AG228" s="63">
        <f t="shared" ca="1" si="37"/>
        <v>129.11944271785345</v>
      </c>
      <c r="AH228" s="63">
        <f t="shared" ca="1" si="38"/>
        <v>129.11944271785342</v>
      </c>
      <c r="AI228" s="3">
        <f t="shared" ca="1" si="39"/>
        <v>0</v>
      </c>
    </row>
    <row r="229" spans="7:35">
      <c r="G229" s="3">
        <f t="shared" ca="1" si="34"/>
        <v>234</v>
      </c>
      <c r="H229" s="95">
        <f t="shared" ca="1" si="36"/>
        <v>45524</v>
      </c>
      <c r="I229" s="119">
        <f ca="1">HLOOKUP($H$4,'Met Data'!$A$2:$F$368,G229,FALSE)</f>
        <v>7.2593750000000004</v>
      </c>
      <c r="J229" s="119">
        <f ca="1">HLOOKUP($H$4,'Met Data'!$H$2:$M$368,G229,FALSE)*L229</f>
        <v>2.7843749999999998</v>
      </c>
      <c r="K229" s="96">
        <f ca="1">HLOOKUP($H$4,'Met Data'!$O$2:$T$368,G229,FALSE)</f>
        <v>1.7326605302545099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45569</v>
      </c>
      <c r="Q229">
        <f ca="1"/>
        <v>128.458654673909</v>
      </c>
      <c r="R229">
        <f ca="1"/>
        <v>0.47753283980398598</v>
      </c>
      <c r="S229">
        <f ca="1"/>
        <v>2.8672689808786345E-2</v>
      </c>
      <c r="T229">
        <f ca="1"/>
        <v>0.25613454247769651</v>
      </c>
      <c r="U229">
        <f ca="1"/>
        <v>0</v>
      </c>
      <c r="V229">
        <f ca="1"/>
        <v>15.2718676371946</v>
      </c>
      <c r="W229">
        <f ca="1"/>
        <v>3.8843663338081802</v>
      </c>
      <c r="X229">
        <f ca="1"/>
        <v>0</v>
      </c>
      <c r="Y229">
        <f ca="1"/>
        <v>0.34119163235126504</v>
      </c>
      <c r="Z229">
        <f ca="1"/>
        <v>0</v>
      </c>
      <c r="AA229">
        <f ca="1"/>
        <v>0</v>
      </c>
      <c r="AB229">
        <f ca="1"/>
        <v>0.99954760652531405</v>
      </c>
      <c r="AD229" s="2">
        <f t="shared" ca="1" si="32"/>
        <v>45569</v>
      </c>
      <c r="AE229">
        <f t="shared" ca="1" si="33"/>
        <v>0</v>
      </c>
      <c r="AG229" s="63">
        <f t="shared" ca="1" si="37"/>
        <v>128.93618751371298</v>
      </c>
      <c r="AH229" s="63">
        <f t="shared" ca="1" si="38"/>
        <v>128.93618751371298</v>
      </c>
      <c r="AI229" s="3">
        <f t="shared" ca="1" si="39"/>
        <v>0</v>
      </c>
    </row>
    <row r="230" spans="7:35">
      <c r="G230" s="3">
        <f t="shared" ca="1" si="34"/>
        <v>235</v>
      </c>
      <c r="H230" s="95">
        <f t="shared" ca="1" si="36"/>
        <v>45525</v>
      </c>
      <c r="I230" s="119">
        <f ca="1">HLOOKUP($H$4,'Met Data'!$A$2:$F$368,G230,FALSE)</f>
        <v>7.5062499999999996</v>
      </c>
      <c r="J230" s="119">
        <f ca="1">HLOOKUP($H$4,'Met Data'!$H$2:$M$368,G230,FALSE)*L230</f>
        <v>3.6281249999999998</v>
      </c>
      <c r="K230" s="96">
        <f ca="1">HLOOKUP($H$4,'Met Data'!$O$2:$T$368,G230,FALSE)</f>
        <v>1.7739522546512301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45570</v>
      </c>
      <c r="Q230">
        <f ca="1"/>
        <v>128.23406890243456</v>
      </c>
      <c r="R230">
        <f ca="1"/>
        <v>0.51802815145890502</v>
      </c>
      <c r="S230">
        <f ca="1"/>
        <v>2.8590840411652607E-2</v>
      </c>
      <c r="T230">
        <f ca="1"/>
        <v>0.26485153957281837</v>
      </c>
      <c r="U230">
        <f ca="1"/>
        <v>0</v>
      </c>
      <c r="V230">
        <f ca="1"/>
        <v>15.789895788653499</v>
      </c>
      <c r="W230">
        <f ca="1"/>
        <v>4.0161256679835997</v>
      </c>
      <c r="X230">
        <f ca="1"/>
        <v>0</v>
      </c>
      <c r="Y230">
        <f ca="1"/>
        <v>0.32311423416373553</v>
      </c>
      <c r="Z230">
        <f ca="1"/>
        <v>0</v>
      </c>
      <c r="AA230">
        <f ca="1"/>
        <v>0</v>
      </c>
      <c r="AB230">
        <f ca="1"/>
        <v>0.99964345350528205</v>
      </c>
      <c r="AD230" s="2">
        <f t="shared" ca="1" si="32"/>
        <v>45570</v>
      </c>
      <c r="AE230">
        <f t="shared" ca="1" si="33"/>
        <v>0</v>
      </c>
      <c r="AG230" s="63">
        <f t="shared" ca="1" si="37"/>
        <v>128.75209705389346</v>
      </c>
      <c r="AH230" s="63">
        <f t="shared" ca="1" si="38"/>
        <v>128.75209705389346</v>
      </c>
      <c r="AI230" s="3">
        <f t="shared" ca="1" si="39"/>
        <v>0</v>
      </c>
    </row>
    <row r="231" spans="7:35">
      <c r="G231" s="3">
        <f t="shared" ca="1" si="34"/>
        <v>236</v>
      </c>
      <c r="H231" s="95">
        <f t="shared" ca="1" si="36"/>
        <v>45526</v>
      </c>
      <c r="I231" s="119">
        <f ca="1">HLOOKUP($H$4,'Met Data'!$A$2:$F$368,G231,FALSE)</f>
        <v>7.6363636363636296</v>
      </c>
      <c r="J231" s="119">
        <f ca="1">HLOOKUP($H$4,'Met Data'!$H$2:$M$368,G231,FALSE)*L231</f>
        <v>2.0787878787878702</v>
      </c>
      <c r="K231" s="96">
        <f ca="1">HLOOKUP($H$4,'Met Data'!$O$2:$T$368,G231,FALSE)</f>
        <v>1.8600874849981099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45571</v>
      </c>
      <c r="Q231">
        <f ca="1"/>
        <v>127.9878448994739</v>
      </c>
      <c r="R231">
        <f ca="1"/>
        <v>0.53719058039886403</v>
      </c>
      <c r="S231">
        <f ca="1"/>
        <v>2.7428338447009537E-2</v>
      </c>
      <c r="T231">
        <f ca="1"/>
        <v>0.26353823899118267</v>
      </c>
      <c r="U231">
        <f ca="1"/>
        <v>0</v>
      </c>
      <c r="V231">
        <f ca="1"/>
        <v>16.327086369052299</v>
      </c>
      <c r="W231">
        <f ca="1"/>
        <v>4.1527589243024403</v>
      </c>
      <c r="X231">
        <f ca="1"/>
        <v>0</v>
      </c>
      <c r="Y231">
        <f ca="1"/>
        <v>0.31195302762081073</v>
      </c>
      <c r="Z231">
        <f ca="1"/>
        <v>0</v>
      </c>
      <c r="AA231">
        <f ca="1"/>
        <v>0</v>
      </c>
      <c r="AB231">
        <f ca="1"/>
        <v>0.99971952069516101</v>
      </c>
      <c r="AD231" s="2">
        <f t="shared" ca="1" si="32"/>
        <v>45571</v>
      </c>
      <c r="AE231">
        <f t="shared" ca="1" si="33"/>
        <v>0</v>
      </c>
      <c r="AG231" s="63">
        <f t="shared" ca="1" si="37"/>
        <v>128.52503547987274</v>
      </c>
      <c r="AH231" s="63">
        <f t="shared" ca="1" si="38"/>
        <v>128.52503547987277</v>
      </c>
      <c r="AI231" s="3">
        <f t="shared" ca="1" si="39"/>
        <v>0</v>
      </c>
    </row>
    <row r="232" spans="7:35">
      <c r="G232" s="3">
        <f t="shared" ca="1" si="34"/>
        <v>237</v>
      </c>
      <c r="H232" s="95">
        <f t="shared" ca="1" si="36"/>
        <v>45527</v>
      </c>
      <c r="I232" s="119">
        <f ca="1">HLOOKUP($H$4,'Met Data'!$A$2:$F$368,G232,FALSE)</f>
        <v>8.1045454545454501</v>
      </c>
      <c r="J232" s="119">
        <f ca="1">HLOOKUP($H$4,'Met Data'!$H$2:$M$368,G232,FALSE)*L232</f>
        <v>0.324242424242424</v>
      </c>
      <c r="K232" s="96">
        <f ca="1">HLOOKUP($H$4,'Met Data'!$O$2:$T$368,G232,FALSE)</f>
        <v>1.9096330242923301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45572</v>
      </c>
      <c r="Q232">
        <f ca="1"/>
        <v>127.75610113752229</v>
      </c>
      <c r="R232">
        <f ca="1"/>
        <v>0.51652775255735195</v>
      </c>
      <c r="S232">
        <f ca="1"/>
        <v>2.5987501543909275E-2</v>
      </c>
      <c r="T232">
        <f ca="1"/>
        <v>0.2587964890618355</v>
      </c>
      <c r="U232">
        <f ca="1"/>
        <v>0</v>
      </c>
      <c r="V232">
        <f ca="1"/>
        <v>16.843614121609701</v>
      </c>
      <c r="W232">
        <f ca="1"/>
        <v>4.2841366352789896</v>
      </c>
      <c r="X232">
        <f ca="1"/>
        <v>0</v>
      </c>
      <c r="Y232">
        <f ca="1"/>
        <v>0.35432276977817123</v>
      </c>
      <c r="Z232">
        <f ca="1"/>
        <v>0</v>
      </c>
      <c r="AA232">
        <f ca="1"/>
        <v>0</v>
      </c>
      <c r="AB232">
        <f ca="1"/>
        <v>0.99977592235928603</v>
      </c>
      <c r="AD232" s="2">
        <f t="shared" ca="1" si="32"/>
        <v>45572</v>
      </c>
      <c r="AE232">
        <f t="shared" ca="1" si="33"/>
        <v>0</v>
      </c>
      <c r="AG232" s="63">
        <f t="shared" ca="1" si="37"/>
        <v>128.27262889007963</v>
      </c>
      <c r="AH232" s="63">
        <f t="shared" ca="1" si="38"/>
        <v>128.27262889007966</v>
      </c>
      <c r="AI232" s="3">
        <f t="shared" ca="1" si="39"/>
        <v>0</v>
      </c>
    </row>
    <row r="233" spans="7:35">
      <c r="G233" s="3">
        <f t="shared" ca="1" si="34"/>
        <v>238</v>
      </c>
      <c r="H233" s="95">
        <f t="shared" ca="1" si="36"/>
        <v>45528</v>
      </c>
      <c r="I233" s="119">
        <f ca="1">HLOOKUP($H$4,'Met Data'!$A$2:$F$368,G233,FALSE)</f>
        <v>8.2954545454545396</v>
      </c>
      <c r="J233" s="119">
        <f ca="1">HLOOKUP($H$4,'Met Data'!$H$2:$M$368,G233,FALSE)*L233</f>
        <v>1.3424242424242401</v>
      </c>
      <c r="K233" s="96">
        <f ca="1">HLOOKUP($H$4,'Met Data'!$O$2:$T$368,G233,FALSE)</f>
        <v>1.9397244182821201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45573</v>
      </c>
      <c r="Q233">
        <f ca="1"/>
        <v>127.5238874676638</v>
      </c>
      <c r="R233">
        <f ca="1"/>
        <v>0.51396218022074802</v>
      </c>
      <c r="S233">
        <f ca="1"/>
        <v>2.4903847681741809E-2</v>
      </c>
      <c r="T233">
        <f ca="1"/>
        <v>0.25684466268050793</v>
      </c>
      <c r="U233">
        <f ca="1"/>
        <v>0</v>
      </c>
      <c r="V233">
        <f ca="1"/>
        <v>17.357576301830399</v>
      </c>
      <c r="W233">
        <f ca="1"/>
        <v>4.4148617985090501</v>
      </c>
      <c r="X233">
        <f ca="1"/>
        <v>0</v>
      </c>
      <c r="Y233">
        <f ca="1"/>
        <v>0.37326418447456267</v>
      </c>
      <c r="Z233">
        <f ca="1"/>
        <v>0</v>
      </c>
      <c r="AA233">
        <f ca="1"/>
        <v>0</v>
      </c>
      <c r="AB233">
        <f ca="1"/>
        <v>0.999819761208248</v>
      </c>
      <c r="AD233" s="2">
        <f t="shared" ca="1" si="32"/>
        <v>45573</v>
      </c>
      <c r="AE233">
        <f t="shared" ca="1" si="33"/>
        <v>0</v>
      </c>
      <c r="AG233" s="63">
        <f t="shared" ca="1" si="37"/>
        <v>128.03784964788454</v>
      </c>
      <c r="AH233" s="63">
        <f t="shared" ca="1" si="38"/>
        <v>128.03784964788454</v>
      </c>
      <c r="AI233" s="3">
        <f t="shared" ca="1" si="39"/>
        <v>0</v>
      </c>
    </row>
    <row r="234" spans="7:35">
      <c r="G234" s="3">
        <f t="shared" ca="1" si="34"/>
        <v>239</v>
      </c>
      <c r="H234" s="95">
        <f t="shared" ca="1" si="36"/>
        <v>45529</v>
      </c>
      <c r="I234" s="119">
        <f ca="1">HLOOKUP($H$4,'Met Data'!$A$2:$F$368,G234,FALSE)</f>
        <v>8.2378787878787794</v>
      </c>
      <c r="J234" s="119">
        <f ca="1">HLOOKUP($H$4,'Met Data'!$H$2:$M$368,G234,FALSE)*L234</f>
        <v>2.47272727272727</v>
      </c>
      <c r="K234" s="96">
        <f ca="1">HLOOKUP($H$4,'Met Data'!$O$2:$T$368,G234,FALSE)</f>
        <v>1.7062659547971699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45574</v>
      </c>
      <c r="Q234">
        <f ca="1"/>
        <v>127.28316406764714</v>
      </c>
      <c r="R234">
        <f ca="1"/>
        <v>0.52352793003408105</v>
      </c>
      <c r="S234">
        <f ca="1"/>
        <v>2.4218208736670022E-2</v>
      </c>
      <c r="T234">
        <f ca="1"/>
        <v>0.25858632128075676</v>
      </c>
      <c r="U234">
        <f ca="1"/>
        <v>0</v>
      </c>
      <c r="V234">
        <f ca="1"/>
        <v>17.881104231864501</v>
      </c>
      <c r="W234">
        <f ca="1"/>
        <v>4.5480199894090196</v>
      </c>
      <c r="X234">
        <f ca="1"/>
        <v>0</v>
      </c>
      <c r="Y234">
        <f ca="1"/>
        <v>0.38397069949978424</v>
      </c>
      <c r="Z234">
        <f ca="1"/>
        <v>0</v>
      </c>
      <c r="AA234">
        <f ca="1"/>
        <v>0</v>
      </c>
      <c r="AB234">
        <f ca="1"/>
        <v>0.99985481664521103</v>
      </c>
      <c r="AD234" s="2">
        <f t="shared" ca="1" si="32"/>
        <v>45574</v>
      </c>
      <c r="AE234">
        <f t="shared" ca="1" si="33"/>
        <v>0</v>
      </c>
      <c r="AG234" s="63">
        <f t="shared" ca="1" si="37"/>
        <v>127.80669199768123</v>
      </c>
      <c r="AH234" s="63">
        <f t="shared" ca="1" si="38"/>
        <v>127.80669199768121</v>
      </c>
      <c r="AI234" s="3">
        <f t="shared" ca="1" si="39"/>
        <v>0</v>
      </c>
    </row>
    <row r="235" spans="7:35">
      <c r="G235" s="3">
        <f t="shared" ca="1" si="34"/>
        <v>240</v>
      </c>
      <c r="H235" s="95">
        <f t="shared" ca="1" si="36"/>
        <v>45530</v>
      </c>
      <c r="I235" s="119">
        <f ca="1">HLOOKUP($H$4,'Met Data'!$A$2:$F$368,G235,FALSE)</f>
        <v>8.2484848484848392</v>
      </c>
      <c r="J235" s="119">
        <f ca="1">HLOOKUP($H$4,'Met Data'!$H$2:$M$368,G235,FALSE)*L235</f>
        <v>2.9151515151515102</v>
      </c>
      <c r="K235" s="96">
        <f ca="1">HLOOKUP($H$4,'Met Data'!$O$2:$T$368,G235,FALSE)</f>
        <v>1.9297175584059301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45575</v>
      </c>
      <c r="Q235">
        <f ca="1"/>
        <v>127.00901323859506</v>
      </c>
      <c r="R235">
        <f ca="1"/>
        <v>0.57378222035975002</v>
      </c>
      <c r="S235">
        <f ca="1"/>
        <v>2.4838126024178564E-2</v>
      </c>
      <c r="T235">
        <f ca="1"/>
        <v>0.27479326528350195</v>
      </c>
      <c r="U235">
        <f ca="1"/>
        <v>0</v>
      </c>
      <c r="V235">
        <f ca="1"/>
        <v>18.454886452224301</v>
      </c>
      <c r="W235">
        <f ca="1"/>
        <v>4.6939602498048698</v>
      </c>
      <c r="X235">
        <f ca="1"/>
        <v>0</v>
      </c>
      <c r="Y235">
        <f ca="1"/>
        <v>0.37924092539041138</v>
      </c>
      <c r="Z235">
        <f ca="1"/>
        <v>0</v>
      </c>
      <c r="AA235">
        <f ca="1"/>
        <v>0</v>
      </c>
      <c r="AB235">
        <f ca="1"/>
        <v>0.99988477180935298</v>
      </c>
      <c r="AD235" s="2">
        <f t="shared" ca="1" si="32"/>
        <v>45575</v>
      </c>
      <c r="AE235">
        <f t="shared" ca="1" si="33"/>
        <v>0</v>
      </c>
      <c r="AG235" s="63">
        <f t="shared" ca="1" si="37"/>
        <v>127.58279545895482</v>
      </c>
      <c r="AH235" s="63">
        <f t="shared" ca="1" si="38"/>
        <v>127.58279545895481</v>
      </c>
      <c r="AI235" s="3">
        <f t="shared" ca="1" si="39"/>
        <v>0</v>
      </c>
    </row>
    <row r="236" spans="7:35">
      <c r="G236" s="3">
        <f t="shared" ca="1" si="34"/>
        <v>241</v>
      </c>
      <c r="H236" s="95">
        <f t="shared" ca="1" si="36"/>
        <v>45531</v>
      </c>
      <c r="I236" s="119">
        <f ca="1">HLOOKUP($H$4,'Met Data'!$A$2:$F$368,G236,FALSE)</f>
        <v>8.5593939393939298</v>
      </c>
      <c r="J236" s="119">
        <f ca="1">HLOOKUP($H$4,'Met Data'!$H$2:$M$368,G236,FALSE)*L236</f>
        <v>1.8696969696969601</v>
      </c>
      <c r="K236" s="96">
        <f ca="1">HLOOKUP($H$4,'Met Data'!$O$2:$T$368,G236,FALSE)</f>
        <v>2.0109048192884398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45576</v>
      </c>
      <c r="Q236">
        <f ca="1"/>
        <v>126.68367739762002</v>
      </c>
      <c r="R236">
        <f ca="1"/>
        <v>0.65923821138614602</v>
      </c>
      <c r="S236">
        <f ca="1"/>
        <v>2.6722053043982896E-2</v>
      </c>
      <c r="T236">
        <f ca="1"/>
        <v>0.30718031736710949</v>
      </c>
      <c r="U236">
        <f ca="1"/>
        <v>0</v>
      </c>
      <c r="V236">
        <f ca="1"/>
        <v>19.114124663610401</v>
      </c>
      <c r="W236">
        <f ca="1"/>
        <v>4.8616360557443903</v>
      </c>
      <c r="X236">
        <f ca="1"/>
        <v>0</v>
      </c>
      <c r="Y236">
        <f ca="1"/>
        <v>0.3735254111147332</v>
      </c>
      <c r="Z236">
        <f ca="1"/>
        <v>0</v>
      </c>
      <c r="AA236">
        <f ca="1"/>
        <v>0</v>
      </c>
      <c r="AB236">
        <f ca="1"/>
        <v>0.999911001398335</v>
      </c>
      <c r="AD236" s="2">
        <f t="shared" ca="1" si="32"/>
        <v>45576</v>
      </c>
      <c r="AE236">
        <f t="shared" ca="1" si="33"/>
        <v>0</v>
      </c>
      <c r="AG236" s="63">
        <f t="shared" ca="1" si="37"/>
        <v>127.34291560900616</v>
      </c>
      <c r="AH236" s="63">
        <f t="shared" ca="1" si="38"/>
        <v>127.34291560900616</v>
      </c>
      <c r="AI236" s="3">
        <f t="shared" ca="1" si="39"/>
        <v>0</v>
      </c>
    </row>
    <row r="237" spans="7:35">
      <c r="G237" s="3">
        <f t="shared" ca="1" si="34"/>
        <v>242</v>
      </c>
      <c r="H237" s="95">
        <f t="shared" ca="1" si="36"/>
        <v>45532</v>
      </c>
      <c r="I237" s="119">
        <f ca="1">HLOOKUP($H$4,'Met Data'!$A$2:$F$368,G237,FALSE)</f>
        <v>8.2121212121212093</v>
      </c>
      <c r="J237" s="119">
        <f ca="1">HLOOKUP($H$4,'Met Data'!$H$2:$M$368,G237,FALSE)*L237</f>
        <v>2.1333333333333302</v>
      </c>
      <c r="K237" s="96">
        <f ca="1">HLOOKUP($H$4,'Met Data'!$O$2:$T$368,G237,FALSE)</f>
        <v>1.9004966666128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45577</v>
      </c>
      <c r="Q237">
        <f ca="1"/>
        <v>126.36253454637853</v>
      </c>
      <c r="R237">
        <f ca="1"/>
        <v>0.64595713825376</v>
      </c>
      <c r="S237">
        <f ca="1"/>
        <v>2.5066334563973669E-2</v>
      </c>
      <c r="T237">
        <f ca="1"/>
        <v>0.29974795244829178</v>
      </c>
      <c r="U237">
        <f ca="1"/>
        <v>0</v>
      </c>
      <c r="V237">
        <f ca="1"/>
        <v>19.760081801864199</v>
      </c>
      <c r="W237">
        <f ca="1"/>
        <v>5.0259338496045798</v>
      </c>
      <c r="X237">
        <f ca="1"/>
        <v>0</v>
      </c>
      <c r="Y237">
        <f ca="1"/>
        <v>0.39593536743994789</v>
      </c>
      <c r="Z237">
        <f ca="1"/>
        <v>0</v>
      </c>
      <c r="AA237">
        <f ca="1"/>
        <v>0</v>
      </c>
      <c r="AB237">
        <f ca="1"/>
        <v>0.99993041797946103</v>
      </c>
      <c r="AD237" s="2">
        <f t="shared" ca="1" si="32"/>
        <v>45577</v>
      </c>
      <c r="AE237">
        <f t="shared" ca="1" si="33"/>
        <v>0</v>
      </c>
      <c r="AG237" s="63">
        <f t="shared" ca="1" si="37"/>
        <v>127.00849168463228</v>
      </c>
      <c r="AH237" s="63">
        <f t="shared" ca="1" si="38"/>
        <v>127.00849168463229</v>
      </c>
      <c r="AI237" s="3">
        <f t="shared" ca="1" si="39"/>
        <v>0</v>
      </c>
    </row>
    <row r="238" spans="7:35">
      <c r="G238" s="3">
        <f t="shared" ca="1" si="34"/>
        <v>243</v>
      </c>
      <c r="H238" s="95">
        <f t="shared" ca="1" si="36"/>
        <v>45533</v>
      </c>
      <c r="I238" s="119">
        <f ca="1">HLOOKUP($H$4,'Met Data'!$A$2:$F$368,G238,FALSE)</f>
        <v>8.8015151515151508</v>
      </c>
      <c r="J238" s="119">
        <f ca="1">HLOOKUP($H$4,'Met Data'!$H$2:$M$368,G238,FALSE)*L238</f>
        <v>1.3060606060605999</v>
      </c>
      <c r="K238" s="96">
        <f ca="1">HLOOKUP($H$4,'Met Data'!$O$2:$T$368,G238,FALSE)</f>
        <v>2.0203052831425601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45578</v>
      </c>
      <c r="Q238">
        <f ca="1"/>
        <v>126.03079313634834</v>
      </c>
      <c r="R238">
        <f ca="1"/>
        <v>0.64247065642282697</v>
      </c>
      <c r="S238">
        <f ca="1"/>
        <v>2.315847309054675E-2</v>
      </c>
      <c r="T238">
        <f ca="1"/>
        <v>0.28757077330209679</v>
      </c>
      <c r="U238">
        <f ca="1"/>
        <v>0</v>
      </c>
      <c r="V238">
        <f ca="1"/>
        <v>20.402552458287001</v>
      </c>
      <c r="W238">
        <f ca="1"/>
        <v>5.1893448643903897</v>
      </c>
      <c r="X238">
        <f ca="1"/>
        <v>0</v>
      </c>
      <c r="Y238">
        <f ca="1"/>
        <v>0.3897859568494908</v>
      </c>
      <c r="Z238">
        <f ca="1"/>
        <v>0</v>
      </c>
      <c r="AA238">
        <f ca="1"/>
        <v>0</v>
      </c>
      <c r="AB238">
        <f ca="1"/>
        <v>0.999945177026488</v>
      </c>
      <c r="AD238" s="2">
        <f t="shared" ca="1" si="32"/>
        <v>45578</v>
      </c>
      <c r="AE238">
        <f t="shared" ca="1" si="33"/>
        <v>0</v>
      </c>
      <c r="AG238" s="63">
        <f t="shared" ca="1" si="37"/>
        <v>126.67326379277117</v>
      </c>
      <c r="AH238" s="63">
        <f t="shared" ca="1" si="38"/>
        <v>126.67326379277117</v>
      </c>
      <c r="AI238" s="3">
        <f t="shared" ca="1" si="39"/>
        <v>0</v>
      </c>
    </row>
    <row r="239" spans="7:35">
      <c r="G239" s="3">
        <f t="shared" ca="1" si="34"/>
        <v>244</v>
      </c>
      <c r="H239" s="95">
        <f t="shared" ca="1" si="36"/>
        <v>45534</v>
      </c>
      <c r="I239" s="119">
        <f ca="1">HLOOKUP($H$4,'Met Data'!$A$2:$F$368,G239,FALSE)</f>
        <v>7.8968181818181797</v>
      </c>
      <c r="J239" s="119">
        <f ca="1">HLOOKUP($H$4,'Met Data'!$H$2:$M$368,G239,FALSE)*L239</f>
        <v>0.73030303030303001</v>
      </c>
      <c r="K239" s="96">
        <f ca="1">HLOOKUP($H$4,'Met Data'!$O$2:$T$368,G239,FALSE)</f>
        <v>2.13768236411026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45579</v>
      </c>
      <c r="Q239">
        <f ca="1"/>
        <v>125.68340422208603</v>
      </c>
      <c r="R239">
        <f ca="1"/>
        <v>0.64315456336185095</v>
      </c>
      <c r="S239">
        <f ca="1"/>
        <v>2.1328183509069731E-2</v>
      </c>
      <c r="T239">
        <f ca="1"/>
        <v>0.27443746559047355</v>
      </c>
      <c r="U239">
        <f ca="1"/>
        <v>0</v>
      </c>
      <c r="V239">
        <f ca="1"/>
        <v>21.045707021648902</v>
      </c>
      <c r="W239">
        <f ca="1"/>
        <v>5.3529298294193799</v>
      </c>
      <c r="X239">
        <f ca="1"/>
        <v>0</v>
      </c>
      <c r="Y239">
        <f ca="1"/>
        <v>0.37252343110380659</v>
      </c>
      <c r="Z239">
        <f ca="1"/>
        <v>0</v>
      </c>
      <c r="AA239">
        <f ca="1"/>
        <v>0</v>
      </c>
      <c r="AB239">
        <f ca="1"/>
        <v>0.99995655796872396</v>
      </c>
      <c r="AD239" s="2">
        <f t="shared" ca="1" si="32"/>
        <v>45579</v>
      </c>
      <c r="AE239">
        <f t="shared" ca="1" si="33"/>
        <v>0</v>
      </c>
      <c r="AG239" s="63">
        <f t="shared" ca="1" si="37"/>
        <v>126.32655878544787</v>
      </c>
      <c r="AH239" s="63">
        <f t="shared" ca="1" si="38"/>
        <v>126.32655878544787</v>
      </c>
      <c r="AI239" s="3">
        <f t="shared" ca="1" si="39"/>
        <v>0</v>
      </c>
    </row>
    <row r="240" spans="7:35">
      <c r="G240" s="3">
        <f t="shared" ca="1" si="34"/>
        <v>245</v>
      </c>
      <c r="H240" s="95">
        <f t="shared" ca="1" si="36"/>
        <v>45535</v>
      </c>
      <c r="I240" s="119">
        <f ca="1">HLOOKUP($H$4,'Met Data'!$A$2:$F$368,G240,FALSE)</f>
        <v>8.5848484848484805</v>
      </c>
      <c r="J240" s="119">
        <f ca="1">HLOOKUP($H$4,'Met Data'!$H$2:$M$368,G240,FALSE)*L240</f>
        <v>1.66363636363636</v>
      </c>
      <c r="K240" s="96">
        <f ca="1">HLOOKUP($H$4,'Met Data'!$O$2:$T$368,G240,FALSE)</f>
        <v>2.4306848632987301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45580</v>
      </c>
      <c r="Q240">
        <f ca="1"/>
        <v>125.29346344248808</v>
      </c>
      <c r="R240">
        <f ca="1"/>
        <v>0.69389041711203703</v>
      </c>
      <c r="S240">
        <f ca="1"/>
        <v>2.122129476586565E-2</v>
      </c>
      <c r="T240">
        <f ca="1"/>
        <v>0.28272834274822517</v>
      </c>
      <c r="U240">
        <f ca="1"/>
        <v>0</v>
      </c>
      <c r="V240">
        <f ca="1"/>
        <v>21.739597438760899</v>
      </c>
      <c r="W240">
        <f ca="1"/>
        <v>5.5294193485544003</v>
      </c>
      <c r="X240">
        <f ca="1"/>
        <v>0</v>
      </c>
      <c r="Y240">
        <f ca="1"/>
        <v>0.35345204591445145</v>
      </c>
      <c r="Z240">
        <f ca="1"/>
        <v>0</v>
      </c>
      <c r="AA240">
        <f ca="1"/>
        <v>0</v>
      </c>
      <c r="AB240">
        <f ca="1"/>
        <v>0.999965989979406</v>
      </c>
      <c r="AD240" s="2">
        <f t="shared" ca="1" si="32"/>
        <v>45580</v>
      </c>
      <c r="AE240">
        <f t="shared" ca="1" si="33"/>
        <v>0</v>
      </c>
      <c r="AG240" s="63">
        <f t="shared" ca="1" si="37"/>
        <v>125.98735385960012</v>
      </c>
      <c r="AH240" s="63">
        <f t="shared" ca="1" si="38"/>
        <v>125.98735385960012</v>
      </c>
      <c r="AI240" s="3">
        <f t="shared" ca="1" si="39"/>
        <v>0</v>
      </c>
    </row>
    <row r="241" spans="7:35">
      <c r="G241" s="3">
        <f t="shared" ca="1" si="34"/>
        <v>246</v>
      </c>
      <c r="H241" s="95">
        <f t="shared" ca="1" si="36"/>
        <v>45536</v>
      </c>
      <c r="I241" s="119">
        <f ca="1">HLOOKUP($H$4,'Met Data'!$A$2:$F$368,G241,FALSE)</f>
        <v>9.0333333333333297</v>
      </c>
      <c r="J241" s="119">
        <f ca="1">HLOOKUP($H$4,'Met Data'!$H$2:$M$368,G241,FALSE)*L241</f>
        <v>1.2393939393939299</v>
      </c>
      <c r="K241" s="96">
        <f ca="1">HLOOKUP($H$4,'Met Data'!$O$2:$T$368,G241,FALSE)</f>
        <v>2.2838857553046599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45581</v>
      </c>
      <c r="Q241">
        <f ca="1"/>
        <v>124.85783395728259</v>
      </c>
      <c r="R241">
        <f ca="1"/>
        <v>0.76199230054768896</v>
      </c>
      <c r="S241">
        <f ca="1"/>
        <v>2.203252408818912E-2</v>
      </c>
      <c r="T241">
        <f ca="1"/>
        <v>0.30433029125401645</v>
      </c>
      <c r="U241">
        <f ca="1"/>
        <v>0</v>
      </c>
      <c r="V241">
        <f ca="1"/>
        <v>22.501589739308599</v>
      </c>
      <c r="W241">
        <f ca="1"/>
        <v>5.7232304336936997</v>
      </c>
      <c r="X241">
        <f ca="1"/>
        <v>0</v>
      </c>
      <c r="Y241">
        <f ca="1"/>
        <v>0.35385243607364641</v>
      </c>
      <c r="Z241">
        <f ca="1"/>
        <v>0</v>
      </c>
      <c r="AA241">
        <f ca="1"/>
        <v>0</v>
      </c>
      <c r="AB241">
        <f ca="1"/>
        <v>0.99997382372753296</v>
      </c>
      <c r="AD241" s="2">
        <f t="shared" ca="1" si="32"/>
        <v>45581</v>
      </c>
      <c r="AE241">
        <f t="shared" ca="1" si="33"/>
        <v>0</v>
      </c>
      <c r="AG241" s="63">
        <f t="shared" ca="1" si="37"/>
        <v>125.61982625783028</v>
      </c>
      <c r="AH241" s="63">
        <f t="shared" ca="1" si="38"/>
        <v>125.61982625783028</v>
      </c>
      <c r="AI241" s="3">
        <f t="shared" ca="1" si="39"/>
        <v>0</v>
      </c>
    </row>
    <row r="242" spans="7:35">
      <c r="G242" s="3">
        <f t="shared" ca="1" si="34"/>
        <v>247</v>
      </c>
      <c r="H242" s="95">
        <f t="shared" ca="1" si="36"/>
        <v>45537</v>
      </c>
      <c r="I242" s="119">
        <f ca="1">HLOOKUP($H$4,'Met Data'!$A$2:$F$368,G242,FALSE)</f>
        <v>8.7469696969696908</v>
      </c>
      <c r="J242" s="119">
        <f ca="1">HLOOKUP($H$4,'Met Data'!$H$2:$M$368,G242,FALSE)*L242</f>
        <v>1.06969696969696</v>
      </c>
      <c r="K242" s="96">
        <f ca="1">HLOOKUP($H$4,'Met Data'!$O$2:$T$368,G242,FALSE)</f>
        <v>2.13744572746974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45582</v>
      </c>
      <c r="Q242">
        <f ca="1"/>
        <v>124.41601714787916</v>
      </c>
      <c r="R242">
        <f ca="1"/>
        <v>0.74259837894314296</v>
      </c>
      <c r="S242">
        <f ca="1"/>
        <v>1.9644052604576245E-2</v>
      </c>
      <c r="T242">
        <f ca="1"/>
        <v>0.28113751693513456</v>
      </c>
      <c r="U242">
        <f ca="1"/>
        <v>0</v>
      </c>
      <c r="V242">
        <f ca="1"/>
        <v>23.244188118251699</v>
      </c>
      <c r="W242">
        <f ca="1"/>
        <v>5.9121087170335898</v>
      </c>
      <c r="X242">
        <f ca="1"/>
        <v>0</v>
      </c>
      <c r="Y242">
        <f ca="1"/>
        <v>0.33513330240721023</v>
      </c>
      <c r="Z242">
        <f ca="1"/>
        <v>0</v>
      </c>
      <c r="AA242">
        <f ca="1"/>
        <v>0</v>
      </c>
      <c r="AB242">
        <f ca="1"/>
        <v>0.99997958476329996</v>
      </c>
      <c r="AD242" s="2">
        <f t="shared" ca="1" si="32"/>
        <v>45582</v>
      </c>
      <c r="AE242">
        <f t="shared" ca="1" si="33"/>
        <v>0</v>
      </c>
      <c r="AG242" s="63">
        <f t="shared" ca="1" si="37"/>
        <v>125.1586155268223</v>
      </c>
      <c r="AH242" s="63">
        <f t="shared" ca="1" si="38"/>
        <v>125.1586155268223</v>
      </c>
      <c r="AI242" s="3">
        <f t="shared" ca="1" si="39"/>
        <v>0</v>
      </c>
    </row>
    <row r="243" spans="7:35">
      <c r="G243" s="3">
        <f t="shared" ca="1" si="34"/>
        <v>248</v>
      </c>
      <c r="H243" s="95">
        <f t="shared" ca="1" si="36"/>
        <v>45538</v>
      </c>
      <c r="I243" s="119">
        <f ca="1">HLOOKUP($H$4,'Met Data'!$A$2:$F$368,G243,FALSE)</f>
        <v>8.7227272727272709</v>
      </c>
      <c r="J243" s="119">
        <f ca="1">HLOOKUP($H$4,'Met Data'!$H$2:$M$368,G243,FALSE)*L243</f>
        <v>1.0878787878787799</v>
      </c>
      <c r="K243" s="96">
        <f ca="1">HLOOKUP($H$4,'Met Data'!$O$2:$T$368,G243,FALSE)</f>
        <v>2.20158976988608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45583</v>
      </c>
      <c r="Q243">
        <f ca="1"/>
        <v>123.95829048250233</v>
      </c>
      <c r="R243">
        <f ca="1"/>
        <v>0.75942137073341298</v>
      </c>
      <c r="S243">
        <f ca="1"/>
        <v>1.9093847977472933E-2</v>
      </c>
      <c r="T243">
        <f ca="1"/>
        <v>0.28260085737910784</v>
      </c>
      <c r="U243">
        <f ca="1"/>
        <v>0</v>
      </c>
      <c r="V243">
        <f ca="1"/>
        <v>24.003609488985099</v>
      </c>
      <c r="W243">
        <f ca="1"/>
        <v>6.1052658917636098</v>
      </c>
      <c r="X243">
        <f ca="1"/>
        <v>0</v>
      </c>
      <c r="Y243">
        <f ca="1"/>
        <v>0.34168690074012154</v>
      </c>
      <c r="Z243">
        <f ca="1"/>
        <v>0</v>
      </c>
      <c r="AA243">
        <f ca="1"/>
        <v>0</v>
      </c>
      <c r="AB243">
        <f ca="1"/>
        <v>0.99998406803493201</v>
      </c>
      <c r="AD243" s="2">
        <f t="shared" ca="1" si="32"/>
        <v>45583</v>
      </c>
      <c r="AE243">
        <f t="shared" ca="1" si="33"/>
        <v>0</v>
      </c>
      <c r="AG243" s="63">
        <f t="shared" ca="1" si="37"/>
        <v>124.71771185323574</v>
      </c>
      <c r="AH243" s="63">
        <f t="shared" ca="1" si="38"/>
        <v>124.71771185323574</v>
      </c>
      <c r="AI243" s="3">
        <f t="shared" ca="1" si="39"/>
        <v>0</v>
      </c>
    </row>
    <row r="244" spans="7:35">
      <c r="G244" s="3">
        <f t="shared" ca="1" si="34"/>
        <v>249</v>
      </c>
      <c r="H244" s="95">
        <f t="shared" ca="1" si="36"/>
        <v>45539</v>
      </c>
      <c r="I244" s="119">
        <f ca="1">HLOOKUP($H$4,'Met Data'!$A$2:$F$368,G244,FALSE)</f>
        <v>8.4803030303030305</v>
      </c>
      <c r="J244" s="119">
        <f ca="1">HLOOKUP($H$4,'Met Data'!$H$2:$M$368,G244,FALSE)*L244</f>
        <v>0.95151515151515098</v>
      </c>
      <c r="K244" s="96">
        <f ca="1">HLOOKUP($H$4,'Met Data'!$O$2:$T$368,G244,FALSE)</f>
        <v>2.0118416889679498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45584</v>
      </c>
      <c r="Q244">
        <f ca="1"/>
        <v>123.47106556133858</v>
      </c>
      <c r="R244">
        <f ca="1"/>
        <v>0.78240691608470003</v>
      </c>
      <c r="S244">
        <f ca="1"/>
        <v>1.8115569090639383E-2</v>
      </c>
      <c r="T244">
        <f ca="1"/>
        <v>0.27706642583030883</v>
      </c>
      <c r="U244">
        <f ca="1"/>
        <v>0</v>
      </c>
      <c r="V244">
        <f ca="1"/>
        <v>24.786016405069802</v>
      </c>
      <c r="W244">
        <f ca="1"/>
        <v>6.3042693899851496</v>
      </c>
      <c r="X244">
        <f ca="1"/>
        <v>0</v>
      </c>
      <c r="Y244">
        <f ca="1"/>
        <v>0.32025638182054028</v>
      </c>
      <c r="Z244">
        <f ca="1"/>
        <v>0</v>
      </c>
      <c r="AA244">
        <f ca="1"/>
        <v>0</v>
      </c>
      <c r="AB244">
        <f ca="1"/>
        <v>0.99998758337196103</v>
      </c>
      <c r="AD244" s="2">
        <f t="shared" ca="1" si="32"/>
        <v>45584</v>
      </c>
      <c r="AE244">
        <f t="shared" ca="1" si="33"/>
        <v>0</v>
      </c>
      <c r="AG244" s="63">
        <f t="shared" ca="1" si="37"/>
        <v>124.25347247742329</v>
      </c>
      <c r="AH244" s="63">
        <f t="shared" ca="1" si="38"/>
        <v>124.25347247742327</v>
      </c>
      <c r="AI244" s="3">
        <f t="shared" ca="1" si="39"/>
        <v>0</v>
      </c>
    </row>
    <row r="245" spans="7:35">
      <c r="G245" s="3">
        <f t="shared" ca="1" si="34"/>
        <v>250</v>
      </c>
      <c r="H245" s="95">
        <f t="shared" ca="1" si="36"/>
        <v>45540</v>
      </c>
      <c r="I245" s="119">
        <f ca="1">HLOOKUP($H$4,'Met Data'!$A$2:$F$368,G245,FALSE)</f>
        <v>8.9078125000000004</v>
      </c>
      <c r="J245" s="119">
        <f ca="1">HLOOKUP($H$4,'Met Data'!$H$2:$M$368,G245,FALSE)*L245</f>
        <v>1.4151515151515099</v>
      </c>
      <c r="K245" s="96">
        <f ca="1">HLOOKUP($H$4,'Met Data'!$O$2:$T$368,G245,FALSE)</f>
        <v>2.43907717587116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45585</v>
      </c>
      <c r="Q245">
        <f ca="1"/>
        <v>122.91347464016367</v>
      </c>
      <c r="R245">
        <f ca="1"/>
        <v>0.87696855700070797</v>
      </c>
      <c r="S245">
        <f ca="1"/>
        <v>1.8997399260200609E-2</v>
      </c>
      <c r="T245">
        <f ca="1"/>
        <v>0.30038023656560087</v>
      </c>
      <c r="U245">
        <f ca="1"/>
        <v>0</v>
      </c>
      <c r="V245">
        <f ca="1"/>
        <v>25.6629849620705</v>
      </c>
      <c r="W245">
        <f ca="1"/>
        <v>6.5273244360048999</v>
      </c>
      <c r="X245">
        <f ca="1"/>
        <v>0</v>
      </c>
      <c r="Y245">
        <f ca="1"/>
        <v>0.30517775532883895</v>
      </c>
      <c r="Z245">
        <f ca="1"/>
        <v>0</v>
      </c>
      <c r="AA245">
        <f ca="1"/>
        <v>0</v>
      </c>
      <c r="AB245">
        <f ca="1"/>
        <v>0.99999054498025697</v>
      </c>
      <c r="AD245" s="2">
        <f t="shared" ca="1" si="32"/>
        <v>45585</v>
      </c>
      <c r="AE245">
        <f t="shared" ca="1" si="33"/>
        <v>0</v>
      </c>
      <c r="AG245" s="63">
        <f t="shared" ca="1" si="37"/>
        <v>123.79044319716438</v>
      </c>
      <c r="AH245" s="63">
        <f t="shared" ca="1" si="38"/>
        <v>123.79044319716438</v>
      </c>
      <c r="AI245" s="3">
        <f t="shared" ca="1" si="39"/>
        <v>0</v>
      </c>
    </row>
    <row r="246" spans="7:35">
      <c r="G246" s="3">
        <f t="shared" ca="1" si="34"/>
        <v>251</v>
      </c>
      <c r="H246" s="95">
        <f t="shared" ca="1" si="36"/>
        <v>45541</v>
      </c>
      <c r="I246" s="119">
        <f ca="1">HLOOKUP($H$4,'Met Data'!$A$2:$F$368,G246,FALSE)</f>
        <v>8.9656249999999993</v>
      </c>
      <c r="J246" s="119">
        <f ca="1">HLOOKUP($H$4,'Met Data'!$H$2:$M$368,G246,FALSE)*L246</f>
        <v>0.51818181818181797</v>
      </c>
      <c r="K246" s="96">
        <f ca="1">HLOOKUP($H$4,'Met Data'!$O$2:$T$368,G246,FALSE)</f>
        <v>2.4631446914892501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45586</v>
      </c>
      <c r="Q246">
        <f ca="1"/>
        <v>122.37641291678332</v>
      </c>
      <c r="R246">
        <f ca="1"/>
        <v>0.82255236781901397</v>
      </c>
      <c r="S246">
        <f ca="1"/>
        <v>1.6474192017824407E-2</v>
      </c>
      <c r="T246">
        <f ca="1"/>
        <v>0.26901645242083227</v>
      </c>
      <c r="U246">
        <f ca="1"/>
        <v>0</v>
      </c>
      <c r="V246">
        <f ca="1"/>
        <v>26.485537329889599</v>
      </c>
      <c r="W246">
        <f ca="1"/>
        <v>6.7365388426023403</v>
      </c>
      <c r="X246">
        <f ca="1"/>
        <v>0</v>
      </c>
      <c r="Y246">
        <f ca="1"/>
        <v>0.29458125443239674</v>
      </c>
      <c r="Z246">
        <f ca="1"/>
        <v>0</v>
      </c>
      <c r="AA246">
        <f ca="1"/>
        <v>0</v>
      </c>
      <c r="AB246">
        <f ca="1"/>
        <v>0.99999263188283205</v>
      </c>
      <c r="AD246" s="2">
        <f t="shared" ca="1" si="32"/>
        <v>45586</v>
      </c>
      <c r="AE246">
        <f t="shared" ca="1" si="33"/>
        <v>0</v>
      </c>
      <c r="AG246" s="63">
        <f t="shared" ca="1" si="37"/>
        <v>123.19896528460232</v>
      </c>
      <c r="AH246" s="63">
        <f t="shared" ca="1" si="38"/>
        <v>123.19896528460234</v>
      </c>
      <c r="AI246" s="3">
        <f t="shared" ca="1" si="39"/>
        <v>0</v>
      </c>
    </row>
    <row r="247" spans="7:35">
      <c r="G247" s="3">
        <f t="shared" ca="1" si="34"/>
        <v>252</v>
      </c>
      <c r="H247" s="95">
        <f t="shared" ca="1" si="36"/>
        <v>45542</v>
      </c>
      <c r="I247" s="119">
        <f ca="1">HLOOKUP($H$4,'Met Data'!$A$2:$F$368,G247,FALSE)</f>
        <v>8.6015625</v>
      </c>
      <c r="J247" s="119">
        <f ca="1">HLOOKUP($H$4,'Met Data'!$H$2:$M$368,G247,FALSE)*L247</f>
        <v>1.0757575757575699</v>
      </c>
      <c r="K247" s="96">
        <f ca="1">HLOOKUP($H$4,'Met Data'!$O$2:$T$368,G247,FALSE)</f>
        <v>2.5132482169425701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45587</v>
      </c>
      <c r="Q247">
        <f ca="1"/>
        <v>121.82267905115032</v>
      </c>
      <c r="R247">
        <f ca="1"/>
        <v>0.83697206473086205</v>
      </c>
      <c r="S247">
        <f ca="1"/>
        <v>1.589132471957555E-2</v>
      </c>
      <c r="T247">
        <f ca="1"/>
        <v>0.26734687437829358</v>
      </c>
      <c r="U247">
        <f ca="1"/>
        <v>0</v>
      </c>
      <c r="V247">
        <f ca="1"/>
        <v>27.322509394620401</v>
      </c>
      <c r="W247">
        <f ca="1"/>
        <v>6.9494208677621501</v>
      </c>
      <c r="X247">
        <f ca="1"/>
        <v>0</v>
      </c>
      <c r="Y247">
        <f ca="1"/>
        <v>0.29430370709536952</v>
      </c>
      <c r="Z247">
        <f ca="1"/>
        <v>0</v>
      </c>
      <c r="AA247">
        <f ca="1"/>
        <v>0</v>
      </c>
      <c r="AB247">
        <f ca="1"/>
        <v>0.99999425032471201</v>
      </c>
      <c r="AD247" s="2">
        <f t="shared" ca="1" si="32"/>
        <v>45587</v>
      </c>
      <c r="AE247">
        <f t="shared" ca="1" si="33"/>
        <v>0</v>
      </c>
      <c r="AG247" s="63">
        <f t="shared" ca="1" si="37"/>
        <v>122.65965111588119</v>
      </c>
      <c r="AH247" s="63">
        <f t="shared" ca="1" si="38"/>
        <v>122.65965111588118</v>
      </c>
      <c r="AI247" s="3">
        <f t="shared" ca="1" si="39"/>
        <v>0</v>
      </c>
    </row>
    <row r="248" spans="7:35">
      <c r="G248" s="3">
        <f t="shared" ca="1" si="34"/>
        <v>253</v>
      </c>
      <c r="H248" s="95">
        <f t="shared" ca="1" si="36"/>
        <v>45543</v>
      </c>
      <c r="I248" s="119">
        <f ca="1">HLOOKUP($H$4,'Met Data'!$A$2:$F$368,G248,FALSE)</f>
        <v>8.0227272727272698</v>
      </c>
      <c r="J248" s="119">
        <f ca="1">HLOOKUP($H$4,'Met Data'!$H$2:$M$368,G248,FALSE)*L248</f>
        <v>1.0878787878787799</v>
      </c>
      <c r="K248" s="96">
        <f ca="1">HLOOKUP($H$4,'Met Data'!$O$2:$T$368,G248,FALSE)</f>
        <v>2.2941202547295898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45588</v>
      </c>
      <c r="Q248">
        <f ca="1"/>
        <v>121.24231329427496</v>
      </c>
      <c r="R248">
        <f ca="1"/>
        <v>0.86128936256687905</v>
      </c>
      <c r="S248">
        <f ca="1"/>
        <v>1.5334583892922637E-2</v>
      </c>
      <c r="T248">
        <f ca="1"/>
        <v>0.26558902179860983</v>
      </c>
      <c r="U248">
        <f ca="1"/>
        <v>0</v>
      </c>
      <c r="V248">
        <f ca="1"/>
        <v>28.183798757187301</v>
      </c>
      <c r="W248">
        <f ca="1"/>
        <v>7.1684879447628598</v>
      </c>
      <c r="X248">
        <f ca="1"/>
        <v>0</v>
      </c>
      <c r="Y248">
        <f ca="1"/>
        <v>0.28255000659845214</v>
      </c>
      <c r="Z248">
        <f ca="1"/>
        <v>0</v>
      </c>
      <c r="AA248">
        <f ca="1"/>
        <v>0</v>
      </c>
      <c r="AB248">
        <f ca="1"/>
        <v>0.99999552029605998</v>
      </c>
      <c r="AD248" s="2">
        <f t="shared" ca="1" si="32"/>
        <v>45588</v>
      </c>
      <c r="AE248">
        <f t="shared" ca="1" si="33"/>
        <v>0</v>
      </c>
      <c r="AG248" s="63">
        <f t="shared" ca="1" si="37"/>
        <v>122.10360265684184</v>
      </c>
      <c r="AH248" s="63">
        <f t="shared" ca="1" si="38"/>
        <v>122.10360265684184</v>
      </c>
      <c r="AI248" s="3">
        <f t="shared" ca="1" si="39"/>
        <v>0</v>
      </c>
    </row>
    <row r="249" spans="7:35">
      <c r="G249" s="3">
        <f t="shared" ca="1" si="34"/>
        <v>254</v>
      </c>
      <c r="H249" s="95">
        <f t="shared" ca="1" si="36"/>
        <v>45544</v>
      </c>
      <c r="I249" s="119">
        <f ca="1">HLOOKUP($H$4,'Met Data'!$A$2:$F$368,G249,FALSE)</f>
        <v>9.0060606060606005</v>
      </c>
      <c r="J249" s="119">
        <f ca="1">HLOOKUP($H$4,'Met Data'!$H$2:$M$368,G249,FALSE)*L249</f>
        <v>1.08181818181818</v>
      </c>
      <c r="K249" s="96">
        <f ca="1">HLOOKUP($H$4,'Met Data'!$O$2:$T$368,G249,FALSE)</f>
        <v>2.6251015131954198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45589</v>
      </c>
      <c r="Q249">
        <f ca="1"/>
        <v>120.62353590056097</v>
      </c>
      <c r="R249">
        <f ca="1"/>
        <v>0.89682262546639202</v>
      </c>
      <c r="S249">
        <f ca="1"/>
        <v>1.477644125108668E-2</v>
      </c>
      <c r="T249">
        <f ca="1"/>
        <v>0.26326879050130597</v>
      </c>
      <c r="U249">
        <f ca="1"/>
        <v>0</v>
      </c>
      <c r="V249">
        <f ca="1"/>
        <v>29.0806213826537</v>
      </c>
      <c r="W249">
        <f ca="1"/>
        <v>7.3965928299358303</v>
      </c>
      <c r="X249">
        <f ca="1"/>
        <v>0</v>
      </c>
      <c r="Y249">
        <f ca="1"/>
        <v>0.25670795329266544</v>
      </c>
      <c r="Z249">
        <f ca="1"/>
        <v>0</v>
      </c>
      <c r="AA249">
        <f ca="1"/>
        <v>0</v>
      </c>
      <c r="AB249">
        <f ca="1"/>
        <v>0.99999652587221199</v>
      </c>
      <c r="AD249" s="2">
        <f t="shared" ca="1" si="32"/>
        <v>45589</v>
      </c>
      <c r="AE249">
        <f t="shared" ca="1" si="33"/>
        <v>0</v>
      </c>
      <c r="AG249" s="63">
        <f t="shared" ca="1" si="37"/>
        <v>121.52035852602735</v>
      </c>
      <c r="AH249" s="63">
        <f t="shared" ca="1" si="38"/>
        <v>121.52035852602737</v>
      </c>
      <c r="AI249" s="3">
        <f t="shared" ca="1" si="39"/>
        <v>0</v>
      </c>
    </row>
    <row r="250" spans="7:35">
      <c r="G250" s="3">
        <f t="shared" ca="1" si="34"/>
        <v>255</v>
      </c>
      <c r="H250" s="95">
        <f t="shared" ca="1" si="36"/>
        <v>45545</v>
      </c>
      <c r="I250" s="119">
        <f ca="1">HLOOKUP($H$4,'Met Data'!$A$2:$F$368,G250,FALSE)</f>
        <v>9.7090909090909001</v>
      </c>
      <c r="J250" s="119">
        <f ca="1">HLOOKUP($H$4,'Met Data'!$H$2:$M$368,G250,FALSE)*L250</f>
        <v>2.0393939393939302</v>
      </c>
      <c r="K250" s="96">
        <f ca="1">HLOOKUP($H$4,'Met Data'!$O$2:$T$368,G250,FALSE)</f>
        <v>2.7986809667616899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45590</v>
      </c>
      <c r="Q250">
        <f ca="1"/>
        <v>119.92775846752207</v>
      </c>
      <c r="R250">
        <f ca="1"/>
        <v>0.99906598894970999</v>
      </c>
      <c r="S250">
        <f ca="1"/>
        <v>1.5682787171641621E-2</v>
      </c>
      <c r="T250">
        <f ca="1"/>
        <v>0.28760576873917004</v>
      </c>
      <c r="U250">
        <f ca="1"/>
        <v>0</v>
      </c>
      <c r="V250">
        <f ca="1"/>
        <v>30.079687371603399</v>
      </c>
      <c r="W250">
        <f ca="1"/>
        <v>7.6507030923426003</v>
      </c>
      <c r="X250">
        <f ca="1"/>
        <v>0</v>
      </c>
      <c r="Y250">
        <f ca="1"/>
        <v>0.25028514077057379</v>
      </c>
      <c r="Z250">
        <f ca="1"/>
        <v>0</v>
      </c>
      <c r="AA250">
        <f ca="1"/>
        <v>0</v>
      </c>
      <c r="AB250">
        <f ca="1"/>
        <v>0.99999736605053002</v>
      </c>
      <c r="AD250" s="2">
        <f t="shared" ca="1" si="32"/>
        <v>45590</v>
      </c>
      <c r="AE250">
        <f t="shared" ca="1" si="33"/>
        <v>0</v>
      </c>
      <c r="AG250" s="63">
        <f t="shared" ca="1" si="37"/>
        <v>120.92682445647178</v>
      </c>
      <c r="AH250" s="63">
        <f t="shared" ca="1" si="38"/>
        <v>120.92682445647178</v>
      </c>
      <c r="AI250" s="3">
        <f t="shared" ca="1" si="39"/>
        <v>0</v>
      </c>
    </row>
    <row r="251" spans="7:35">
      <c r="G251" s="3">
        <f t="shared" ca="1" si="34"/>
        <v>256</v>
      </c>
      <c r="H251" s="95">
        <f t="shared" ca="1" si="36"/>
        <v>45546</v>
      </c>
      <c r="I251" s="119">
        <f ca="1">HLOOKUP($H$4,'Met Data'!$A$2:$F$368,G251,FALSE)</f>
        <v>9.6212121212121193</v>
      </c>
      <c r="J251" s="119">
        <f ca="1">HLOOKUP($H$4,'Met Data'!$H$2:$M$368,G251,FALSE)*L251</f>
        <v>1.4424242424242399</v>
      </c>
      <c r="K251" s="96">
        <f ca="1">HLOOKUP($H$4,'Met Data'!$O$2:$T$368,G251,FALSE)</f>
        <v>2.6610711999077199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45591</v>
      </c>
      <c r="Q251">
        <f ca="1"/>
        <v>119.23607445422218</v>
      </c>
      <c r="R251">
        <f ca="1"/>
        <v>0.98351293633422499</v>
      </c>
      <c r="S251">
        <f ca="1"/>
        <v>1.4680566641288806E-2</v>
      </c>
      <c r="T251">
        <f ca="1"/>
        <v>0.27714835639303892</v>
      </c>
      <c r="U251">
        <f ca="1"/>
        <v>0</v>
      </c>
      <c r="V251">
        <f ca="1"/>
        <v>31.063200307937599</v>
      </c>
      <c r="W251">
        <f ca="1"/>
        <v>7.9008574696276099</v>
      </c>
      <c r="X251">
        <f ca="1"/>
        <v>0</v>
      </c>
      <c r="Y251">
        <f ca="1"/>
        <v>0.25600855350917617</v>
      </c>
      <c r="Z251">
        <f ca="1"/>
        <v>0</v>
      </c>
      <c r="AA251">
        <f ca="1"/>
        <v>0</v>
      </c>
      <c r="AB251">
        <f ca="1"/>
        <v>0.99999798222957104</v>
      </c>
      <c r="AD251" s="2">
        <f t="shared" ca="1" si="32"/>
        <v>45591</v>
      </c>
      <c r="AE251">
        <f t="shared" ca="1" si="33"/>
        <v>0</v>
      </c>
      <c r="AG251" s="63">
        <f t="shared" ca="1" si="37"/>
        <v>120.2195873905564</v>
      </c>
      <c r="AH251" s="63">
        <f t="shared" ca="1" si="38"/>
        <v>120.2195873905564</v>
      </c>
      <c r="AI251" s="3">
        <f t="shared" ca="1" si="39"/>
        <v>0</v>
      </c>
    </row>
    <row r="252" spans="7:35">
      <c r="G252" s="3">
        <f t="shared" ca="1" si="34"/>
        <v>257</v>
      </c>
      <c r="H252" s="95">
        <f t="shared" ca="1" si="36"/>
        <v>45547</v>
      </c>
      <c r="I252" s="119">
        <f ca="1">HLOOKUP($H$4,'Met Data'!$A$2:$F$368,G252,FALSE)</f>
        <v>9.3833333333333293</v>
      </c>
      <c r="J252" s="119">
        <f ca="1">HLOOKUP($H$4,'Met Data'!$H$2:$M$368,G252,FALSE)*L252</f>
        <v>1.5181818181818101</v>
      </c>
      <c r="K252" s="96">
        <f ca="1">HLOOKUP($H$4,'Met Data'!$O$2:$T$368,G252,FALSE)</f>
        <v>2.3076791368567799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45592</v>
      </c>
      <c r="Q252">
        <f ca="1"/>
        <v>118.48976439596291</v>
      </c>
      <c r="R252">
        <f ca="1"/>
        <v>1.0565728356774999</v>
      </c>
      <c r="S252">
        <f ca="1"/>
        <v>1.5187701633266215E-2</v>
      </c>
      <c r="T252">
        <f ca="1"/>
        <v>0.29507507578496089</v>
      </c>
      <c r="U252">
        <f ca="1"/>
        <v>0</v>
      </c>
      <c r="V252">
        <f ca="1"/>
        <v>32.119773143615099</v>
      </c>
      <c r="W252">
        <f ca="1"/>
        <v>8.1695944734847199</v>
      </c>
      <c r="X252">
        <f ca="1"/>
        <v>0</v>
      </c>
      <c r="Y252">
        <f ca="1"/>
        <v>0.26160856661829729</v>
      </c>
      <c r="Z252">
        <f ca="1"/>
        <v>0</v>
      </c>
      <c r="AA252">
        <f ca="1"/>
        <v>0</v>
      </c>
      <c r="AB252">
        <f ca="1"/>
        <v>0.99999847513172002</v>
      </c>
      <c r="AD252" s="2">
        <f t="shared" ca="1" si="32"/>
        <v>45592</v>
      </c>
      <c r="AE252">
        <f t="shared" ca="1" si="33"/>
        <v>0</v>
      </c>
      <c r="AG252" s="63">
        <f t="shared" ca="1" si="37"/>
        <v>119.54633723164041</v>
      </c>
      <c r="AH252" s="63">
        <f t="shared" ca="1" si="38"/>
        <v>119.54633723164041</v>
      </c>
      <c r="AI252" s="3">
        <f t="shared" ca="1" si="39"/>
        <v>0</v>
      </c>
    </row>
    <row r="253" spans="7:35">
      <c r="G253" s="3">
        <f t="shared" ca="1" si="34"/>
        <v>258</v>
      </c>
      <c r="H253" s="95">
        <f t="shared" ca="1" si="36"/>
        <v>45548</v>
      </c>
      <c r="I253" s="119">
        <f ca="1">HLOOKUP($H$4,'Met Data'!$A$2:$F$368,G253,FALSE)</f>
        <v>9.8590909090909093</v>
      </c>
      <c r="J253" s="119">
        <f ca="1">HLOOKUP($H$4,'Met Data'!$H$2:$M$368,G253,FALSE)*L253</f>
        <v>1.0060606060606001</v>
      </c>
      <c r="K253" s="96">
        <f ca="1">HLOOKUP($H$4,'Met Data'!$O$2:$T$368,G253,FALSE)</f>
        <v>2.7166636421386499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45593</v>
      </c>
      <c r="Q253">
        <f ca="1"/>
        <v>117.70691727393148</v>
      </c>
      <c r="R253">
        <f ca="1"/>
        <v>1.0951115027829801</v>
      </c>
      <c r="S253">
        <f ca="1"/>
        <v>1.4869105620732626E-2</v>
      </c>
      <c r="T253">
        <f ca="1"/>
        <v>0.29739527513081487</v>
      </c>
      <c r="U253">
        <f ca="1"/>
        <v>0</v>
      </c>
      <c r="V253">
        <f ca="1"/>
        <v>33.214884646398097</v>
      </c>
      <c r="W253">
        <f ca="1"/>
        <v>8.4481337035403907</v>
      </c>
      <c r="X253">
        <f ca="1"/>
        <v>0</v>
      </c>
      <c r="Y253">
        <f ca="1"/>
        <v>0.25396620698867728</v>
      </c>
      <c r="Z253">
        <f ca="1"/>
        <v>0</v>
      </c>
      <c r="AA253">
        <f ca="1"/>
        <v>0</v>
      </c>
      <c r="AB253">
        <f ca="1"/>
        <v>0.99999885216194295</v>
      </c>
      <c r="AD253" s="2">
        <f t="shared" ca="1" si="32"/>
        <v>45593</v>
      </c>
      <c r="AE253">
        <f t="shared" ca="1" si="33"/>
        <v>0</v>
      </c>
      <c r="AG253" s="63">
        <f t="shared" ca="1" si="37"/>
        <v>118.80202877671445</v>
      </c>
      <c r="AH253" s="63">
        <f t="shared" ca="1" si="38"/>
        <v>118.80202877671447</v>
      </c>
      <c r="AI253" s="3">
        <f t="shared" ca="1" si="39"/>
        <v>0</v>
      </c>
    </row>
    <row r="254" spans="7:35">
      <c r="G254" s="3">
        <f t="shared" ca="1" si="34"/>
        <v>259</v>
      </c>
      <c r="H254" s="95">
        <f t="shared" ca="1" si="36"/>
        <v>45549</v>
      </c>
      <c r="I254" s="119">
        <f ca="1">HLOOKUP($H$4,'Met Data'!$A$2:$F$368,G254,FALSE)</f>
        <v>10.654545454545399</v>
      </c>
      <c r="J254" s="119">
        <f ca="1">HLOOKUP($H$4,'Met Data'!$H$2:$M$368,G254,FALSE)*L254</f>
        <v>0.69090909090909003</v>
      </c>
      <c r="K254" s="96">
        <f ca="1">HLOOKUP($H$4,'Met Data'!$O$2:$T$368,G254,FALSE)</f>
        <v>2.8776450917507499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45594</v>
      </c>
      <c r="Q254">
        <f ca="1"/>
        <v>116.9206476008513</v>
      </c>
      <c r="R254">
        <f ca="1"/>
        <v>1.0892867800127899</v>
      </c>
      <c r="S254">
        <f ca="1"/>
        <v>1.4048540830316369E-2</v>
      </c>
      <c r="T254">
        <f ca="1"/>
        <v>0.28896856610229382</v>
      </c>
      <c r="U254">
        <f ca="1"/>
        <v>0</v>
      </c>
      <c r="V254">
        <f ca="1"/>
        <v>34.304171426410903</v>
      </c>
      <c r="W254">
        <f ca="1"/>
        <v>8.7251914280218994</v>
      </c>
      <c r="X254">
        <f ca="1"/>
        <v>0</v>
      </c>
      <c r="Y254">
        <f ca="1"/>
        <v>0.25539336251696398</v>
      </c>
      <c r="Z254">
        <f ca="1"/>
        <v>0</v>
      </c>
      <c r="AA254">
        <f ca="1"/>
        <v>0</v>
      </c>
      <c r="AB254">
        <f ca="1"/>
        <v>0.99999912958387105</v>
      </c>
      <c r="AD254" s="2">
        <f t="shared" ca="1" si="32"/>
        <v>45594</v>
      </c>
      <c r="AE254">
        <f t="shared" ca="1" si="33"/>
        <v>0</v>
      </c>
      <c r="AG254" s="63">
        <f t="shared" ca="1" si="37"/>
        <v>118.0099343808641</v>
      </c>
      <c r="AH254" s="63">
        <f t="shared" ca="1" si="38"/>
        <v>118.00993438086408</v>
      </c>
      <c r="AI254" s="3">
        <f t="shared" ca="1" si="39"/>
        <v>0</v>
      </c>
    </row>
    <row r="255" spans="7:35">
      <c r="G255" s="3">
        <f t="shared" ca="1" si="34"/>
        <v>260</v>
      </c>
      <c r="H255" s="95">
        <f t="shared" ca="1" si="36"/>
        <v>45550</v>
      </c>
      <c r="I255" s="119">
        <f ca="1">HLOOKUP($H$4,'Met Data'!$A$2:$F$368,G255,FALSE)</f>
        <v>10.4757575757575</v>
      </c>
      <c r="J255" s="119">
        <f ca="1">HLOOKUP($H$4,'Met Data'!$H$2:$M$368,G255,FALSE)*L255</f>
        <v>0.112121212121212</v>
      </c>
      <c r="K255" s="96">
        <f ca="1">HLOOKUP($H$4,'Met Data'!$O$2:$T$368,G255,FALSE)</f>
        <v>2.9007479200825799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45595</v>
      </c>
      <c r="Q255">
        <f ca="1"/>
        <v>116.10992381151448</v>
      </c>
      <c r="R255">
        <f ca="1"/>
        <v>1.10587379222069</v>
      </c>
      <c r="S255">
        <f ca="1"/>
        <v>1.334101054433745E-2</v>
      </c>
      <c r="T255">
        <f ca="1"/>
        <v>0.28180899233952772</v>
      </c>
      <c r="U255">
        <f ca="1"/>
        <v>0</v>
      </c>
      <c r="V255">
        <f ca="1"/>
        <v>35.410045218631602</v>
      </c>
      <c r="W255">
        <f ca="1"/>
        <v>9.0064680229997691</v>
      </c>
      <c r="X255">
        <f ca="1"/>
        <v>0</v>
      </c>
      <c r="Y255">
        <f ca="1"/>
        <v>0.23703695302624481</v>
      </c>
      <c r="Z255">
        <f ca="1"/>
        <v>0</v>
      </c>
      <c r="AA255">
        <f ca="1"/>
        <v>0</v>
      </c>
      <c r="AB255">
        <f ca="1"/>
        <v>0.99999933909469196</v>
      </c>
      <c r="AD255" s="2">
        <f t="shared" ca="1" si="32"/>
        <v>45595</v>
      </c>
      <c r="AE255">
        <f t="shared" ca="1" si="33"/>
        <v>0</v>
      </c>
      <c r="AG255" s="63">
        <f t="shared" ca="1" si="37"/>
        <v>117.21579760373515</v>
      </c>
      <c r="AH255" s="63">
        <f t="shared" ca="1" si="38"/>
        <v>117.21579760373517</v>
      </c>
      <c r="AI255" s="3">
        <f t="shared" ca="1" si="39"/>
        <v>0</v>
      </c>
    </row>
    <row r="256" spans="7:35">
      <c r="G256" s="3">
        <f t="shared" ca="1" si="34"/>
        <v>261</v>
      </c>
      <c r="H256" s="95">
        <f t="shared" ca="1" si="36"/>
        <v>45551</v>
      </c>
      <c r="I256" s="119">
        <f ca="1">HLOOKUP($H$4,'Met Data'!$A$2:$F$368,G256,FALSE)</f>
        <v>9.8469696969696905</v>
      </c>
      <c r="J256" s="119">
        <f ca="1">HLOOKUP($H$4,'Met Data'!$H$2:$M$368,G256,FALSE)*L256</f>
        <v>0.26969696969696899</v>
      </c>
      <c r="K256" s="96">
        <f ca="1">HLOOKUP($H$4,'Met Data'!$O$2:$T$368,G256,FALSE)</f>
        <v>2.7216431909543002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45596</v>
      </c>
      <c r="Q256">
        <f ca="1"/>
        <v>115.23561543720656</v>
      </c>
      <c r="R256">
        <f ca="1"/>
        <v>1.18324622583485</v>
      </c>
      <c r="S256">
        <f ca="1"/>
        <v>1.3619334411288264E-2</v>
      </c>
      <c r="T256">
        <f ca="1"/>
        <v>0.29531851711564971</v>
      </c>
      <c r="U256">
        <f ca="1"/>
        <v>0</v>
      </c>
      <c r="V256">
        <f ca="1"/>
        <v>36.593291444466402</v>
      </c>
      <c r="W256">
        <f ca="1"/>
        <v>9.3074241282664598</v>
      </c>
      <c r="X256">
        <f ca="1"/>
        <v>0</v>
      </c>
      <c r="Y256">
        <f ca="1"/>
        <v>0.22854087958875308</v>
      </c>
      <c r="Z256">
        <f ca="1"/>
        <v>0</v>
      </c>
      <c r="AA256">
        <f ca="1"/>
        <v>0</v>
      </c>
      <c r="AB256">
        <f ca="1"/>
        <v>0.99999950494816103</v>
      </c>
      <c r="AD256" s="2">
        <f t="shared" ca="1" si="32"/>
        <v>45596</v>
      </c>
      <c r="AE256">
        <f t="shared" ca="1" si="33"/>
        <v>0</v>
      </c>
      <c r="AG256" s="63">
        <f t="shared" ca="1" si="37"/>
        <v>116.41886166304141</v>
      </c>
      <c r="AH256" s="63">
        <f t="shared" ca="1" si="38"/>
        <v>116.41886166304141</v>
      </c>
      <c r="AI256" s="3">
        <f t="shared" ca="1" si="39"/>
        <v>0</v>
      </c>
    </row>
    <row r="257" spans="7:35">
      <c r="G257" s="3">
        <f t="shared" ca="1" si="34"/>
        <v>262</v>
      </c>
      <c r="H257" s="95">
        <f t="shared" ca="1" si="36"/>
        <v>45552</v>
      </c>
      <c r="I257" s="119">
        <f ca="1">HLOOKUP($H$4,'Met Data'!$A$2:$F$368,G257,FALSE)</f>
        <v>9.6045454545454501</v>
      </c>
      <c r="J257" s="119">
        <f ca="1">HLOOKUP($H$4,'Met Data'!$H$2:$M$368,G257,FALSE)*L257</f>
        <v>1.3212121212121199</v>
      </c>
      <c r="K257" s="96">
        <f ca="1">HLOOKUP($H$4,'Met Data'!$O$2:$T$368,G257,FALSE)</f>
        <v>2.6828140641286899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45597</v>
      </c>
      <c r="Q257">
        <f ca="1"/>
        <v>114.38371597894073</v>
      </c>
      <c r="R257">
        <f ca="1"/>
        <v>1.1444196939871301</v>
      </c>
      <c r="S257">
        <f ca="1"/>
        <v>1.2586047416050405E-2</v>
      </c>
      <c r="T257">
        <f ca="1"/>
        <v>0.27993418830525751</v>
      </c>
      <c r="U257">
        <f ca="1"/>
        <v>0</v>
      </c>
      <c r="V257">
        <f ca="1"/>
        <v>37.737711138453598</v>
      </c>
      <c r="W257">
        <f ca="1"/>
        <v>9.5985047895631901</v>
      </c>
      <c r="X257">
        <f ca="1"/>
        <v>0</v>
      </c>
      <c r="Y257">
        <f ca="1"/>
        <v>0.23481136373487657</v>
      </c>
      <c r="Z257">
        <f ca="1"/>
        <v>0</v>
      </c>
      <c r="AA257">
        <f ca="1"/>
        <v>0</v>
      </c>
      <c r="AB257">
        <f ca="1"/>
        <v>0.99999962371598305</v>
      </c>
      <c r="AD257" s="2">
        <f t="shared" ca="1" si="32"/>
        <v>45597</v>
      </c>
      <c r="AE257">
        <f t="shared" ca="1" si="33"/>
        <v>0</v>
      </c>
      <c r="AG257" s="63">
        <f t="shared" ca="1" si="37"/>
        <v>115.52813567292787</v>
      </c>
      <c r="AH257" s="63">
        <f t="shared" ca="1" si="38"/>
        <v>115.52813567292786</v>
      </c>
      <c r="AI257" s="3">
        <f t="shared" ca="1" si="39"/>
        <v>0</v>
      </c>
    </row>
    <row r="258" spans="7:35">
      <c r="G258" s="3">
        <f t="shared" ca="1" si="34"/>
        <v>263</v>
      </c>
      <c r="H258" s="95">
        <f t="shared" ca="1" si="36"/>
        <v>45553</v>
      </c>
      <c r="I258" s="119">
        <f ca="1">HLOOKUP($H$4,'Met Data'!$A$2:$F$368,G258,FALSE)</f>
        <v>9.8772727272727199</v>
      </c>
      <c r="J258" s="119">
        <f ca="1">HLOOKUP($H$4,'Met Data'!$H$2:$M$368,G258,FALSE)*L258</f>
        <v>1.83636363636363</v>
      </c>
      <c r="K258" s="96">
        <f ca="1">HLOOKUP($H$4,'Met Data'!$O$2:$T$368,G258,FALSE)</f>
        <v>2.84418375617479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45598</v>
      </c>
      <c r="Q258">
        <f ca="1"/>
        <v>113.49580502364907</v>
      </c>
      <c r="R258">
        <f ca="1"/>
        <v>1.1832115989919501</v>
      </c>
      <c r="S258">
        <f ca="1"/>
        <v>1.2415087112287893E-2</v>
      </c>
      <c r="T258">
        <f ca="1"/>
        <v>0.28288555658798908</v>
      </c>
      <c r="U258">
        <f ca="1"/>
        <v>0</v>
      </c>
      <c r="V258">
        <f ca="1"/>
        <v>38.920922737445501</v>
      </c>
      <c r="W258">
        <f ca="1"/>
        <v>9.8994520875676599</v>
      </c>
      <c r="X258">
        <f ca="1"/>
        <v>0</v>
      </c>
      <c r="Y258">
        <f ca="1"/>
        <v>0.22743572093656358</v>
      </c>
      <c r="Z258">
        <f ca="1"/>
        <v>0</v>
      </c>
      <c r="AA258">
        <f ca="1"/>
        <v>0</v>
      </c>
      <c r="AB258">
        <f ca="1"/>
        <v>0.99999971524555997</v>
      </c>
      <c r="AD258" s="2">
        <f t="shared" ca="1" si="32"/>
        <v>45598</v>
      </c>
      <c r="AE258">
        <f t="shared" ca="1" si="33"/>
        <v>0</v>
      </c>
      <c r="AG258" s="63">
        <f t="shared" ca="1" si="37"/>
        <v>114.679016622641</v>
      </c>
      <c r="AH258" s="63">
        <f t="shared" ca="1" si="38"/>
        <v>114.67901662264102</v>
      </c>
      <c r="AI258" s="3">
        <f t="shared" ca="1" si="39"/>
        <v>0</v>
      </c>
    </row>
    <row r="259" spans="7:35">
      <c r="G259" s="3">
        <f t="shared" ca="1" si="34"/>
        <v>264</v>
      </c>
      <c r="H259" s="95">
        <f t="shared" ca="1" si="36"/>
        <v>45554</v>
      </c>
      <c r="I259" s="119">
        <f ca="1">HLOOKUP($H$4,'Met Data'!$A$2:$F$368,G259,FALSE)</f>
        <v>9.4984848484848392</v>
      </c>
      <c r="J259" s="119">
        <f ca="1">HLOOKUP($H$4,'Met Data'!$H$2:$M$368,G259,FALSE)*L259</f>
        <v>1.47272727272727</v>
      </c>
      <c r="K259" s="96">
        <f ca="1">HLOOKUP($H$4,'Met Data'!$O$2:$T$368,G259,FALSE)</f>
        <v>2.76130603025703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45599</v>
      </c>
      <c r="Q259">
        <f ca="1"/>
        <v>112.58242612826585</v>
      </c>
      <c r="R259">
        <f ca="1"/>
        <v>1.2084104027146001</v>
      </c>
      <c r="S259">
        <f ca="1"/>
        <v>1.2126220551124334E-2</v>
      </c>
      <c r="T259">
        <f ca="1"/>
        <v>0.28290528678026189</v>
      </c>
      <c r="U259">
        <f ca="1"/>
        <v>0</v>
      </c>
      <c r="V259">
        <f ca="1"/>
        <v>40.129333140160099</v>
      </c>
      <c r="W259">
        <f ca="1"/>
        <v>10.206808646519001</v>
      </c>
      <c r="X259">
        <f ca="1"/>
        <v>0</v>
      </c>
      <c r="Y259">
        <f ca="1"/>
        <v>0.22270561261249572</v>
      </c>
      <c r="Z259">
        <f ca="1"/>
        <v>0</v>
      </c>
      <c r="AA259">
        <f ca="1"/>
        <v>0</v>
      </c>
      <c r="AB259">
        <f ca="1"/>
        <v>0.99999978477057205</v>
      </c>
      <c r="AD259" s="2">
        <f t="shared" ca="1" si="32"/>
        <v>45599</v>
      </c>
      <c r="AE259">
        <f t="shared" ca="1" si="33"/>
        <v>0</v>
      </c>
      <c r="AG259" s="63">
        <f t="shared" ca="1" si="37"/>
        <v>113.79083653098046</v>
      </c>
      <c r="AH259" s="63">
        <f t="shared" ca="1" si="38"/>
        <v>113.79083653098046</v>
      </c>
      <c r="AI259" s="3">
        <f t="shared" ca="1" si="39"/>
        <v>0</v>
      </c>
    </row>
    <row r="260" spans="7:35">
      <c r="G260" s="3">
        <f t="shared" ca="1" si="34"/>
        <v>265</v>
      </c>
      <c r="H260" s="95">
        <f t="shared" ca="1" si="36"/>
        <v>45555</v>
      </c>
      <c r="I260" s="119">
        <f ca="1">HLOOKUP($H$4,'Met Data'!$A$2:$F$368,G260,FALSE)</f>
        <v>9.9712121212121207</v>
      </c>
      <c r="J260" s="119">
        <f ca="1">HLOOKUP($H$4,'Met Data'!$H$2:$M$368,G260,FALSE)*L260</f>
        <v>1.39090909090909</v>
      </c>
      <c r="K260" s="96">
        <f ca="1">HLOOKUP($H$4,'Met Data'!$O$2:$T$368,G260,FALSE)</f>
        <v>2.9434337638791899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45600</v>
      </c>
      <c r="Q260">
        <f ca="1"/>
        <v>111.66414920969862</v>
      </c>
      <c r="R260">
        <f ca="1"/>
        <v>1.2113927377115099</v>
      </c>
      <c r="S260">
        <f ca="1"/>
        <v>1.178606775482649E-2</v>
      </c>
      <c r="T260">
        <f ca="1"/>
        <v>0.28132975138946154</v>
      </c>
      <c r="U260">
        <f ca="1"/>
        <v>0</v>
      </c>
      <c r="V260">
        <f ca="1"/>
        <v>41.340725877871598</v>
      </c>
      <c r="W260">
        <f ca="1"/>
        <v>10.514923755893401</v>
      </c>
      <c r="X260">
        <f ca="1"/>
        <v>0</v>
      </c>
      <c r="Y260">
        <f ca="1"/>
        <v>0.2320848798543759</v>
      </c>
      <c r="Z260">
        <f ca="1"/>
        <v>0</v>
      </c>
      <c r="AA260">
        <f ca="1"/>
        <v>0</v>
      </c>
      <c r="AB260">
        <f ca="1"/>
        <v>0.99999983671511905</v>
      </c>
      <c r="AD260" s="2">
        <f t="shared" ca="1" si="32"/>
        <v>45600</v>
      </c>
      <c r="AE260">
        <f t="shared" ca="1" si="33"/>
        <v>0</v>
      </c>
      <c r="AG260" s="63">
        <f t="shared" ca="1" si="37"/>
        <v>112.87554194741014</v>
      </c>
      <c r="AH260" s="63">
        <f t="shared" ca="1" si="38"/>
        <v>112.87554194741013</v>
      </c>
      <c r="AI260" s="3">
        <f t="shared" ca="1" si="39"/>
        <v>0</v>
      </c>
    </row>
    <row r="261" spans="7:35">
      <c r="G261" s="3">
        <f t="shared" ca="1" si="34"/>
        <v>266</v>
      </c>
      <c r="H261" s="95">
        <f t="shared" ca="1" si="36"/>
        <v>45556</v>
      </c>
      <c r="I261" s="119">
        <f ca="1">HLOOKUP($H$4,'Met Data'!$A$2:$F$368,G261,FALSE)</f>
        <v>9.6348484848484794</v>
      </c>
      <c r="J261" s="119">
        <f ca="1">HLOOKUP($H$4,'Met Data'!$H$2:$M$368,G261,FALSE)*L261</f>
        <v>1.4060606060606</v>
      </c>
      <c r="K261" s="96">
        <f ca="1">HLOOKUP($H$4,'Met Data'!$O$2:$T$368,G261,FALSE)</f>
        <v>2.8650949205126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45601</v>
      </c>
      <c r="Q261">
        <f ca="1"/>
        <v>110.76427293791828</v>
      </c>
      <c r="R261">
        <f ca="1"/>
        <v>1.17899275641167</v>
      </c>
      <c r="S261">
        <f ca="1"/>
        <v>1.099257821144306E-2</v>
      </c>
      <c r="T261">
        <f ca="1"/>
        <v>0.26812390641987255</v>
      </c>
      <c r="U261">
        <f ca="1"/>
        <v>0</v>
      </c>
      <c r="V261">
        <f ca="1"/>
        <v>42.519718634283301</v>
      </c>
      <c r="W261">
        <f ca="1"/>
        <v>10.814798000459</v>
      </c>
      <c r="X261">
        <f ca="1"/>
        <v>0</v>
      </c>
      <c r="Y261">
        <f ca="1"/>
        <v>0.23115472854278921</v>
      </c>
      <c r="Z261">
        <f ca="1"/>
        <v>0</v>
      </c>
      <c r="AA261">
        <f ca="1"/>
        <v>0</v>
      </c>
      <c r="AB261">
        <f ca="1"/>
        <v>0.99999987471864504</v>
      </c>
      <c r="AD261" s="2">
        <f t="shared" ca="1" si="32"/>
        <v>45601</v>
      </c>
      <c r="AE261">
        <f t="shared" ca="1" si="33"/>
        <v>0</v>
      </c>
      <c r="AG261" s="63">
        <f t="shared" ca="1" si="37"/>
        <v>111.94326569432994</v>
      </c>
      <c r="AH261" s="63">
        <f t="shared" ca="1" si="38"/>
        <v>111.94326569432995</v>
      </c>
      <c r="AI261" s="3">
        <f t="shared" ca="1" si="39"/>
        <v>0</v>
      </c>
    </row>
    <row r="262" spans="7:35">
      <c r="G262" s="3">
        <f t="shared" ca="1" si="34"/>
        <v>267</v>
      </c>
      <c r="H262" s="95">
        <f t="shared" ca="1" si="36"/>
        <v>45557</v>
      </c>
      <c r="I262" s="119">
        <f ca="1">HLOOKUP($H$4,'Met Data'!$A$2:$F$368,G262,FALSE)</f>
        <v>9.4318181818181799</v>
      </c>
      <c r="J262" s="119">
        <f ca="1">HLOOKUP($H$4,'Met Data'!$H$2:$M$368,G262,FALSE)*L262</f>
        <v>0.86060606060606004</v>
      </c>
      <c r="K262" s="96">
        <f ca="1">HLOOKUP($H$4,'Met Data'!$O$2:$T$368,G262,FALSE)</f>
        <v>2.84690777824148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45602</v>
      </c>
      <c r="Q262">
        <f ca="1"/>
        <v>109.83382240198019</v>
      </c>
      <c r="R262">
        <f ca="1"/>
        <v>1.2225720988056401</v>
      </c>
      <c r="S262">
        <f ca="1"/>
        <v>1.1275447468193533E-2</v>
      </c>
      <c r="T262">
        <f ca="1"/>
        <v>0.28084611539935184</v>
      </c>
      <c r="U262">
        <f ca="1"/>
        <v>0</v>
      </c>
      <c r="V262">
        <f ca="1"/>
        <v>43.7422907330889</v>
      </c>
      <c r="W262">
        <f ca="1"/>
        <v>11.1257565560248</v>
      </c>
      <c r="X262">
        <f ca="1"/>
        <v>0</v>
      </c>
      <c r="Y262">
        <f ca="1"/>
        <v>0.25074407996421638</v>
      </c>
      <c r="Z262">
        <f ca="1"/>
        <v>0</v>
      </c>
      <c r="AA262">
        <f ca="1"/>
        <v>0</v>
      </c>
      <c r="AB262">
        <f ca="1"/>
        <v>0.99999990446006004</v>
      </c>
      <c r="AD262" s="2">
        <f t="shared" ref="AD262:AD325" ca="1" si="42">IFERROR(P262,$AD$4)</f>
        <v>45602</v>
      </c>
      <c r="AE262">
        <f t="shared" ref="AE262:AE325" ca="1" si="43">IFERROR(U262,0)</f>
        <v>0</v>
      </c>
      <c r="AG262" s="63">
        <f t="shared" ca="1" si="37"/>
        <v>111.05639450078583</v>
      </c>
      <c r="AH262" s="63">
        <f t="shared" ca="1" si="38"/>
        <v>111.05639450078583</v>
      </c>
      <c r="AI262" s="3">
        <f t="shared" ca="1" si="39"/>
        <v>0</v>
      </c>
    </row>
    <row r="263" spans="7:35">
      <c r="G263" s="3">
        <f t="shared" ref="G263:G326" ca="1" si="44">H263-DATE(YEAR(H263),1,0)+1</f>
        <v>268</v>
      </c>
      <c r="H263" s="95">
        <f t="shared" ca="1" si="36"/>
        <v>45558</v>
      </c>
      <c r="I263" s="119">
        <f ca="1">HLOOKUP($H$4,'Met Data'!$A$2:$F$368,G263,FALSE)</f>
        <v>9.9181818181818109</v>
      </c>
      <c r="J263" s="119">
        <f ca="1">HLOOKUP($H$4,'Met Data'!$H$2:$M$368,G263,FALSE)*L263</f>
        <v>2.1454545454545402</v>
      </c>
      <c r="K263" s="96">
        <f ca="1">HLOOKUP($H$4,'Met Data'!$O$2:$T$368,G263,FALSE)</f>
        <v>2.75735755546836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45603</v>
      </c>
      <c r="Q263">
        <f ca="1"/>
        <v>108.88884159121412</v>
      </c>
      <c r="R263">
        <f ca="1"/>
        <v>1.23296693859275</v>
      </c>
      <c r="S263">
        <f ca="1"/>
        <v>1.0897300300598545E-2</v>
      </c>
      <c r="T263">
        <f ca="1"/>
        <v>0.27708882752609215</v>
      </c>
      <c r="U263">
        <f ca="1"/>
        <v>0</v>
      </c>
      <c r="V263">
        <f ca="1"/>
        <v>44.975257671681703</v>
      </c>
      <c r="W263">
        <f ca="1"/>
        <v>11.439359016492901</v>
      </c>
      <c r="X263">
        <f ca="1"/>
        <v>0</v>
      </c>
      <c r="Y263">
        <f ca="1"/>
        <v>0.24284138773936259</v>
      </c>
      <c r="Z263">
        <f ca="1"/>
        <v>0</v>
      </c>
      <c r="AA263">
        <f ca="1"/>
        <v>0</v>
      </c>
      <c r="AB263">
        <f ca="1"/>
        <v>0.99999992705401397</v>
      </c>
      <c r="AD263" s="2">
        <f t="shared" ca="1" si="42"/>
        <v>45603</v>
      </c>
      <c r="AE263">
        <f t="shared" ca="1" si="43"/>
        <v>0</v>
      </c>
      <c r="AG263" s="63">
        <f t="shared" ca="1" si="37"/>
        <v>110.12180852980687</v>
      </c>
      <c r="AH263" s="63">
        <f t="shared" ca="1" si="38"/>
        <v>110.12180852980687</v>
      </c>
      <c r="AI263" s="3">
        <f t="shared" ca="1" si="39"/>
        <v>0</v>
      </c>
    </row>
    <row r="264" spans="7:35">
      <c r="G264" s="3">
        <f t="shared" ca="1" si="44"/>
        <v>269</v>
      </c>
      <c r="H264" s="95">
        <f t="shared" ref="H264:H327" ca="1" si="46">H263+1</f>
        <v>45559</v>
      </c>
      <c r="I264" s="119">
        <f ca="1">HLOOKUP($H$4,'Met Data'!$A$2:$F$368,G264,FALSE)</f>
        <v>9.4424242424242397</v>
      </c>
      <c r="J264" s="119">
        <f ca="1">HLOOKUP($H$4,'Met Data'!$H$2:$M$368,G264,FALSE)*L264</f>
        <v>2.4363636363636298</v>
      </c>
      <c r="K264" s="96">
        <f ca="1">HLOOKUP($H$4,'Met Data'!$O$2:$T$368,G264,FALSE)</f>
        <v>2.5822558734868299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45604</v>
      </c>
      <c r="Q264">
        <f ca="1"/>
        <v>107.9071471555049</v>
      </c>
      <c r="R264">
        <f ca="1"/>
        <v>1.2748206764135499</v>
      </c>
      <c r="S264">
        <f ca="1"/>
        <v>1.08799610297865E-2</v>
      </c>
      <c r="T264">
        <f ca="1"/>
        <v>0.28224627967454979</v>
      </c>
      <c r="U264">
        <f ca="1"/>
        <v>0</v>
      </c>
      <c r="V264">
        <f ca="1"/>
        <v>46.250078348095201</v>
      </c>
      <c r="W264">
        <f ca="1"/>
        <v>11.7636068841894</v>
      </c>
      <c r="X264">
        <f ca="1"/>
        <v>0</v>
      </c>
      <c r="Y264">
        <f ca="1"/>
        <v>0.23746858344927749</v>
      </c>
      <c r="Z264">
        <f ca="1"/>
        <v>0</v>
      </c>
      <c r="AA264">
        <f ca="1"/>
        <v>0</v>
      </c>
      <c r="AB264">
        <f ca="1"/>
        <v>0.99999994462687802</v>
      </c>
      <c r="AD264" s="2">
        <f t="shared" ca="1" si="42"/>
        <v>45604</v>
      </c>
      <c r="AE264">
        <f t="shared" ca="1" si="43"/>
        <v>0</v>
      </c>
      <c r="AG264" s="63">
        <f t="shared" ca="1" si="37"/>
        <v>109.18196783191846</v>
      </c>
      <c r="AH264" s="63">
        <f t="shared" ca="1" si="38"/>
        <v>109.18196783191846</v>
      </c>
      <c r="AI264" s="3">
        <f t="shared" ca="1" si="39"/>
        <v>0</v>
      </c>
    </row>
    <row r="265" spans="7:35">
      <c r="G265" s="3">
        <f t="shared" ca="1" si="44"/>
        <v>270</v>
      </c>
      <c r="H265" s="95">
        <f t="shared" ca="1" si="46"/>
        <v>45560</v>
      </c>
      <c r="I265" s="119">
        <f ca="1">HLOOKUP($H$4,'Met Data'!$A$2:$F$368,G265,FALSE)</f>
        <v>10.2424242424242</v>
      </c>
      <c r="J265" s="119">
        <f ca="1">HLOOKUP($H$4,'Met Data'!$H$2:$M$368,G265,FALSE)*L265</f>
        <v>1.5363636363636299</v>
      </c>
      <c r="K265" s="96">
        <f ca="1">HLOOKUP($H$4,'Met Data'!$O$2:$T$368,G265,FALSE)</f>
        <v>3.0759435950739098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45605</v>
      </c>
      <c r="Q265">
        <f ca="1"/>
        <v>106.79344430959894</v>
      </c>
      <c r="R265">
        <f ca="1"/>
        <v>1.44299856861359</v>
      </c>
      <c r="S265">
        <f ca="1"/>
        <v>1.1980718913406463E-2</v>
      </c>
      <c r="T265">
        <f ca="1"/>
        <v>0.31731500379421773</v>
      </c>
      <c r="U265">
        <f ca="1"/>
        <v>0</v>
      </c>
      <c r="V265">
        <f ca="1"/>
        <v>47.693076916708797</v>
      </c>
      <c r="W265">
        <f ca="1"/>
        <v>12.130630433162899</v>
      </c>
      <c r="X265">
        <f ca="1"/>
        <v>0</v>
      </c>
      <c r="Y265">
        <f ca="1"/>
        <v>0.2233176837724431</v>
      </c>
      <c r="Z265">
        <f ca="1"/>
        <v>0</v>
      </c>
      <c r="AA265">
        <f ca="1"/>
        <v>0</v>
      </c>
      <c r="AB265">
        <f ca="1"/>
        <v>0.99999995931643504</v>
      </c>
      <c r="AD265" s="2">
        <f t="shared" ca="1" si="42"/>
        <v>45605</v>
      </c>
      <c r="AE265">
        <f t="shared" ca="1" si="43"/>
        <v>0</v>
      </c>
      <c r="AG265" s="63">
        <f t="shared" ca="1" si="37"/>
        <v>108.23644287821253</v>
      </c>
      <c r="AH265" s="63">
        <f t="shared" ca="1" si="38"/>
        <v>108.23644287821253</v>
      </c>
      <c r="AI265" s="3">
        <f t="shared" ca="1" si="39"/>
        <v>0</v>
      </c>
    </row>
    <row r="266" spans="7:35">
      <c r="G266" s="3">
        <f t="shared" ca="1" si="44"/>
        <v>271</v>
      </c>
      <c r="H266" s="95">
        <f t="shared" ca="1" si="46"/>
        <v>45561</v>
      </c>
      <c r="I266" s="119">
        <f ca="1">HLOOKUP($H$4,'Met Data'!$A$2:$F$368,G266,FALSE)</f>
        <v>10.445454545454499</v>
      </c>
      <c r="J266" s="119">
        <f ca="1">HLOOKUP($H$4,'Met Data'!$H$2:$M$368,G266,FALSE)*L266</f>
        <v>0.384848484848484</v>
      </c>
      <c r="K266" s="96">
        <f ca="1">HLOOKUP($H$4,'Met Data'!$O$2:$T$368,G266,FALSE)</f>
        <v>3.0351526425456301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45606</v>
      </c>
      <c r="Q266">
        <f ca="1"/>
        <v>105.71151813337494</v>
      </c>
      <c r="R266">
        <f ca="1"/>
        <v>1.39074523886514</v>
      </c>
      <c r="S266">
        <f ca="1"/>
        <v>1.1015636703461951E-2</v>
      </c>
      <c r="T266">
        <f ca="1"/>
        <v>0.29780342593766435</v>
      </c>
      <c r="U266">
        <f ca="1"/>
        <v>0</v>
      </c>
      <c r="V266">
        <f ca="1"/>
        <v>49.083822155573898</v>
      </c>
      <c r="W266">
        <f ca="1"/>
        <v>12.484363461309</v>
      </c>
      <c r="X266">
        <f ca="1"/>
        <v>0</v>
      </c>
      <c r="Y266">
        <f ca="1"/>
        <v>0.21776481489405358</v>
      </c>
      <c r="Z266">
        <f ca="1"/>
        <v>0</v>
      </c>
      <c r="AA266">
        <f ca="1"/>
        <v>0</v>
      </c>
      <c r="AB266">
        <f ca="1"/>
        <v>0.99999996967253801</v>
      </c>
      <c r="AD266" s="2">
        <f t="shared" ca="1" si="42"/>
        <v>45606</v>
      </c>
      <c r="AE266">
        <f t="shared" ca="1" si="43"/>
        <v>0</v>
      </c>
      <c r="AG266" s="63">
        <f t="shared" ca="1" si="37"/>
        <v>107.10226337224006</v>
      </c>
      <c r="AH266" s="63">
        <f t="shared" ca="1" si="38"/>
        <v>107.10226337224007</v>
      </c>
      <c r="AI266" s="3">
        <f t="shared" ca="1" si="39"/>
        <v>0</v>
      </c>
    </row>
    <row r="267" spans="7:35">
      <c r="G267" s="3">
        <f t="shared" ca="1" si="44"/>
        <v>272</v>
      </c>
      <c r="H267" s="95">
        <f t="shared" ca="1" si="46"/>
        <v>45562</v>
      </c>
      <c r="I267" s="119">
        <f ca="1">HLOOKUP($H$4,'Met Data'!$A$2:$F$368,G267,FALSE)</f>
        <v>10.198484848484799</v>
      </c>
      <c r="J267" s="119">
        <f ca="1">HLOOKUP($H$4,'Met Data'!$H$2:$M$368,G267,FALSE)*L267</f>
        <v>2.6393939393939299</v>
      </c>
      <c r="K267" s="96">
        <f ca="1">HLOOKUP($H$4,'Met Data'!$O$2:$T$368,G267,FALSE)</f>
        <v>2.92273242129352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45607</v>
      </c>
      <c r="Q267">
        <f ca="1"/>
        <v>104.64911725949048</v>
      </c>
      <c r="R267">
        <f ca="1"/>
        <v>1.3678827317403901</v>
      </c>
      <c r="S267">
        <f ca="1"/>
        <v>1.0698372579071247E-2</v>
      </c>
      <c r="T267">
        <f ca="1"/>
        <v>0.29478348527687492</v>
      </c>
      <c r="U267">
        <f ca="1"/>
        <v>0</v>
      </c>
      <c r="V267">
        <f ca="1"/>
        <v>50.4517048873143</v>
      </c>
      <c r="W267">
        <f ca="1"/>
        <v>12.832281460469099</v>
      </c>
      <c r="X267">
        <f ca="1"/>
        <v>0</v>
      </c>
      <c r="Y267">
        <f ca="1"/>
        <v>0.2377952914624443</v>
      </c>
      <c r="Z267">
        <f ca="1"/>
        <v>0</v>
      </c>
      <c r="AA267">
        <f ca="1"/>
        <v>0</v>
      </c>
      <c r="AB267">
        <f ca="1"/>
        <v>0.99999997721869804</v>
      </c>
      <c r="AD267" s="2">
        <f t="shared" ca="1" si="42"/>
        <v>45607</v>
      </c>
      <c r="AE267">
        <f t="shared" ca="1" si="43"/>
        <v>0</v>
      </c>
      <c r="AG267" s="63">
        <f t="shared" ref="AG267:AG330" ca="1" si="47">Q266+S267+T267+U267</f>
        <v>106.01699999123089</v>
      </c>
      <c r="AH267" s="63">
        <f t="shared" ref="AH267:AH330" ca="1" si="48">Q267+R267+X267</f>
        <v>106.01699999123088</v>
      </c>
      <c r="AI267" s="3">
        <f t="shared" ref="AI267:AI330" ca="1" si="49">AH267-AG267</f>
        <v>0</v>
      </c>
    </row>
    <row r="268" spans="7:35">
      <c r="G268" s="3">
        <f t="shared" ca="1" si="44"/>
        <v>273</v>
      </c>
      <c r="H268" s="95">
        <f t="shared" ca="1" si="46"/>
        <v>45563</v>
      </c>
      <c r="I268" s="119">
        <f ca="1">HLOOKUP($H$4,'Met Data'!$A$2:$F$368,G268,FALSE)</f>
        <v>10.072727272727199</v>
      </c>
      <c r="J268" s="119">
        <f ca="1">HLOOKUP($H$4,'Met Data'!$H$2:$M$368,G268,FALSE)*L268</f>
        <v>2.21515151515151</v>
      </c>
      <c r="K268" s="96">
        <f ca="1">HLOOKUP($H$4,'Met Data'!$O$2:$T$368,G268,FALSE)</f>
        <v>3.0079671587405801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45608</v>
      </c>
      <c r="Q268">
        <f ca="1"/>
        <v>103.64278029441068</v>
      </c>
      <c r="R268">
        <f ca="1"/>
        <v>1.2880251863401699</v>
      </c>
      <c r="S268">
        <f ca="1"/>
        <v>9.6994328072241842E-3</v>
      </c>
      <c r="T268">
        <f ca="1"/>
        <v>0.27198878845314778</v>
      </c>
      <c r="U268">
        <f ca="1"/>
        <v>0</v>
      </c>
      <c r="V268">
        <f ca="1"/>
        <v>51.739730073654499</v>
      </c>
      <c r="W268">
        <f ca="1"/>
        <v>13.159887866559901</v>
      </c>
      <c r="X268">
        <f ca="1"/>
        <v>0</v>
      </c>
      <c r="Y268">
        <f ca="1"/>
        <v>0.23590128386794565</v>
      </c>
      <c r="Z268">
        <f ca="1"/>
        <v>0</v>
      </c>
      <c r="AA268">
        <f ca="1"/>
        <v>0</v>
      </c>
      <c r="AB268">
        <f ca="1"/>
        <v>0.999999982559588</v>
      </c>
      <c r="AD268" s="2">
        <f t="shared" ca="1" si="42"/>
        <v>45608</v>
      </c>
      <c r="AE268">
        <f t="shared" ca="1" si="43"/>
        <v>0</v>
      </c>
      <c r="AG268" s="63">
        <f t="shared" ca="1" si="47"/>
        <v>104.93080548075085</v>
      </c>
      <c r="AH268" s="63">
        <f t="shared" ca="1" si="48"/>
        <v>104.93080548075085</v>
      </c>
      <c r="AI268" s="3">
        <f t="shared" ca="1" si="49"/>
        <v>0</v>
      </c>
    </row>
    <row r="269" spans="7:35">
      <c r="G269" s="3">
        <f t="shared" ca="1" si="44"/>
        <v>274</v>
      </c>
      <c r="H269" s="95">
        <f t="shared" ca="1" si="46"/>
        <v>45564</v>
      </c>
      <c r="I269" s="119">
        <f ca="1">HLOOKUP($H$4,'Met Data'!$A$2:$F$368,G269,FALSE)</f>
        <v>11.2515151515151</v>
      </c>
      <c r="J269" s="119">
        <f ca="1">HLOOKUP($H$4,'Met Data'!$H$2:$M$368,G269,FALSE)*L269</f>
        <v>0.33939393939393903</v>
      </c>
      <c r="K269" s="96">
        <f ca="1">HLOOKUP($H$4,'Met Data'!$O$2:$T$368,G269,FALSE)</f>
        <v>3.4114061949116499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45609</v>
      </c>
      <c r="Q269">
        <f ca="1"/>
        <v>102.57635135747044</v>
      </c>
      <c r="R269">
        <f ca="1"/>
        <v>1.3573934192947501</v>
      </c>
      <c r="S269">
        <f ca="1"/>
        <v>9.8604959870272069E-3</v>
      </c>
      <c r="T269">
        <f ca="1"/>
        <v>0.28110398636748274</v>
      </c>
      <c r="U269">
        <f ca="1"/>
        <v>0</v>
      </c>
      <c r="V269">
        <f ca="1"/>
        <v>53.097123492949301</v>
      </c>
      <c r="W269">
        <f ca="1"/>
        <v>13.505137931902301</v>
      </c>
      <c r="X269">
        <f ca="1"/>
        <v>0</v>
      </c>
      <c r="Y269">
        <f ca="1"/>
        <v>0.21831564455161062</v>
      </c>
      <c r="Z269">
        <f ca="1"/>
        <v>0</v>
      </c>
      <c r="AA269">
        <f ca="1"/>
        <v>0</v>
      </c>
      <c r="AB269">
        <f ca="1"/>
        <v>0.99999998681178603</v>
      </c>
      <c r="AD269" s="2">
        <f t="shared" ca="1" si="42"/>
        <v>45609</v>
      </c>
      <c r="AE269">
        <f t="shared" ca="1" si="43"/>
        <v>0</v>
      </c>
      <c r="AG269" s="63">
        <f t="shared" ca="1" si="47"/>
        <v>103.9337447767652</v>
      </c>
      <c r="AH269" s="63">
        <f t="shared" ca="1" si="48"/>
        <v>103.9337447767652</v>
      </c>
      <c r="AI269" s="3">
        <f t="shared" ca="1" si="49"/>
        <v>0</v>
      </c>
    </row>
    <row r="270" spans="7:35">
      <c r="G270" s="3">
        <f t="shared" ca="1" si="44"/>
        <v>275</v>
      </c>
      <c r="H270" s="95">
        <f t="shared" ca="1" si="46"/>
        <v>45565</v>
      </c>
      <c r="I270" s="119">
        <f ca="1">HLOOKUP($H$4,'Met Data'!$A$2:$F$368,G270,FALSE)</f>
        <v>11.2893939393939</v>
      </c>
      <c r="J270" s="119">
        <f ca="1">HLOOKUP($H$4,'Met Data'!$H$2:$M$368,G270,FALSE)*L270</f>
        <v>0.36060606060605999</v>
      </c>
      <c r="K270" s="96">
        <f ca="1">HLOOKUP($H$4,'Met Data'!$O$2:$T$368,G270,FALSE)</f>
        <v>3.4573036102364698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45610</v>
      </c>
      <c r="Q270">
        <f ca="1"/>
        <v>101.46228029413777</v>
      </c>
      <c r="R270">
        <f ca="1"/>
        <v>1.41222917741337</v>
      </c>
      <c r="S270">
        <f ca="1"/>
        <v>9.9458600593607116E-3</v>
      </c>
      <c r="T270">
        <f ca="1"/>
        <v>0.28821225402134104</v>
      </c>
      <c r="U270">
        <f ca="1"/>
        <v>0</v>
      </c>
      <c r="V270">
        <f ca="1"/>
        <v>54.509352670362603</v>
      </c>
      <c r="W270">
        <f ca="1"/>
        <v>13.864335353114001</v>
      </c>
      <c r="X270">
        <f ca="1"/>
        <v>0</v>
      </c>
      <c r="Y270">
        <f ca="1"/>
        <v>0.20518217192633234</v>
      </c>
      <c r="Z270">
        <f ca="1"/>
        <v>0</v>
      </c>
      <c r="AA270">
        <f ca="1"/>
        <v>0</v>
      </c>
      <c r="AB270">
        <f ca="1"/>
        <v>0.99999999012006802</v>
      </c>
      <c r="AD270" s="2">
        <f t="shared" ca="1" si="42"/>
        <v>45610</v>
      </c>
      <c r="AE270">
        <f t="shared" ca="1" si="43"/>
        <v>0</v>
      </c>
      <c r="AG270" s="63">
        <f t="shared" ca="1" si="47"/>
        <v>102.87450947155115</v>
      </c>
      <c r="AH270" s="63">
        <f t="shared" ca="1" si="48"/>
        <v>102.87450947155114</v>
      </c>
      <c r="AI270" s="3">
        <f t="shared" ca="1" si="49"/>
        <v>0</v>
      </c>
    </row>
    <row r="271" spans="7:35">
      <c r="G271" s="3">
        <f t="shared" ca="1" si="44"/>
        <v>276</v>
      </c>
      <c r="H271" s="95">
        <f t="shared" ca="1" si="46"/>
        <v>45566</v>
      </c>
      <c r="I271" s="119">
        <f ca="1">HLOOKUP($H$4,'Met Data'!$A$2:$F$368,G271,FALSE)</f>
        <v>11.590909090908999</v>
      </c>
      <c r="J271" s="119">
        <f ca="1">HLOOKUP($H$4,'Met Data'!$H$2:$M$368,G271,FALSE)*L271</f>
        <v>0.86969696969696897</v>
      </c>
      <c r="K271" s="96">
        <f ca="1">HLOOKUP($H$4,'Met Data'!$O$2:$T$368,G271,FALSE)</f>
        <v>3.4181246576745901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45611</v>
      </c>
      <c r="Q271">
        <f ca="1"/>
        <v>100.31667095605012</v>
      </c>
      <c r="R271">
        <f ca="1"/>
        <v>1.4565390011968</v>
      </c>
      <c r="S271">
        <f ca="1"/>
        <v>1.0210123792859349E-2</v>
      </c>
      <c r="T271">
        <f ca="1"/>
        <v>0.30071953931628465</v>
      </c>
      <c r="U271">
        <f ca="1"/>
        <v>0</v>
      </c>
      <c r="V271">
        <f ca="1"/>
        <v>55.965891671559397</v>
      </c>
      <c r="W271">
        <f ca="1"/>
        <v>14.234802881679199</v>
      </c>
      <c r="X271">
        <f ca="1"/>
        <v>0</v>
      </c>
      <c r="Y271">
        <f ca="1"/>
        <v>0.21794117120998657</v>
      </c>
      <c r="Z271">
        <f ca="1"/>
        <v>0</v>
      </c>
      <c r="AA271">
        <f ca="1"/>
        <v>0</v>
      </c>
      <c r="AB271">
        <f ca="1"/>
        <v>0.99999999265252704</v>
      </c>
      <c r="AD271" s="2">
        <f t="shared" ca="1" si="42"/>
        <v>45611</v>
      </c>
      <c r="AE271">
        <f t="shared" ca="1" si="43"/>
        <v>0</v>
      </c>
      <c r="AG271" s="63">
        <f t="shared" ca="1" si="47"/>
        <v>101.77320995724692</v>
      </c>
      <c r="AH271" s="63">
        <f t="shared" ca="1" si="48"/>
        <v>101.77320995724692</v>
      </c>
      <c r="AI271" s="3">
        <f t="shared" ca="1" si="49"/>
        <v>0</v>
      </c>
    </row>
    <row r="272" spans="7:35">
      <c r="G272" s="3">
        <f t="shared" ca="1" si="44"/>
        <v>277</v>
      </c>
      <c r="H272" s="95">
        <f t="shared" ca="1" si="46"/>
        <v>45567</v>
      </c>
      <c r="I272" s="119">
        <f ca="1">HLOOKUP($H$4,'Met Data'!$A$2:$F$368,G272,FALSE)</f>
        <v>10.8530303030303</v>
      </c>
      <c r="J272" s="119">
        <f ca="1">HLOOKUP($H$4,'Met Data'!$H$2:$M$368,G272,FALSE)*L272</f>
        <v>2.9272727272727201</v>
      </c>
      <c r="K272" s="96">
        <f ca="1">HLOOKUP($H$4,'Met Data'!$O$2:$T$368,G272,FALSE)</f>
        <v>3.28237222726839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45612</v>
      </c>
      <c r="Q272">
        <f ca="1"/>
        <v>99.236050382644038</v>
      </c>
      <c r="R272">
        <f ca="1"/>
        <v>1.36997589249818</v>
      </c>
      <c r="S272">
        <f ca="1"/>
        <v>9.3611972166343094E-3</v>
      </c>
      <c r="T272">
        <f ca="1"/>
        <v>0.27999412187546568</v>
      </c>
      <c r="U272">
        <f ca="1"/>
        <v>0</v>
      </c>
      <c r="V272">
        <f ca="1"/>
        <v>57.335867564057601</v>
      </c>
      <c r="W272">
        <f ca="1"/>
        <v>14.583253271727701</v>
      </c>
      <c r="X272">
        <f ca="1"/>
        <v>0</v>
      </c>
      <c r="Y272">
        <f ca="1"/>
        <v>0.22336366453796988</v>
      </c>
      <c r="Z272">
        <f ca="1"/>
        <v>0</v>
      </c>
      <c r="AA272">
        <f ca="1"/>
        <v>0</v>
      </c>
      <c r="AB272">
        <f ca="1"/>
        <v>0.99999999443161203</v>
      </c>
      <c r="AD272" s="2">
        <f t="shared" ca="1" si="42"/>
        <v>45612</v>
      </c>
      <c r="AE272">
        <f t="shared" ca="1" si="43"/>
        <v>0</v>
      </c>
      <c r="AG272" s="63">
        <f t="shared" ca="1" si="47"/>
        <v>100.60602627514221</v>
      </c>
      <c r="AH272" s="63">
        <f t="shared" ca="1" si="48"/>
        <v>100.60602627514221</v>
      </c>
      <c r="AI272" s="3">
        <f t="shared" ca="1" si="49"/>
        <v>0</v>
      </c>
    </row>
    <row r="273" spans="7:35">
      <c r="G273" s="3">
        <f t="shared" ca="1" si="44"/>
        <v>278</v>
      </c>
      <c r="H273" s="95">
        <f t="shared" ca="1" si="46"/>
        <v>45568</v>
      </c>
      <c r="I273" s="119">
        <f ca="1">HLOOKUP($H$4,'Met Data'!$A$2:$F$368,G273,FALSE)</f>
        <v>10.580303030303</v>
      </c>
      <c r="J273" s="119">
        <f ca="1">HLOOKUP($H$4,'Met Data'!$H$2:$M$368,G273,FALSE)*L273</f>
        <v>3.0151515151515098</v>
      </c>
      <c r="K273" s="96">
        <f ca="1">HLOOKUP($H$4,'Met Data'!$O$2:$T$368,G273,FALSE)</f>
        <v>2.9435441276045902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45613</v>
      </c>
      <c r="Q273">
        <f ca="1"/>
        <v>98.201238593395374</v>
      </c>
      <c r="R273">
        <f ca="1"/>
        <v>1.31833918769684</v>
      </c>
      <c r="S273">
        <f ca="1"/>
        <v>9.0481925453786971E-3</v>
      </c>
      <c r="T273">
        <f ca="1"/>
        <v>0.2744792059027979</v>
      </c>
      <c r="U273">
        <f ca="1"/>
        <v>0</v>
      </c>
      <c r="V273">
        <f ca="1"/>
        <v>58.654206751754401</v>
      </c>
      <c r="W273">
        <f ca="1"/>
        <v>14.9185699781636</v>
      </c>
      <c r="X273">
        <f ca="1"/>
        <v>0</v>
      </c>
      <c r="Y273">
        <f ca="1"/>
        <v>0.24945602977023201</v>
      </c>
      <c r="Z273">
        <f ca="1"/>
        <v>0</v>
      </c>
      <c r="AA273">
        <f ca="1"/>
        <v>0</v>
      </c>
      <c r="AB273">
        <f ca="1"/>
        <v>0.99999999573165499</v>
      </c>
      <c r="AD273" s="2">
        <f t="shared" ca="1" si="42"/>
        <v>45613</v>
      </c>
      <c r="AE273">
        <f t="shared" ca="1" si="43"/>
        <v>0</v>
      </c>
      <c r="AG273" s="63">
        <f t="shared" ca="1" si="47"/>
        <v>99.51957778109221</v>
      </c>
      <c r="AH273" s="63">
        <f t="shared" ca="1" si="48"/>
        <v>99.51957778109221</v>
      </c>
      <c r="AI273" s="3">
        <f t="shared" ca="1" si="49"/>
        <v>0</v>
      </c>
    </row>
    <row r="274" spans="7:35">
      <c r="G274" s="3">
        <f t="shared" ca="1" si="44"/>
        <v>279</v>
      </c>
      <c r="H274" s="95">
        <f t="shared" ca="1" si="46"/>
        <v>45569</v>
      </c>
      <c r="I274" s="119">
        <f ca="1">HLOOKUP($H$4,'Met Data'!$A$2:$F$368,G274,FALSE)</f>
        <v>10.5</v>
      </c>
      <c r="J274" s="119">
        <f ca="1">HLOOKUP($H$4,'Met Data'!$H$2:$M$368,G274,FALSE)*L274</f>
        <v>1.5060606060606001</v>
      </c>
      <c r="K274" s="96">
        <f ca="1">HLOOKUP($H$4,'Met Data'!$O$2:$T$368,G274,FALSE)</f>
        <v>3.3810413875387701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45614</v>
      </c>
      <c r="Q274">
        <f ca="1"/>
        <v>97.18797210377268</v>
      </c>
      <c r="R274">
        <f ca="1"/>
        <v>1.29972016161398</v>
      </c>
      <c r="S274">
        <f ca="1"/>
        <v>9.0229007770403769E-3</v>
      </c>
      <c r="T274">
        <f ca="1"/>
        <v>0.27743077121424509</v>
      </c>
      <c r="U274">
        <f ca="1"/>
        <v>0</v>
      </c>
      <c r="V274">
        <f ca="1"/>
        <v>59.953926913368399</v>
      </c>
      <c r="W274">
        <f ca="1"/>
        <v>15.249150975791499</v>
      </c>
      <c r="X274">
        <f ca="1"/>
        <v>0</v>
      </c>
      <c r="Y274">
        <f ca="1"/>
        <v>0.27608169496863738</v>
      </c>
      <c r="Z274">
        <f ca="1"/>
        <v>0</v>
      </c>
      <c r="AA274">
        <f ca="1"/>
        <v>0</v>
      </c>
      <c r="AB274">
        <f ca="1"/>
        <v>0.99999999671375495</v>
      </c>
      <c r="AD274" s="2">
        <f t="shared" ca="1" si="42"/>
        <v>45614</v>
      </c>
      <c r="AE274">
        <f t="shared" ca="1" si="43"/>
        <v>0</v>
      </c>
      <c r="AG274" s="63">
        <f t="shared" ca="1" si="47"/>
        <v>98.487692265386656</v>
      </c>
      <c r="AH274" s="63">
        <f t="shared" ca="1" si="48"/>
        <v>98.487692265386656</v>
      </c>
      <c r="AI274" s="3">
        <f t="shared" ca="1" si="49"/>
        <v>0</v>
      </c>
    </row>
    <row r="275" spans="7:35">
      <c r="G275" s="3">
        <f t="shared" ca="1" si="44"/>
        <v>280</v>
      </c>
      <c r="H275" s="95">
        <f t="shared" ca="1" si="46"/>
        <v>45570</v>
      </c>
      <c r="I275" s="119">
        <f ca="1">HLOOKUP($H$4,'Met Data'!$A$2:$F$368,G275,FALSE)</f>
        <v>11.0757575757575</v>
      </c>
      <c r="J275" s="119">
        <f ca="1">HLOOKUP($H$4,'Met Data'!$H$2:$M$368,G275,FALSE)*L275</f>
        <v>0.86666666666666603</v>
      </c>
      <c r="K275" s="96">
        <f ca="1">HLOOKUP($H$4,'Met Data'!$O$2:$T$368,G275,FALSE)</f>
        <v>3.3814368699018198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45615</v>
      </c>
      <c r="Q275">
        <f ca="1"/>
        <v>96.101130141180647</v>
      </c>
      <c r="R275">
        <f ca="1"/>
        <v>1.3970169389551299</v>
      </c>
      <c r="S275">
        <f ca="1"/>
        <v>9.6426830220082138E-3</v>
      </c>
      <c r="T275">
        <f ca="1"/>
        <v>0.30053229334108894</v>
      </c>
      <c r="U275">
        <f ca="1"/>
        <v>0</v>
      </c>
      <c r="V275">
        <f ca="1"/>
        <v>61.350943852323503</v>
      </c>
      <c r="W275">
        <f ca="1"/>
        <v>15.6044791972214</v>
      </c>
      <c r="X275">
        <f ca="1"/>
        <v>0</v>
      </c>
      <c r="Y275">
        <f ca="1"/>
        <v>0.27619518646868746</v>
      </c>
      <c r="Z275">
        <f ca="1"/>
        <v>0</v>
      </c>
      <c r="AA275">
        <f ca="1"/>
        <v>0</v>
      </c>
      <c r="AB275">
        <f ca="1"/>
        <v>0.99999999751781599</v>
      </c>
      <c r="AD275" s="2">
        <f t="shared" ca="1" si="42"/>
        <v>45615</v>
      </c>
      <c r="AE275">
        <f t="shared" ca="1" si="43"/>
        <v>0</v>
      </c>
      <c r="AG275" s="63">
        <f t="shared" ca="1" si="47"/>
        <v>97.49814708013578</v>
      </c>
      <c r="AH275" s="63">
        <f t="shared" ca="1" si="48"/>
        <v>97.49814708013578</v>
      </c>
      <c r="AI275" s="3">
        <f t="shared" ca="1" si="49"/>
        <v>0</v>
      </c>
    </row>
    <row r="276" spans="7:35">
      <c r="G276" s="3">
        <f t="shared" ca="1" si="44"/>
        <v>281</v>
      </c>
      <c r="H276" s="95">
        <f t="shared" ca="1" si="46"/>
        <v>45571</v>
      </c>
      <c r="I276" s="119">
        <f ca="1">HLOOKUP($H$4,'Met Data'!$A$2:$F$368,G276,FALSE)</f>
        <v>11.1621212121212</v>
      </c>
      <c r="J276" s="119">
        <f ca="1">HLOOKUP($H$4,'Met Data'!$H$2:$M$368,G276,FALSE)*L276</f>
        <v>1.1424242424242399</v>
      </c>
      <c r="K276" s="96">
        <f ca="1">HLOOKUP($H$4,'Met Data'!$O$2:$T$368,G276,FALSE)</f>
        <v>3.44855016002714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45616</v>
      </c>
      <c r="Q276">
        <f ca="1"/>
        <v>95.02920934748596</v>
      </c>
      <c r="R276">
        <f ca="1"/>
        <v>1.3886971305793701</v>
      </c>
      <c r="S276">
        <f ca="1"/>
        <v>9.7186974108751656E-3</v>
      </c>
      <c r="T276">
        <f ca="1"/>
        <v>0.3070576394738051</v>
      </c>
      <c r="U276">
        <f ca="1"/>
        <v>0</v>
      </c>
      <c r="V276">
        <f ca="1"/>
        <v>62.739640982902898</v>
      </c>
      <c r="W276">
        <f ca="1"/>
        <v>15.957691293477501</v>
      </c>
      <c r="X276">
        <f ca="1"/>
        <v>0</v>
      </c>
      <c r="Y276">
        <f ca="1"/>
        <v>0.30177432098001167</v>
      </c>
      <c r="Z276">
        <f ca="1"/>
        <v>0</v>
      </c>
      <c r="AA276">
        <f ca="1"/>
        <v>0</v>
      </c>
      <c r="AB276">
        <f ca="1"/>
        <v>0.99999999812165896</v>
      </c>
      <c r="AD276" s="2">
        <f t="shared" ca="1" si="42"/>
        <v>45616</v>
      </c>
      <c r="AE276">
        <f t="shared" ca="1" si="43"/>
        <v>0</v>
      </c>
      <c r="AG276" s="63">
        <f t="shared" ca="1" si="47"/>
        <v>96.417906478065333</v>
      </c>
      <c r="AH276" s="63">
        <f t="shared" ca="1" si="48"/>
        <v>96.417906478065333</v>
      </c>
      <c r="AI276" s="3">
        <f t="shared" ca="1" si="49"/>
        <v>0</v>
      </c>
    </row>
    <row r="277" spans="7:35">
      <c r="G277" s="3">
        <f t="shared" ca="1" si="44"/>
        <v>282</v>
      </c>
      <c r="H277" s="95">
        <f t="shared" ca="1" si="46"/>
        <v>45572</v>
      </c>
      <c r="I277" s="119">
        <f ca="1">HLOOKUP($H$4,'Met Data'!$A$2:$F$368,G277,FALSE)</f>
        <v>10.442424242424201</v>
      </c>
      <c r="J277" s="119">
        <f ca="1">HLOOKUP($H$4,'Met Data'!$H$2:$M$368,G277,FALSE)*L277</f>
        <v>3.97272727272727</v>
      </c>
      <c r="K277" s="96">
        <f ca="1">HLOOKUP($H$4,'Met Data'!$O$2:$T$368,G277,FALSE)</f>
        <v>3.0735601882933201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45617</v>
      </c>
      <c r="Q277">
        <f ca="1"/>
        <v>94.011566730022608</v>
      </c>
      <c r="R277">
        <f ca="1"/>
        <v>1.3140116808562801</v>
      </c>
      <c r="S277">
        <f ca="1"/>
        <v>8.9809869877512938E-3</v>
      </c>
      <c r="T277">
        <f ca="1"/>
        <v>0.287388076405174</v>
      </c>
      <c r="U277">
        <f ca="1"/>
        <v>0</v>
      </c>
      <c r="V277">
        <f ca="1"/>
        <v>64.053652663759195</v>
      </c>
      <c r="W277">
        <f ca="1"/>
        <v>16.291907307956102</v>
      </c>
      <c r="X277">
        <f ca="1"/>
        <v>0</v>
      </c>
      <c r="Y277">
        <f ca="1"/>
        <v>0.29833299995783424</v>
      </c>
      <c r="Z277">
        <f ca="1"/>
        <v>0</v>
      </c>
      <c r="AA277">
        <f ca="1"/>
        <v>0</v>
      </c>
      <c r="AB277">
        <f ca="1"/>
        <v>0.99999999855725097</v>
      </c>
      <c r="AD277" s="2">
        <f t="shared" ca="1" si="42"/>
        <v>45617</v>
      </c>
      <c r="AE277">
        <f t="shared" ca="1" si="43"/>
        <v>0</v>
      </c>
      <c r="AG277" s="63">
        <f t="shared" ca="1" si="47"/>
        <v>95.32557841087889</v>
      </c>
      <c r="AH277" s="63">
        <f t="shared" ca="1" si="48"/>
        <v>95.32557841087889</v>
      </c>
      <c r="AI277" s="3">
        <f t="shared" ca="1" si="49"/>
        <v>0</v>
      </c>
    </row>
    <row r="278" spans="7:35">
      <c r="G278" s="3">
        <f t="shared" ca="1" si="44"/>
        <v>283</v>
      </c>
      <c r="H278" s="95">
        <f t="shared" ca="1" si="46"/>
        <v>45573</v>
      </c>
      <c r="I278" s="119">
        <f ca="1">HLOOKUP($H$4,'Met Data'!$A$2:$F$368,G278,FALSE)</f>
        <v>10.1257575757575</v>
      </c>
      <c r="J278" s="119">
        <f ca="1">HLOOKUP($H$4,'Met Data'!$H$2:$M$368,G278,FALSE)*L278</f>
        <v>2.9363636363636298</v>
      </c>
      <c r="K278" s="96">
        <f ca="1">HLOOKUP($H$4,'Met Data'!$O$2:$T$368,G278,FALSE)</f>
        <v>2.8856583502815898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45618</v>
      </c>
      <c r="Q278">
        <f ca="1"/>
        <v>92.884531087894203</v>
      </c>
      <c r="R278">
        <f ca="1"/>
        <v>1.45586305832403</v>
      </c>
      <c r="S278">
        <f ca="1"/>
        <v>9.8455351000836799E-3</v>
      </c>
      <c r="T278">
        <f ca="1"/>
        <v>0.31898188109554082</v>
      </c>
      <c r="U278">
        <f ca="1"/>
        <v>0</v>
      </c>
      <c r="V278">
        <f ca="1"/>
        <v>65.509515722083194</v>
      </c>
      <c r="W278">
        <f ca="1"/>
        <v>16.662202911921199</v>
      </c>
      <c r="X278">
        <f ca="1"/>
        <v>0</v>
      </c>
      <c r="Y278">
        <f ca="1"/>
        <v>0.28533997771106728</v>
      </c>
      <c r="Z278">
        <f ca="1"/>
        <v>0</v>
      </c>
      <c r="AA278">
        <f ca="1"/>
        <v>0</v>
      </c>
      <c r="AB278">
        <f ca="1"/>
        <v>0.999999998923357</v>
      </c>
      <c r="AD278" s="2">
        <f t="shared" ca="1" si="42"/>
        <v>45618</v>
      </c>
      <c r="AE278">
        <f t="shared" ca="1" si="43"/>
        <v>0</v>
      </c>
      <c r="AG278" s="63">
        <f t="shared" ca="1" si="47"/>
        <v>94.34039414621823</v>
      </c>
      <c r="AH278" s="63">
        <f t="shared" ca="1" si="48"/>
        <v>94.34039414621823</v>
      </c>
      <c r="AI278" s="3">
        <f t="shared" ca="1" si="49"/>
        <v>0</v>
      </c>
    </row>
    <row r="279" spans="7:35">
      <c r="G279" s="3">
        <f t="shared" ca="1" si="44"/>
        <v>284</v>
      </c>
      <c r="H279" s="95">
        <f t="shared" ca="1" si="46"/>
        <v>45574</v>
      </c>
      <c r="I279" s="119">
        <f ca="1">HLOOKUP($H$4,'Met Data'!$A$2:$F$368,G279,FALSE)</f>
        <v>10.0590909090909</v>
      </c>
      <c r="J279" s="119">
        <f ca="1">HLOOKUP($H$4,'Met Data'!$H$2:$M$368,G279,FALSE)*L279</f>
        <v>2.5939393939393902</v>
      </c>
      <c r="K279" s="96">
        <f ca="1">HLOOKUP($H$4,'Met Data'!$O$2:$T$368,G279,FALSE)</f>
        <v>2.97068142496583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45619</v>
      </c>
      <c r="Q279">
        <f ca="1"/>
        <v>91.735311270944521</v>
      </c>
      <c r="R279">
        <f ca="1"/>
        <v>1.48312292551388</v>
      </c>
      <c r="S279">
        <f ca="1"/>
        <v>9.876850474455523E-3</v>
      </c>
      <c r="T279">
        <f ca="1"/>
        <v>0.32402625808975077</v>
      </c>
      <c r="U279">
        <f ca="1"/>
        <v>0</v>
      </c>
      <c r="V279">
        <f ca="1"/>
        <v>66.992638647597104</v>
      </c>
      <c r="W279">
        <f ca="1"/>
        <v>17.039432003845299</v>
      </c>
      <c r="X279">
        <f ca="1"/>
        <v>0</v>
      </c>
      <c r="Y279">
        <f ca="1"/>
        <v>0.27711847991930416</v>
      </c>
      <c r="Z279">
        <f ca="1"/>
        <v>0</v>
      </c>
      <c r="AA279">
        <f ca="1"/>
        <v>0</v>
      </c>
      <c r="AB279">
        <f ca="1"/>
        <v>0.99999999920154004</v>
      </c>
      <c r="AD279" s="2">
        <f t="shared" ca="1" si="42"/>
        <v>45619</v>
      </c>
      <c r="AE279">
        <f t="shared" ca="1" si="43"/>
        <v>0</v>
      </c>
      <c r="AG279" s="63">
        <f t="shared" ca="1" si="47"/>
        <v>93.218434196458404</v>
      </c>
      <c r="AH279" s="63">
        <f t="shared" ca="1" si="48"/>
        <v>93.218434196458404</v>
      </c>
      <c r="AI279" s="3">
        <f t="shared" ca="1" si="49"/>
        <v>0</v>
      </c>
    </row>
    <row r="280" spans="7:35">
      <c r="G280" s="3">
        <f t="shared" ca="1" si="44"/>
        <v>285</v>
      </c>
      <c r="H280" s="95">
        <f t="shared" ca="1" si="46"/>
        <v>45575</v>
      </c>
      <c r="I280" s="119">
        <f ca="1">HLOOKUP($H$4,'Met Data'!$A$2:$F$368,G280,FALSE)</f>
        <v>10.7469696969696</v>
      </c>
      <c r="J280" s="119">
        <f ca="1">HLOOKUP($H$4,'Met Data'!$H$2:$M$368,G280,FALSE)*L280</f>
        <v>1.8181818181818099</v>
      </c>
      <c r="K280" s="96">
        <f ca="1">HLOOKUP($H$4,'Met Data'!$O$2:$T$368,G280,FALSE)</f>
        <v>3.3415142660940802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45620</v>
      </c>
      <c r="Q280">
        <f ca="1"/>
        <v>90.576939367326077</v>
      </c>
      <c r="R280">
        <f ca="1"/>
        <v>1.5127341549097899</v>
      </c>
      <c r="S280">
        <f ca="1"/>
        <v>1.0357305900981828E-2</v>
      </c>
      <c r="T280">
        <f ca="1"/>
        <v>0.3440049453903577</v>
      </c>
      <c r="U280">
        <f ca="1"/>
        <v>0</v>
      </c>
      <c r="V280">
        <f ca="1"/>
        <v>68.505372802506898</v>
      </c>
      <c r="W280">
        <f ca="1"/>
        <v>17.424192647594101</v>
      </c>
      <c r="X280">
        <f ca="1"/>
        <v>0</v>
      </c>
      <c r="Y280">
        <f ca="1"/>
        <v>0.30484644672852257</v>
      </c>
      <c r="Z280">
        <f ca="1"/>
        <v>0</v>
      </c>
      <c r="AA280">
        <f ca="1"/>
        <v>0</v>
      </c>
      <c r="AB280">
        <f ca="1"/>
        <v>0.99999999941202999</v>
      </c>
      <c r="AD280" s="2">
        <f t="shared" ca="1" si="42"/>
        <v>45620</v>
      </c>
      <c r="AE280">
        <f t="shared" ca="1" si="43"/>
        <v>0</v>
      </c>
      <c r="AG280" s="63">
        <f t="shared" ca="1" si="47"/>
        <v>92.089673522235856</v>
      </c>
      <c r="AH280" s="63">
        <f t="shared" ca="1" si="48"/>
        <v>92.08967352223587</v>
      </c>
      <c r="AI280" s="3">
        <f t="shared" ca="1" si="49"/>
        <v>0</v>
      </c>
    </row>
    <row r="281" spans="7:35">
      <c r="G281" s="3">
        <f t="shared" ca="1" si="44"/>
        <v>286</v>
      </c>
      <c r="H281" s="95">
        <f t="shared" ca="1" si="46"/>
        <v>45576</v>
      </c>
      <c r="I281" s="119">
        <f ca="1">HLOOKUP($H$4,'Met Data'!$A$2:$F$368,G281,FALSE)</f>
        <v>12.012121212121199</v>
      </c>
      <c r="J281" s="119">
        <f ca="1">HLOOKUP($H$4,'Met Data'!$H$2:$M$368,G281,FALSE)*L281</f>
        <v>1.7393939393939299</v>
      </c>
      <c r="K281" s="96">
        <f ca="1">HLOOKUP($H$4,'Met Data'!$O$2:$T$368,G281,FALSE)</f>
        <v>3.8727634784268798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45621</v>
      </c>
      <c r="Q281">
        <f ca="1"/>
        <v>89.449609570552994</v>
      </c>
      <c r="R281">
        <f ca="1"/>
        <v>1.4745218754502101</v>
      </c>
      <c r="S281">
        <f ca="1"/>
        <v>1.0031075323809091E-2</v>
      </c>
      <c r="T281">
        <f ca="1"/>
        <v>0.337161003353317</v>
      </c>
      <c r="U281">
        <f ca="1"/>
        <v>0</v>
      </c>
      <c r="V281">
        <f ca="1"/>
        <v>69.979894677957105</v>
      </c>
      <c r="W281">
        <f ca="1"/>
        <v>17.7992340811326</v>
      </c>
      <c r="X281">
        <f ca="1"/>
        <v>0</v>
      </c>
      <c r="Y281">
        <f ca="1"/>
        <v>0.30902615389597343</v>
      </c>
      <c r="Z281">
        <f ca="1"/>
        <v>0</v>
      </c>
      <c r="AA281">
        <f ca="1"/>
        <v>0</v>
      </c>
      <c r="AB281">
        <f ca="1"/>
        <v>0.99999999956430097</v>
      </c>
      <c r="AD281" s="2">
        <f t="shared" ca="1" si="42"/>
        <v>45621</v>
      </c>
      <c r="AE281">
        <f t="shared" ca="1" si="43"/>
        <v>0</v>
      </c>
      <c r="AG281" s="63">
        <f t="shared" ca="1" si="47"/>
        <v>90.924131446003202</v>
      </c>
      <c r="AH281" s="63">
        <f t="shared" ca="1" si="48"/>
        <v>90.924131446003202</v>
      </c>
      <c r="AI281" s="3">
        <f t="shared" ca="1" si="49"/>
        <v>0</v>
      </c>
    </row>
    <row r="282" spans="7:35">
      <c r="G282" s="3">
        <f t="shared" ca="1" si="44"/>
        <v>287</v>
      </c>
      <c r="H282" s="95">
        <f t="shared" ca="1" si="46"/>
        <v>45577</v>
      </c>
      <c r="I282" s="119">
        <f ca="1">HLOOKUP($H$4,'Met Data'!$A$2:$F$368,G282,FALSE)</f>
        <v>11.445454545454499</v>
      </c>
      <c r="J282" s="119">
        <f ca="1">HLOOKUP($H$4,'Met Data'!$H$2:$M$368,G282,FALSE)*L282</f>
        <v>3.22727272727272</v>
      </c>
      <c r="K282" s="96">
        <f ca="1">HLOOKUP($H$4,'Met Data'!$O$2:$T$368,G282,FALSE)</f>
        <v>3.7654187532628201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45622</v>
      </c>
      <c r="Q282">
        <f ca="1"/>
        <v>88.348971956501686</v>
      </c>
      <c r="R282">
        <f ca="1"/>
        <v>1.43288086895234</v>
      </c>
      <c r="S282">
        <f ca="1"/>
        <v>9.4979291039862801E-3</v>
      </c>
      <c r="T282">
        <f ca="1"/>
        <v>0.32274532579704412</v>
      </c>
      <c r="U282">
        <f ca="1"/>
        <v>0</v>
      </c>
      <c r="V282">
        <f ca="1"/>
        <v>71.412775546909401</v>
      </c>
      <c r="W282">
        <f ca="1"/>
        <v>18.163684215192202</v>
      </c>
      <c r="X282">
        <f ca="1"/>
        <v>0</v>
      </c>
      <c r="Y282">
        <f ca="1"/>
        <v>0.29467446442355744</v>
      </c>
      <c r="Z282">
        <f ca="1"/>
        <v>0</v>
      </c>
      <c r="AA282">
        <f ca="1"/>
        <v>0</v>
      </c>
      <c r="AB282">
        <f ca="1"/>
        <v>0.99999999967495001</v>
      </c>
      <c r="AD282" s="2">
        <f t="shared" ca="1" si="42"/>
        <v>45622</v>
      </c>
      <c r="AE282">
        <f t="shared" ca="1" si="43"/>
        <v>0</v>
      </c>
      <c r="AG282" s="63">
        <f t="shared" ca="1" si="47"/>
        <v>89.781852825454024</v>
      </c>
      <c r="AH282" s="63">
        <f t="shared" ca="1" si="48"/>
        <v>89.781852825454024</v>
      </c>
      <c r="AI282" s="3">
        <f t="shared" ca="1" si="49"/>
        <v>0</v>
      </c>
    </row>
    <row r="283" spans="7:35">
      <c r="G283" s="3">
        <f t="shared" ca="1" si="44"/>
        <v>288</v>
      </c>
      <c r="H283" s="95">
        <f t="shared" ca="1" si="46"/>
        <v>45578</v>
      </c>
      <c r="I283" s="119">
        <f ca="1">HLOOKUP($H$4,'Met Data'!$A$2:$F$368,G283,FALSE)</f>
        <v>11.0863636363636</v>
      </c>
      <c r="J283" s="119">
        <f ca="1">HLOOKUP($H$4,'Met Data'!$H$2:$M$368,G283,FALSE)*L283</f>
        <v>1.8060606060605999</v>
      </c>
      <c r="K283" s="96">
        <f ca="1">HLOOKUP($H$4,'Met Data'!$O$2:$T$368,G283,FALSE)</f>
        <v>3.5839169020731898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289</v>
      </c>
      <c r="H284" s="95">
        <f t="shared" ca="1" si="46"/>
        <v>45579</v>
      </c>
      <c r="I284" s="119">
        <f ca="1">HLOOKUP($H$4,'Met Data'!$A$2:$F$368,G284,FALSE)</f>
        <v>10.820454545454499</v>
      </c>
      <c r="J284" s="119">
        <f ca="1">HLOOKUP($H$4,'Met Data'!$H$2:$M$368,G284,FALSE)*L284</f>
        <v>1.17272727272727</v>
      </c>
      <c r="K284" s="96">
        <f ca="1">HLOOKUP($H$4,'Met Data'!$O$2:$T$368,G284,FALSE)</f>
        <v>3.5135934353686902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290</v>
      </c>
      <c r="H285" s="95">
        <f t="shared" ca="1" si="46"/>
        <v>45580</v>
      </c>
      <c r="I285" s="119">
        <f ca="1">HLOOKUP($H$4,'Met Data'!$A$2:$F$368,G285,FALSE)</f>
        <v>11.382575757575699</v>
      </c>
      <c r="J285" s="119">
        <f ca="1">HLOOKUP($H$4,'Met Data'!$H$2:$M$368,G285,FALSE)*L285</f>
        <v>0.98181818181818103</v>
      </c>
      <c r="K285" s="96">
        <f ca="1">HLOOKUP($H$4,'Met Data'!$O$2:$T$368,G285,FALSE)</f>
        <v>3.66659887182134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291</v>
      </c>
      <c r="H286" s="95">
        <f t="shared" ca="1" si="46"/>
        <v>45581</v>
      </c>
      <c r="I286" s="119">
        <f ca="1">HLOOKUP($H$4,'Met Data'!$A$2:$F$368,G286,FALSE)</f>
        <v>12.1743939393939</v>
      </c>
      <c r="J286" s="119">
        <f ca="1">HLOOKUP($H$4,'Met Data'!$H$2:$M$368,G286,FALSE)*L286</f>
        <v>1.93030303030303</v>
      </c>
      <c r="K286" s="96">
        <f ca="1">HLOOKUP($H$4,'Met Data'!$O$2:$T$368,G286,FALSE)</f>
        <v>4.4221266913625099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292</v>
      </c>
      <c r="H287" s="95">
        <f t="shared" ca="1" si="46"/>
        <v>45582</v>
      </c>
      <c r="I287" s="119">
        <f ca="1">HLOOKUP($H$4,'Met Data'!$A$2:$F$368,G287,FALSE)</f>
        <v>11.5590909090909</v>
      </c>
      <c r="J287" s="119">
        <f ca="1">HLOOKUP($H$4,'Met Data'!$H$2:$M$368,G287,FALSE)*L287</f>
        <v>0.9</v>
      </c>
      <c r="K287" s="96">
        <f ca="1">HLOOKUP($H$4,'Met Data'!$O$2:$T$368,G287,FALSE)</f>
        <v>4.1615819400289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293</v>
      </c>
      <c r="H288" s="95">
        <f t="shared" ca="1" si="46"/>
        <v>45583</v>
      </c>
      <c r="I288" s="119">
        <f ca="1">HLOOKUP($H$4,'Met Data'!$A$2:$F$368,G288,FALSE)</f>
        <v>11.530303030302999</v>
      </c>
      <c r="J288" s="119">
        <f ca="1">HLOOKUP($H$4,'Met Data'!$H$2:$M$368,G288,FALSE)*L288</f>
        <v>2.16363636363636</v>
      </c>
      <c r="K288" s="96">
        <f ca="1">HLOOKUP($H$4,'Met Data'!$O$2:$T$368,G288,FALSE)</f>
        <v>4.1616928735003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294</v>
      </c>
      <c r="H289" s="95">
        <f t="shared" ca="1" si="46"/>
        <v>45584</v>
      </c>
      <c r="I289" s="119">
        <f ca="1">HLOOKUP($H$4,'Met Data'!$A$2:$F$368,G289,FALSE)</f>
        <v>11.592424242424199</v>
      </c>
      <c r="J289" s="119">
        <f ca="1">HLOOKUP($H$4,'Met Data'!$H$2:$M$368,G289,FALSE)*L289</f>
        <v>0.68787878787878698</v>
      </c>
      <c r="K289" s="96">
        <f ca="1">HLOOKUP($H$4,'Met Data'!$O$2:$T$368,G289,FALSE)</f>
        <v>4.1355638104854497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295</v>
      </c>
      <c r="H290" s="95">
        <f t="shared" ca="1" si="46"/>
        <v>45585</v>
      </c>
      <c r="I290" s="119">
        <f ca="1">HLOOKUP($H$4,'Met Data'!$A$2:$F$368,G290,FALSE)</f>
        <v>12.6712121212121</v>
      </c>
      <c r="J290" s="119">
        <f ca="1">HLOOKUP($H$4,'Met Data'!$H$2:$M$368,G290,FALSE)*L290</f>
        <v>0.91515151515151505</v>
      </c>
      <c r="K290" s="96">
        <f ca="1">HLOOKUP($H$4,'Met Data'!$O$2:$T$368,G290,FALSE)</f>
        <v>4.2548689124348202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296</v>
      </c>
      <c r="H291" s="95">
        <f t="shared" ca="1" si="46"/>
        <v>45586</v>
      </c>
      <c r="I291" s="119">
        <f ca="1">HLOOKUP($H$4,'Met Data'!$A$2:$F$368,G291,FALSE)</f>
        <v>11.5966666666666</v>
      </c>
      <c r="J291" s="119">
        <f ca="1">HLOOKUP($H$4,'Met Data'!$H$2:$M$368,G291,FALSE)*L291</f>
        <v>1.0757575757575699</v>
      </c>
      <c r="K291" s="96">
        <f ca="1">HLOOKUP($H$4,'Met Data'!$O$2:$T$368,G291,FALSE)</f>
        <v>3.8892850116651498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297</v>
      </c>
      <c r="H292" s="95">
        <f t="shared" ca="1" si="46"/>
        <v>45587</v>
      </c>
      <c r="I292" s="119">
        <f ca="1">HLOOKUP($H$4,'Met Data'!$A$2:$F$368,G292,FALSE)</f>
        <v>11.5331818181818</v>
      </c>
      <c r="J292" s="119">
        <f ca="1">HLOOKUP($H$4,'Met Data'!$H$2:$M$368,G292,FALSE)*L292</f>
        <v>1.5757575757575699</v>
      </c>
      <c r="K292" s="96">
        <f ca="1">HLOOKUP($H$4,'Met Data'!$O$2:$T$368,G292,FALSE)</f>
        <v>3.7538214127918499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298</v>
      </c>
      <c r="H293" s="95">
        <f t="shared" ca="1" si="46"/>
        <v>45588</v>
      </c>
      <c r="I293" s="119">
        <f ca="1">HLOOKUP($H$4,'Met Data'!$A$2:$F$368,G293,FALSE)</f>
        <v>11.6060606060606</v>
      </c>
      <c r="J293" s="119">
        <f ca="1">HLOOKUP($H$4,'Met Data'!$H$2:$M$368,G293,FALSE)*L293</f>
        <v>0.95454545454545403</v>
      </c>
      <c r="K293" s="96">
        <f ca="1">HLOOKUP($H$4,'Met Data'!$O$2:$T$368,G293,FALSE)</f>
        <v>3.9920282440950898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299</v>
      </c>
      <c r="H294" s="95">
        <f t="shared" ca="1" si="46"/>
        <v>45589</v>
      </c>
      <c r="I294" s="119">
        <f ca="1">HLOOKUP($H$4,'Met Data'!$A$2:$F$368,G294,FALSE)</f>
        <v>11.821212121212101</v>
      </c>
      <c r="J294" s="119">
        <f ca="1">HLOOKUP($H$4,'Met Data'!$H$2:$M$368,G294,FALSE)*L294</f>
        <v>0.13030303030303</v>
      </c>
      <c r="K294" s="96">
        <f ca="1">HLOOKUP($H$4,'Met Data'!$O$2:$T$368,G294,FALSE)</f>
        <v>3.94572673133468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300</v>
      </c>
      <c r="H295" s="95">
        <f t="shared" ca="1" si="46"/>
        <v>45590</v>
      </c>
      <c r="I295" s="119">
        <f ca="1">HLOOKUP($H$4,'Met Data'!$A$2:$F$368,G295,FALSE)</f>
        <v>12.8742424242424</v>
      </c>
      <c r="J295" s="119">
        <f ca="1">HLOOKUP($H$4,'Met Data'!$H$2:$M$368,G295,FALSE)*L295</f>
        <v>1.03939393939393</v>
      </c>
      <c r="K295" s="96">
        <f ca="1">HLOOKUP($H$4,'Met Data'!$O$2:$T$368,G295,FALSE)</f>
        <v>4.24133991088486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301</v>
      </c>
      <c r="H296" s="95">
        <f t="shared" ca="1" si="46"/>
        <v>45591</v>
      </c>
      <c r="I296" s="119">
        <f ca="1">HLOOKUP($H$4,'Met Data'!$A$2:$F$368,G296,FALSE)</f>
        <v>12.3921212121212</v>
      </c>
      <c r="J296" s="119">
        <f ca="1">HLOOKUP($H$4,'Met Data'!$H$2:$M$368,G296,FALSE)*L296</f>
        <v>1.66060606060606</v>
      </c>
      <c r="K296" s="96">
        <f ca="1">HLOOKUP($H$4,'Met Data'!$O$2:$T$368,G296,FALSE)</f>
        <v>3.98512648995679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302</v>
      </c>
      <c r="H297" s="95">
        <f t="shared" ca="1" si="46"/>
        <v>45592</v>
      </c>
      <c r="I297" s="119">
        <f ca="1">HLOOKUP($H$4,'Met Data'!$A$2:$F$368,G297,FALSE)</f>
        <v>13.0242424242424</v>
      </c>
      <c r="J297" s="119">
        <f ca="1">HLOOKUP($H$4,'Met Data'!$H$2:$M$368,G297,FALSE)*L297</f>
        <v>1.6848484848484799</v>
      </c>
      <c r="K297" s="96">
        <f ca="1">HLOOKUP($H$4,'Met Data'!$O$2:$T$368,G297,FALSE)</f>
        <v>4.06785476536513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303</v>
      </c>
      <c r="H298" s="95">
        <f t="shared" ca="1" si="46"/>
        <v>45593</v>
      </c>
      <c r="I298" s="119">
        <f ca="1">HLOOKUP($H$4,'Met Data'!$A$2:$F$368,G298,FALSE)</f>
        <v>13.2075757575757</v>
      </c>
      <c r="J298" s="119">
        <f ca="1">HLOOKUP($H$4,'Met Data'!$H$2:$M$368,G298,FALSE)*L298</f>
        <v>1</v>
      </c>
      <c r="K298" s="96">
        <f ca="1">HLOOKUP($H$4,'Met Data'!$O$2:$T$368,G298,FALSE)</f>
        <v>3.8638743234578601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304</v>
      </c>
      <c r="H299" s="95">
        <f t="shared" ca="1" si="46"/>
        <v>45594</v>
      </c>
      <c r="I299" s="119">
        <f ca="1">HLOOKUP($H$4,'Met Data'!$A$2:$F$368,G299,FALSE)</f>
        <v>12.865151515151499</v>
      </c>
      <c r="J299" s="119">
        <f ca="1">HLOOKUP($H$4,'Met Data'!$H$2:$M$368,G299,FALSE)*L299</f>
        <v>1.44848484848484</v>
      </c>
      <c r="K299" s="96">
        <f ca="1">HLOOKUP($H$4,'Met Data'!$O$2:$T$368,G299,FALSE)</f>
        <v>4.2171092806571897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305</v>
      </c>
      <c r="H300" s="95">
        <f t="shared" ca="1" si="46"/>
        <v>45595</v>
      </c>
      <c r="I300" s="119">
        <f ca="1">HLOOKUP($H$4,'Met Data'!$A$2:$F$368,G300,FALSE)</f>
        <v>12.8045454545454</v>
      </c>
      <c r="J300" s="119">
        <f ca="1">HLOOKUP($H$4,'Met Data'!$H$2:$M$368,G300,FALSE)*L300</f>
        <v>0.38787878787878699</v>
      </c>
      <c r="K300" s="96">
        <f ca="1">HLOOKUP($H$4,'Met Data'!$O$2:$T$368,G300,FALSE)</f>
        <v>4.4006301765887699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306</v>
      </c>
      <c r="H301" s="95">
        <f t="shared" ca="1" si="46"/>
        <v>45596</v>
      </c>
      <c r="I301" s="119">
        <f ca="1">HLOOKUP($H$4,'Met Data'!$A$2:$F$368,G301,FALSE)</f>
        <v>13.4363636363636</v>
      </c>
      <c r="J301" s="119">
        <f ca="1">HLOOKUP($H$4,'Met Data'!$H$2:$M$368,G301,FALSE)*L301</f>
        <v>0.82121212121212095</v>
      </c>
      <c r="K301" s="96">
        <f ca="1">HLOOKUP($H$4,'Met Data'!$O$2:$T$368,G301,FALSE)</f>
        <v>4.6060103377193604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307</v>
      </c>
      <c r="H302" s="95">
        <f t="shared" ca="1" si="46"/>
        <v>45597</v>
      </c>
      <c r="I302" s="119">
        <f ca="1">HLOOKUP($H$4,'Met Data'!$A$2:$F$368,G302,FALSE)</f>
        <v>12.756060606060601</v>
      </c>
      <c r="J302" s="119">
        <f ca="1">HLOOKUP($H$4,'Met Data'!$H$2:$M$368,G302,FALSE)*L302</f>
        <v>1.5727272727272701</v>
      </c>
      <c r="K302" s="96">
        <f ca="1">HLOOKUP($H$4,'Met Data'!$O$2:$T$368,G302,FALSE)</f>
        <v>4.4078340774843401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308</v>
      </c>
      <c r="H303" s="95">
        <f t="shared" ca="1" si="46"/>
        <v>45598</v>
      </c>
      <c r="I303" s="119">
        <f ca="1">HLOOKUP($H$4,'Met Data'!$A$2:$F$368,G303,FALSE)</f>
        <v>12.960606060606001</v>
      </c>
      <c r="J303" s="119">
        <f ca="1">HLOOKUP($H$4,'Met Data'!$H$2:$M$368,G303,FALSE)*L303</f>
        <v>0.86969696969696897</v>
      </c>
      <c r="K303" s="96">
        <f ca="1">HLOOKUP($H$4,'Met Data'!$O$2:$T$368,G303,FALSE)</f>
        <v>4.7355757109775203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309</v>
      </c>
      <c r="H304" s="95">
        <f t="shared" ca="1" si="46"/>
        <v>45599</v>
      </c>
      <c r="I304" s="119">
        <f ca="1">HLOOKUP($H$4,'Met Data'!$A$2:$F$368,G304,FALSE)</f>
        <v>13.0166666666666</v>
      </c>
      <c r="J304" s="119">
        <f ca="1">HLOOKUP($H$4,'Met Data'!$H$2:$M$368,G304,FALSE)*L304</f>
        <v>0.972727272727272</v>
      </c>
      <c r="K304" s="96">
        <f ca="1">HLOOKUP($H$4,'Met Data'!$O$2:$T$368,G304,FALSE)</f>
        <v>4.6816234323257397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310</v>
      </c>
      <c r="H305" s="95">
        <f t="shared" ca="1" si="46"/>
        <v>45600</v>
      </c>
      <c r="I305" s="119">
        <f ca="1">HLOOKUP($H$4,'Met Data'!$A$2:$F$368,G305,FALSE)</f>
        <v>12.8439393939393</v>
      </c>
      <c r="J305" s="119">
        <f ca="1">HLOOKUP($H$4,'Met Data'!$H$2:$M$368,G305,FALSE)*L305</f>
        <v>1.7090909090908999</v>
      </c>
      <c r="K305" s="96">
        <f ca="1">HLOOKUP($H$4,'Met Data'!$O$2:$T$368,G305,FALSE)</f>
        <v>4.6727463269062399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311</v>
      </c>
      <c r="H306" s="95">
        <f t="shared" ca="1" si="46"/>
        <v>45601</v>
      </c>
      <c r="I306" s="119">
        <f ca="1">HLOOKUP($H$4,'Met Data'!$A$2:$F$368,G306,FALSE)</f>
        <v>12.319696969696899</v>
      </c>
      <c r="J306" s="119">
        <f ca="1">HLOOKUP($H$4,'Met Data'!$H$2:$M$368,G306,FALSE)*L306</f>
        <v>1.2030303030303</v>
      </c>
      <c r="K306" s="96">
        <f ca="1">HLOOKUP($H$4,'Met Data'!$O$2:$T$368,G306,FALSE)</f>
        <v>4.2180058763468802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312</v>
      </c>
      <c r="H307" s="95">
        <f t="shared" ca="1" si="46"/>
        <v>45602</v>
      </c>
      <c r="I307" s="119">
        <f ca="1">HLOOKUP($H$4,'Met Data'!$A$2:$F$368,G307,FALSE)</f>
        <v>12.6025757575757</v>
      </c>
      <c r="J307" s="119">
        <f ca="1">HLOOKUP($H$4,'Met Data'!$H$2:$M$368,G307,FALSE)*L307</f>
        <v>2.3060606060605999</v>
      </c>
      <c r="K307" s="96">
        <f ca="1">HLOOKUP($H$4,'Met Data'!$O$2:$T$368,G307,FALSE)</f>
        <v>4.3094672807614902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313</v>
      </c>
      <c r="H308" s="95">
        <f t="shared" ca="1" si="46"/>
        <v>45603</v>
      </c>
      <c r="I308" s="119">
        <f ca="1">HLOOKUP($H$4,'Met Data'!$A$2:$F$368,G308,FALSE)</f>
        <v>12.547121212121199</v>
      </c>
      <c r="J308" s="119">
        <f ca="1">HLOOKUP($H$4,'Met Data'!$H$2:$M$368,G308,FALSE)*L308</f>
        <v>0.92727272727272703</v>
      </c>
      <c r="K308" s="96">
        <f ca="1">HLOOKUP($H$4,'Met Data'!$O$2:$T$368,G308,FALSE)</f>
        <v>4.1336721636417497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314</v>
      </c>
      <c r="H309" s="95">
        <f t="shared" ca="1" si="46"/>
        <v>45604</v>
      </c>
      <c r="I309" s="119">
        <f ca="1">HLOOKUP($H$4,'Met Data'!$A$2:$F$368,G309,FALSE)</f>
        <v>12.8168181818181</v>
      </c>
      <c r="J309" s="119">
        <f ca="1">HLOOKUP($H$4,'Met Data'!$H$2:$M$368,G309,FALSE)*L309</f>
        <v>1.0212121212121199</v>
      </c>
      <c r="K309" s="96">
        <f ca="1">HLOOKUP($H$4,'Met Data'!$O$2:$T$368,G309,FALSE)</f>
        <v>4.3938915359457704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315</v>
      </c>
      <c r="H310" s="95">
        <f t="shared" ca="1" si="46"/>
        <v>45605</v>
      </c>
      <c r="I310" s="119">
        <f ca="1">HLOOKUP($H$4,'Met Data'!$A$2:$F$368,G310,FALSE)</f>
        <v>14.334848484848401</v>
      </c>
      <c r="J310" s="119">
        <f ca="1">HLOOKUP($H$4,'Met Data'!$H$2:$M$368,G310,FALSE)*L310</f>
        <v>0.51818181818181797</v>
      </c>
      <c r="K310" s="96">
        <f ca="1">HLOOKUP($H$4,'Met Data'!$O$2:$T$368,G310,FALSE)</f>
        <v>5.1862560436492702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316</v>
      </c>
      <c r="H311" s="95">
        <f t="shared" ca="1" si="46"/>
        <v>45606</v>
      </c>
      <c r="I311" s="119">
        <f ca="1">HLOOKUP($H$4,'Met Data'!$A$2:$F$368,G311,FALSE)</f>
        <v>13.660606060606</v>
      </c>
      <c r="J311" s="119">
        <f ca="1">HLOOKUP($H$4,'Met Data'!$H$2:$M$368,G311,FALSE)*L311</f>
        <v>0.90606060606060601</v>
      </c>
      <c r="K311" s="96">
        <f ca="1">HLOOKUP($H$4,'Met Data'!$O$2:$T$368,G311,FALSE)</f>
        <v>4.8906124961293598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317</v>
      </c>
      <c r="H312" s="95">
        <f t="shared" ca="1" si="46"/>
        <v>45607</v>
      </c>
      <c r="I312" s="119">
        <f ca="1">HLOOKUP($H$4,'Met Data'!$A$2:$F$368,G312,FALSE)</f>
        <v>13.3045454545454</v>
      </c>
      <c r="J312" s="119">
        <f ca="1">HLOOKUP($H$4,'Met Data'!$H$2:$M$368,G312,FALSE)*L312</f>
        <v>2.2575757575757498</v>
      </c>
      <c r="K312" s="96">
        <f ca="1">HLOOKUP($H$4,'Met Data'!$O$2:$T$368,G312,FALSE)</f>
        <v>4.5262878878537398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318</v>
      </c>
      <c r="H313" s="95">
        <f t="shared" ca="1" si="46"/>
        <v>45608</v>
      </c>
      <c r="I313" s="119">
        <f ca="1">HLOOKUP($H$4,'Met Data'!$A$2:$F$368,G313,FALSE)</f>
        <v>12.422727272727199</v>
      </c>
      <c r="J313" s="119">
        <f ca="1">HLOOKUP($H$4,'Met Data'!$H$2:$M$368,G313,FALSE)*L313</f>
        <v>1.1818181818181801</v>
      </c>
      <c r="K313" s="96">
        <f ca="1">HLOOKUP($H$4,'Met Data'!$O$2:$T$368,G313,FALSE)</f>
        <v>4.3459922348738003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319</v>
      </c>
      <c r="H314" s="95">
        <f t="shared" ca="1" si="46"/>
        <v>45609</v>
      </c>
      <c r="I314" s="119">
        <f ca="1">HLOOKUP($H$4,'Met Data'!$A$2:$F$368,G314,FALSE)</f>
        <v>12.9954545454545</v>
      </c>
      <c r="J314" s="119">
        <f ca="1">HLOOKUP($H$4,'Met Data'!$H$2:$M$368,G314,FALSE)*L314</f>
        <v>0.324242424242424</v>
      </c>
      <c r="K314" s="96">
        <f ca="1">HLOOKUP($H$4,'Met Data'!$O$2:$T$368,G314,FALSE)</f>
        <v>4.6406514807717096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320</v>
      </c>
      <c r="H315" s="95">
        <f t="shared" ca="1" si="46"/>
        <v>45610</v>
      </c>
      <c r="I315" s="119">
        <f ca="1">HLOOKUP($H$4,'Met Data'!$A$2:$F$368,G315,FALSE)</f>
        <v>13.430303030303</v>
      </c>
      <c r="J315" s="119">
        <f ca="1">HLOOKUP($H$4,'Met Data'!$H$2:$M$368,G315,FALSE)*L315</f>
        <v>0.469696969696969</v>
      </c>
      <c r="K315" s="96">
        <f ca="1">HLOOKUP($H$4,'Met Data'!$O$2:$T$368,G315,FALSE)</f>
        <v>5.0457035491188602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321</v>
      </c>
      <c r="H316" s="95">
        <f t="shared" ca="1" si="46"/>
        <v>45611</v>
      </c>
      <c r="I316" s="119">
        <f ca="1">HLOOKUP($H$4,'Met Data'!$A$2:$F$368,G316,FALSE)</f>
        <v>13.7712121212121</v>
      </c>
      <c r="J316" s="119">
        <f ca="1">HLOOKUP($H$4,'Met Data'!$H$2:$M$368,G316,FALSE)*L316</f>
        <v>1.79696969696969</v>
      </c>
      <c r="K316" s="96">
        <f ca="1">HLOOKUP($H$4,'Met Data'!$O$2:$T$368,G316,FALSE)</f>
        <v>4.8091723913410096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322</v>
      </c>
      <c r="H317" s="95">
        <f t="shared" ca="1" si="46"/>
        <v>45612</v>
      </c>
      <c r="I317" s="119">
        <f ca="1">HLOOKUP($H$4,'Met Data'!$A$2:$F$368,G317,FALSE)</f>
        <v>12.8924242424242</v>
      </c>
      <c r="J317" s="119">
        <f ca="1">HLOOKUP($H$4,'Met Data'!$H$2:$M$368,G317,FALSE)*L317</f>
        <v>1.46969696969696</v>
      </c>
      <c r="K317" s="96">
        <f ca="1">HLOOKUP($H$4,'Met Data'!$O$2:$T$368,G317,FALSE)</f>
        <v>4.4924353878463998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323</v>
      </c>
      <c r="H318" s="95">
        <f t="shared" ca="1" si="46"/>
        <v>45613</v>
      </c>
      <c r="I318" s="119">
        <f ca="1">HLOOKUP($H$4,'Met Data'!$A$2:$F$368,G318,FALSE)</f>
        <v>12.363636363636299</v>
      </c>
      <c r="J318" s="119">
        <f ca="1">HLOOKUP($H$4,'Met Data'!$H$2:$M$368,G318,FALSE)*L318</f>
        <v>2.6151515151515099</v>
      </c>
      <c r="K318" s="96">
        <f ca="1">HLOOKUP($H$4,'Met Data'!$O$2:$T$368,G318,FALSE)</f>
        <v>4.3049572040258504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324</v>
      </c>
      <c r="H319" s="95">
        <f t="shared" ca="1" si="46"/>
        <v>45614</v>
      </c>
      <c r="I319" s="119">
        <f ca="1">HLOOKUP($H$4,'Met Data'!$A$2:$F$368,G319,FALSE)</f>
        <v>12.159090909090899</v>
      </c>
      <c r="J319" s="119">
        <f ca="1">HLOOKUP($H$4,'Met Data'!$H$2:$M$368,G319,FALSE)*L319</f>
        <v>2.7848484848484798</v>
      </c>
      <c r="K319" s="96">
        <f ca="1">HLOOKUP($H$4,'Met Data'!$O$2:$T$368,G319,FALSE)</f>
        <v>4.1173997511743199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325</v>
      </c>
      <c r="H320" s="95">
        <f t="shared" ca="1" si="46"/>
        <v>45615</v>
      </c>
      <c r="I320" s="119">
        <f ca="1">HLOOKUP($H$4,'Met Data'!$A$2:$F$368,G320,FALSE)</f>
        <v>13.048484848484801</v>
      </c>
      <c r="J320" s="119">
        <f ca="1">HLOOKUP($H$4,'Met Data'!$H$2:$M$368,G320,FALSE)*L320</f>
        <v>1.49696969696969</v>
      </c>
      <c r="K320" s="96">
        <f ca="1">HLOOKUP($H$4,'Met Data'!$O$2:$T$368,G320,FALSE)</f>
        <v>4.5766974923540298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326</v>
      </c>
      <c r="H321" s="95">
        <f t="shared" ca="1" si="46"/>
        <v>45616</v>
      </c>
      <c r="I321" s="119">
        <f ca="1">HLOOKUP($H$4,'Met Data'!$A$2:$F$368,G321,FALSE)</f>
        <v>12.9621212121212</v>
      </c>
      <c r="J321" s="119">
        <f ca="1">HLOOKUP($H$4,'Met Data'!$H$2:$M$368,G321,FALSE)*L321</f>
        <v>2.8727272727272699</v>
      </c>
      <c r="K321" s="96">
        <f ca="1">HLOOKUP($H$4,'Met Data'!$O$2:$T$368,G321,FALSE)</f>
        <v>4.2114496325231201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327</v>
      </c>
      <c r="H322" s="95">
        <f t="shared" ca="1" si="46"/>
        <v>45617</v>
      </c>
      <c r="I322" s="119">
        <f ca="1">HLOOKUP($H$4,'Met Data'!$A$2:$F$368,G322,FALSE)</f>
        <v>12.268749999999899</v>
      </c>
      <c r="J322" s="119">
        <f ca="1">HLOOKUP($H$4,'Met Data'!$H$2:$M$368,G322,FALSE)*L322</f>
        <v>1.4437500000000001</v>
      </c>
      <c r="K322" s="96">
        <f ca="1">HLOOKUP($H$4,'Met Data'!$O$2:$T$368,G322,FALSE)</f>
        <v>4.3766355597309001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328</v>
      </c>
      <c r="H323" s="95">
        <f t="shared" ca="1" si="46"/>
        <v>45618</v>
      </c>
      <c r="I323" s="119">
        <f ca="1">HLOOKUP($H$4,'Met Data'!$A$2:$F$368,G323,FALSE)</f>
        <v>13.610937499999901</v>
      </c>
      <c r="J323" s="119">
        <f ca="1">HLOOKUP($H$4,'Met Data'!$H$2:$M$368,G323,FALSE)*L323</f>
        <v>0.90937499999999905</v>
      </c>
      <c r="K323" s="96">
        <f ca="1">HLOOKUP($H$4,'Met Data'!$O$2:$T$368,G323,FALSE)</f>
        <v>4.8353730549956699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329</v>
      </c>
      <c r="H324" s="95">
        <f t="shared" ca="1" si="46"/>
        <v>45619</v>
      </c>
      <c r="I324" s="119">
        <f ca="1">HLOOKUP($H$4,'Met Data'!$A$2:$F$368,G324,FALSE)</f>
        <v>13.9</v>
      </c>
      <c r="J324" s="119">
        <f ca="1">HLOOKUP($H$4,'Met Data'!$H$2:$M$368,G324,FALSE)*L324</f>
        <v>1.096875</v>
      </c>
      <c r="K324" s="96">
        <f ca="1">HLOOKUP($H$4,'Met Data'!$O$2:$T$368,G324,FALSE)</f>
        <v>4.8959034423889598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330</v>
      </c>
      <c r="H325" s="95">
        <f t="shared" ca="1" si="46"/>
        <v>45620</v>
      </c>
      <c r="I325" s="119">
        <f ca="1">HLOOKUP($H$4,'Met Data'!$A$2:$F$368,G325,FALSE)</f>
        <v>14.229687499999899</v>
      </c>
      <c r="J325" s="119">
        <f ca="1">HLOOKUP($H$4,'Met Data'!$H$2:$M$368,G325,FALSE)*L325</f>
        <v>2.9937499999999999</v>
      </c>
      <c r="K325" s="96">
        <f ca="1">HLOOKUP($H$4,'Met Data'!$O$2:$T$368,G325,FALSE)</f>
        <v>4.5291120809301404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331</v>
      </c>
      <c r="H326" s="95">
        <f t="shared" ca="1" si="46"/>
        <v>45621</v>
      </c>
      <c r="I326" s="119">
        <f ca="1">HLOOKUP($H$4,'Met Data'!$A$2:$F$368,G326,FALSE)</f>
        <v>13.9375</v>
      </c>
      <c r="J326" s="119">
        <f ca="1">HLOOKUP($H$4,'Met Data'!$H$2:$M$368,G326,FALSE)*L326</f>
        <v>1.871875</v>
      </c>
      <c r="K326" s="96">
        <f ca="1">HLOOKUP($H$4,'Met Data'!$O$2:$T$368,G326,FALSE)</f>
        <v>4.6952794682709396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ref="G327:G390" ca="1" si="54">H327-DATE(YEAR(H327),1,0)+1</f>
        <v>332</v>
      </c>
      <c r="H327" s="95">
        <f t="shared" ca="1" si="46"/>
        <v>45622</v>
      </c>
      <c r="I327" s="119">
        <f ca="1">HLOOKUP($H$4,'Met Data'!$A$2:$F$368,G327,FALSE)</f>
        <v>13.6234375</v>
      </c>
      <c r="J327" s="119">
        <f ca="1">HLOOKUP($H$4,'Met Data'!$H$2:$M$368,G327,FALSE)*L327</f>
        <v>0.89375000000000004</v>
      </c>
      <c r="K327" s="96">
        <f ca="1">HLOOKUP($H$4,'Met Data'!$O$2:$T$368,G327,FALSE)</f>
        <v>4.7009583495068297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ca="1" si="54"/>
        <v>333</v>
      </c>
      <c r="H328" s="95">
        <f t="shared" ref="H328:H391" ca="1" si="56">H327+1</f>
        <v>45623</v>
      </c>
      <c r="I328" s="119">
        <f ca="1">HLOOKUP($H$4,'Met Data'!$A$2:$F$368,G328,FALSE)</f>
        <v>13.4125</v>
      </c>
      <c r="J328" s="119">
        <f ca="1">HLOOKUP($H$4,'Met Data'!$H$2:$M$368,G328,FALSE)*L328</f>
        <v>2.8031250000000001</v>
      </c>
      <c r="K328" s="96">
        <f ca="1">HLOOKUP($H$4,'Met Data'!$O$2:$T$368,G328,FALSE)</f>
        <v>4.6692836926226899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334</v>
      </c>
      <c r="H329" s="95">
        <f t="shared" ca="1" si="56"/>
        <v>45624</v>
      </c>
      <c r="I329" s="119">
        <f ca="1">HLOOKUP($H$4,'Met Data'!$A$2:$F$368,G329,FALSE)</f>
        <v>13.120312499999899</v>
      </c>
      <c r="J329" s="119">
        <f ca="1">HLOOKUP($H$4,'Met Data'!$H$2:$M$368,G329,FALSE)*L329</f>
        <v>1.125</v>
      </c>
      <c r="K329" s="96">
        <f ca="1">HLOOKUP($H$4,'Met Data'!$O$2:$T$368,G329,FALSE)</f>
        <v>4.5223331629764099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335</v>
      </c>
      <c r="H330" s="95">
        <f t="shared" ca="1" si="56"/>
        <v>45625</v>
      </c>
      <c r="I330" s="119">
        <f ca="1">HLOOKUP($H$4,'Met Data'!$A$2:$F$368,G330,FALSE)</f>
        <v>13.534375000000001</v>
      </c>
      <c r="J330" s="119">
        <f ca="1">HLOOKUP($H$4,'Met Data'!$H$2:$M$368,G330,FALSE)*L330</f>
        <v>1.659375</v>
      </c>
      <c r="K330" s="96">
        <f ca="1">HLOOKUP($H$4,'Met Data'!$O$2:$T$368,G330,FALSE)</f>
        <v>4.4045021528656898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336</v>
      </c>
      <c r="H331" s="95">
        <f t="shared" ca="1" si="56"/>
        <v>45626</v>
      </c>
      <c r="I331" s="119">
        <f ca="1">HLOOKUP($H$4,'Met Data'!$A$2:$F$368,G331,FALSE)</f>
        <v>14.5196969696969</v>
      </c>
      <c r="J331" s="119">
        <f ca="1">HLOOKUP($H$4,'Met Data'!$H$2:$M$368,G331,FALSE)*L331</f>
        <v>1.1545454545454501</v>
      </c>
      <c r="K331" s="96">
        <f ca="1">HLOOKUP($H$4,'Met Data'!$O$2:$T$368,G331,FALSE)</f>
        <v>4.9008684982534403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ref="AG331:AG394" ca="1" si="57">Q330+S331+T331+U331</f>
        <v>#N/A</v>
      </c>
      <c r="AH331" s="63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>
      <c r="G332" s="3">
        <f t="shared" ca="1" si="54"/>
        <v>337</v>
      </c>
      <c r="H332" s="95">
        <f t="shared" ca="1" si="56"/>
        <v>45627</v>
      </c>
      <c r="I332" s="119">
        <f ca="1">HLOOKUP($H$4,'Met Data'!$A$2:$F$368,G332,FALSE)</f>
        <v>14.7863636363636</v>
      </c>
      <c r="J332" s="119">
        <f ca="1">HLOOKUP($H$4,'Met Data'!$H$2:$M$368,G332,FALSE)*L332</f>
        <v>0.68484848484848404</v>
      </c>
      <c r="K332" s="96">
        <f ca="1">HLOOKUP($H$4,'Met Data'!$O$2:$T$368,G332,FALSE)</f>
        <v>4.4310616880942204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ca="1" si="57"/>
        <v>#N/A</v>
      </c>
      <c r="AH332" s="63" t="e">
        <f t="shared" ca="1" si="58"/>
        <v>#N/A</v>
      </c>
      <c r="AI332" s="3" t="e">
        <f t="shared" ca="1" si="59"/>
        <v>#N/A</v>
      </c>
    </row>
    <row r="333" spans="7:35">
      <c r="G333" s="3">
        <f t="shared" ca="1" si="54"/>
        <v>338</v>
      </c>
      <c r="H333" s="95">
        <f t="shared" ca="1" si="56"/>
        <v>45628</v>
      </c>
      <c r="I333" s="119">
        <f ca="1">HLOOKUP($H$4,'Met Data'!$A$2:$F$368,G333,FALSE)</f>
        <v>15.427272727272699</v>
      </c>
      <c r="J333" s="119">
        <f ca="1">HLOOKUP($H$4,'Met Data'!$H$2:$M$368,G333,FALSE)*L333</f>
        <v>0.94242424242424205</v>
      </c>
      <c r="K333" s="96">
        <f ca="1">HLOOKUP($H$4,'Met Data'!$O$2:$T$368,G333,FALSE)</f>
        <v>4.8682330205678701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339</v>
      </c>
      <c r="H334" s="95">
        <f t="shared" ca="1" si="56"/>
        <v>45629</v>
      </c>
      <c r="I334" s="119">
        <f ca="1">HLOOKUP($H$4,'Met Data'!$A$2:$F$368,G334,FALSE)</f>
        <v>15.004545454545401</v>
      </c>
      <c r="J334" s="119">
        <f ca="1">HLOOKUP($H$4,'Met Data'!$H$2:$M$368,G334,FALSE)*L334</f>
        <v>0.98787878787878702</v>
      </c>
      <c r="K334" s="96">
        <f ca="1">HLOOKUP($H$4,'Met Data'!$O$2:$T$368,G334,FALSE)</f>
        <v>5.2050138478161401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340</v>
      </c>
      <c r="H335" s="95">
        <f t="shared" ca="1" si="56"/>
        <v>45630</v>
      </c>
      <c r="I335" s="119">
        <f ca="1">HLOOKUP($H$4,'Met Data'!$A$2:$F$368,G335,FALSE)</f>
        <v>14.903030303030301</v>
      </c>
      <c r="J335" s="119">
        <f ca="1">HLOOKUP($H$4,'Met Data'!$H$2:$M$368,G335,FALSE)*L335</f>
        <v>1.5848484848484801</v>
      </c>
      <c r="K335" s="96">
        <f ca="1">HLOOKUP($H$4,'Met Data'!$O$2:$T$368,G335,FALSE)</f>
        <v>4.6641306366413202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341</v>
      </c>
      <c r="H336" s="95">
        <f t="shared" ca="1" si="56"/>
        <v>45631</v>
      </c>
      <c r="I336" s="119">
        <f ca="1">HLOOKUP($H$4,'Met Data'!$A$2:$F$368,G336,FALSE)</f>
        <v>14.301515151515099</v>
      </c>
      <c r="J336" s="119">
        <f ca="1">HLOOKUP($H$4,'Met Data'!$H$2:$M$368,G336,FALSE)*L336</f>
        <v>1.8545454545454501</v>
      </c>
      <c r="K336" s="96">
        <f ca="1">HLOOKUP($H$4,'Met Data'!$O$2:$T$368,G336,FALSE)</f>
        <v>4.1875145428280103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342</v>
      </c>
      <c r="H337" s="95">
        <f t="shared" ca="1" si="56"/>
        <v>45632</v>
      </c>
      <c r="I337" s="119">
        <f ca="1">HLOOKUP($H$4,'Met Data'!$A$2:$F$368,G337,FALSE)</f>
        <v>14.8272727272727</v>
      </c>
      <c r="J337" s="119">
        <f ca="1">HLOOKUP($H$4,'Met Data'!$H$2:$M$368,G337,FALSE)*L337</f>
        <v>1.1151515151515099</v>
      </c>
      <c r="K337" s="96">
        <f ca="1">HLOOKUP($H$4,'Met Data'!$O$2:$T$368,G337,FALSE)</f>
        <v>4.78641268464904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343</v>
      </c>
      <c r="H338" s="95">
        <f t="shared" ca="1" si="56"/>
        <v>45633</v>
      </c>
      <c r="I338" s="119">
        <f ca="1">HLOOKUP($H$4,'Met Data'!$A$2:$F$368,G338,FALSE)</f>
        <v>14.8772727272727</v>
      </c>
      <c r="J338" s="119">
        <f ca="1">HLOOKUP($H$4,'Met Data'!$H$2:$M$368,G338,FALSE)*L338</f>
        <v>2.8242424242424198</v>
      </c>
      <c r="K338" s="96">
        <f ca="1">HLOOKUP($H$4,'Met Data'!$O$2:$T$368,G338,FALSE)</f>
        <v>4.7928671108875296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344</v>
      </c>
      <c r="H339" s="95">
        <f t="shared" ca="1" si="56"/>
        <v>45634</v>
      </c>
      <c r="I339" s="119">
        <f ca="1">HLOOKUP($H$4,'Met Data'!$A$2:$F$368,G339,FALSE)</f>
        <v>14.215151515151501</v>
      </c>
      <c r="J339" s="119">
        <f ca="1">HLOOKUP($H$4,'Met Data'!$H$2:$M$368,G339,FALSE)*L339</f>
        <v>0.49393939393939301</v>
      </c>
      <c r="K339" s="96">
        <f ca="1">HLOOKUP($H$4,'Met Data'!$O$2:$T$368,G339,FALSE)</f>
        <v>4.8235358630714096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345</v>
      </c>
      <c r="H340" s="95">
        <f t="shared" ca="1" si="56"/>
        <v>45635</v>
      </c>
      <c r="I340" s="119">
        <f ca="1">HLOOKUP($H$4,'Met Data'!$A$2:$F$368,G340,FALSE)</f>
        <v>14.9121212121212</v>
      </c>
      <c r="J340" s="119">
        <f ca="1">HLOOKUP($H$4,'Met Data'!$H$2:$M$368,G340,FALSE)*L340</f>
        <v>0.67878787878787805</v>
      </c>
      <c r="K340" s="96">
        <f ca="1">HLOOKUP($H$4,'Met Data'!$O$2:$T$368,G340,FALSE)</f>
        <v>4.3850054551207398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346</v>
      </c>
      <c r="H341" s="95">
        <f t="shared" ca="1" si="56"/>
        <v>45636</v>
      </c>
      <c r="I341" s="119">
        <f ca="1">HLOOKUP($H$4,'Met Data'!$A$2:$F$368,G341,FALSE)</f>
        <v>15.940909090909001</v>
      </c>
      <c r="J341" s="119">
        <f ca="1">HLOOKUP($H$4,'Met Data'!$H$2:$M$368,G341,FALSE)*L341</f>
        <v>0.221212121212121</v>
      </c>
      <c r="K341" s="96">
        <f ca="1">HLOOKUP($H$4,'Met Data'!$O$2:$T$368,G341,FALSE)</f>
        <v>5.2714081938624204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347</v>
      </c>
      <c r="H342" s="95">
        <f t="shared" ca="1" si="56"/>
        <v>45637</v>
      </c>
      <c r="I342" s="119">
        <f ca="1">HLOOKUP($H$4,'Met Data'!$A$2:$F$368,G342,FALSE)</f>
        <v>16.6272727272727</v>
      </c>
      <c r="J342" s="119">
        <f ca="1">HLOOKUP($H$4,'Met Data'!$H$2:$M$368,G342,FALSE)*L342</f>
        <v>1.21818181818181</v>
      </c>
      <c r="K342" s="96">
        <f ca="1">HLOOKUP($H$4,'Met Data'!$O$2:$T$368,G342,FALSE)</f>
        <v>5.2469107263269903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348</v>
      </c>
      <c r="H343" s="95">
        <f t="shared" ca="1" si="56"/>
        <v>45638</v>
      </c>
      <c r="I343" s="119">
        <f ca="1">HLOOKUP($H$4,'Met Data'!$A$2:$F$368,G343,FALSE)</f>
        <v>15.6196969696969</v>
      </c>
      <c r="J343" s="119">
        <f ca="1">HLOOKUP($H$4,'Met Data'!$H$2:$M$368,G343,FALSE)*L343</f>
        <v>2.59696969696969</v>
      </c>
      <c r="K343" s="96">
        <f ca="1">HLOOKUP($H$4,'Met Data'!$O$2:$T$368,G343,FALSE)</f>
        <v>5.0310266433765403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349</v>
      </c>
      <c r="H344" s="95">
        <f t="shared" ca="1" si="56"/>
        <v>45639</v>
      </c>
      <c r="I344" s="119">
        <f ca="1">HLOOKUP($H$4,'Met Data'!$A$2:$F$368,G344,FALSE)</f>
        <v>14.8939393939393</v>
      </c>
      <c r="J344" s="119">
        <f ca="1">HLOOKUP($H$4,'Met Data'!$H$2:$M$368,G344,FALSE)*L344</f>
        <v>1.05151515151515</v>
      </c>
      <c r="K344" s="96">
        <f ca="1">HLOOKUP($H$4,'Met Data'!$O$2:$T$368,G344,FALSE)</f>
        <v>5.1072739426404103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350</v>
      </c>
      <c r="H345" s="95">
        <f t="shared" ca="1" si="56"/>
        <v>45640</v>
      </c>
      <c r="I345" s="119">
        <f ca="1">HLOOKUP($H$4,'Met Data'!$A$2:$F$368,G345,FALSE)</f>
        <v>16</v>
      </c>
      <c r="J345" s="119">
        <f ca="1">HLOOKUP($H$4,'Met Data'!$H$2:$M$368,G345,FALSE)*L345</f>
        <v>1.04242424242424</v>
      </c>
      <c r="K345" s="96">
        <f ca="1">HLOOKUP($H$4,'Met Data'!$O$2:$T$368,G345,FALSE)</f>
        <v>5.4539790972000102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351</v>
      </c>
      <c r="H346" s="95">
        <f t="shared" ca="1" si="56"/>
        <v>45641</v>
      </c>
      <c r="I346" s="119">
        <f ca="1">HLOOKUP($H$4,'Met Data'!$A$2:$F$368,G346,FALSE)</f>
        <v>15.5590909090909</v>
      </c>
      <c r="J346" s="119">
        <f ca="1">HLOOKUP($H$4,'Met Data'!$H$2:$M$368,G346,FALSE)*L346</f>
        <v>1.9272727272727199</v>
      </c>
      <c r="K346" s="96">
        <f ca="1">HLOOKUP($H$4,'Met Data'!$O$2:$T$368,G346,FALSE)</f>
        <v>4.5883036332124396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352</v>
      </c>
      <c r="H347" s="95">
        <f t="shared" ca="1" si="56"/>
        <v>45642</v>
      </c>
      <c r="I347" s="119">
        <f ca="1">HLOOKUP($H$4,'Met Data'!$A$2:$F$368,G347,FALSE)</f>
        <v>15.2454545454545</v>
      </c>
      <c r="J347" s="119">
        <f ca="1">HLOOKUP($H$4,'Met Data'!$H$2:$M$368,G347,FALSE)*L347</f>
        <v>2.4060606060606</v>
      </c>
      <c r="K347" s="96">
        <f ca="1">HLOOKUP($H$4,'Met Data'!$O$2:$T$368,G347,FALSE)</f>
        <v>4.7700419489867203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353</v>
      </c>
      <c r="H348" s="95">
        <f t="shared" ca="1" si="56"/>
        <v>45643</v>
      </c>
      <c r="I348" s="119">
        <f ca="1">HLOOKUP($H$4,'Met Data'!$A$2:$F$368,G348,FALSE)</f>
        <v>15.4969696969696</v>
      </c>
      <c r="J348" s="119">
        <f ca="1">HLOOKUP($H$4,'Met Data'!$H$2:$M$368,G348,FALSE)*L348</f>
        <v>1.9363636363636301</v>
      </c>
      <c r="K348" s="96">
        <f ca="1">HLOOKUP($H$4,'Met Data'!$O$2:$T$368,G348,FALSE)</f>
        <v>5.0336294289784602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354</v>
      </c>
      <c r="H349" s="95">
        <f t="shared" ca="1" si="56"/>
        <v>45644</v>
      </c>
      <c r="I349" s="119">
        <f ca="1">HLOOKUP($H$4,'Met Data'!$A$2:$F$368,G349,FALSE)</f>
        <v>15.5242424242424</v>
      </c>
      <c r="J349" s="119">
        <f ca="1">HLOOKUP($H$4,'Met Data'!$H$2:$M$368,G349,FALSE)*L349</f>
        <v>1.78181818181818</v>
      </c>
      <c r="K349" s="96">
        <f ca="1">HLOOKUP($H$4,'Met Data'!$O$2:$T$368,G349,FALSE)</f>
        <v>4.98855977845243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355</v>
      </c>
      <c r="H350" s="95">
        <f t="shared" ca="1" si="56"/>
        <v>45645</v>
      </c>
      <c r="I350" s="119">
        <f ca="1">HLOOKUP($H$4,'Met Data'!$A$2:$F$368,G350,FALSE)</f>
        <v>15.1863636363636</v>
      </c>
      <c r="J350" s="119">
        <f ca="1">HLOOKUP($H$4,'Met Data'!$H$2:$M$368,G350,FALSE)*L350</f>
        <v>4.1696969696969699</v>
      </c>
      <c r="K350" s="96">
        <f ca="1">HLOOKUP($H$4,'Met Data'!$O$2:$T$368,G350,FALSE)</f>
        <v>4.9791838222051101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356</v>
      </c>
      <c r="H351" s="95">
        <f t="shared" ca="1" si="56"/>
        <v>45646</v>
      </c>
      <c r="I351" s="119">
        <f ca="1">HLOOKUP($H$4,'Met Data'!$A$2:$F$368,G351,FALSE)</f>
        <v>14.9893480257116</v>
      </c>
      <c r="J351" s="119">
        <f ca="1">HLOOKUP($H$4,'Met Data'!$H$2:$M$368,G351,FALSE)*L351</f>
        <v>2.6030303030302999</v>
      </c>
      <c r="K351" s="96">
        <f ca="1">HLOOKUP($H$4,'Met Data'!$O$2:$T$368,G351,FALSE)</f>
        <v>5.3026714900844496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357</v>
      </c>
      <c r="H352" s="95">
        <f t="shared" ca="1" si="56"/>
        <v>45647</v>
      </c>
      <c r="I352" s="119">
        <f ca="1">HLOOKUP($H$4,'Met Data'!$A$2:$F$368,G352,FALSE)</f>
        <v>15.318181818181801</v>
      </c>
      <c r="J352" s="119">
        <f ca="1">HLOOKUP($H$4,'Met Data'!$H$2:$M$368,G352,FALSE)*L352</f>
        <v>2.1333333333333302</v>
      </c>
      <c r="K352" s="96">
        <f ca="1">HLOOKUP($H$4,'Met Data'!$O$2:$T$368,G352,FALSE)</f>
        <v>5.2799428567790896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358</v>
      </c>
      <c r="H353" s="95">
        <f t="shared" ca="1" si="56"/>
        <v>45648</v>
      </c>
      <c r="I353" s="119">
        <f ca="1">HLOOKUP($H$4,'Met Data'!$A$2:$F$368,G353,FALSE)</f>
        <v>15.1030303030303</v>
      </c>
      <c r="J353" s="119">
        <f ca="1">HLOOKUP($H$4,'Met Data'!$H$2:$M$368,G353,FALSE)*L353</f>
        <v>1.7606060606060601</v>
      </c>
      <c r="K353" s="96">
        <f ca="1">HLOOKUP($H$4,'Met Data'!$O$2:$T$368,G353,FALSE)</f>
        <v>4.9208206081117201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359</v>
      </c>
      <c r="H354" s="95">
        <f t="shared" ca="1" si="56"/>
        <v>45649</v>
      </c>
      <c r="I354" s="119">
        <f ca="1">HLOOKUP($H$4,'Met Data'!$A$2:$F$368,G354,FALSE)</f>
        <v>15.75</v>
      </c>
      <c r="J354" s="119">
        <f ca="1">HLOOKUP($H$4,'Met Data'!$H$2:$M$368,G354,FALSE)*L354</f>
        <v>0.44545454545454499</v>
      </c>
      <c r="K354" s="96">
        <f ca="1">HLOOKUP($H$4,'Met Data'!$O$2:$T$368,G354,FALSE)</f>
        <v>5.2220060011835203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360</v>
      </c>
      <c r="H355" s="95">
        <f t="shared" ca="1" si="56"/>
        <v>45650</v>
      </c>
      <c r="I355" s="119">
        <f ca="1">HLOOKUP($H$4,'Met Data'!$A$2:$F$368,G355,FALSE)</f>
        <v>15.801515151515099</v>
      </c>
      <c r="J355" s="119">
        <f ca="1">HLOOKUP($H$4,'Met Data'!$H$2:$M$368,G355,FALSE)*L355</f>
        <v>0.86969696969696897</v>
      </c>
      <c r="K355" s="96">
        <f ca="1">HLOOKUP($H$4,'Met Data'!$O$2:$T$368,G355,FALSE)</f>
        <v>5.4909304436539399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361</v>
      </c>
      <c r="H356" s="95">
        <f t="shared" ca="1" si="56"/>
        <v>45651</v>
      </c>
      <c r="I356" s="119">
        <f ca="1">HLOOKUP($H$4,'Met Data'!$A$2:$F$368,G356,FALSE)</f>
        <v>15.1378787878787</v>
      </c>
      <c r="J356" s="119">
        <f ca="1">HLOOKUP($H$4,'Met Data'!$H$2:$M$368,G356,FALSE)*L356</f>
        <v>0.68181818181818099</v>
      </c>
      <c r="K356" s="96">
        <f ca="1">HLOOKUP($H$4,'Met Data'!$O$2:$T$368,G356,FALSE)</f>
        <v>4.9163537354420397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362</v>
      </c>
      <c r="H357" s="95">
        <f t="shared" ca="1" si="56"/>
        <v>45652</v>
      </c>
      <c r="I357" s="119">
        <f ca="1">HLOOKUP($H$4,'Met Data'!$A$2:$F$368,G357,FALSE)</f>
        <v>16.901515151515099</v>
      </c>
      <c r="J357" s="119">
        <f ca="1">HLOOKUP($H$4,'Met Data'!$H$2:$M$368,G357,FALSE)*L357</f>
        <v>1.11818181818181</v>
      </c>
      <c r="K357" s="96">
        <f ca="1">HLOOKUP($H$4,'Met Data'!$O$2:$T$368,G357,FALSE)</f>
        <v>5.7188006673869101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363</v>
      </c>
      <c r="H358" s="95">
        <f t="shared" ca="1" si="56"/>
        <v>45653</v>
      </c>
      <c r="I358" s="119">
        <f ca="1">HLOOKUP($H$4,'Met Data'!$A$2:$F$368,G358,FALSE)</f>
        <v>17.143939393939299</v>
      </c>
      <c r="J358" s="119">
        <f ca="1">HLOOKUP($H$4,'Met Data'!$H$2:$M$368,G358,FALSE)*L358</f>
        <v>2.9666666666666601</v>
      </c>
      <c r="K358" s="96">
        <f ca="1">HLOOKUP($H$4,'Met Data'!$O$2:$T$368,G358,FALSE)</f>
        <v>5.7794443898681997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364</v>
      </c>
      <c r="H359" s="95">
        <f t="shared" ca="1" si="56"/>
        <v>45654</v>
      </c>
      <c r="I359" s="119">
        <f ca="1">HLOOKUP($H$4,'Met Data'!$A$2:$F$368,G359,FALSE)</f>
        <v>15.795454545454501</v>
      </c>
      <c r="J359" s="119">
        <f ca="1">HLOOKUP($H$4,'Met Data'!$H$2:$M$368,G359,FALSE)*L359</f>
        <v>1.01212121212121</v>
      </c>
      <c r="K359" s="96">
        <f ca="1">HLOOKUP($H$4,'Met Data'!$O$2:$T$368,G359,FALSE)</f>
        <v>4.8778466207725302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365</v>
      </c>
      <c r="H360" s="95">
        <f t="shared" ca="1" si="56"/>
        <v>45655</v>
      </c>
      <c r="I360" s="119">
        <f ca="1">HLOOKUP($H$4,'Met Data'!$A$2:$F$368,G360,FALSE)</f>
        <v>16.3359375</v>
      </c>
      <c r="J360" s="119">
        <f ca="1">HLOOKUP($H$4,'Met Data'!$H$2:$M$368,G360,FALSE)*L360</f>
        <v>2.5656249999999998</v>
      </c>
      <c r="K360" s="96">
        <f ca="1">HLOOKUP($H$4,'Met Data'!$O$2:$T$368,G360,FALSE)</f>
        <v>4.8055507109703601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366</v>
      </c>
      <c r="H361" s="95">
        <f t="shared" ca="1" si="56"/>
        <v>45656</v>
      </c>
      <c r="I361" s="119">
        <f ca="1">HLOOKUP($H$4,'Met Data'!$A$2:$F$368,G361,FALSE)</f>
        <v>15.832812499999999</v>
      </c>
      <c r="J361" s="119">
        <f ca="1">HLOOKUP($H$4,'Met Data'!$H$2:$M$368,G361,FALSE)*L361</f>
        <v>1.0062500000000001</v>
      </c>
      <c r="K361" s="96">
        <f ca="1">HLOOKUP($H$4,'Met Data'!$O$2:$T$368,G361,FALSE)</f>
        <v>5.3791049074685899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367</v>
      </c>
      <c r="H362" s="95">
        <f t="shared" ca="1" si="56"/>
        <v>45657</v>
      </c>
      <c r="I362" s="119">
        <f ca="1">HLOOKUP($H$4,'Met Data'!$A$2:$F$368,G362,FALSE)</f>
        <v>16.3</v>
      </c>
      <c r="J362" s="119">
        <f ca="1">HLOOKUP($H$4,'Met Data'!$H$2:$M$368,G362,FALSE)*L362</f>
        <v>2.4874999999999998</v>
      </c>
      <c r="K362" s="96">
        <f ca="1">HLOOKUP($H$4,'Met Data'!$O$2:$T$368,G362,FALSE)</f>
        <v>5.4752128018447301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</v>
      </c>
      <c r="H363" s="95">
        <f t="shared" ca="1" si="56"/>
        <v>45658</v>
      </c>
      <c r="I363" s="119">
        <f ca="1">HLOOKUP($H$4,'Met Data'!$A$2:$F$368,G363,FALSE)</f>
        <v>16.179411764705801</v>
      </c>
      <c r="J363" s="119">
        <f ca="1">HLOOKUP($H$4,'Met Data'!$H$2:$M$368,G363,FALSE)*L363</f>
        <v>0.69411764705882295</v>
      </c>
      <c r="K363" s="96">
        <f ca="1">HLOOKUP($H$4,'Met Data'!$O$2:$T$368,G363,FALSE)</f>
        <v>5.6670911405215199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3</v>
      </c>
      <c r="H364" s="95">
        <f t="shared" ca="1" si="56"/>
        <v>45659</v>
      </c>
      <c r="I364" s="119">
        <f ca="1">HLOOKUP($H$4,'Met Data'!$A$2:$F$368,G364,FALSE)</f>
        <v>17.160294117646998</v>
      </c>
      <c r="J364" s="119">
        <f ca="1">HLOOKUP($H$4,'Met Data'!$H$2:$M$368,G364,FALSE)*L364</f>
        <v>1.5735294117647001</v>
      </c>
      <c r="K364" s="96">
        <f ca="1">HLOOKUP($H$4,'Met Data'!$O$2:$T$368,G364,FALSE)</f>
        <v>5.47016136211003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4</v>
      </c>
      <c r="H365" s="95">
        <f t="shared" ca="1" si="56"/>
        <v>45660</v>
      </c>
      <c r="I365" s="119">
        <f ca="1">HLOOKUP($H$4,'Met Data'!$A$2:$F$368,G365,FALSE)</f>
        <v>16.8117647058823</v>
      </c>
      <c r="J365" s="119">
        <f ca="1">HLOOKUP($H$4,'Met Data'!$H$2:$M$368,G365,FALSE)*L365</f>
        <v>2.3529411764705799</v>
      </c>
      <c r="K365" s="96">
        <f ca="1">HLOOKUP($H$4,'Met Data'!$O$2:$T$368,G365,FALSE)</f>
        <v>5.5060411752421698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5</v>
      </c>
      <c r="H366" s="95">
        <f t="shared" ca="1" si="56"/>
        <v>45661</v>
      </c>
      <c r="I366" s="119">
        <f ca="1">HLOOKUP($H$4,'Met Data'!$A$2:$F$368,G366,FALSE)</f>
        <v>15.772058823529401</v>
      </c>
      <c r="J366" s="119">
        <f ca="1">HLOOKUP($H$4,'Met Data'!$H$2:$M$368,G366,FALSE)*L366</f>
        <v>1.96470588235294</v>
      </c>
      <c r="K366" s="96">
        <f ca="1">HLOOKUP($H$4,'Met Data'!$O$2:$T$368,G366,FALSE)</f>
        <v>4.9972624433289496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6</v>
      </c>
      <c r="H367" s="95">
        <f t="shared" ca="1" si="56"/>
        <v>45662</v>
      </c>
      <c r="I367" s="119">
        <f ca="1">HLOOKUP($H$4,'Met Data'!$A$2:$F$368,G367,FALSE)</f>
        <v>16.045588235294101</v>
      </c>
      <c r="J367" s="119">
        <f ca="1">HLOOKUP($H$4,'Met Data'!$H$2:$M$368,G367,FALSE)*L367</f>
        <v>1.5588235294117601</v>
      </c>
      <c r="K367" s="96">
        <f ca="1">HLOOKUP($H$4,'Met Data'!$O$2:$T$368,G367,FALSE)</f>
        <v>5.1481016165606404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7</v>
      </c>
      <c r="H368" s="95">
        <f t="shared" ca="1" si="56"/>
        <v>45663</v>
      </c>
      <c r="I368" s="119">
        <f ca="1">HLOOKUP($H$4,'Met Data'!$A$2:$F$368,G368,FALSE)</f>
        <v>16.1955882352941</v>
      </c>
      <c r="J368" s="119">
        <f ca="1">HLOOKUP($H$4,'Met Data'!$H$2:$M$368,G368,FALSE)*L368</f>
        <v>0.438235294117647</v>
      </c>
      <c r="K368" s="96">
        <f ca="1">HLOOKUP($H$4,'Met Data'!$O$2:$T$368,G368,FALSE)</f>
        <v>5.1335474577147604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8</v>
      </c>
      <c r="H369" s="95">
        <f t="shared" ca="1" si="56"/>
        <v>45664</v>
      </c>
      <c r="I369" s="119">
        <f ca="1">HLOOKUP($H$4,'Met Data'!$A$2:$F$368,G369,FALSE)</f>
        <v>17.395588235294099</v>
      </c>
      <c r="J369" s="119">
        <f ca="1">HLOOKUP($H$4,'Met Data'!$H$2:$M$368,G369,FALSE)*L369</f>
        <v>0.92647058823529405</v>
      </c>
      <c r="K369" s="96">
        <f ca="1">HLOOKUP($H$4,'Met Data'!$O$2:$T$368,G369,FALSE)</f>
        <v>5.4532643793489903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9</v>
      </c>
      <c r="H370" s="95">
        <f t="shared" ca="1" si="56"/>
        <v>45665</v>
      </c>
      <c r="I370" s="119">
        <f ca="1">HLOOKUP($H$4,'Met Data'!$A$2:$F$368,G370,FALSE)</f>
        <v>17.102249134948</v>
      </c>
      <c r="J370" s="119">
        <f ca="1">HLOOKUP($H$4,'Met Data'!$H$2:$M$368,G370,FALSE)*L370</f>
        <v>2.3176470588235198</v>
      </c>
      <c r="K370" s="96">
        <f ca="1">HLOOKUP($H$4,'Met Data'!$O$2:$T$368,G370,FALSE)</f>
        <v>5.57690448669634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10</v>
      </c>
      <c r="H371" s="95">
        <f t="shared" ca="1" si="56"/>
        <v>45666</v>
      </c>
      <c r="I371" s="119">
        <f ca="1">HLOOKUP($H$4,'Met Data'!$A$2:$F$368,G371,FALSE)</f>
        <v>16.213235294117599</v>
      </c>
      <c r="J371" s="119">
        <f ca="1">HLOOKUP($H$4,'Met Data'!$H$2:$M$368,G371,FALSE)*L371</f>
        <v>0.90882352941176403</v>
      </c>
      <c r="K371" s="96">
        <f ca="1">HLOOKUP($H$4,'Met Data'!$O$2:$T$368,G371,FALSE)</f>
        <v>5.14581424029529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11</v>
      </c>
      <c r="H372" s="95">
        <f t="shared" ca="1" si="56"/>
        <v>45667</v>
      </c>
      <c r="I372" s="119">
        <f ca="1">HLOOKUP($H$4,'Met Data'!$A$2:$F$368,G372,FALSE)</f>
        <v>15.8947058823529</v>
      </c>
      <c r="J372" s="119">
        <f ca="1">HLOOKUP($H$4,'Met Data'!$H$2:$M$368,G372,FALSE)*L372</f>
        <v>2.69999999999999</v>
      </c>
      <c r="K372" s="96">
        <f ca="1">HLOOKUP($H$4,'Met Data'!$O$2:$T$368,G372,FALSE)</f>
        <v>4.7411675639454902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12</v>
      </c>
      <c r="H373" s="95">
        <f t="shared" ca="1" si="56"/>
        <v>45668</v>
      </c>
      <c r="I373" s="119">
        <f ca="1">HLOOKUP($H$4,'Met Data'!$A$2:$F$368,G373,FALSE)</f>
        <v>16.250588235294099</v>
      </c>
      <c r="J373" s="119">
        <f ca="1">HLOOKUP($H$4,'Met Data'!$H$2:$M$368,G373,FALSE)*L373</f>
        <v>2.3529411764705799</v>
      </c>
      <c r="K373" s="96">
        <f ca="1">HLOOKUP($H$4,'Met Data'!$O$2:$T$368,G373,FALSE)</f>
        <v>4.6490051927409599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13</v>
      </c>
      <c r="H374" s="95">
        <f t="shared" ca="1" si="56"/>
        <v>45669</v>
      </c>
      <c r="I374" s="119">
        <f ca="1">HLOOKUP($H$4,'Met Data'!$A$2:$F$368,G374,FALSE)</f>
        <v>16.662352941176401</v>
      </c>
      <c r="J374" s="119">
        <f ca="1">HLOOKUP($H$4,'Met Data'!$H$2:$M$368,G374,FALSE)*L374</f>
        <v>2.74705882352941</v>
      </c>
      <c r="K374" s="96">
        <f ca="1">HLOOKUP($H$4,'Met Data'!$O$2:$T$368,G374,FALSE)</f>
        <v>4.8719680350014798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14</v>
      </c>
      <c r="H375" s="95">
        <f t="shared" ca="1" si="56"/>
        <v>45670</v>
      </c>
      <c r="I375" s="119">
        <f ca="1">HLOOKUP($H$4,'Met Data'!$A$2:$F$368,G375,FALSE)</f>
        <v>16.830882352941099</v>
      </c>
      <c r="J375" s="119">
        <f ca="1">HLOOKUP($H$4,'Met Data'!$H$2:$M$368,G375,FALSE)*L375</f>
        <v>1.29411764705882</v>
      </c>
      <c r="K375" s="96">
        <f ca="1">HLOOKUP($H$4,'Met Data'!$O$2:$T$368,G375,FALSE)</f>
        <v>5.1562686308583903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15</v>
      </c>
      <c r="H376" s="95">
        <f t="shared" ca="1" si="56"/>
        <v>45671</v>
      </c>
      <c r="I376" s="119">
        <f ca="1">HLOOKUP($H$4,'Met Data'!$A$2:$F$368,G376,FALSE)</f>
        <v>16.835294117646999</v>
      </c>
      <c r="J376" s="119">
        <f ca="1">HLOOKUP($H$4,'Met Data'!$H$2:$M$368,G376,FALSE)*L376</f>
        <v>0.93823529411764695</v>
      </c>
      <c r="K376" s="96">
        <f ca="1">HLOOKUP($H$4,'Met Data'!$O$2:$T$368,G376,FALSE)</f>
        <v>5.3875143634853799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16</v>
      </c>
      <c r="H377" s="95">
        <f t="shared" ca="1" si="56"/>
        <v>45672</v>
      </c>
      <c r="I377" s="119">
        <f ca="1">HLOOKUP($H$4,'Met Data'!$A$2:$F$368,G377,FALSE)</f>
        <v>17.335294117646999</v>
      </c>
      <c r="J377" s="119">
        <f ca="1">HLOOKUP($H$4,'Met Data'!$H$2:$M$368,G377,FALSE)*L377</f>
        <v>1.0911764705882301</v>
      </c>
      <c r="K377" s="96">
        <f ca="1">HLOOKUP($H$4,'Met Data'!$O$2:$T$368,G377,FALSE)</f>
        <v>5.8399033494252999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17</v>
      </c>
      <c r="H378" s="95">
        <f t="shared" ca="1" si="56"/>
        <v>45673</v>
      </c>
      <c r="I378" s="119">
        <f ca="1">HLOOKUP($H$4,'Met Data'!$A$2:$F$368,G378,FALSE)</f>
        <v>16.8279411764705</v>
      </c>
      <c r="J378" s="119">
        <f ca="1">HLOOKUP($H$4,'Met Data'!$H$2:$M$368,G378,FALSE)*L378</f>
        <v>0.77647058823529402</v>
      </c>
      <c r="K378" s="96">
        <f ca="1">HLOOKUP($H$4,'Met Data'!$O$2:$T$368,G378,FALSE)</f>
        <v>5.6587590306219901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18</v>
      </c>
      <c r="H379" s="95">
        <f t="shared" ca="1" si="56"/>
        <v>45674</v>
      </c>
      <c r="I379" s="119">
        <f ca="1">HLOOKUP($H$4,'Met Data'!$A$2:$F$368,G379,FALSE)</f>
        <v>16.722058823529402</v>
      </c>
      <c r="J379" s="119">
        <f ca="1">HLOOKUP($H$4,'Met Data'!$H$2:$M$368,G379,FALSE)*L379</f>
        <v>0.57058823529411695</v>
      </c>
      <c r="K379" s="96">
        <f ca="1">HLOOKUP($H$4,'Met Data'!$O$2:$T$368,G379,FALSE)</f>
        <v>5.3270431561074503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19</v>
      </c>
      <c r="H380" s="95">
        <f t="shared" ca="1" si="56"/>
        <v>45675</v>
      </c>
      <c r="I380" s="119">
        <f ca="1">HLOOKUP($H$4,'Met Data'!$A$2:$F$368,G380,FALSE)</f>
        <v>17.301470588235201</v>
      </c>
      <c r="J380" s="119">
        <f ca="1">HLOOKUP($H$4,'Met Data'!$H$2:$M$368,G380,FALSE)*L380</f>
        <v>3.48529411764705</v>
      </c>
      <c r="K380" s="96">
        <f ca="1">HLOOKUP($H$4,'Met Data'!$O$2:$T$368,G380,FALSE)</f>
        <v>5.0203920634541701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20</v>
      </c>
      <c r="H381" s="95">
        <f t="shared" ca="1" si="56"/>
        <v>45676</v>
      </c>
      <c r="I381" s="119">
        <f ca="1">HLOOKUP($H$4,'Met Data'!$A$2:$F$368,G381,FALSE)</f>
        <v>17.052941176470501</v>
      </c>
      <c r="J381" s="119">
        <f ca="1">HLOOKUP($H$4,'Met Data'!$H$2:$M$368,G381,FALSE)*L381</f>
        <v>0.99117647058823499</v>
      </c>
      <c r="K381" s="96">
        <f ca="1">HLOOKUP($H$4,'Met Data'!$O$2:$T$368,G381,FALSE)</f>
        <v>5.3707211610908496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21</v>
      </c>
      <c r="H382" s="95">
        <f t="shared" ca="1" si="56"/>
        <v>45677</v>
      </c>
      <c r="I382" s="119">
        <f ca="1">HLOOKUP($H$4,'Met Data'!$A$2:$F$368,G382,FALSE)</f>
        <v>15.9367647058823</v>
      </c>
      <c r="J382" s="119">
        <f ca="1">HLOOKUP($H$4,'Met Data'!$H$2:$M$368,G382,FALSE)*L382</f>
        <v>0.25588235294117601</v>
      </c>
      <c r="K382" s="96">
        <f ca="1">HLOOKUP($H$4,'Met Data'!$O$2:$T$368,G382,FALSE)</f>
        <v>5.3547882621027503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22</v>
      </c>
      <c r="H383" s="95">
        <f t="shared" ca="1" si="56"/>
        <v>45678</v>
      </c>
      <c r="I383" s="119">
        <f ca="1">HLOOKUP($H$4,'Met Data'!$A$2:$F$368,G383,FALSE)</f>
        <v>17.475000000000001</v>
      </c>
      <c r="J383" s="119">
        <f ca="1">HLOOKUP($H$4,'Met Data'!$H$2:$M$368,G383,FALSE)*L383</f>
        <v>0.35882352941176399</v>
      </c>
      <c r="K383" s="96">
        <f ca="1">HLOOKUP($H$4,'Met Data'!$O$2:$T$368,G383,FALSE)</f>
        <v>5.3930487438230301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23</v>
      </c>
      <c r="H384" s="95">
        <f t="shared" ca="1" si="56"/>
        <v>45679</v>
      </c>
      <c r="I384" s="119">
        <f ca="1">HLOOKUP($H$4,'Met Data'!$A$2:$F$368,G384,FALSE)</f>
        <v>18.2514705882352</v>
      </c>
      <c r="J384" s="119">
        <f ca="1">HLOOKUP($H$4,'Met Data'!$H$2:$M$368,G384,FALSE)*L384</f>
        <v>1.94705882352941</v>
      </c>
      <c r="K384" s="96">
        <f ca="1">HLOOKUP($H$4,'Met Data'!$O$2:$T$368,G384,FALSE)</f>
        <v>5.5152286930917596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24</v>
      </c>
      <c r="H385" s="95">
        <f t="shared" ca="1" si="56"/>
        <v>45680</v>
      </c>
      <c r="I385" s="119">
        <f ca="1">HLOOKUP($H$4,'Met Data'!$A$2:$F$368,G385,FALSE)</f>
        <v>17.176470588235201</v>
      </c>
      <c r="J385" s="119">
        <f ca="1">HLOOKUP($H$4,'Met Data'!$H$2:$M$368,G385,FALSE)*L385</f>
        <v>0.744117647058823</v>
      </c>
      <c r="K385" s="96">
        <f ca="1">HLOOKUP($H$4,'Met Data'!$O$2:$T$368,G385,FALSE)</f>
        <v>5.2065069869691296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25</v>
      </c>
      <c r="H386" s="95">
        <f t="shared" ca="1" si="56"/>
        <v>45681</v>
      </c>
      <c r="I386" s="119">
        <f ca="1">HLOOKUP($H$4,'Met Data'!$A$2:$F$368,G386,FALSE)</f>
        <v>16.835294117646999</v>
      </c>
      <c r="J386" s="119">
        <f ca="1">HLOOKUP($H$4,'Met Data'!$H$2:$M$368,G386,FALSE)*L386</f>
        <v>1.4117647058823499</v>
      </c>
      <c r="K386" s="96">
        <f ca="1">HLOOKUP($H$4,'Met Data'!$O$2:$T$368,G386,FALSE)</f>
        <v>4.7133252171052504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26</v>
      </c>
      <c r="H387" s="95">
        <f t="shared" ca="1" si="56"/>
        <v>45682</v>
      </c>
      <c r="I387" s="119">
        <f ca="1">HLOOKUP($H$4,'Met Data'!$A$2:$F$368,G387,FALSE)</f>
        <v>16.6941176470588</v>
      </c>
      <c r="J387" s="119">
        <f ca="1">HLOOKUP($H$4,'Met Data'!$H$2:$M$368,G387,FALSE)*L387</f>
        <v>1.25588235294117</v>
      </c>
      <c r="K387" s="96">
        <f ca="1">HLOOKUP($H$4,'Met Data'!$O$2:$T$368,G387,FALSE)</f>
        <v>4.3325050650897401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27</v>
      </c>
      <c r="H388" s="95">
        <f t="shared" ca="1" si="56"/>
        <v>45683</v>
      </c>
      <c r="I388" s="119">
        <f ca="1">HLOOKUP($H$4,'Met Data'!$A$2:$F$368,G388,FALSE)</f>
        <v>16.433823529411701</v>
      </c>
      <c r="J388" s="119">
        <f ca="1">HLOOKUP($H$4,'Met Data'!$H$2:$M$368,G388,FALSE)*L388</f>
        <v>0.91470588235294104</v>
      </c>
      <c r="K388" s="96">
        <f ca="1">HLOOKUP($H$4,'Met Data'!$O$2:$T$368,G388,FALSE)</f>
        <v>4.7335288521335803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28</v>
      </c>
      <c r="H389" s="95">
        <f t="shared" ca="1" si="56"/>
        <v>45684</v>
      </c>
      <c r="I389" s="119">
        <f ca="1">HLOOKUP($H$4,'Met Data'!$A$2:$F$368,G389,FALSE)</f>
        <v>16.332352941176399</v>
      </c>
      <c r="J389" s="119">
        <f ca="1">HLOOKUP($H$4,'Met Data'!$H$2:$M$368,G389,FALSE)*L389</f>
        <v>2.3441176470588201</v>
      </c>
      <c r="K389" s="96">
        <f ca="1">HLOOKUP($H$4,'Met Data'!$O$2:$T$368,G389,FALSE)</f>
        <v>4.92375694808094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29</v>
      </c>
      <c r="H390" s="95">
        <f t="shared" ca="1" si="56"/>
        <v>45685</v>
      </c>
      <c r="I390" s="119">
        <f ca="1">HLOOKUP($H$4,'Met Data'!$A$2:$F$368,G390,FALSE)</f>
        <v>17.044117647058801</v>
      </c>
      <c r="J390" s="119">
        <f ca="1">HLOOKUP($H$4,'Met Data'!$H$2:$M$368,G390,FALSE)*L390</f>
        <v>1.02941176470588</v>
      </c>
      <c r="K390" s="96">
        <f ca="1">HLOOKUP($H$4,'Met Data'!$O$2:$T$368,G390,FALSE)</f>
        <v>4.99641153289756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ref="G391:G454" ca="1" si="64">H391-DATE(YEAR(H391),1,0)+1</f>
        <v>30</v>
      </c>
      <c r="H391" s="95">
        <f t="shared" ca="1" si="56"/>
        <v>45686</v>
      </c>
      <c r="I391" s="119">
        <f ca="1">HLOOKUP($H$4,'Met Data'!$A$2:$F$368,G391,FALSE)</f>
        <v>17.480882352941101</v>
      </c>
      <c r="J391" s="119">
        <f ca="1">HLOOKUP($H$4,'Met Data'!$H$2:$M$368,G391,FALSE)*L391</f>
        <v>6.4705882352941099E-2</v>
      </c>
      <c r="K391" s="96">
        <f ca="1">HLOOKUP($H$4,'Met Data'!$O$2:$T$368,G391,FALSE)</f>
        <v>5.19563668339761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ca="1" si="64"/>
        <v>31</v>
      </c>
      <c r="H392" s="95">
        <f t="shared" ref="H392:H455" ca="1" si="66">H391+1</f>
        <v>45687</v>
      </c>
      <c r="I392" s="119">
        <f ca="1">HLOOKUP($H$4,'Met Data'!$A$2:$F$368,G392,FALSE)</f>
        <v>18.010294117647</v>
      </c>
      <c r="J392" s="119">
        <f ca="1">HLOOKUP($H$4,'Met Data'!$H$2:$M$368,G392,FALSE)*L392</f>
        <v>0.61176470588235299</v>
      </c>
      <c r="K392" s="96">
        <f ca="1">HLOOKUP($H$4,'Met Data'!$O$2:$T$368,G392,FALSE)</f>
        <v>5.2986070991408996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32</v>
      </c>
      <c r="H393" s="95">
        <f t="shared" ca="1" si="66"/>
        <v>45688</v>
      </c>
      <c r="I393" s="119">
        <f ca="1">HLOOKUP($H$4,'Met Data'!$A$2:$F$368,G393,FALSE)</f>
        <v>18.1264705882352</v>
      </c>
      <c r="J393" s="119">
        <f ca="1">HLOOKUP($H$4,'Met Data'!$H$2:$M$368,G393,FALSE)*L393</f>
        <v>1.01176470588235</v>
      </c>
      <c r="K393" s="96">
        <f ca="1">HLOOKUP($H$4,'Met Data'!$O$2:$T$368,G393,FALSE)</f>
        <v>5.6287813361802304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33</v>
      </c>
      <c r="H394" s="95">
        <f t="shared" ca="1" si="66"/>
        <v>45689</v>
      </c>
      <c r="I394" s="119">
        <f ca="1">HLOOKUP($H$4,'Met Data'!$A$2:$F$368,G394,FALSE)</f>
        <v>17.5632352941176</v>
      </c>
      <c r="J394" s="119">
        <f ca="1">HLOOKUP($H$4,'Met Data'!$H$2:$M$368,G394,FALSE)*L394</f>
        <v>0.26764705882352902</v>
      </c>
      <c r="K394" s="96">
        <f ca="1">HLOOKUP($H$4,'Met Data'!$O$2:$T$368,G394,FALSE)</f>
        <v>5.5733898517327303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34</v>
      </c>
      <c r="H395" s="95">
        <f t="shared" ca="1" si="66"/>
        <v>45690</v>
      </c>
      <c r="I395" s="119">
        <f ca="1">HLOOKUP($H$4,'Met Data'!$A$2:$F$368,G395,FALSE)</f>
        <v>16.530882352941099</v>
      </c>
      <c r="J395" s="119">
        <f ca="1">HLOOKUP($H$4,'Met Data'!$H$2:$M$368,G395,FALSE)*L395</f>
        <v>1.22058823529411</v>
      </c>
      <c r="K395" s="96">
        <f ca="1">HLOOKUP($H$4,'Met Data'!$O$2:$T$368,G395,FALSE)</f>
        <v>4.8866884380741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ref="AG395:AG458" ca="1" si="67">Q394+S395+T395+U395</f>
        <v>#N/A</v>
      </c>
      <c r="AH395" s="63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>
      <c r="G396" s="3">
        <f t="shared" ca="1" si="64"/>
        <v>35</v>
      </c>
      <c r="H396" s="95">
        <f t="shared" ca="1" si="66"/>
        <v>45691</v>
      </c>
      <c r="I396" s="119">
        <f ca="1">HLOOKUP($H$4,'Met Data'!$A$2:$F$368,G396,FALSE)</f>
        <v>16.339705882352899</v>
      </c>
      <c r="J396" s="119">
        <f ca="1">HLOOKUP($H$4,'Met Data'!$H$2:$M$368,G396,FALSE)*L396</f>
        <v>0.72352941176470498</v>
      </c>
      <c r="K396" s="96">
        <f ca="1">HLOOKUP($H$4,'Met Data'!$O$2:$T$368,G396,FALSE)</f>
        <v>4.6016509460585002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ca="1" si="67"/>
        <v>#N/A</v>
      </c>
      <c r="AH396" s="63" t="e">
        <f t="shared" ca="1" si="68"/>
        <v>#N/A</v>
      </c>
      <c r="AI396" s="3" t="e">
        <f t="shared" ca="1" si="69"/>
        <v>#N/A</v>
      </c>
    </row>
    <row r="397" spans="7:35">
      <c r="G397" s="3">
        <f t="shared" ca="1" si="64"/>
        <v>36</v>
      </c>
      <c r="H397" s="95">
        <f t="shared" ca="1" si="66"/>
        <v>45692</v>
      </c>
      <c r="I397" s="119">
        <f ca="1">HLOOKUP($H$4,'Met Data'!$A$2:$F$368,G397,FALSE)</f>
        <v>17.920588235294101</v>
      </c>
      <c r="J397" s="119">
        <f ca="1">HLOOKUP($H$4,'Met Data'!$H$2:$M$368,G397,FALSE)*L397</f>
        <v>1.75294117647058</v>
      </c>
      <c r="K397" s="96">
        <f ca="1">HLOOKUP($H$4,'Met Data'!$O$2:$T$368,G397,FALSE)</f>
        <v>5.2770860248475602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37</v>
      </c>
      <c r="H398" s="95">
        <f t="shared" ca="1" si="66"/>
        <v>45693</v>
      </c>
      <c r="I398" s="119">
        <f ca="1">HLOOKUP($H$4,'Met Data'!$A$2:$F$368,G398,FALSE)</f>
        <v>16.083823529411699</v>
      </c>
      <c r="J398" s="119">
        <f ca="1">HLOOKUP($H$4,'Met Data'!$H$2:$M$368,G398,FALSE)*L398</f>
        <v>2.20882352941176</v>
      </c>
      <c r="K398" s="96">
        <f ca="1">HLOOKUP($H$4,'Met Data'!$O$2:$T$368,G398,FALSE)</f>
        <v>4.27430593476155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38</v>
      </c>
      <c r="H399" s="95">
        <f t="shared" ca="1" si="66"/>
        <v>45694</v>
      </c>
      <c r="I399" s="119">
        <f ca="1">HLOOKUP($H$4,'Met Data'!$A$2:$F$368,G399,FALSE)</f>
        <v>16.539705882352902</v>
      </c>
      <c r="J399" s="119">
        <f ca="1">HLOOKUP($H$4,'Met Data'!$H$2:$M$368,G399,FALSE)*L399</f>
        <v>0.49117647058823499</v>
      </c>
      <c r="K399" s="96">
        <f ca="1">HLOOKUP($H$4,'Met Data'!$O$2:$T$368,G399,FALSE)</f>
        <v>4.96013704262971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39</v>
      </c>
      <c r="H400" s="95">
        <f t="shared" ca="1" si="66"/>
        <v>45695</v>
      </c>
      <c r="I400" s="119">
        <f ca="1">HLOOKUP($H$4,'Met Data'!$A$2:$F$368,G400,FALSE)</f>
        <v>16.527941176470499</v>
      </c>
      <c r="J400" s="119">
        <f ca="1">HLOOKUP($H$4,'Met Data'!$H$2:$M$368,G400,FALSE)*L400</f>
        <v>1.98235294117647</v>
      </c>
      <c r="K400" s="96">
        <f ca="1">HLOOKUP($H$4,'Met Data'!$O$2:$T$368,G400,FALSE)</f>
        <v>4.6946370204271801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40</v>
      </c>
      <c r="H401" s="95">
        <f t="shared" ca="1" si="66"/>
        <v>45696</v>
      </c>
      <c r="I401" s="119">
        <f ca="1">HLOOKUP($H$4,'Met Data'!$A$2:$F$368,G401,FALSE)</f>
        <v>16.855882352941101</v>
      </c>
      <c r="J401" s="119">
        <f ca="1">HLOOKUP($H$4,'Met Data'!$H$2:$M$368,G401,FALSE)*L401</f>
        <v>0.79411764705882304</v>
      </c>
      <c r="K401" s="96">
        <f ca="1">HLOOKUP($H$4,'Met Data'!$O$2:$T$368,G401,FALSE)</f>
        <v>5.0220708698278598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41</v>
      </c>
      <c r="H402" s="95">
        <f t="shared" ca="1" si="66"/>
        <v>45697</v>
      </c>
      <c r="I402" s="119">
        <f ca="1">HLOOKUP($H$4,'Met Data'!$A$2:$F$368,G402,FALSE)</f>
        <v>16.957352941176399</v>
      </c>
      <c r="J402" s="119">
        <f ca="1">HLOOKUP($H$4,'Met Data'!$H$2:$M$368,G402,FALSE)*L402</f>
        <v>1.1352941176470499</v>
      </c>
      <c r="K402" s="96">
        <f ca="1">HLOOKUP($H$4,'Met Data'!$O$2:$T$368,G402,FALSE)</f>
        <v>4.61421103176027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42</v>
      </c>
      <c r="H403" s="95">
        <f t="shared" ca="1" si="66"/>
        <v>45698</v>
      </c>
      <c r="I403" s="119">
        <f ca="1">HLOOKUP($H$4,'Met Data'!$A$2:$F$368,G403,FALSE)</f>
        <v>16.866176470588201</v>
      </c>
      <c r="J403" s="119">
        <f ca="1">HLOOKUP($H$4,'Met Data'!$H$2:$M$368,G403,FALSE)*L403</f>
        <v>0.77647058823529402</v>
      </c>
      <c r="K403" s="96">
        <f ca="1">HLOOKUP($H$4,'Met Data'!$O$2:$T$368,G403,FALSE)</f>
        <v>4.40551625163656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43</v>
      </c>
      <c r="H404" s="95">
        <f t="shared" ca="1" si="66"/>
        <v>45699</v>
      </c>
      <c r="I404" s="119">
        <f ca="1">HLOOKUP($H$4,'Met Data'!$A$2:$F$368,G404,FALSE)</f>
        <v>17.485294117647001</v>
      </c>
      <c r="J404" s="119">
        <f ca="1">HLOOKUP($H$4,'Met Data'!$H$2:$M$368,G404,FALSE)*L404</f>
        <v>1.0529411764705801</v>
      </c>
      <c r="K404" s="96">
        <f ca="1">HLOOKUP($H$4,'Met Data'!$O$2:$T$368,G404,FALSE)</f>
        <v>4.4685640225242098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44</v>
      </c>
      <c r="H405" s="95">
        <f t="shared" ca="1" si="66"/>
        <v>45700</v>
      </c>
      <c r="I405" s="119">
        <f ca="1">HLOOKUP($H$4,'Met Data'!$A$2:$F$368,G405,FALSE)</f>
        <v>17.980882352941101</v>
      </c>
      <c r="J405" s="119">
        <f ca="1">HLOOKUP($H$4,'Met Data'!$H$2:$M$368,G405,FALSE)*L405</f>
        <v>2.1735294117646999</v>
      </c>
      <c r="K405" s="96">
        <f ca="1">HLOOKUP($H$4,'Met Data'!$O$2:$T$368,G405,FALSE)</f>
        <v>4.3571116145332098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45</v>
      </c>
      <c r="H406" s="95">
        <f t="shared" ca="1" si="66"/>
        <v>45701</v>
      </c>
      <c r="I406" s="119">
        <f ca="1">HLOOKUP($H$4,'Met Data'!$A$2:$F$368,G406,FALSE)</f>
        <v>16.401470588235199</v>
      </c>
      <c r="J406" s="119">
        <f ca="1">HLOOKUP($H$4,'Met Data'!$H$2:$M$368,G406,FALSE)*L406</f>
        <v>1.78235294117647</v>
      </c>
      <c r="K406" s="96">
        <f ca="1">HLOOKUP($H$4,'Met Data'!$O$2:$T$368,G406,FALSE)</f>
        <v>3.9824902366083998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46</v>
      </c>
      <c r="H407" s="95">
        <f t="shared" ca="1" si="66"/>
        <v>45702</v>
      </c>
      <c r="I407" s="119">
        <f ca="1">HLOOKUP($H$4,'Met Data'!$A$2:$F$368,G407,FALSE)</f>
        <v>15.8867647058823</v>
      </c>
      <c r="J407" s="119">
        <f ca="1">HLOOKUP($H$4,'Met Data'!$H$2:$M$368,G407,FALSE)*L407</f>
        <v>2.5647058823529401</v>
      </c>
      <c r="K407" s="96">
        <f ca="1">HLOOKUP($H$4,'Met Data'!$O$2:$T$368,G407,FALSE)</f>
        <v>3.6699943049553201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47</v>
      </c>
      <c r="H408" s="95">
        <f t="shared" ca="1" si="66"/>
        <v>45703</v>
      </c>
      <c r="I408" s="119">
        <f ca="1">HLOOKUP($H$4,'Met Data'!$A$2:$F$368,G408,FALSE)</f>
        <v>15.4705882352941</v>
      </c>
      <c r="J408" s="119">
        <f ca="1">HLOOKUP($H$4,'Met Data'!$H$2:$M$368,G408,FALSE)*L408</f>
        <v>2.2558823529411698</v>
      </c>
      <c r="K408" s="96">
        <f ca="1">HLOOKUP($H$4,'Met Data'!$O$2:$T$368,G408,FALSE)</f>
        <v>4.0108603157722298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48</v>
      </c>
      <c r="H409" s="95">
        <f t="shared" ca="1" si="66"/>
        <v>45704</v>
      </c>
      <c r="I409" s="119">
        <f ca="1">HLOOKUP($H$4,'Met Data'!$A$2:$F$368,G409,FALSE)</f>
        <v>16.035294117646998</v>
      </c>
      <c r="J409" s="119">
        <f ca="1">HLOOKUP($H$4,'Met Data'!$H$2:$M$368,G409,FALSE)*L409</f>
        <v>1.3529411764705801</v>
      </c>
      <c r="K409" s="96">
        <f ca="1">HLOOKUP($H$4,'Met Data'!$O$2:$T$368,G409,FALSE)</f>
        <v>4.2159434978261299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49</v>
      </c>
      <c r="H410" s="95">
        <f t="shared" ca="1" si="66"/>
        <v>45705</v>
      </c>
      <c r="I410" s="119">
        <f ca="1">HLOOKUP($H$4,'Met Data'!$A$2:$F$368,G410,FALSE)</f>
        <v>17.155882352941099</v>
      </c>
      <c r="J410" s="119">
        <f ca="1">HLOOKUP($H$4,'Met Data'!$H$2:$M$368,G410,FALSE)*L410</f>
        <v>1.3794117647058799</v>
      </c>
      <c r="K410" s="96">
        <f ca="1">HLOOKUP($H$4,'Met Data'!$O$2:$T$368,G410,FALSE)</f>
        <v>4.4742152890515898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50</v>
      </c>
      <c r="H411" s="95">
        <f t="shared" ca="1" si="66"/>
        <v>45706</v>
      </c>
      <c r="I411" s="119">
        <f ca="1">HLOOKUP($H$4,'Met Data'!$A$2:$F$368,G411,FALSE)</f>
        <v>17.5720588235294</v>
      </c>
      <c r="J411" s="119">
        <f ca="1">HLOOKUP($H$4,'Met Data'!$H$2:$M$368,G411,FALSE)*L411</f>
        <v>2.15</v>
      </c>
      <c r="K411" s="96">
        <f ca="1">HLOOKUP($H$4,'Met Data'!$O$2:$T$368,G411,FALSE)</f>
        <v>4.8952010783751296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51</v>
      </c>
      <c r="H412" s="95">
        <f t="shared" ca="1" si="66"/>
        <v>45707</v>
      </c>
      <c r="I412" s="119">
        <f ca="1">HLOOKUP($H$4,'Met Data'!$A$2:$F$368,G412,FALSE)</f>
        <v>16.991176470588201</v>
      </c>
      <c r="J412" s="119">
        <f ca="1">HLOOKUP($H$4,'Met Data'!$H$2:$M$368,G412,FALSE)*L412</f>
        <v>0.64117647058823501</v>
      </c>
      <c r="K412" s="96">
        <f ca="1">HLOOKUP($H$4,'Met Data'!$O$2:$T$368,G412,FALSE)</f>
        <v>4.3668387336618597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52</v>
      </c>
      <c r="H413" s="95">
        <f t="shared" ca="1" si="66"/>
        <v>45708</v>
      </c>
      <c r="I413" s="119">
        <f ca="1">HLOOKUP($H$4,'Met Data'!$A$2:$F$368,G413,FALSE)</f>
        <v>16.655882352941099</v>
      </c>
      <c r="J413" s="119">
        <f ca="1">HLOOKUP($H$4,'Met Data'!$H$2:$M$368,G413,FALSE)*L413</f>
        <v>2.5705882352941098</v>
      </c>
      <c r="K413" s="96">
        <f ca="1">HLOOKUP($H$4,'Met Data'!$O$2:$T$368,G413,FALSE)</f>
        <v>4.6555880727780803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53</v>
      </c>
      <c r="H414" s="95">
        <f t="shared" ca="1" si="66"/>
        <v>45709</v>
      </c>
      <c r="I414" s="119">
        <f ca="1">HLOOKUP($H$4,'Met Data'!$A$2:$F$368,G414,FALSE)</f>
        <v>16.6955882352941</v>
      </c>
      <c r="J414" s="119">
        <f ca="1">HLOOKUP($H$4,'Met Data'!$H$2:$M$368,G414,FALSE)*L414</f>
        <v>0.76470588235294101</v>
      </c>
      <c r="K414" s="96">
        <f ca="1">HLOOKUP($H$4,'Met Data'!$O$2:$T$368,G414,FALSE)</f>
        <v>4.46937460417998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54</v>
      </c>
      <c r="H415" s="95">
        <f t="shared" ca="1" si="66"/>
        <v>45710</v>
      </c>
      <c r="I415" s="119">
        <f ca="1">HLOOKUP($H$4,'Met Data'!$A$2:$F$368,G415,FALSE)</f>
        <v>16.394117647058799</v>
      </c>
      <c r="J415" s="119">
        <f ca="1">HLOOKUP($H$4,'Met Data'!$H$2:$M$368,G415,FALSE)*L415</f>
        <v>1.52647058823529</v>
      </c>
      <c r="K415" s="96">
        <f ca="1">HLOOKUP($H$4,'Met Data'!$O$2:$T$368,G415,FALSE)</f>
        <v>4.4113780272088796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55</v>
      </c>
      <c r="H416" s="95">
        <f t="shared" ca="1" si="66"/>
        <v>45711</v>
      </c>
      <c r="I416" s="119">
        <f ca="1">HLOOKUP($H$4,'Met Data'!$A$2:$F$368,G416,FALSE)</f>
        <v>16.088235294117599</v>
      </c>
      <c r="J416" s="119">
        <f ca="1">HLOOKUP($H$4,'Met Data'!$H$2:$M$368,G416,FALSE)*L416</f>
        <v>1.78529411764705</v>
      </c>
      <c r="K416" s="96">
        <f ca="1">HLOOKUP($H$4,'Met Data'!$O$2:$T$368,G416,FALSE)</f>
        <v>3.9052160279772399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56</v>
      </c>
      <c r="H417" s="95">
        <f t="shared" ca="1" si="66"/>
        <v>45712</v>
      </c>
      <c r="I417" s="119">
        <f ca="1">HLOOKUP($H$4,'Met Data'!$A$2:$F$368,G417,FALSE)</f>
        <v>16.782352941176399</v>
      </c>
      <c r="J417" s="119">
        <f ca="1">HLOOKUP($H$4,'Met Data'!$H$2:$M$368,G417,FALSE)*L417</f>
        <v>1.6794117647058799</v>
      </c>
      <c r="K417" s="96">
        <f ca="1">HLOOKUP($H$4,'Met Data'!$O$2:$T$368,G417,FALSE)</f>
        <v>4.8281000917338197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57</v>
      </c>
      <c r="H418" s="95">
        <f t="shared" ca="1" si="66"/>
        <v>45713</v>
      </c>
      <c r="I418" s="119">
        <f ca="1">HLOOKUP($H$4,'Met Data'!$A$2:$F$368,G418,FALSE)</f>
        <v>16.1897058823529</v>
      </c>
      <c r="J418" s="119">
        <f ca="1">HLOOKUP($H$4,'Met Data'!$H$2:$M$368,G418,FALSE)*L418</f>
        <v>0.59411764705882297</v>
      </c>
      <c r="K418" s="96">
        <f ca="1">HLOOKUP($H$4,'Met Data'!$O$2:$T$368,G418,FALSE)</f>
        <v>4.4819172090086496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58</v>
      </c>
      <c r="H419" s="95">
        <f t="shared" ca="1" si="66"/>
        <v>45714</v>
      </c>
      <c r="I419" s="119">
        <f ca="1">HLOOKUP($H$4,'Met Data'!$A$2:$F$368,G419,FALSE)</f>
        <v>16.1941176470588</v>
      </c>
      <c r="J419" s="119">
        <f ca="1">HLOOKUP($H$4,'Met Data'!$H$2:$M$368,G419,FALSE)*L419</f>
        <v>1.93333333333333</v>
      </c>
      <c r="K419" s="96">
        <f ca="1">HLOOKUP($H$4,'Met Data'!$O$2:$T$368,G419,FALSE)</f>
        <v>4.3896941334323998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59</v>
      </c>
      <c r="H420" s="95">
        <f t="shared" ca="1" si="66"/>
        <v>45715</v>
      </c>
      <c r="I420" s="119">
        <f ca="1">HLOOKUP($H$4,'Met Data'!$A$2:$F$368,G420,FALSE)</f>
        <v>16.208823529411699</v>
      </c>
      <c r="J420" s="119">
        <f ca="1">HLOOKUP($H$4,'Met Data'!$H$2:$M$368,G420,FALSE)*L420</f>
        <v>1.1676470588235199</v>
      </c>
      <c r="K420" s="96">
        <f ca="1">HLOOKUP($H$4,'Met Data'!$O$2:$T$368,G420,FALSE)</f>
        <v>4.0964729959716299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60</v>
      </c>
      <c r="H421" s="95">
        <f t="shared" ca="1" si="66"/>
        <v>45716</v>
      </c>
      <c r="I421" s="119">
        <f ca="1">HLOOKUP($H$4,'Met Data'!$A$2:$F$368,G421,FALSE)</f>
        <v>16.074999999999999</v>
      </c>
      <c r="J421" s="119">
        <f ca="1">HLOOKUP($H$4,'Met Data'!$H$2:$M$368,G421,FALSE)*L421</f>
        <v>1.3352941176470501</v>
      </c>
      <c r="K421" s="96">
        <f ca="1">HLOOKUP($H$4,'Met Data'!$O$2:$T$368,G421,FALSE)</f>
        <v>4.1211840462926297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61</v>
      </c>
      <c r="H422" s="95">
        <f t="shared" ca="1" si="66"/>
        <v>45717</v>
      </c>
      <c r="I422" s="119">
        <f ca="1">HLOOKUP($H$4,'Met Data'!$A$2:$F$368,G422,FALSE)</f>
        <v>16.264705882352899</v>
      </c>
      <c r="J422" s="119">
        <f ca="1">HLOOKUP($H$4,'Met Data'!$H$2:$M$368,G422,FALSE)*L422</f>
        <v>0.48235294117646998</v>
      </c>
      <c r="K422" s="96">
        <f ca="1">HLOOKUP($H$4,'Met Data'!$O$2:$T$368,G422,FALSE)</f>
        <v>4.4835430215906102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62</v>
      </c>
      <c r="H423" s="95">
        <f t="shared" ca="1" si="66"/>
        <v>45718</v>
      </c>
      <c r="I423" s="119">
        <f ca="1">HLOOKUP($H$4,'Met Data'!$A$2:$F$368,G423,FALSE)</f>
        <v>15.9727272727272</v>
      </c>
      <c r="J423" s="119">
        <f ca="1">HLOOKUP($H$4,'Met Data'!$H$2:$M$368,G423,FALSE)*L423</f>
        <v>1.65151515151515</v>
      </c>
      <c r="K423" s="96">
        <f ca="1">HLOOKUP($H$4,'Met Data'!$O$2:$T$368,G423,FALSE)</f>
        <v>4.3251674269725902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63</v>
      </c>
      <c r="H424" s="95">
        <f t="shared" ca="1" si="66"/>
        <v>45719</v>
      </c>
      <c r="I424" s="119">
        <f ca="1">HLOOKUP($H$4,'Met Data'!$A$2:$F$368,G424,FALSE)</f>
        <v>15.216666666666599</v>
      </c>
      <c r="J424" s="119">
        <f ca="1">HLOOKUP($H$4,'Met Data'!$H$2:$M$368,G424,FALSE)*L424</f>
        <v>3.5272727272727198</v>
      </c>
      <c r="K424" s="96">
        <f ca="1">HLOOKUP($H$4,'Met Data'!$O$2:$T$368,G424,FALSE)</f>
        <v>3.8149865129266902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64</v>
      </c>
      <c r="H425" s="95">
        <f t="shared" ca="1" si="66"/>
        <v>45720</v>
      </c>
      <c r="I425" s="119">
        <f ca="1">HLOOKUP($H$4,'Met Data'!$A$2:$F$368,G425,FALSE)</f>
        <v>14.612121212121201</v>
      </c>
      <c r="J425" s="119">
        <f ca="1">HLOOKUP($H$4,'Met Data'!$H$2:$M$368,G425,FALSE)*L425</f>
        <v>2.1212121212121202</v>
      </c>
      <c r="K425" s="96">
        <f ca="1">HLOOKUP($H$4,'Met Data'!$O$2:$T$368,G425,FALSE)</f>
        <v>3.8891905260327699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65</v>
      </c>
      <c r="H426" s="95">
        <f t="shared" ca="1" si="66"/>
        <v>45721</v>
      </c>
      <c r="I426" s="119">
        <f ca="1">HLOOKUP($H$4,'Met Data'!$A$2:$F$368,G426,FALSE)</f>
        <v>15.7681818181818</v>
      </c>
      <c r="J426" s="119">
        <f ca="1">HLOOKUP($H$4,'Met Data'!$H$2:$M$368,G426,FALSE)*L426</f>
        <v>2.5606060606060601</v>
      </c>
      <c r="K426" s="96">
        <f ca="1">HLOOKUP($H$4,'Met Data'!$O$2:$T$368,G426,FALSE)</f>
        <v>4.10786263681889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66</v>
      </c>
      <c r="H427" s="95">
        <f t="shared" ca="1" si="66"/>
        <v>45722</v>
      </c>
      <c r="I427" s="119">
        <f ca="1">HLOOKUP($H$4,'Met Data'!$A$2:$F$368,G427,FALSE)</f>
        <v>15.9954545454545</v>
      </c>
      <c r="J427" s="119">
        <f ca="1">HLOOKUP($H$4,'Met Data'!$H$2:$M$368,G427,FALSE)*L427</f>
        <v>0.50303030303030305</v>
      </c>
      <c r="K427" s="96">
        <f ca="1">HLOOKUP($H$4,'Met Data'!$O$2:$T$368,G427,FALSE)</f>
        <v>4.0766889307448597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67</v>
      </c>
      <c r="H428" s="95">
        <f t="shared" ca="1" si="66"/>
        <v>45723</v>
      </c>
      <c r="I428" s="119">
        <f ca="1">HLOOKUP($H$4,'Met Data'!$A$2:$F$368,G428,FALSE)</f>
        <v>15.0166666666666</v>
      </c>
      <c r="J428" s="119">
        <f ca="1">HLOOKUP($H$4,'Met Data'!$H$2:$M$368,G428,FALSE)*L428</f>
        <v>0.884848484848484</v>
      </c>
      <c r="K428" s="96">
        <f ca="1">HLOOKUP($H$4,'Met Data'!$O$2:$T$368,G428,FALSE)</f>
        <v>3.8855543781492301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68</v>
      </c>
      <c r="H429" s="95">
        <f t="shared" ca="1" si="66"/>
        <v>45724</v>
      </c>
      <c r="I429" s="119">
        <f ca="1">HLOOKUP($H$4,'Met Data'!$A$2:$F$368,G429,FALSE)</f>
        <v>15.3257575757575</v>
      </c>
      <c r="J429" s="119">
        <f ca="1">HLOOKUP($H$4,'Met Data'!$H$2:$M$368,G429,FALSE)*L429</f>
        <v>0.98787878787878702</v>
      </c>
      <c r="K429" s="96">
        <f ca="1">HLOOKUP($H$4,'Met Data'!$O$2:$T$368,G429,FALSE)</f>
        <v>3.6905019360086202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69</v>
      </c>
      <c r="H430" s="95">
        <f t="shared" ca="1" si="66"/>
        <v>45725</v>
      </c>
      <c r="I430" s="119">
        <f ca="1">HLOOKUP($H$4,'Met Data'!$A$2:$F$368,G430,FALSE)</f>
        <v>14.630303030303001</v>
      </c>
      <c r="J430" s="119">
        <f ca="1">HLOOKUP($H$4,'Met Data'!$H$2:$M$368,G430,FALSE)*L430</f>
        <v>0.82121212121212095</v>
      </c>
      <c r="K430" s="96">
        <f ca="1">HLOOKUP($H$4,'Met Data'!$O$2:$T$368,G430,FALSE)</f>
        <v>3.5528537387163399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70</v>
      </c>
      <c r="H431" s="95">
        <f t="shared" ca="1" si="66"/>
        <v>45726</v>
      </c>
      <c r="I431" s="119">
        <f ca="1">HLOOKUP($H$4,'Met Data'!$A$2:$F$368,G431,FALSE)</f>
        <v>15.7924242424242</v>
      </c>
      <c r="J431" s="119">
        <f ca="1">HLOOKUP($H$4,'Met Data'!$H$2:$M$368,G431,FALSE)*L431</f>
        <v>1.4909090909090901</v>
      </c>
      <c r="K431" s="96">
        <f ca="1">HLOOKUP($H$4,'Met Data'!$O$2:$T$368,G431,FALSE)</f>
        <v>3.7245673615528201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71</v>
      </c>
      <c r="H432" s="95">
        <f t="shared" ca="1" si="66"/>
        <v>45727</v>
      </c>
      <c r="I432" s="119">
        <f ca="1">HLOOKUP($H$4,'Met Data'!$A$2:$F$368,G432,FALSE)</f>
        <v>15.055882352941101</v>
      </c>
      <c r="J432" s="119">
        <f ca="1">HLOOKUP($H$4,'Met Data'!$H$2:$M$368,G432,FALSE)*L432</f>
        <v>1.93823529411764</v>
      </c>
      <c r="K432" s="96">
        <f ca="1">HLOOKUP($H$4,'Met Data'!$O$2:$T$368,G432,FALSE)</f>
        <v>3.2545752102886598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72</v>
      </c>
      <c r="H433" s="95">
        <f t="shared" ca="1" si="66"/>
        <v>45728</v>
      </c>
      <c r="I433" s="119">
        <f ca="1">HLOOKUP($H$4,'Met Data'!$A$2:$F$368,G433,FALSE)</f>
        <v>14.958823529411699</v>
      </c>
      <c r="J433" s="119">
        <f ca="1">HLOOKUP($H$4,'Met Data'!$H$2:$M$368,G433,FALSE)*L433</f>
        <v>3.24705882352941</v>
      </c>
      <c r="K433" s="96">
        <f ca="1">HLOOKUP($H$4,'Met Data'!$O$2:$T$368,G433,FALSE)</f>
        <v>3.17975180664317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73</v>
      </c>
      <c r="H434" s="95">
        <f t="shared" ca="1" si="66"/>
        <v>45729</v>
      </c>
      <c r="I434" s="119">
        <f ca="1">HLOOKUP($H$4,'Met Data'!$A$2:$F$368,G434,FALSE)</f>
        <v>15.205882352941099</v>
      </c>
      <c r="J434" s="119">
        <f ca="1">HLOOKUP($H$4,'Met Data'!$H$2:$M$368,G434,FALSE)*L434</f>
        <v>2.9088235294117601</v>
      </c>
      <c r="K434" s="96">
        <f ca="1">HLOOKUP($H$4,'Met Data'!$O$2:$T$368,G434,FALSE)</f>
        <v>3.3146668186599602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74</v>
      </c>
      <c r="H435" s="95">
        <f t="shared" ca="1" si="66"/>
        <v>45730</v>
      </c>
      <c r="I435" s="119">
        <f ca="1">HLOOKUP($H$4,'Met Data'!$A$2:$F$368,G435,FALSE)</f>
        <v>14.888235294117599</v>
      </c>
      <c r="J435" s="119">
        <f ca="1">HLOOKUP($H$4,'Met Data'!$H$2:$M$368,G435,FALSE)*L435</f>
        <v>2.2999999999999998</v>
      </c>
      <c r="K435" s="96">
        <f ca="1">HLOOKUP($H$4,'Met Data'!$O$2:$T$368,G435,FALSE)</f>
        <v>3.3312157637355302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75</v>
      </c>
      <c r="H436" s="95">
        <f t="shared" ca="1" si="66"/>
        <v>45731</v>
      </c>
      <c r="I436" s="119">
        <f ca="1">HLOOKUP($H$4,'Met Data'!$A$2:$F$368,G436,FALSE)</f>
        <v>14.9794117647058</v>
      </c>
      <c r="J436" s="119">
        <f ca="1">HLOOKUP($H$4,'Met Data'!$H$2:$M$368,G436,FALSE)*L436</f>
        <v>0.34411764705882297</v>
      </c>
      <c r="K436" s="96">
        <f ca="1">HLOOKUP($H$4,'Met Data'!$O$2:$T$368,G436,FALSE)</f>
        <v>3.9291146060483402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76</v>
      </c>
      <c r="H437" s="95">
        <f t="shared" ca="1" si="66"/>
        <v>45732</v>
      </c>
      <c r="I437" s="119">
        <f ca="1">HLOOKUP($H$4,'Met Data'!$A$2:$F$368,G437,FALSE)</f>
        <v>15</v>
      </c>
      <c r="J437" s="119">
        <f ca="1">HLOOKUP($H$4,'Met Data'!$H$2:$M$368,G437,FALSE)*L437</f>
        <v>1.3499999999999901</v>
      </c>
      <c r="K437" s="96">
        <f ca="1">HLOOKUP($H$4,'Met Data'!$O$2:$T$368,G437,FALSE)</f>
        <v>3.4649343661814198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77</v>
      </c>
      <c r="H438" s="95">
        <f t="shared" ca="1" si="66"/>
        <v>45733</v>
      </c>
      <c r="I438" s="119">
        <f ca="1">HLOOKUP($H$4,'Met Data'!$A$2:$F$368,G438,FALSE)</f>
        <v>14.8191176470588</v>
      </c>
      <c r="J438" s="119">
        <f ca="1">HLOOKUP($H$4,'Met Data'!$H$2:$M$368,G438,FALSE)*L438</f>
        <v>1.49117647058823</v>
      </c>
      <c r="K438" s="96">
        <f ca="1">HLOOKUP($H$4,'Met Data'!$O$2:$T$368,G438,FALSE)</f>
        <v>3.6481150031845502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78</v>
      </c>
      <c r="H439" s="95">
        <f t="shared" ca="1" si="66"/>
        <v>45734</v>
      </c>
      <c r="I439" s="119">
        <f ca="1">HLOOKUP($H$4,'Met Data'!$A$2:$F$368,G439,FALSE)</f>
        <v>13.742647058823501</v>
      </c>
      <c r="J439" s="119">
        <f ca="1">HLOOKUP($H$4,'Met Data'!$H$2:$M$368,G439,FALSE)*L439</f>
        <v>1.8470588235294101</v>
      </c>
      <c r="K439" s="96">
        <f ca="1">HLOOKUP($H$4,'Met Data'!$O$2:$T$368,G439,FALSE)</f>
        <v>3.23711449028497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79</v>
      </c>
      <c r="H440" s="95">
        <f t="shared" ca="1" si="66"/>
        <v>45735</v>
      </c>
      <c r="I440" s="119">
        <f ca="1">HLOOKUP($H$4,'Met Data'!$A$2:$F$368,G440,FALSE)</f>
        <v>14.5911764705882</v>
      </c>
      <c r="J440" s="119">
        <f ca="1">HLOOKUP($H$4,'Met Data'!$H$2:$M$368,G440,FALSE)*L440</f>
        <v>1.1617647058823499</v>
      </c>
      <c r="K440" s="96">
        <f ca="1">HLOOKUP($H$4,'Met Data'!$O$2:$T$368,G440,FALSE)</f>
        <v>3.5497173485221101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80</v>
      </c>
      <c r="H441" s="95">
        <f t="shared" ca="1" si="66"/>
        <v>45736</v>
      </c>
      <c r="I441" s="119">
        <f ca="1">HLOOKUP($H$4,'Met Data'!$A$2:$F$368,G441,FALSE)</f>
        <v>15.358823529411699</v>
      </c>
      <c r="J441" s="119">
        <f ca="1">HLOOKUP($H$4,'Met Data'!$H$2:$M$368,G441,FALSE)*L441</f>
        <v>0.66176470588235203</v>
      </c>
      <c r="K441" s="96">
        <f ca="1">HLOOKUP($H$4,'Met Data'!$O$2:$T$368,G441,FALSE)</f>
        <v>3.6735377917360399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81</v>
      </c>
      <c r="H442" s="95">
        <f t="shared" ca="1" si="66"/>
        <v>45737</v>
      </c>
      <c r="I442" s="119">
        <f ca="1">HLOOKUP($H$4,'Met Data'!$A$2:$F$368,G442,FALSE)</f>
        <v>14.954411764705799</v>
      </c>
      <c r="J442" s="119">
        <f ca="1">HLOOKUP($H$4,'Met Data'!$H$2:$M$368,G442,FALSE)*L442</f>
        <v>0.95588235294117596</v>
      </c>
      <c r="K442" s="96">
        <f ca="1">HLOOKUP($H$4,'Met Data'!$O$2:$T$368,G442,FALSE)</f>
        <v>3.2764370104371201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82</v>
      </c>
      <c r="H443" s="95">
        <f t="shared" ca="1" si="66"/>
        <v>45738</v>
      </c>
      <c r="I443" s="119">
        <f ca="1">HLOOKUP($H$4,'Met Data'!$A$2:$F$368,G443,FALSE)</f>
        <v>14.5426470588235</v>
      </c>
      <c r="J443" s="119">
        <f ca="1">HLOOKUP($H$4,'Met Data'!$H$2:$M$368,G443,FALSE)*L443</f>
        <v>1.0823529411764701</v>
      </c>
      <c r="K443" s="96">
        <f ca="1">HLOOKUP($H$4,'Met Data'!$O$2:$T$368,G443,FALSE)</f>
        <v>3.2063273498641101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83</v>
      </c>
      <c r="H444" s="95">
        <f t="shared" ca="1" si="66"/>
        <v>45739</v>
      </c>
      <c r="I444" s="119">
        <f ca="1">HLOOKUP($H$4,'Met Data'!$A$2:$F$368,G444,FALSE)</f>
        <v>13.9808823529411</v>
      </c>
      <c r="J444" s="119">
        <f ca="1">HLOOKUP($H$4,'Met Data'!$H$2:$M$368,G444,FALSE)*L444</f>
        <v>2.1911764705882302</v>
      </c>
      <c r="K444" s="96">
        <f ca="1">HLOOKUP($H$4,'Met Data'!$O$2:$T$368,G444,FALSE)</f>
        <v>2.9655145666728702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84</v>
      </c>
      <c r="H445" s="95">
        <f t="shared" ca="1" si="66"/>
        <v>45740</v>
      </c>
      <c r="I445" s="119">
        <f ca="1">HLOOKUP($H$4,'Met Data'!$A$2:$F$368,G445,FALSE)</f>
        <v>14.1040998217468</v>
      </c>
      <c r="J445" s="119">
        <f ca="1">HLOOKUP($H$4,'Met Data'!$H$2:$M$368,G445,FALSE)*L445</f>
        <v>1.0235294117647</v>
      </c>
      <c r="K445" s="96">
        <f ca="1">HLOOKUP($H$4,'Met Data'!$O$2:$T$368,G445,FALSE)</f>
        <v>3.1669873410987299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85</v>
      </c>
      <c r="H446" s="95">
        <f t="shared" ca="1" si="66"/>
        <v>45741</v>
      </c>
      <c r="I446" s="119">
        <f ca="1">HLOOKUP($H$4,'Met Data'!$A$2:$F$368,G446,FALSE)</f>
        <v>14.397058823529401</v>
      </c>
      <c r="J446" s="119">
        <f ca="1">HLOOKUP($H$4,'Met Data'!$H$2:$M$368,G446,FALSE)*L446</f>
        <v>2.0852941176470501</v>
      </c>
      <c r="K446" s="96">
        <f ca="1">HLOOKUP($H$4,'Met Data'!$O$2:$T$368,G446,FALSE)</f>
        <v>3.15831903524233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86</v>
      </c>
      <c r="H447" s="95">
        <f t="shared" ca="1" si="66"/>
        <v>45742</v>
      </c>
      <c r="I447" s="119">
        <f ca="1">HLOOKUP($H$4,'Met Data'!$A$2:$F$368,G447,FALSE)</f>
        <v>13.613235294117599</v>
      </c>
      <c r="J447" s="119">
        <f ca="1">HLOOKUP($H$4,'Met Data'!$H$2:$M$368,G447,FALSE)*L447</f>
        <v>0.36764705882352899</v>
      </c>
      <c r="K447" s="96">
        <f ca="1">HLOOKUP($H$4,'Met Data'!$O$2:$T$368,G447,FALSE)</f>
        <v>2.9834653601225298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87</v>
      </c>
      <c r="H448" s="95">
        <f t="shared" ca="1" si="66"/>
        <v>45743</v>
      </c>
      <c r="I448" s="119">
        <f ca="1">HLOOKUP($H$4,'Met Data'!$A$2:$F$368,G448,FALSE)</f>
        <v>14.4676470588235</v>
      </c>
      <c r="J448" s="119">
        <f ca="1">HLOOKUP($H$4,'Met Data'!$H$2:$M$368,G448,FALSE)*L448</f>
        <v>1.0823529411764701</v>
      </c>
      <c r="K448" s="96">
        <f ca="1">HLOOKUP($H$4,'Met Data'!$O$2:$T$368,G448,FALSE)</f>
        <v>2.8333092043964401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88</v>
      </c>
      <c r="H449" s="95">
        <f t="shared" ca="1" si="66"/>
        <v>45744</v>
      </c>
      <c r="I449" s="119">
        <f ca="1">HLOOKUP($H$4,'Met Data'!$A$2:$F$368,G449,FALSE)</f>
        <v>14.926470588235199</v>
      </c>
      <c r="J449" s="119">
        <f ca="1">HLOOKUP($H$4,'Met Data'!$H$2:$M$368,G449,FALSE)*L449</f>
        <v>0.94705882352941095</v>
      </c>
      <c r="K449" s="96">
        <f ca="1">HLOOKUP($H$4,'Met Data'!$O$2:$T$368,G449,FALSE)</f>
        <v>3.21972745270357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89</v>
      </c>
      <c r="H450" s="95">
        <f t="shared" ca="1" si="66"/>
        <v>45745</v>
      </c>
      <c r="I450" s="119">
        <f ca="1">HLOOKUP($H$4,'Met Data'!$A$2:$F$368,G450,FALSE)</f>
        <v>14.8691176470588</v>
      </c>
      <c r="J450" s="119">
        <f ca="1">HLOOKUP($H$4,'Met Data'!$H$2:$M$368,G450,FALSE)*L450</f>
        <v>1.0558823529411701</v>
      </c>
      <c r="K450" s="96">
        <f ca="1">HLOOKUP($H$4,'Met Data'!$O$2:$T$368,G450,FALSE)</f>
        <v>3.2466735955910102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90</v>
      </c>
      <c r="H451" s="95">
        <f t="shared" ca="1" si="66"/>
        <v>45746</v>
      </c>
      <c r="I451" s="119">
        <f ca="1">HLOOKUP($H$4,'Met Data'!$A$2:$F$368,G451,FALSE)</f>
        <v>14.9382352941176</v>
      </c>
      <c r="J451" s="119">
        <f ca="1">HLOOKUP($H$4,'Met Data'!$H$2:$M$368,G451,FALSE)*L451</f>
        <v>2.7852941176470498</v>
      </c>
      <c r="K451" s="96">
        <f ca="1">HLOOKUP($H$4,'Met Data'!$O$2:$T$368,G451,FALSE)</f>
        <v>3.4072037420100298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91</v>
      </c>
      <c r="H452" s="95">
        <f t="shared" ca="1" si="66"/>
        <v>45747</v>
      </c>
      <c r="I452" s="119">
        <f ca="1">HLOOKUP($H$4,'Met Data'!$A$2:$F$368,G452,FALSE)</f>
        <v>14.0308823529411</v>
      </c>
      <c r="J452" s="119">
        <f ca="1">HLOOKUP($H$4,'Met Data'!$H$2:$M$368,G452,FALSE)*L452</f>
        <v>1.8794117647058799</v>
      </c>
      <c r="K452" s="96">
        <f ca="1">HLOOKUP($H$4,'Met Data'!$O$2:$T$368,G452,FALSE)</f>
        <v>3.0552812923505202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92</v>
      </c>
      <c r="H453" s="95">
        <f t="shared" ca="1" si="66"/>
        <v>45748</v>
      </c>
      <c r="I453" s="119">
        <f ca="1">HLOOKUP($H$4,'Met Data'!$A$2:$F$368,G453,FALSE)</f>
        <v>13.4647058823529</v>
      </c>
      <c r="J453" s="119">
        <f ca="1">HLOOKUP($H$4,'Met Data'!$H$2:$M$368,G453,FALSE)*L453</f>
        <v>1.0852941176470501</v>
      </c>
      <c r="K453" s="96">
        <f ca="1">HLOOKUP($H$4,'Met Data'!$O$2:$T$368,G453,FALSE)</f>
        <v>3.01312511683413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93</v>
      </c>
      <c r="H454" s="95">
        <f t="shared" ca="1" si="66"/>
        <v>45749</v>
      </c>
      <c r="I454" s="119">
        <f ca="1">HLOOKUP($H$4,'Met Data'!$A$2:$F$368,G454,FALSE)</f>
        <v>14.017647058823499</v>
      </c>
      <c r="J454" s="119">
        <f ca="1">HLOOKUP($H$4,'Met Data'!$H$2:$M$368,G454,FALSE)*L454</f>
        <v>0.94117647058823495</v>
      </c>
      <c r="K454" s="96">
        <f ca="1">HLOOKUP($H$4,'Met Data'!$O$2:$T$368,G454,FALSE)</f>
        <v>3.2186093862229201</v>
      </c>
      <c r="L454">
        <f t="shared" ref="L454:L517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ref="G455:G495" ca="1" si="74">H455-DATE(YEAR(H455),1,0)+1</f>
        <v>94</v>
      </c>
      <c r="H455" s="95">
        <f t="shared" ca="1" si="66"/>
        <v>45750</v>
      </c>
      <c r="I455" s="119">
        <f ca="1">HLOOKUP($H$4,'Met Data'!$A$2:$F$368,G455,FALSE)</f>
        <v>13.6090909090909</v>
      </c>
      <c r="J455" s="119">
        <f ca="1">HLOOKUP($H$4,'Met Data'!$H$2:$M$368,G455,FALSE)*L455</f>
        <v>1.49117647058823</v>
      </c>
      <c r="K455" s="96">
        <f ca="1">HLOOKUP($H$4,'Met Data'!$O$2:$T$368,G455,FALSE)</f>
        <v>3.07176916757397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ca="1" si="74"/>
        <v>95</v>
      </c>
      <c r="H456" s="95">
        <f t="shared" ref="H456:H519" ca="1" si="76">H455+1</f>
        <v>45751</v>
      </c>
      <c r="I456" s="119">
        <f ca="1">HLOOKUP($H$4,'Met Data'!$A$2:$F$368,G456,FALSE)</f>
        <v>13.085294117647001</v>
      </c>
      <c r="J456" s="119">
        <f ca="1">HLOOKUP($H$4,'Met Data'!$H$2:$M$368,G456,FALSE)*L456</f>
        <v>1.72941176470588</v>
      </c>
      <c r="K456" s="96">
        <f ca="1">HLOOKUP($H$4,'Met Data'!$O$2:$T$368,G456,FALSE)</f>
        <v>2.7784232053438802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96</v>
      </c>
      <c r="H457" s="95">
        <f t="shared" ca="1" si="76"/>
        <v>45752</v>
      </c>
      <c r="I457" s="119">
        <f ca="1">HLOOKUP($H$4,'Met Data'!$A$2:$F$368,G457,FALSE)</f>
        <v>12.85</v>
      </c>
      <c r="J457" s="119">
        <f ca="1">HLOOKUP($H$4,'Met Data'!$H$2:$M$368,G457,FALSE)*L457</f>
        <v>1.3441176470588201</v>
      </c>
      <c r="K457" s="96">
        <f ca="1">HLOOKUP($H$4,'Met Data'!$O$2:$T$368,G457,FALSE)</f>
        <v>2.61431180626996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97</v>
      </c>
      <c r="H458" s="95">
        <f t="shared" ca="1" si="76"/>
        <v>45753</v>
      </c>
      <c r="I458" s="119">
        <f ca="1">HLOOKUP($H$4,'Met Data'!$A$2:$F$368,G458,FALSE)</f>
        <v>12.9941176470588</v>
      </c>
      <c r="J458" s="119">
        <f ca="1">HLOOKUP($H$4,'Met Data'!$H$2:$M$368,G458,FALSE)*L458</f>
        <v>2.2911764705882298</v>
      </c>
      <c r="K458" s="96">
        <f ca="1">HLOOKUP($H$4,'Met Data'!$O$2:$T$368,G458,FALSE)</f>
        <v>2.55102036350638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98</v>
      </c>
      <c r="H459" s="95">
        <f t="shared" ca="1" si="76"/>
        <v>45754</v>
      </c>
      <c r="I459" s="119">
        <f ca="1">HLOOKUP($H$4,'Met Data'!$A$2:$F$368,G459,FALSE)</f>
        <v>12.891176470588199</v>
      </c>
      <c r="J459" s="119">
        <f ca="1">HLOOKUP($H$4,'Met Data'!$H$2:$M$368,G459,FALSE)*L459</f>
        <v>3.5058823529411698</v>
      </c>
      <c r="K459" s="96">
        <f ca="1">HLOOKUP($H$4,'Met Data'!$O$2:$T$368,G459,FALSE)</f>
        <v>2.5900977274770201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ref="AG459:AG495" ca="1" si="77">Q458+S459+T459+U459</f>
        <v>#N/A</v>
      </c>
      <c r="AH459" s="63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>
      <c r="G460" s="3">
        <f t="shared" ca="1" si="74"/>
        <v>99</v>
      </c>
      <c r="H460" s="95">
        <f t="shared" ca="1" si="76"/>
        <v>45755</v>
      </c>
      <c r="I460" s="119">
        <f ca="1">HLOOKUP($H$4,'Met Data'!$A$2:$F$368,G460,FALSE)</f>
        <v>12.924999999999899</v>
      </c>
      <c r="J460" s="119">
        <f ca="1">HLOOKUP($H$4,'Met Data'!$H$2:$M$368,G460,FALSE)*L460</f>
        <v>2.1029411764705799</v>
      </c>
      <c r="K460" s="96">
        <f ca="1">HLOOKUP($H$4,'Met Data'!$O$2:$T$368,G460,FALSE)</f>
        <v>2.6944935581784701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ca="1" si="77"/>
        <v>#N/A</v>
      </c>
      <c r="AH460" s="63" t="e">
        <f t="shared" ca="1" si="78"/>
        <v>#N/A</v>
      </c>
      <c r="AI460" s="3" t="e">
        <f t="shared" ca="1" si="79"/>
        <v>#N/A</v>
      </c>
    </row>
    <row r="461" spans="7:35">
      <c r="G461" s="3">
        <f t="shared" ca="1" si="74"/>
        <v>100</v>
      </c>
      <c r="H461" s="95">
        <f t="shared" ca="1" si="76"/>
        <v>45756</v>
      </c>
      <c r="I461" s="119">
        <f ca="1">HLOOKUP($H$4,'Met Data'!$A$2:$F$368,G461,FALSE)</f>
        <v>12.363235294117599</v>
      </c>
      <c r="J461" s="119">
        <f ca="1">HLOOKUP($H$4,'Met Data'!$H$2:$M$368,G461,FALSE)*L461</f>
        <v>2.8117647058823501</v>
      </c>
      <c r="K461" s="96">
        <f ca="1">HLOOKUP($H$4,'Met Data'!$O$2:$T$368,G461,FALSE)</f>
        <v>2.27410330215878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101</v>
      </c>
      <c r="H462" s="95">
        <f t="shared" ca="1" si="76"/>
        <v>45757</v>
      </c>
      <c r="I462" s="119">
        <f ca="1">HLOOKUP($H$4,'Met Data'!$A$2:$F$368,G462,FALSE)</f>
        <v>11.3573529411764</v>
      </c>
      <c r="J462" s="119">
        <f ca="1">HLOOKUP($H$4,'Met Data'!$H$2:$M$368,G462,FALSE)*L462</f>
        <v>2.0676470588235198</v>
      </c>
      <c r="K462" s="96">
        <f ca="1">HLOOKUP($H$4,'Met Data'!$O$2:$T$368,G462,FALSE)</f>
        <v>2.42845739075634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102</v>
      </c>
      <c r="H463" s="95">
        <f t="shared" ca="1" si="76"/>
        <v>45758</v>
      </c>
      <c r="I463" s="119">
        <f ca="1">HLOOKUP($H$4,'Met Data'!$A$2:$F$368,G463,FALSE)</f>
        <v>11.6044117647058</v>
      </c>
      <c r="J463" s="119">
        <f ca="1">HLOOKUP($H$4,'Met Data'!$H$2:$M$368,G463,FALSE)*L463</f>
        <v>1.3794117647058799</v>
      </c>
      <c r="K463" s="96">
        <f ca="1">HLOOKUP($H$4,'Met Data'!$O$2:$T$368,G463,FALSE)</f>
        <v>2.30587050945396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103</v>
      </c>
      <c r="H464" s="95">
        <f t="shared" ca="1" si="76"/>
        <v>45759</v>
      </c>
      <c r="I464" s="119">
        <f ca="1">HLOOKUP($H$4,'Met Data'!$A$2:$F$368,G464,FALSE)</f>
        <v>11.445454545454499</v>
      </c>
      <c r="J464" s="119">
        <f ca="1">HLOOKUP($H$4,'Met Data'!$H$2:$M$368,G464,FALSE)*L464</f>
        <v>1.8117647058823501</v>
      </c>
      <c r="K464" s="96">
        <f ca="1">HLOOKUP($H$4,'Met Data'!$O$2:$T$368,G464,FALSE)</f>
        <v>2.1258259155745698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104</v>
      </c>
      <c r="H465" s="95">
        <f t="shared" ca="1" si="76"/>
        <v>45760</v>
      </c>
      <c r="I465" s="119">
        <f ca="1">HLOOKUP($H$4,'Met Data'!$A$2:$F$368,G465,FALSE)</f>
        <v>11.897058823529401</v>
      </c>
      <c r="J465" s="119">
        <f ca="1">HLOOKUP($H$4,'Met Data'!$H$2:$M$368,G465,FALSE)*L465</f>
        <v>1.4117647058823499</v>
      </c>
      <c r="K465" s="96">
        <f ca="1">HLOOKUP($H$4,'Met Data'!$O$2:$T$368,G465,FALSE)</f>
        <v>2.2855460299238599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105</v>
      </c>
      <c r="H466" s="95">
        <f t="shared" ca="1" si="76"/>
        <v>45761</v>
      </c>
      <c r="I466" s="119">
        <f ca="1">HLOOKUP($H$4,'Met Data'!$A$2:$F$368,G466,FALSE)</f>
        <v>11.5014705882352</v>
      </c>
      <c r="J466" s="119">
        <f ca="1">HLOOKUP($H$4,'Met Data'!$H$2:$M$368,G466,FALSE)*L466</f>
        <v>1.26470588235294</v>
      </c>
      <c r="K466" s="96">
        <f ca="1">HLOOKUP($H$4,'Met Data'!$O$2:$T$368,G466,FALSE)</f>
        <v>2.1675311808748998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106</v>
      </c>
      <c r="H467" s="95">
        <f t="shared" ca="1" si="76"/>
        <v>45762</v>
      </c>
      <c r="I467" s="119">
        <f ca="1">HLOOKUP($H$4,'Met Data'!$A$2:$F$368,G467,FALSE)</f>
        <v>12.461764705882301</v>
      </c>
      <c r="J467" s="119">
        <f ca="1">HLOOKUP($H$4,'Met Data'!$H$2:$M$368,G467,FALSE)*L467</f>
        <v>0.48529411764705799</v>
      </c>
      <c r="K467" s="96">
        <f ca="1">HLOOKUP($H$4,'Met Data'!$O$2:$T$368,G467,FALSE)</f>
        <v>2.6480171040382698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107</v>
      </c>
      <c r="H468" s="95">
        <f t="shared" ca="1" si="76"/>
        <v>45763</v>
      </c>
      <c r="I468" s="119">
        <f ca="1">HLOOKUP($H$4,'Met Data'!$A$2:$F$368,G468,FALSE)</f>
        <v>12.083823529411699</v>
      </c>
      <c r="J468" s="119">
        <f ca="1">HLOOKUP($H$4,'Met Data'!$H$2:$M$368,G468,FALSE)*L468</f>
        <v>1.1558823529411699</v>
      </c>
      <c r="K468" s="96">
        <f ca="1">HLOOKUP($H$4,'Met Data'!$O$2:$T$368,G468,FALSE)</f>
        <v>2.1774423034333599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108</v>
      </c>
      <c r="H469" s="95">
        <f t="shared" ca="1" si="76"/>
        <v>45764</v>
      </c>
      <c r="I469" s="119">
        <f ca="1">HLOOKUP($H$4,'Met Data'!$A$2:$F$368,G469,FALSE)</f>
        <v>12.307352941176401</v>
      </c>
      <c r="J469" s="119">
        <f ca="1">HLOOKUP($H$4,'Met Data'!$H$2:$M$368,G469,FALSE)*L469</f>
        <v>1.68823529411764</v>
      </c>
      <c r="K469" s="96">
        <f ca="1">HLOOKUP($H$4,'Met Data'!$O$2:$T$368,G469,FALSE)</f>
        <v>2.0825962231468602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109</v>
      </c>
      <c r="H470" s="95">
        <f t="shared" ca="1" si="76"/>
        <v>45765</v>
      </c>
      <c r="I470" s="119">
        <f ca="1">HLOOKUP($H$4,'Met Data'!$A$2:$F$368,G470,FALSE)</f>
        <v>11.5970588235294</v>
      </c>
      <c r="J470" s="119">
        <f ca="1">HLOOKUP($H$4,'Met Data'!$H$2:$M$368,G470,FALSE)*L470</f>
        <v>1.19117647058823</v>
      </c>
      <c r="K470" s="96">
        <f ca="1">HLOOKUP($H$4,'Met Data'!$O$2:$T$368,G470,FALSE)</f>
        <v>1.83123332157564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110</v>
      </c>
      <c r="H471" s="95">
        <f t="shared" ca="1" si="76"/>
        <v>45766</v>
      </c>
      <c r="I471" s="119">
        <f ca="1">HLOOKUP($H$4,'Met Data'!$A$2:$F$368,G471,FALSE)</f>
        <v>11.710294117647001</v>
      </c>
      <c r="J471" s="119">
        <f ca="1">HLOOKUP($H$4,'Met Data'!$H$2:$M$368,G471,FALSE)*L471</f>
        <v>0.876470588235294</v>
      </c>
      <c r="K471" s="96">
        <f ca="1">HLOOKUP($H$4,'Met Data'!$O$2:$T$368,G471,FALSE)</f>
        <v>1.9918324383127699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111</v>
      </c>
      <c r="H472" s="95">
        <f t="shared" ca="1" si="76"/>
        <v>45767</v>
      </c>
      <c r="I472" s="119">
        <f ca="1">HLOOKUP($H$4,'Met Data'!$A$2:$F$368,G472,FALSE)</f>
        <v>12.0897058823529</v>
      </c>
      <c r="J472" s="119">
        <f ca="1">HLOOKUP($H$4,'Met Data'!$H$2:$M$368,G472,FALSE)*L472</f>
        <v>1.6147058823529401</v>
      </c>
      <c r="K472" s="96">
        <f ca="1">HLOOKUP($H$4,'Met Data'!$O$2:$T$368,G472,FALSE)</f>
        <v>2.3214267905608299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112</v>
      </c>
      <c r="H473" s="95">
        <f t="shared" ca="1" si="76"/>
        <v>45768</v>
      </c>
      <c r="I473" s="119">
        <f ca="1">HLOOKUP($H$4,'Met Data'!$A$2:$F$368,G473,FALSE)</f>
        <v>11.1882352941176</v>
      </c>
      <c r="J473" s="119">
        <f ca="1">HLOOKUP($H$4,'Met Data'!$H$2:$M$368,G473,FALSE)*L473</f>
        <v>1.6352941176470499</v>
      </c>
      <c r="K473" s="96">
        <f ca="1">HLOOKUP($H$4,'Met Data'!$O$2:$T$368,G473,FALSE)</f>
        <v>1.88439420500637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113</v>
      </c>
      <c r="H474" s="95">
        <f t="shared" ca="1" si="76"/>
        <v>45769</v>
      </c>
      <c r="I474" s="119">
        <f ca="1">HLOOKUP($H$4,'Met Data'!$A$2:$F$368,G474,FALSE)</f>
        <v>11.0044117647058</v>
      </c>
      <c r="J474" s="119">
        <f ca="1">HLOOKUP($H$4,'Met Data'!$H$2:$M$368,G474,FALSE)*L474</f>
        <v>0.81176470588235194</v>
      </c>
      <c r="K474" s="96">
        <f ca="1">HLOOKUP($H$4,'Met Data'!$O$2:$T$368,G474,FALSE)</f>
        <v>1.9179571566201901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114</v>
      </c>
      <c r="H475" s="95">
        <f t="shared" ca="1" si="76"/>
        <v>45770</v>
      </c>
      <c r="I475" s="119">
        <f ca="1">HLOOKUP($H$4,'Met Data'!$A$2:$F$368,G475,FALSE)</f>
        <v>11.586764705882301</v>
      </c>
      <c r="J475" s="119">
        <f ca="1">HLOOKUP($H$4,'Met Data'!$H$2:$M$368,G475,FALSE)*L475</f>
        <v>0.77352941176470502</v>
      </c>
      <c r="K475" s="96">
        <f ca="1">HLOOKUP($H$4,'Met Data'!$O$2:$T$368,G475,FALSE)</f>
        <v>2.1115808573458499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115</v>
      </c>
      <c r="H476" s="95">
        <f t="shared" ca="1" si="76"/>
        <v>45771</v>
      </c>
      <c r="I476" s="119">
        <f ca="1">HLOOKUP($H$4,'Met Data'!$A$2:$F$368,G476,FALSE)</f>
        <v>10.9985294117647</v>
      </c>
      <c r="J476" s="119">
        <f ca="1">HLOOKUP($H$4,'Met Data'!$H$2:$M$368,G476,FALSE)*L476</f>
        <v>1.75294117647058</v>
      </c>
      <c r="K476" s="96">
        <f ca="1">HLOOKUP($H$4,'Met Data'!$O$2:$T$368,G476,FALSE)</f>
        <v>1.81614923585608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116</v>
      </c>
      <c r="H477" s="95">
        <f t="shared" ca="1" si="76"/>
        <v>45772</v>
      </c>
      <c r="I477" s="119">
        <f ca="1">HLOOKUP($H$4,'Met Data'!$A$2:$F$368,G477,FALSE)</f>
        <v>11.547058823529399</v>
      </c>
      <c r="J477" s="119">
        <f ca="1">HLOOKUP($H$4,'Met Data'!$H$2:$M$368,G477,FALSE)*L477</f>
        <v>1.70294117647058</v>
      </c>
      <c r="K477" s="96">
        <f ca="1">HLOOKUP($H$4,'Met Data'!$O$2:$T$368,G477,FALSE)</f>
        <v>1.8798608741396901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117</v>
      </c>
      <c r="H478" s="95">
        <f t="shared" ca="1" si="76"/>
        <v>45773</v>
      </c>
      <c r="I478" s="119">
        <f ca="1">HLOOKUP($H$4,'Met Data'!$A$2:$F$368,G478,FALSE)</f>
        <v>11.6955882352941</v>
      </c>
      <c r="J478" s="119">
        <f ca="1">HLOOKUP($H$4,'Met Data'!$H$2:$M$368,G478,FALSE)*L478</f>
        <v>0.41176470588235198</v>
      </c>
      <c r="K478" s="96">
        <f ca="1">HLOOKUP($H$4,'Met Data'!$O$2:$T$368,G478,FALSE)</f>
        <v>1.88699621875139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118</v>
      </c>
      <c r="H479" s="95">
        <f t="shared" ca="1" si="76"/>
        <v>45774</v>
      </c>
      <c r="I479" s="119">
        <f ca="1">HLOOKUP($H$4,'Met Data'!$A$2:$F$368,G479,FALSE)</f>
        <v>11.833823529411699</v>
      </c>
      <c r="J479" s="119">
        <f ca="1">HLOOKUP($H$4,'Met Data'!$H$2:$M$368,G479,FALSE)*L479</f>
        <v>1.79705882352941</v>
      </c>
      <c r="K479" s="96">
        <f ca="1">HLOOKUP($H$4,'Met Data'!$O$2:$T$368,G479,FALSE)</f>
        <v>1.76466679700699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119</v>
      </c>
      <c r="H480" s="95">
        <f t="shared" ca="1" si="76"/>
        <v>45775</v>
      </c>
      <c r="I480" s="119">
        <f ca="1">HLOOKUP($H$4,'Met Data'!$A$2:$F$368,G480,FALSE)</f>
        <v>12.1279411764705</v>
      </c>
      <c r="J480" s="119">
        <f ca="1">HLOOKUP($H$4,'Met Data'!$H$2:$M$368,G480,FALSE)*L480</f>
        <v>2.1588235294117601</v>
      </c>
      <c r="K480" s="96">
        <f ca="1">HLOOKUP($H$4,'Met Data'!$O$2:$T$368,G480,FALSE)</f>
        <v>1.95217239254561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120</v>
      </c>
      <c r="H481" s="95">
        <f t="shared" ca="1" si="76"/>
        <v>45776</v>
      </c>
      <c r="I481" s="119">
        <f ca="1">HLOOKUP($H$4,'Met Data'!$A$2:$F$368,G481,FALSE)</f>
        <v>10.824999999999999</v>
      </c>
      <c r="J481" s="119">
        <f ca="1">HLOOKUP($H$4,'Met Data'!$H$2:$M$368,G481,FALSE)*L481</f>
        <v>5.4352941176470502</v>
      </c>
      <c r="K481" s="96">
        <f ca="1">HLOOKUP($H$4,'Met Data'!$O$2:$T$368,G481,FALSE)</f>
        <v>1.6384329462009699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121</v>
      </c>
      <c r="H482" s="95">
        <f t="shared" ca="1" si="76"/>
        <v>45777</v>
      </c>
      <c r="I482" s="119">
        <f ca="1">HLOOKUP($H$4,'Met Data'!$A$2:$F$368,G482,FALSE)</f>
        <v>10.554411764705799</v>
      </c>
      <c r="J482" s="119">
        <f ca="1">HLOOKUP($H$4,'Met Data'!$H$2:$M$368,G482,FALSE)*L482</f>
        <v>2.5852941176470501</v>
      </c>
      <c r="K482" s="96">
        <f ca="1">HLOOKUP($H$4,'Met Data'!$O$2:$T$368,G482,FALSE)</f>
        <v>1.6462620711534199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122</v>
      </c>
      <c r="H483" s="95">
        <f t="shared" ca="1" si="76"/>
        <v>45778</v>
      </c>
      <c r="I483" s="119">
        <f ca="1">HLOOKUP($H$4,'Met Data'!$A$2:$F$368,G483,FALSE)</f>
        <v>10.2014705882352</v>
      </c>
      <c r="J483" s="119">
        <f ca="1">HLOOKUP($H$4,'Met Data'!$H$2:$M$368,G483,FALSE)*L483</f>
        <v>1.01176470588235</v>
      </c>
      <c r="K483" s="96">
        <f ca="1">HLOOKUP($H$4,'Met Data'!$O$2:$T$368,G483,FALSE)</f>
        <v>1.5886994013641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123</v>
      </c>
      <c r="H484" s="95">
        <f t="shared" ca="1" si="76"/>
        <v>45779</v>
      </c>
      <c r="I484" s="119">
        <f ca="1">HLOOKUP($H$4,'Met Data'!$A$2:$F$368,G484,FALSE)</f>
        <v>10.3191176470588</v>
      </c>
      <c r="J484" s="119">
        <f ca="1">HLOOKUP($H$4,'Met Data'!$H$2:$M$368,G484,FALSE)*L484</f>
        <v>0.91470588235294104</v>
      </c>
      <c r="K484" s="96">
        <f ca="1">HLOOKUP($H$4,'Met Data'!$O$2:$T$368,G484,FALSE)</f>
        <v>1.52724346363737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124</v>
      </c>
      <c r="H485" s="95">
        <f t="shared" ca="1" si="76"/>
        <v>45780</v>
      </c>
      <c r="I485" s="119">
        <f ca="1">HLOOKUP($H$4,'Met Data'!$A$2:$F$368,G485,FALSE)</f>
        <v>10.267647058823499</v>
      </c>
      <c r="J485" s="119">
        <f ca="1">HLOOKUP($H$4,'Met Data'!$H$2:$M$368,G485,FALSE)*L485</f>
        <v>0.91764705882352904</v>
      </c>
      <c r="K485" s="96">
        <f ca="1">HLOOKUP($H$4,'Met Data'!$O$2:$T$368,G485,FALSE)</f>
        <v>1.7604236957874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125</v>
      </c>
      <c r="H486" s="95">
        <f t="shared" ca="1" si="76"/>
        <v>45781</v>
      </c>
      <c r="I486" s="119">
        <f ca="1">HLOOKUP($H$4,'Met Data'!$A$2:$F$368,G486,FALSE)</f>
        <v>10.807352941176401</v>
      </c>
      <c r="J486" s="119">
        <f ca="1">HLOOKUP($H$4,'Met Data'!$H$2:$M$368,G486,FALSE)*L486</f>
        <v>1.78529411764705</v>
      </c>
      <c r="K486" s="96">
        <f ca="1">HLOOKUP($H$4,'Met Data'!$O$2:$T$368,G486,FALSE)</f>
        <v>1.87410891042832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126</v>
      </c>
      <c r="H487" s="95">
        <f t="shared" ca="1" si="76"/>
        <v>45782</v>
      </c>
      <c r="I487" s="119">
        <f ca="1">HLOOKUP($H$4,'Met Data'!$A$2:$F$368,G487,FALSE)</f>
        <v>10.7742424242424</v>
      </c>
      <c r="J487" s="119">
        <f ca="1">HLOOKUP($H$4,'Met Data'!$H$2:$M$368,G487,FALSE)*L487</f>
        <v>1.0941176470588201</v>
      </c>
      <c r="K487" s="96">
        <f ca="1">HLOOKUP($H$4,'Met Data'!$O$2:$T$368,G487,FALSE)</f>
        <v>1.5837713381857701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127</v>
      </c>
      <c r="H488" s="95">
        <f t="shared" ca="1" si="76"/>
        <v>45783</v>
      </c>
      <c r="I488" s="119">
        <f ca="1">HLOOKUP($H$4,'Met Data'!$A$2:$F$368,G488,FALSE)</f>
        <v>11.583823529411699</v>
      </c>
      <c r="J488" s="119">
        <f ca="1">HLOOKUP($H$4,'Met Data'!$H$2:$M$368,G488,FALSE)*L488</f>
        <v>3.2617647058823498</v>
      </c>
      <c r="K488" s="96">
        <f ca="1">HLOOKUP($H$4,'Met Data'!$O$2:$T$368,G488,FALSE)</f>
        <v>1.9285474517201799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128</v>
      </c>
      <c r="H489" s="95">
        <f t="shared" ca="1" si="76"/>
        <v>45784</v>
      </c>
      <c r="I489" s="119">
        <f ca="1">HLOOKUP($H$4,'Met Data'!$A$2:$F$368,G489,FALSE)</f>
        <v>11.138235294117599</v>
      </c>
      <c r="J489" s="119">
        <f ca="1">HLOOKUP($H$4,'Met Data'!$H$2:$M$368,G489,FALSE)*L489</f>
        <v>1.1176470588235199</v>
      </c>
      <c r="K489" s="96">
        <f ca="1">HLOOKUP($H$4,'Met Data'!$O$2:$T$368,G489,FALSE)</f>
        <v>1.69465579062546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129</v>
      </c>
      <c r="H490" s="95">
        <f t="shared" ca="1" si="76"/>
        <v>45785</v>
      </c>
      <c r="I490" s="119">
        <f ca="1">HLOOKUP($H$4,'Met Data'!$A$2:$F$368,G490,FALSE)</f>
        <v>10.079411764705799</v>
      </c>
      <c r="J490" s="119">
        <f ca="1">HLOOKUP($H$4,'Met Data'!$H$2:$M$368,G490,FALSE)*L490</f>
        <v>3.0588235294117601</v>
      </c>
      <c r="K490" s="96">
        <f ca="1">HLOOKUP($H$4,'Met Data'!$O$2:$T$368,G490,FALSE)</f>
        <v>1.6998944555739099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130</v>
      </c>
      <c r="H491" s="95">
        <f t="shared" ca="1" si="76"/>
        <v>45786</v>
      </c>
      <c r="I491" s="119">
        <f ca="1">HLOOKUP($H$4,'Met Data'!$A$2:$F$368,G491,FALSE)</f>
        <v>10.2279411764705</v>
      </c>
      <c r="J491" s="119">
        <f ca="1">HLOOKUP($H$4,'Met Data'!$H$2:$M$368,G491,FALSE)*L491</f>
        <v>0.78235294117647003</v>
      </c>
      <c r="K491" s="96">
        <f ca="1">HLOOKUP($H$4,'Met Data'!$O$2:$T$368,G491,FALSE)</f>
        <v>1.6080556103689001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131</v>
      </c>
      <c r="H492" s="95">
        <f t="shared" ca="1" si="76"/>
        <v>45787</v>
      </c>
      <c r="I492" s="119">
        <f ca="1">HLOOKUP($H$4,'Met Data'!$A$2:$F$368,G492,FALSE)</f>
        <v>10.1044117647058</v>
      </c>
      <c r="J492" s="119">
        <f ca="1">HLOOKUP($H$4,'Met Data'!$H$2:$M$368,G492,FALSE)*L492</f>
        <v>1.99411764705882</v>
      </c>
      <c r="K492" s="96">
        <f ca="1">HLOOKUP($H$4,'Met Data'!$O$2:$T$368,G492,FALSE)</f>
        <v>1.41413311869791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132</v>
      </c>
      <c r="H493" s="95">
        <f t="shared" ca="1" si="76"/>
        <v>45788</v>
      </c>
      <c r="I493" s="119">
        <f ca="1">HLOOKUP($H$4,'Met Data'!$A$2:$F$368,G493,FALSE)</f>
        <v>10.4441176470588</v>
      </c>
      <c r="J493" s="119">
        <f ca="1">HLOOKUP($H$4,'Met Data'!$H$2:$M$368,G493,FALSE)*L493</f>
        <v>0.92058823529411704</v>
      </c>
      <c r="K493" s="96">
        <f ca="1">HLOOKUP($H$4,'Met Data'!$O$2:$T$368,G493,FALSE)</f>
        <v>1.66219643843515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133</v>
      </c>
      <c r="H494" s="95">
        <f t="shared" ca="1" si="76"/>
        <v>45789</v>
      </c>
      <c r="I494" s="119">
        <f ca="1">HLOOKUP($H$4,'Met Data'!$A$2:$F$368,G494,FALSE)</f>
        <v>10.801470588235199</v>
      </c>
      <c r="J494" s="119">
        <f ca="1">HLOOKUP($H$4,'Met Data'!$H$2:$M$368,G494,FALSE)*L494</f>
        <v>1.73823529411764</v>
      </c>
      <c r="K494" s="96">
        <f ca="1">HLOOKUP($H$4,'Met Data'!$O$2:$T$368,G494,FALSE)</f>
        <v>1.5723667757897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 ht="15.75" thickBot="1">
      <c r="G495" s="3">
        <f t="shared" ca="1" si="74"/>
        <v>134</v>
      </c>
      <c r="H495" s="97">
        <f t="shared" ca="1" si="76"/>
        <v>45790</v>
      </c>
      <c r="I495" s="121">
        <f ca="1">HLOOKUP($H$4,'Met Data'!$A$2:$F$368,G495,FALSE)</f>
        <v>10.149999999999901</v>
      </c>
      <c r="J495" s="119">
        <f ca="1">HLOOKUP($H$4,'Met Data'!$H$2:$M$368,G495,FALSE)*L495</f>
        <v>1.23235294117647</v>
      </c>
      <c r="K495" s="98">
        <f ca="1">HLOOKUP($H$4,'Met Data'!$O$2:$T$368,G495,FALSE)</f>
        <v>1.62543661304557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ref="G496:G559" ca="1" si="80">H496-DATE(YEAR(H496),1,0)+1</f>
        <v>135</v>
      </c>
      <c r="H496" s="97">
        <f t="shared" ca="1" si="76"/>
        <v>45791</v>
      </c>
      <c r="I496" s="121">
        <f ca="1">HLOOKUP($H$4,'Met Data'!$A$2:$F$368,G496,FALSE)</f>
        <v>10.029411764705801</v>
      </c>
      <c r="J496" s="119">
        <f ca="1">HLOOKUP($H$4,'Met Data'!$H$2:$M$368,G496,FALSE)*L496</f>
        <v>1.69705882352941</v>
      </c>
      <c r="K496" s="98">
        <f ca="1">HLOOKUP($H$4,'Met Data'!$O$2:$T$368,G496,FALSE)</f>
        <v>1.6139957133282601</v>
      </c>
      <c r="L496">
        <f t="shared" ca="1" si="70"/>
        <v>1</v>
      </c>
      <c r="N496" t="e">
        <f t="shared" ref="N496:N559" ca="1" si="81">IF(P496&lt;$P$3,TRUE,FALSE)</f>
        <v>#N/A</v>
      </c>
      <c r="O496" t="e">
        <f t="shared" ref="O496:O559" ca="1" si="82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3">IFERROR(P496,$AD$4)</f>
        <v>0</v>
      </c>
      <c r="AE496">
        <f t="shared" ref="AE496:AE559" ca="1" si="84">IFERROR(U496,0)</f>
        <v>0</v>
      </c>
      <c r="AG496" s="63" t="e">
        <f t="shared" ref="AG496:AG559" ca="1" si="85">Q495+S496+T496+U496</f>
        <v>#N/A</v>
      </c>
      <c r="AH496" s="63" t="e">
        <f t="shared" ref="AH496:AH559" ca="1" si="86">Q496+R496+X496</f>
        <v>#N/A</v>
      </c>
      <c r="AI496" s="3" t="e">
        <f t="shared" ref="AI496:AI559" ca="1" si="87">AH496-AG496</f>
        <v>#N/A</v>
      </c>
    </row>
    <row r="497" spans="7:35" ht="15.75" thickBot="1">
      <c r="G497" s="3">
        <f t="shared" ca="1" si="80"/>
        <v>136</v>
      </c>
      <c r="H497" s="97">
        <f t="shared" ca="1" si="76"/>
        <v>45792</v>
      </c>
      <c r="I497" s="121">
        <f ca="1">HLOOKUP($H$4,'Met Data'!$A$2:$F$368,G497,FALSE)</f>
        <v>9.6235294117647001</v>
      </c>
      <c r="J497" s="119">
        <f ca="1">HLOOKUP($H$4,'Met Data'!$H$2:$M$368,G497,FALSE)*L497</f>
        <v>1.51764705882352</v>
      </c>
      <c r="K497" s="98">
        <f ca="1">HLOOKUP($H$4,'Met Data'!$O$2:$T$368,G497,FALSE)</f>
        <v>1.6005498237626701</v>
      </c>
      <c r="L497">
        <f t="shared" ca="1" si="70"/>
        <v>1</v>
      </c>
      <c r="N497" t="e">
        <f t="shared" ca="1" si="81"/>
        <v>#N/A</v>
      </c>
      <c r="O497" t="e">
        <f t="shared" ca="1" si="82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3"/>
        <v>0</v>
      </c>
      <c r="AE497">
        <f t="shared" ca="1" si="84"/>
        <v>0</v>
      </c>
      <c r="AG497" s="63" t="e">
        <f t="shared" ca="1" si="85"/>
        <v>#N/A</v>
      </c>
      <c r="AH497" s="63" t="e">
        <f t="shared" ca="1" si="86"/>
        <v>#N/A</v>
      </c>
      <c r="AI497" s="3" t="e">
        <f t="shared" ca="1" si="87"/>
        <v>#N/A</v>
      </c>
    </row>
    <row r="498" spans="7:35" ht="15.75" thickBot="1">
      <c r="G498" s="3">
        <f t="shared" ca="1" si="80"/>
        <v>137</v>
      </c>
      <c r="H498" s="97">
        <f t="shared" ca="1" si="76"/>
        <v>45793</v>
      </c>
      <c r="I498" s="121">
        <f ca="1">HLOOKUP($H$4,'Met Data'!$A$2:$F$368,G498,FALSE)</f>
        <v>10.177941176470499</v>
      </c>
      <c r="J498" s="119">
        <f ca="1">HLOOKUP($H$4,'Met Data'!$H$2:$M$368,G498,FALSE)*L498</f>
        <v>2.0147058823529398</v>
      </c>
      <c r="K498" s="98">
        <f ca="1">HLOOKUP($H$4,'Met Data'!$O$2:$T$368,G498,FALSE)</f>
        <v>1.76114821084059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138</v>
      </c>
      <c r="H499" s="97">
        <f t="shared" ca="1" si="76"/>
        <v>45794</v>
      </c>
      <c r="I499" s="121">
        <f ca="1">HLOOKUP($H$4,'Met Data'!$A$2:$F$368,G499,FALSE)</f>
        <v>9.2779411764705806</v>
      </c>
      <c r="J499" s="119">
        <f ca="1">HLOOKUP($H$4,'Met Data'!$H$2:$M$368,G499,FALSE)*L499</f>
        <v>2.7235294117647002</v>
      </c>
      <c r="K499" s="98">
        <f ca="1">HLOOKUP($H$4,'Met Data'!$O$2:$T$368,G499,FALSE)</f>
        <v>1.51265723824432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139</v>
      </c>
      <c r="H500" s="97">
        <f t="shared" ca="1" si="76"/>
        <v>45795</v>
      </c>
      <c r="I500" s="121">
        <f ca="1">HLOOKUP($H$4,'Met Data'!$A$2:$F$368,G500,FALSE)</f>
        <v>9.0485294117647008</v>
      </c>
      <c r="J500" s="119">
        <f ca="1">HLOOKUP($H$4,'Met Data'!$H$2:$M$368,G500,FALSE)*L500</f>
        <v>1.5</v>
      </c>
      <c r="K500" s="98">
        <f ca="1">HLOOKUP($H$4,'Met Data'!$O$2:$T$368,G500,FALSE)</f>
        <v>1.42917243065086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140</v>
      </c>
      <c r="H501" s="97">
        <f t="shared" ca="1" si="76"/>
        <v>45796</v>
      </c>
      <c r="I501" s="121">
        <f ca="1">HLOOKUP($H$4,'Met Data'!$A$2:$F$368,G501,FALSE)</f>
        <v>9.3647058823529399</v>
      </c>
      <c r="J501" s="119">
        <f ca="1">HLOOKUP($H$4,'Met Data'!$H$2:$M$368,G501,FALSE)*L501</f>
        <v>1.5735294117647001</v>
      </c>
      <c r="K501" s="98">
        <f ca="1">HLOOKUP($H$4,'Met Data'!$O$2:$T$368,G501,FALSE)</f>
        <v>1.4324355889067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141</v>
      </c>
      <c r="H502" s="97">
        <f t="shared" ca="1" si="76"/>
        <v>45797</v>
      </c>
      <c r="I502" s="121">
        <f ca="1">HLOOKUP($H$4,'Met Data'!$A$2:$F$368,G502,FALSE)</f>
        <v>9.4352941176470502</v>
      </c>
      <c r="J502" s="119">
        <f ca="1">HLOOKUP($H$4,'Met Data'!$H$2:$M$368,G502,FALSE)*L502</f>
        <v>1.9352941176470499</v>
      </c>
      <c r="K502" s="98">
        <f ca="1">HLOOKUP($H$4,'Met Data'!$O$2:$T$368,G502,FALSE)</f>
        <v>1.4124835611223401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142</v>
      </c>
      <c r="H503" s="97">
        <f t="shared" ca="1" si="76"/>
        <v>45798</v>
      </c>
      <c r="I503" s="121">
        <f ca="1">HLOOKUP($H$4,'Met Data'!$A$2:$F$368,G503,FALSE)</f>
        <v>9.1705882352941099</v>
      </c>
      <c r="J503" s="119">
        <f ca="1">HLOOKUP($H$4,'Met Data'!$H$2:$M$368,G503,FALSE)*L503</f>
        <v>2.3529411764705799</v>
      </c>
      <c r="K503" s="98">
        <f ca="1">HLOOKUP($H$4,'Met Data'!$O$2:$T$368,G503,FALSE)</f>
        <v>1.2765511235284199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143</v>
      </c>
      <c r="H504" s="97">
        <f t="shared" ca="1" si="76"/>
        <v>45799</v>
      </c>
      <c r="I504" s="121">
        <f ca="1">HLOOKUP($H$4,'Met Data'!$A$2:$F$368,G504,FALSE)</f>
        <v>8.3529411764705799</v>
      </c>
      <c r="J504" s="119">
        <f ca="1">HLOOKUP($H$4,'Met Data'!$H$2:$M$368,G504,FALSE)*L504</f>
        <v>1.5852941176470501</v>
      </c>
      <c r="K504" s="98">
        <f ca="1">HLOOKUP($H$4,'Met Data'!$O$2:$T$368,G504,FALSE)</f>
        <v>1.1618550175400399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144</v>
      </c>
      <c r="H505" s="97">
        <f t="shared" ca="1" si="76"/>
        <v>45800</v>
      </c>
      <c r="I505" s="121">
        <f ca="1">HLOOKUP($H$4,'Met Data'!$A$2:$F$368,G505,FALSE)</f>
        <v>9.0132352941176404</v>
      </c>
      <c r="J505" s="119">
        <f ca="1">HLOOKUP($H$4,'Met Data'!$H$2:$M$368,G505,FALSE)*L505</f>
        <v>1.6205882352941099</v>
      </c>
      <c r="K505" s="98">
        <f ca="1">HLOOKUP($H$4,'Met Data'!$O$2:$T$368,G505,FALSE)</f>
        <v>1.3880525200190601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145</v>
      </c>
      <c r="H506" s="97">
        <f t="shared" ca="1" si="76"/>
        <v>45801</v>
      </c>
      <c r="I506" s="121">
        <f ca="1">HLOOKUP($H$4,'Met Data'!$A$2:$F$368,G506,FALSE)</f>
        <v>8.7911764705882298</v>
      </c>
      <c r="J506" s="119">
        <f ca="1">HLOOKUP($H$4,'Met Data'!$H$2:$M$368,G506,FALSE)*L506</f>
        <v>3.3764705882352901</v>
      </c>
      <c r="K506" s="98">
        <f ca="1">HLOOKUP($H$4,'Met Data'!$O$2:$T$368,G506,FALSE)</f>
        <v>1.28085602366637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146</v>
      </c>
      <c r="H507" s="97">
        <f t="shared" ca="1" si="76"/>
        <v>45802</v>
      </c>
      <c r="I507" s="121">
        <f ca="1">HLOOKUP($H$4,'Met Data'!$A$2:$F$368,G507,FALSE)</f>
        <v>8.3720588235294109</v>
      </c>
      <c r="J507" s="119">
        <f ca="1">HLOOKUP($H$4,'Met Data'!$H$2:$M$368,G507,FALSE)*L507</f>
        <v>1.9058823529411699</v>
      </c>
      <c r="K507" s="98">
        <f ca="1">HLOOKUP($H$4,'Met Data'!$O$2:$T$368,G507,FALSE)</f>
        <v>1.28602442078779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147</v>
      </c>
      <c r="H508" s="97">
        <f t="shared" ca="1" si="76"/>
        <v>45803</v>
      </c>
      <c r="I508" s="121">
        <f ca="1">HLOOKUP($H$4,'Met Data'!$A$2:$F$368,G508,FALSE)</f>
        <v>8.5632352941176393</v>
      </c>
      <c r="J508" s="119">
        <f ca="1">HLOOKUP($H$4,'Met Data'!$H$2:$M$368,G508,FALSE)*L508</f>
        <v>4.3794117647058801</v>
      </c>
      <c r="K508" s="98">
        <f ca="1">HLOOKUP($H$4,'Met Data'!$O$2:$T$368,G508,FALSE)</f>
        <v>1.33540018897607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148</v>
      </c>
      <c r="H509" s="97">
        <f t="shared" ca="1" si="76"/>
        <v>45804</v>
      </c>
      <c r="I509" s="121">
        <f ca="1">HLOOKUP($H$4,'Met Data'!$A$2:$F$368,G509,FALSE)</f>
        <v>8.4573529411764703</v>
      </c>
      <c r="J509" s="119">
        <f ca="1">HLOOKUP($H$4,'Met Data'!$H$2:$M$368,G509,FALSE)*L509</f>
        <v>0.997058823529411</v>
      </c>
      <c r="K509" s="98">
        <f ca="1">HLOOKUP($H$4,'Met Data'!$O$2:$T$368,G509,FALSE)</f>
        <v>1.45727309162839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149</v>
      </c>
      <c r="H510" s="97">
        <f t="shared" ca="1" si="76"/>
        <v>45805</v>
      </c>
      <c r="I510" s="121">
        <f ca="1">HLOOKUP($H$4,'Met Data'!$A$2:$F$368,G510,FALSE)</f>
        <v>8.1897058823529392</v>
      </c>
      <c r="J510" s="119">
        <f ca="1">HLOOKUP($H$4,'Met Data'!$H$2:$M$368,G510,FALSE)*L510</f>
        <v>2.3676470588235201</v>
      </c>
      <c r="K510" s="98">
        <f ca="1">HLOOKUP($H$4,'Met Data'!$O$2:$T$368,G510,FALSE)</f>
        <v>1.60616595463803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150</v>
      </c>
      <c r="H511" s="97">
        <f t="shared" ca="1" si="76"/>
        <v>45806</v>
      </c>
      <c r="I511" s="121">
        <f ca="1">HLOOKUP($H$4,'Met Data'!$A$2:$F$368,G511,FALSE)</f>
        <v>8.3764705882352892</v>
      </c>
      <c r="J511" s="119">
        <f ca="1">HLOOKUP($H$4,'Met Data'!$H$2:$M$368,G511,FALSE)*L511</f>
        <v>2.75</v>
      </c>
      <c r="K511" s="98">
        <f ca="1">HLOOKUP($H$4,'Met Data'!$O$2:$T$368,G511,FALSE)</f>
        <v>1.41028048478178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151</v>
      </c>
      <c r="H512" s="97">
        <f t="shared" ca="1" si="76"/>
        <v>45807</v>
      </c>
      <c r="I512" s="121">
        <f ca="1">HLOOKUP($H$4,'Met Data'!$A$2:$F$368,G512,FALSE)</f>
        <v>7.9235294117646999</v>
      </c>
      <c r="J512" s="119">
        <f ca="1">HLOOKUP($H$4,'Met Data'!$H$2:$M$368,G512,FALSE)*L512</f>
        <v>1.52647058823529</v>
      </c>
      <c r="K512" s="98">
        <f ca="1">HLOOKUP($H$4,'Met Data'!$O$2:$T$368,G512,FALSE)</f>
        <v>1.2181769845433199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152</v>
      </c>
      <c r="H513" s="97">
        <f t="shared" ca="1" si="76"/>
        <v>45808</v>
      </c>
      <c r="I513" s="121">
        <f ca="1">HLOOKUP($H$4,'Met Data'!$A$2:$F$368,G513,FALSE)</f>
        <v>7.9742424242424201</v>
      </c>
      <c r="J513" s="119">
        <f ca="1">HLOOKUP($H$4,'Met Data'!$H$2:$M$368,G513,FALSE)*L513</f>
        <v>0.65454545454545399</v>
      </c>
      <c r="K513" s="98">
        <f ca="1">HLOOKUP($H$4,'Met Data'!$O$2:$T$368,G513,FALSE)</f>
        <v>1.4140792042866701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153</v>
      </c>
      <c r="H514" s="97">
        <f t="shared" ca="1" si="76"/>
        <v>45809</v>
      </c>
      <c r="I514" s="121">
        <f ca="1">HLOOKUP($H$4,'Met Data'!$A$2:$F$368,G514,FALSE)</f>
        <v>8.0696969696969596</v>
      </c>
      <c r="J514" s="119">
        <f ca="1">HLOOKUP($H$4,'Met Data'!$H$2:$M$368,G514,FALSE)*L514</f>
        <v>2.6606060606060602</v>
      </c>
      <c r="K514" s="98">
        <f ca="1">HLOOKUP($H$4,'Met Data'!$O$2:$T$368,G514,FALSE)</f>
        <v>1.3648777039729501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154</v>
      </c>
      <c r="H515" s="97">
        <f t="shared" ca="1" si="76"/>
        <v>45810</v>
      </c>
      <c r="I515" s="121">
        <f ca="1">HLOOKUP($H$4,'Met Data'!$A$2:$F$368,G515,FALSE)</f>
        <v>7.75</v>
      </c>
      <c r="J515" s="119">
        <f ca="1">HLOOKUP($H$4,'Met Data'!$H$2:$M$368,G515,FALSE)*L515</f>
        <v>1.6818181818181801</v>
      </c>
      <c r="K515" s="98">
        <f ca="1">HLOOKUP($H$4,'Met Data'!$O$2:$T$368,G515,FALSE)</f>
        <v>1.1270486273289499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155</v>
      </c>
      <c r="H516" s="97">
        <f t="shared" ca="1" si="76"/>
        <v>45811</v>
      </c>
      <c r="I516" s="121">
        <f ca="1">HLOOKUP($H$4,'Met Data'!$A$2:$F$368,G516,FALSE)</f>
        <v>7.4484848484848403</v>
      </c>
      <c r="J516" s="119">
        <f ca="1">HLOOKUP($H$4,'Met Data'!$H$2:$M$368,G516,FALSE)*L516</f>
        <v>1.9090909090909001</v>
      </c>
      <c r="K516" s="98">
        <f ca="1">HLOOKUP($H$4,'Met Data'!$O$2:$T$368,G516,FALSE)</f>
        <v>1.25249803659369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156</v>
      </c>
      <c r="H517" s="97">
        <f t="shared" ca="1" si="76"/>
        <v>45812</v>
      </c>
      <c r="I517" s="121">
        <f ca="1">HLOOKUP($H$4,'Met Data'!$A$2:$F$368,G517,FALSE)</f>
        <v>7.27424242424242</v>
      </c>
      <c r="J517" s="119">
        <f ca="1">HLOOKUP($H$4,'Met Data'!$H$2:$M$368,G517,FALSE)*L517</f>
        <v>2.05151515151515</v>
      </c>
      <c r="K517" s="98">
        <f ca="1">HLOOKUP($H$4,'Met Data'!$O$2:$T$368,G517,FALSE)</f>
        <v>1.2350476326500801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157</v>
      </c>
      <c r="H518" s="97">
        <f t="shared" ca="1" si="76"/>
        <v>45813</v>
      </c>
      <c r="I518" s="121">
        <f ca="1">HLOOKUP($H$4,'Met Data'!$A$2:$F$368,G518,FALSE)</f>
        <v>7.1969696969696901</v>
      </c>
      <c r="J518" s="119">
        <f ca="1">HLOOKUP($H$4,'Met Data'!$H$2:$M$368,G518,FALSE)*L518</f>
        <v>1.2333333333333301</v>
      </c>
      <c r="K518" s="98">
        <f ca="1">HLOOKUP($H$4,'Met Data'!$O$2:$T$368,G518,FALSE)</f>
        <v>1.1815334376359199</v>
      </c>
      <c r="L518">
        <f t="shared" ref="L518:L581" ca="1" si="88">IF(H518&lt;$B$31,$J$3,$J$4)</f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158</v>
      </c>
      <c r="H519" s="97">
        <f t="shared" ca="1" si="76"/>
        <v>45814</v>
      </c>
      <c r="I519" s="121">
        <f ca="1">HLOOKUP($H$4,'Met Data'!$A$2:$F$368,G519,FALSE)</f>
        <v>6.8636363636363598</v>
      </c>
      <c r="J519" s="119">
        <f ca="1">HLOOKUP($H$4,'Met Data'!$H$2:$M$368,G519,FALSE)*L519</f>
        <v>1.3454545454545399</v>
      </c>
      <c r="K519" s="98">
        <f ca="1">HLOOKUP($H$4,'Met Data'!$O$2:$T$368,G519,FALSE)</f>
        <v>1.11819764768331</v>
      </c>
      <c r="L519">
        <f t="shared" ca="1" si="88"/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159</v>
      </c>
      <c r="H520" s="97">
        <f t="shared" ref="H520:H583" ca="1" si="89">H519+1</f>
        <v>45815</v>
      </c>
      <c r="I520" s="121">
        <f ca="1">HLOOKUP($H$4,'Met Data'!$A$2:$F$368,G520,FALSE)</f>
        <v>7.0772727272727201</v>
      </c>
      <c r="J520" s="119">
        <f ca="1">HLOOKUP($H$4,'Met Data'!$H$2:$M$368,G520,FALSE)*L520</f>
        <v>2.1393939393939299</v>
      </c>
      <c r="K520" s="98">
        <f ca="1">HLOOKUP($H$4,'Met Data'!$O$2:$T$368,G520,FALSE)</f>
        <v>1.2201388257180199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160</v>
      </c>
      <c r="H521" s="97">
        <f t="shared" ca="1" si="89"/>
        <v>45816</v>
      </c>
      <c r="I521" s="121">
        <f ca="1">HLOOKUP($H$4,'Met Data'!$A$2:$F$368,G521,FALSE)</f>
        <v>7.6151515151515099</v>
      </c>
      <c r="J521" s="119">
        <f ca="1">HLOOKUP($H$4,'Met Data'!$H$2:$M$368,G521,FALSE)*L521</f>
        <v>2.0727272727272701</v>
      </c>
      <c r="K521" s="98">
        <f ca="1">HLOOKUP($H$4,'Met Data'!$O$2:$T$368,G521,FALSE)</f>
        <v>1.26531828522689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161</v>
      </c>
      <c r="H522" s="97">
        <f t="shared" ca="1" si="89"/>
        <v>45817</v>
      </c>
      <c r="I522" s="121">
        <f ca="1">HLOOKUP($H$4,'Met Data'!$A$2:$F$368,G522,FALSE)</f>
        <v>7.8272727272727201</v>
      </c>
      <c r="J522" s="119">
        <f ca="1">HLOOKUP($H$4,'Met Data'!$H$2:$M$368,G522,FALSE)*L522</f>
        <v>1.4757575757575701</v>
      </c>
      <c r="K522" s="98">
        <f ca="1">HLOOKUP($H$4,'Met Data'!$O$2:$T$368,G522,FALSE)</f>
        <v>1.2369277599155599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162</v>
      </c>
      <c r="H523" s="97">
        <f t="shared" ca="1" si="89"/>
        <v>45818</v>
      </c>
      <c r="I523" s="121">
        <f ca="1">HLOOKUP($H$4,'Met Data'!$A$2:$F$368,G523,FALSE)</f>
        <v>7.8272727272727201</v>
      </c>
      <c r="J523" s="119">
        <f ca="1">HLOOKUP($H$4,'Met Data'!$H$2:$M$368,G523,FALSE)*L523</f>
        <v>1.8848484848484801</v>
      </c>
      <c r="K523" s="98">
        <f ca="1">HLOOKUP($H$4,'Met Data'!$O$2:$T$368,G523,FALSE)</f>
        <v>1.0943317227835101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163</v>
      </c>
      <c r="H524" s="97">
        <f t="shared" ca="1" si="89"/>
        <v>45819</v>
      </c>
      <c r="I524" s="121">
        <f ca="1">HLOOKUP($H$4,'Met Data'!$A$2:$F$368,G524,FALSE)</f>
        <v>7.6075757575757503</v>
      </c>
      <c r="J524" s="119">
        <f ca="1">HLOOKUP($H$4,'Met Data'!$H$2:$M$368,G524,FALSE)*L524</f>
        <v>1.28484848484848</v>
      </c>
      <c r="K524" s="98">
        <f ca="1">HLOOKUP($H$4,'Met Data'!$O$2:$T$368,G524,FALSE)</f>
        <v>1.2594125286590201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164</v>
      </c>
      <c r="H525" s="97">
        <f t="shared" ca="1" si="89"/>
        <v>45820</v>
      </c>
      <c r="I525" s="121">
        <f ca="1">HLOOKUP($H$4,'Met Data'!$A$2:$F$368,G525,FALSE)</f>
        <v>7.7030303030302996</v>
      </c>
      <c r="J525" s="119">
        <f ca="1">HLOOKUP($H$4,'Met Data'!$H$2:$M$368,G525,FALSE)*L525</f>
        <v>3.9121212121212099</v>
      </c>
      <c r="K525" s="98">
        <f ca="1">HLOOKUP($H$4,'Met Data'!$O$2:$T$368,G525,FALSE)</f>
        <v>1.3128498286819099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165</v>
      </c>
      <c r="H526" s="97">
        <f t="shared" ca="1" si="89"/>
        <v>45821</v>
      </c>
      <c r="I526" s="121">
        <f ca="1">HLOOKUP($H$4,'Met Data'!$A$2:$F$368,G526,FALSE)</f>
        <v>6.8681818181818102</v>
      </c>
      <c r="J526" s="119">
        <f ca="1">HLOOKUP($H$4,'Met Data'!$H$2:$M$368,G526,FALSE)*L526</f>
        <v>2.0303030303030298</v>
      </c>
      <c r="K526" s="98">
        <f ca="1">HLOOKUP($H$4,'Met Data'!$O$2:$T$368,G526,FALSE)</f>
        <v>1.1474480520873001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166</v>
      </c>
      <c r="H527" s="97">
        <f t="shared" ca="1" si="89"/>
        <v>45822</v>
      </c>
      <c r="I527" s="121">
        <f ca="1">HLOOKUP($H$4,'Met Data'!$A$2:$F$368,G527,FALSE)</f>
        <v>7.2318181818181797</v>
      </c>
      <c r="J527" s="119">
        <f ca="1">HLOOKUP($H$4,'Met Data'!$H$2:$M$368,G527,FALSE)*L527</f>
        <v>1.5575757575757501</v>
      </c>
      <c r="K527" s="98">
        <f ca="1">HLOOKUP($H$4,'Met Data'!$O$2:$T$368,G527,FALSE)</f>
        <v>1.2613045443409601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167</v>
      </c>
      <c r="H528" s="97">
        <f t="shared" ca="1" si="89"/>
        <v>45823</v>
      </c>
      <c r="I528" s="121">
        <f ca="1">HLOOKUP($H$4,'Met Data'!$A$2:$F$368,G528,FALSE)</f>
        <v>7.3390624999999998</v>
      </c>
      <c r="J528" s="119">
        <f ca="1">HLOOKUP($H$4,'Met Data'!$H$2:$M$368,G528,FALSE)*L528</f>
        <v>3.41818181818181</v>
      </c>
      <c r="K528" s="98">
        <f ca="1">HLOOKUP($H$4,'Met Data'!$O$2:$T$368,G528,FALSE)</f>
        <v>1.17147222127628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168</v>
      </c>
      <c r="H529" s="97">
        <f t="shared" ca="1" si="89"/>
        <v>45824</v>
      </c>
      <c r="I529" s="121">
        <f ca="1">HLOOKUP($H$4,'Met Data'!$A$2:$F$368,G529,FALSE)</f>
        <v>6.6624999999999996</v>
      </c>
      <c r="J529" s="119">
        <f ca="1">HLOOKUP($H$4,'Met Data'!$H$2:$M$368,G529,FALSE)*L529</f>
        <v>2.5727272727272701</v>
      </c>
      <c r="K529" s="98">
        <f ca="1">HLOOKUP($H$4,'Met Data'!$O$2:$T$368,G529,FALSE)</f>
        <v>1.0572111213197799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169</v>
      </c>
      <c r="H530" s="97">
        <f t="shared" ca="1" si="89"/>
        <v>45825</v>
      </c>
      <c r="I530" s="121">
        <f ca="1">HLOOKUP($H$4,'Met Data'!$A$2:$F$368,G530,FALSE)</f>
        <v>6.015625</v>
      </c>
      <c r="J530" s="119">
        <f ca="1">HLOOKUP($H$4,'Met Data'!$H$2:$M$368,G530,FALSE)*L530</f>
        <v>3.0060606060606001</v>
      </c>
      <c r="K530" s="98">
        <f ca="1">HLOOKUP($H$4,'Met Data'!$O$2:$T$368,G530,FALSE)</f>
        <v>1.0716644953435599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170</v>
      </c>
      <c r="H531" s="97">
        <f t="shared" ca="1" si="89"/>
        <v>45826</v>
      </c>
      <c r="I531" s="121">
        <f ca="1">HLOOKUP($H$4,'Met Data'!$A$2:$F$368,G531,FALSE)</f>
        <v>6.4772727272727204</v>
      </c>
      <c r="J531" s="119">
        <f ca="1">HLOOKUP($H$4,'Met Data'!$H$2:$M$368,G531,FALSE)*L531</f>
        <v>2.2727272727272698</v>
      </c>
      <c r="K531" s="98">
        <f ca="1">HLOOKUP($H$4,'Met Data'!$O$2:$T$368,G531,FALSE)</f>
        <v>1.12776465530811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171</v>
      </c>
      <c r="H532" s="97">
        <f t="shared" ca="1" si="89"/>
        <v>45827</v>
      </c>
      <c r="I532" s="121">
        <f ca="1">HLOOKUP($H$4,'Met Data'!$A$2:$F$368,G532,FALSE)</f>
        <v>6.3803030303030299</v>
      </c>
      <c r="J532" s="119">
        <f ca="1">HLOOKUP($H$4,'Met Data'!$H$2:$M$368,G532,FALSE)*L532</f>
        <v>2.1939393939393899</v>
      </c>
      <c r="K532" s="98">
        <f ca="1">HLOOKUP($H$4,'Met Data'!$O$2:$T$368,G532,FALSE)</f>
        <v>1.1020204232536399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172</v>
      </c>
      <c r="H533" s="97">
        <f t="shared" ca="1" si="89"/>
        <v>45828</v>
      </c>
      <c r="I533" s="121">
        <f ca="1">HLOOKUP($H$4,'Met Data'!$A$2:$F$368,G533,FALSE)</f>
        <v>6.4439393939393899</v>
      </c>
      <c r="J533" s="119">
        <f ca="1">HLOOKUP($H$4,'Met Data'!$H$2:$M$368,G533,FALSE)*L533</f>
        <v>2.1121212121212101</v>
      </c>
      <c r="K533" s="98">
        <f ca="1">HLOOKUP($H$4,'Met Data'!$O$2:$T$368,G533,FALSE)</f>
        <v>1.0991176814324299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173</v>
      </c>
      <c r="H534" s="97">
        <f t="shared" ca="1" si="89"/>
        <v>45829</v>
      </c>
      <c r="I534" s="121">
        <f ca="1">HLOOKUP($H$4,'Met Data'!$A$2:$F$368,G534,FALSE)</f>
        <v>6.5606060606060597</v>
      </c>
      <c r="J534" s="119">
        <f ca="1">HLOOKUP($H$4,'Met Data'!$H$2:$M$368,G534,FALSE)*L534</f>
        <v>2.0333333333333301</v>
      </c>
      <c r="K534" s="98">
        <f ca="1">HLOOKUP($H$4,'Met Data'!$O$2:$T$368,G534,FALSE)</f>
        <v>1.06265243044536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174</v>
      </c>
      <c r="H535" s="97">
        <f t="shared" ca="1" si="89"/>
        <v>45830</v>
      </c>
      <c r="I535" s="121">
        <f ca="1">HLOOKUP($H$4,'Met Data'!$A$2:$F$368,G535,FALSE)</f>
        <v>6.1424242424242399</v>
      </c>
      <c r="J535" s="119">
        <f ca="1">HLOOKUP($H$4,'Met Data'!$H$2:$M$368,G535,FALSE)*L535</f>
        <v>2.0939393939393902</v>
      </c>
      <c r="K535" s="98">
        <f ca="1">HLOOKUP($H$4,'Met Data'!$O$2:$T$368,G535,FALSE)</f>
        <v>1.01861486176599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175</v>
      </c>
      <c r="H536" s="97">
        <f t="shared" ca="1" si="89"/>
        <v>45831</v>
      </c>
      <c r="I536" s="121">
        <f ca="1">HLOOKUP($H$4,'Met Data'!$A$2:$F$368,G536,FALSE)</f>
        <v>6.20757575757575</v>
      </c>
      <c r="J536" s="119">
        <f ca="1">HLOOKUP($H$4,'Met Data'!$H$2:$M$368,G536,FALSE)*L536</f>
        <v>1.41818181818181</v>
      </c>
      <c r="K536" s="98">
        <f ca="1">HLOOKUP($H$4,'Met Data'!$O$2:$T$368,G536,FALSE)</f>
        <v>1.17304690631908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176</v>
      </c>
      <c r="H537" s="97">
        <f t="shared" ca="1" si="89"/>
        <v>45832</v>
      </c>
      <c r="I537" s="121">
        <f ca="1">HLOOKUP($H$4,'Met Data'!$A$2:$F$368,G537,FALSE)</f>
        <v>6.5106060606060598</v>
      </c>
      <c r="J537" s="119">
        <f ca="1">HLOOKUP($H$4,'Met Data'!$H$2:$M$368,G537,FALSE)*L537</f>
        <v>1.78484848484848</v>
      </c>
      <c r="K537" s="98">
        <f ca="1">HLOOKUP($H$4,'Met Data'!$O$2:$T$368,G537,FALSE)</f>
        <v>1.05340987186552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177</v>
      </c>
      <c r="H538" s="97">
        <f t="shared" ca="1" si="89"/>
        <v>45833</v>
      </c>
      <c r="I538" s="121">
        <f ca="1">HLOOKUP($H$4,'Met Data'!$A$2:$F$368,G538,FALSE)</f>
        <v>6.4439393939393899</v>
      </c>
      <c r="J538" s="119">
        <f ca="1">HLOOKUP($H$4,'Met Data'!$H$2:$M$368,G538,FALSE)*L538</f>
        <v>1.4909090909090901</v>
      </c>
      <c r="K538" s="98">
        <f ca="1">HLOOKUP($H$4,'Met Data'!$O$2:$T$368,G538,FALSE)</f>
        <v>1.1237466528878399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178</v>
      </c>
      <c r="H539" s="97">
        <f t="shared" ca="1" si="89"/>
        <v>45834</v>
      </c>
      <c r="I539" s="121">
        <f ca="1">HLOOKUP($H$4,'Met Data'!$A$2:$F$368,G539,FALSE)</f>
        <v>6.6909090909090896</v>
      </c>
      <c r="J539" s="119">
        <f ca="1">HLOOKUP($H$4,'Met Data'!$H$2:$M$368,G539,FALSE)*L539</f>
        <v>1.3090909090909</v>
      </c>
      <c r="K539" s="98">
        <f ca="1">HLOOKUP($H$4,'Met Data'!$O$2:$T$368,G539,FALSE)</f>
        <v>1.1592232631741799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179</v>
      </c>
      <c r="H540" s="97">
        <f t="shared" ca="1" si="89"/>
        <v>45835</v>
      </c>
      <c r="I540" s="121">
        <f ca="1">HLOOKUP($H$4,'Met Data'!$A$2:$F$368,G540,FALSE)</f>
        <v>6.1848484848484802</v>
      </c>
      <c r="J540" s="119">
        <f ca="1">HLOOKUP($H$4,'Met Data'!$H$2:$M$368,G540,FALSE)*L540</f>
        <v>1.8060606060605999</v>
      </c>
      <c r="K540" s="98">
        <f ca="1">HLOOKUP($H$4,'Met Data'!$O$2:$T$368,G540,FALSE)</f>
        <v>1.0801233950998499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180</v>
      </c>
      <c r="H541" s="97">
        <f t="shared" ca="1" si="89"/>
        <v>45836</v>
      </c>
      <c r="I541" s="121">
        <f ca="1">HLOOKUP($H$4,'Met Data'!$A$2:$F$368,G541,FALSE)</f>
        <v>5.9242424242424203</v>
      </c>
      <c r="J541" s="119">
        <f ca="1">HLOOKUP($H$4,'Met Data'!$H$2:$M$368,G541,FALSE)*L541</f>
        <v>1.7121212121212099</v>
      </c>
      <c r="K541" s="98">
        <f ca="1">HLOOKUP($H$4,'Met Data'!$O$2:$T$368,G541,FALSE)</f>
        <v>1.01058351362291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181</v>
      </c>
      <c r="H542" s="97">
        <f t="shared" ca="1" si="89"/>
        <v>45837</v>
      </c>
      <c r="I542" s="121">
        <f ca="1">HLOOKUP($H$4,'Met Data'!$A$2:$F$368,G542,FALSE)</f>
        <v>6.1499999999999897</v>
      </c>
      <c r="J542" s="119">
        <f ca="1">HLOOKUP($H$4,'Met Data'!$H$2:$M$368,G542,FALSE)*L542</f>
        <v>3.14848484848484</v>
      </c>
      <c r="K542" s="98">
        <f ca="1">HLOOKUP($H$4,'Met Data'!$O$2:$T$368,G542,FALSE)</f>
        <v>1.0356452508213501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182</v>
      </c>
      <c r="H543" s="97">
        <f t="shared" ca="1" si="89"/>
        <v>45838</v>
      </c>
      <c r="I543" s="121">
        <f ca="1">HLOOKUP($H$4,'Met Data'!$A$2:$F$368,G543,FALSE)</f>
        <v>6.4909090909090903</v>
      </c>
      <c r="J543" s="119">
        <f ca="1">HLOOKUP($H$4,'Met Data'!$H$2:$M$368,G543,FALSE)*L543</f>
        <v>2.17575757575757</v>
      </c>
      <c r="K543" s="98">
        <f ca="1">HLOOKUP($H$4,'Met Data'!$O$2:$T$368,G543,FALSE)</f>
        <v>1.2161265984409499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183</v>
      </c>
      <c r="H544" s="97">
        <f t="shared" ca="1" si="89"/>
        <v>45839</v>
      </c>
      <c r="I544" s="121">
        <f ca="1">HLOOKUP($H$4,'Met Data'!$A$2:$F$368,G544,FALSE)</f>
        <v>5.80151515151515</v>
      </c>
      <c r="J544" s="119">
        <f ca="1">HLOOKUP($H$4,'Met Data'!$H$2:$M$368,G544,FALSE)*L544</f>
        <v>1.3575757575757501</v>
      </c>
      <c r="K544" s="98">
        <f ca="1">HLOOKUP($H$4,'Met Data'!$O$2:$T$368,G544,FALSE)</f>
        <v>1.0914719035015701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184</v>
      </c>
      <c r="H545" s="97">
        <f t="shared" ca="1" si="89"/>
        <v>45840</v>
      </c>
      <c r="I545" s="121">
        <f ca="1">HLOOKUP($H$4,'Met Data'!$A$2:$F$368,G545,FALSE)</f>
        <v>5.4696969696969697</v>
      </c>
      <c r="J545" s="119">
        <f ca="1">HLOOKUP($H$4,'Met Data'!$H$2:$M$368,G545,FALSE)*L545</f>
        <v>1.66363636363636</v>
      </c>
      <c r="K545" s="98">
        <f ca="1">HLOOKUP($H$4,'Met Data'!$O$2:$T$368,G545,FALSE)</f>
        <v>1.0977706117478601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185</v>
      </c>
      <c r="H546" s="97">
        <f t="shared" ca="1" si="89"/>
        <v>45841</v>
      </c>
      <c r="I546" s="121">
        <f ca="1">HLOOKUP($H$4,'Met Data'!$A$2:$F$368,G546,FALSE)</f>
        <v>6.01212121212121</v>
      </c>
      <c r="J546" s="119">
        <f ca="1">HLOOKUP($H$4,'Met Data'!$H$2:$M$368,G546,FALSE)*L546</f>
        <v>1.73030303030303</v>
      </c>
      <c r="K546" s="98">
        <f ca="1">HLOOKUP($H$4,'Met Data'!$O$2:$T$368,G546,FALSE)</f>
        <v>1.17483894696367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186</v>
      </c>
      <c r="H547" s="97">
        <f t="shared" ca="1" si="89"/>
        <v>45842</v>
      </c>
      <c r="I547" s="121">
        <f ca="1">HLOOKUP($H$4,'Met Data'!$A$2:$F$368,G547,FALSE)</f>
        <v>6.2727272727272698</v>
      </c>
      <c r="J547" s="119">
        <f ca="1">HLOOKUP($H$4,'Met Data'!$H$2:$M$368,G547,FALSE)*L547</f>
        <v>1.39393939393939</v>
      </c>
      <c r="K547" s="98">
        <f ca="1">HLOOKUP($H$4,'Met Data'!$O$2:$T$368,G547,FALSE)</f>
        <v>1.1350548695748499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187</v>
      </c>
      <c r="H548" s="97">
        <f t="shared" ca="1" si="89"/>
        <v>45843</v>
      </c>
      <c r="I548" s="121">
        <f ca="1">HLOOKUP($H$4,'Met Data'!$A$2:$F$368,G548,FALSE)</f>
        <v>6.5393939393939302</v>
      </c>
      <c r="J548" s="119">
        <f ca="1">HLOOKUP($H$4,'Met Data'!$H$2:$M$368,G548,FALSE)*L548</f>
        <v>1.2030303030303</v>
      </c>
      <c r="K548" s="98">
        <f ca="1">HLOOKUP($H$4,'Met Data'!$O$2:$T$368,G548,FALSE)</f>
        <v>1.3082124240908799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188</v>
      </c>
      <c r="H549" s="97">
        <f t="shared" ca="1" si="89"/>
        <v>45844</v>
      </c>
      <c r="I549" s="121">
        <f ca="1">HLOOKUP($H$4,'Met Data'!$A$2:$F$368,G549,FALSE)</f>
        <v>6.3272727272727201</v>
      </c>
      <c r="J549" s="119">
        <f ca="1">HLOOKUP($H$4,'Met Data'!$H$2:$M$368,G549,FALSE)*L549</f>
        <v>3.2515151515151501</v>
      </c>
      <c r="K549" s="98">
        <f ca="1">HLOOKUP($H$4,'Met Data'!$O$2:$T$368,G549,FALSE)</f>
        <v>1.1532462604149001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189</v>
      </c>
      <c r="H550" s="97">
        <f t="shared" ca="1" si="89"/>
        <v>45845</v>
      </c>
      <c r="I550" s="121">
        <f ca="1">HLOOKUP($H$4,'Met Data'!$A$2:$F$368,G550,FALSE)</f>
        <v>5.5742424242424198</v>
      </c>
      <c r="J550" s="119">
        <f ca="1">HLOOKUP($H$4,'Met Data'!$H$2:$M$368,G550,FALSE)*L550</f>
        <v>1.1151515151515099</v>
      </c>
      <c r="K550" s="98">
        <f ca="1">HLOOKUP($H$4,'Met Data'!$O$2:$T$368,G550,FALSE)</f>
        <v>1.1860865780805001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190</v>
      </c>
      <c r="H551" s="97">
        <f t="shared" ca="1" si="89"/>
        <v>45846</v>
      </c>
      <c r="I551" s="121">
        <f ca="1">HLOOKUP($H$4,'Met Data'!$A$2:$F$368,G551,FALSE)</f>
        <v>5.2243939393939298</v>
      </c>
      <c r="J551" s="119">
        <f ca="1">HLOOKUP($H$4,'Met Data'!$H$2:$M$368,G551,FALSE)*L551</f>
        <v>1.7878787878787801</v>
      </c>
      <c r="K551" s="98">
        <f ca="1">HLOOKUP($H$4,'Met Data'!$O$2:$T$368,G551,FALSE)</f>
        <v>1.0756170169258299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191</v>
      </c>
      <c r="H552" s="97">
        <f t="shared" ca="1" si="89"/>
        <v>45847</v>
      </c>
      <c r="I552" s="121">
        <f ca="1">HLOOKUP($H$4,'Met Data'!$A$2:$F$368,G552,FALSE)</f>
        <v>5.4590909090909001</v>
      </c>
      <c r="J552" s="119">
        <f ca="1">HLOOKUP($H$4,'Met Data'!$H$2:$M$368,G552,FALSE)*L552</f>
        <v>1.32424242424242</v>
      </c>
      <c r="K552" s="98">
        <f ca="1">HLOOKUP($H$4,'Met Data'!$O$2:$T$368,G552,FALSE)</f>
        <v>1.1571191090080499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192</v>
      </c>
      <c r="H553" s="97">
        <f t="shared" ca="1" si="89"/>
        <v>45848</v>
      </c>
      <c r="I553" s="121">
        <f ca="1">HLOOKUP($H$4,'Met Data'!$A$2:$F$368,G553,FALSE)</f>
        <v>5.67121212121212</v>
      </c>
      <c r="J553" s="119">
        <f ca="1">HLOOKUP($H$4,'Met Data'!$H$2:$M$368,G553,FALSE)*L553</f>
        <v>1.1303030303030299</v>
      </c>
      <c r="K553" s="98">
        <f ca="1">HLOOKUP($H$4,'Met Data'!$O$2:$T$368,G553,FALSE)</f>
        <v>1.1823583053236399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193</v>
      </c>
      <c r="H554" s="97">
        <f t="shared" ca="1" si="89"/>
        <v>45849</v>
      </c>
      <c r="I554" s="121">
        <f ca="1">HLOOKUP($H$4,'Met Data'!$A$2:$F$368,G554,FALSE)</f>
        <v>5.5803030303030301</v>
      </c>
      <c r="J554" s="119">
        <f ca="1">HLOOKUP($H$4,'Met Data'!$H$2:$M$368,G554,FALSE)*L554</f>
        <v>1.71818181818181</v>
      </c>
      <c r="K554" s="98">
        <f ca="1">HLOOKUP($H$4,'Met Data'!$O$2:$T$368,G554,FALSE)</f>
        <v>1.1413084648267999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194</v>
      </c>
      <c r="H555" s="97">
        <f t="shared" ca="1" si="89"/>
        <v>45850</v>
      </c>
      <c r="I555" s="121">
        <f ca="1">HLOOKUP($H$4,'Met Data'!$A$2:$F$368,G555,FALSE)</f>
        <v>5.8181818181818103</v>
      </c>
      <c r="J555" s="119">
        <f ca="1">HLOOKUP($H$4,'Met Data'!$H$2:$M$368,G555,FALSE)*L555</f>
        <v>1.27272727272727</v>
      </c>
      <c r="K555" s="98">
        <f ca="1">HLOOKUP($H$4,'Met Data'!$O$2:$T$368,G555,FALSE)</f>
        <v>1.2366027185060899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195</v>
      </c>
      <c r="H556" s="97">
        <f t="shared" ca="1" si="89"/>
        <v>45851</v>
      </c>
      <c r="I556" s="121">
        <f ca="1">HLOOKUP($H$4,'Met Data'!$A$2:$F$368,G556,FALSE)</f>
        <v>5.8984848484848396</v>
      </c>
      <c r="J556" s="119">
        <f ca="1">HLOOKUP($H$4,'Met Data'!$H$2:$M$368,G556,FALSE)*L556</f>
        <v>1.44545454545454</v>
      </c>
      <c r="K556" s="98">
        <f ca="1">HLOOKUP($H$4,'Met Data'!$O$2:$T$368,G556,FALSE)</f>
        <v>1.20462827119224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196</v>
      </c>
      <c r="H557" s="97">
        <f t="shared" ca="1" si="89"/>
        <v>45852</v>
      </c>
      <c r="I557" s="121">
        <f ca="1">HLOOKUP($H$4,'Met Data'!$A$2:$F$368,G557,FALSE)</f>
        <v>6.1590909090909003</v>
      </c>
      <c r="J557" s="119">
        <f ca="1">HLOOKUP($H$4,'Met Data'!$H$2:$M$368,G557,FALSE)*L557</f>
        <v>0.93333333333333302</v>
      </c>
      <c r="K557" s="98">
        <f ca="1">HLOOKUP($H$4,'Met Data'!$O$2:$T$368,G557,FALSE)</f>
        <v>1.08107866384151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197</v>
      </c>
      <c r="H558" s="97">
        <f t="shared" ca="1" si="89"/>
        <v>45853</v>
      </c>
      <c r="I558" s="121">
        <f ca="1">HLOOKUP($H$4,'Met Data'!$A$2:$F$368,G558,FALSE)</f>
        <v>5.8606060606060604</v>
      </c>
      <c r="J558" s="119">
        <f ca="1">HLOOKUP($H$4,'Met Data'!$H$2:$M$368,G558,FALSE)*L558</f>
        <v>0.95454545454545403</v>
      </c>
      <c r="K558" s="98">
        <f ca="1">HLOOKUP($H$4,'Met Data'!$O$2:$T$368,G558,FALSE)</f>
        <v>1.0543699556166799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198</v>
      </c>
      <c r="H559" s="97">
        <f t="shared" ca="1" si="89"/>
        <v>45854</v>
      </c>
      <c r="I559" s="121">
        <f ca="1">HLOOKUP($H$4,'Met Data'!$A$2:$F$368,G559,FALSE)</f>
        <v>6.3318181818181802</v>
      </c>
      <c r="J559" s="119">
        <f ca="1">HLOOKUP($H$4,'Met Data'!$H$2:$M$368,G559,FALSE)*L559</f>
        <v>1.9030303030303</v>
      </c>
      <c r="K559" s="98">
        <f ca="1">HLOOKUP($H$4,'Met Data'!$O$2:$T$368,G559,FALSE)</f>
        <v>1.0854702771695099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ref="G560:G623" ca="1" si="90">H560-DATE(YEAR(H560),1,0)+1</f>
        <v>199</v>
      </c>
      <c r="H560" s="97">
        <f t="shared" ca="1" si="89"/>
        <v>45855</v>
      </c>
      <c r="I560" s="121">
        <f ca="1">HLOOKUP($H$4,'Met Data'!$A$2:$F$368,G560,FALSE)</f>
        <v>6.4424242424242397</v>
      </c>
      <c r="J560" s="119">
        <f ca="1">HLOOKUP($H$4,'Met Data'!$H$2:$M$368,G560,FALSE)*L560</f>
        <v>2.3454545454545399</v>
      </c>
      <c r="K560" s="98">
        <f ca="1">HLOOKUP($H$4,'Met Data'!$O$2:$T$368,G560,FALSE)</f>
        <v>0.98557119798157899</v>
      </c>
      <c r="L560">
        <f t="shared" ca="1" si="88"/>
        <v>1</v>
      </c>
      <c r="N560" t="e">
        <f t="shared" ref="N560:N623" ca="1" si="91">IF(P560&lt;$P$3,TRUE,FALSE)</f>
        <v>#N/A</v>
      </c>
      <c r="O560" t="e">
        <f t="shared" ref="O560:O623" ca="1" si="92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3">IFERROR(P560,$AD$4)</f>
        <v>0</v>
      </c>
      <c r="AE560">
        <f t="shared" ref="AE560:AE623" ca="1" si="94">IFERROR(U560,0)</f>
        <v>0</v>
      </c>
      <c r="AG560" s="63" t="e">
        <f t="shared" ref="AG560:AG623" ca="1" si="95">Q559+S560+T560+U560</f>
        <v>#N/A</v>
      </c>
      <c r="AH560" s="63" t="e">
        <f t="shared" ref="AH560:AH623" ca="1" si="96">Q560+R560+X560</f>
        <v>#N/A</v>
      </c>
      <c r="AI560" s="3" t="e">
        <f t="shared" ref="AI560:AI623" ca="1" si="97">AH560-AG560</f>
        <v>#N/A</v>
      </c>
    </row>
    <row r="561" spans="7:35" ht="15.75" thickBot="1">
      <c r="G561" s="3">
        <f t="shared" ca="1" si="90"/>
        <v>200</v>
      </c>
      <c r="H561" s="97">
        <f t="shared" ca="1" si="89"/>
        <v>45856</v>
      </c>
      <c r="I561" s="121">
        <f ca="1">HLOOKUP($H$4,'Met Data'!$A$2:$F$368,G561,FALSE)</f>
        <v>6.3242424242424198</v>
      </c>
      <c r="J561" s="119">
        <f ca="1">HLOOKUP($H$4,'Met Data'!$H$2:$M$368,G561,FALSE)*L561</f>
        <v>3.6</v>
      </c>
      <c r="K561" s="98">
        <f ca="1">HLOOKUP($H$4,'Met Data'!$O$2:$T$368,G561,FALSE)</f>
        <v>1.0101770597585</v>
      </c>
      <c r="L561">
        <f t="shared" ca="1" si="88"/>
        <v>1</v>
      </c>
      <c r="N561" t="e">
        <f t="shared" ca="1" si="91"/>
        <v>#N/A</v>
      </c>
      <c r="O561" t="e">
        <f t="shared" ca="1" si="92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3"/>
        <v>0</v>
      </c>
      <c r="AE561">
        <f t="shared" ca="1" si="94"/>
        <v>0</v>
      </c>
      <c r="AG561" s="63" t="e">
        <f t="shared" ca="1" si="95"/>
        <v>#N/A</v>
      </c>
      <c r="AH561" s="63" t="e">
        <f t="shared" ca="1" si="96"/>
        <v>#N/A</v>
      </c>
      <c r="AI561" s="3" t="e">
        <f t="shared" ca="1" si="97"/>
        <v>#N/A</v>
      </c>
    </row>
    <row r="562" spans="7:35" ht="15.75" thickBot="1">
      <c r="G562" s="3">
        <f t="shared" ca="1" si="90"/>
        <v>201</v>
      </c>
      <c r="H562" s="97">
        <f t="shared" ca="1" si="89"/>
        <v>45857</v>
      </c>
      <c r="I562" s="121">
        <f ca="1">HLOOKUP($H$4,'Met Data'!$A$2:$F$368,G562,FALSE)</f>
        <v>6.5333333333333297</v>
      </c>
      <c r="J562" s="119">
        <f ca="1">HLOOKUP($H$4,'Met Data'!$H$2:$M$368,G562,FALSE)*L562</f>
        <v>1.92121212121212</v>
      </c>
      <c r="K562" s="98">
        <f ca="1">HLOOKUP($H$4,'Met Data'!$O$2:$T$368,G562,FALSE)</f>
        <v>1.0019139083521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202</v>
      </c>
      <c r="H563" s="97">
        <f t="shared" ca="1" si="89"/>
        <v>45858</v>
      </c>
      <c r="I563" s="121">
        <f ca="1">HLOOKUP($H$4,'Met Data'!$A$2:$F$368,G563,FALSE)</f>
        <v>6.70757575757575</v>
      </c>
      <c r="J563" s="119">
        <f ca="1">HLOOKUP($H$4,'Met Data'!$H$2:$M$368,G563,FALSE)*L563</f>
        <v>1.76969696969696</v>
      </c>
      <c r="K563" s="98">
        <f ca="1">HLOOKUP($H$4,'Met Data'!$O$2:$T$368,G563,FALSE)</f>
        <v>1.1757544824616699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203</v>
      </c>
      <c r="H564" s="97">
        <f t="shared" ca="1" si="89"/>
        <v>45859</v>
      </c>
      <c r="I564" s="121">
        <f ca="1">HLOOKUP($H$4,'Met Data'!$A$2:$F$368,G564,FALSE)</f>
        <v>6.2909090909090901</v>
      </c>
      <c r="J564" s="119">
        <f ca="1">HLOOKUP($H$4,'Met Data'!$H$2:$M$368,G564,FALSE)*L564</f>
        <v>2.1</v>
      </c>
      <c r="K564" s="98">
        <f ca="1">HLOOKUP($H$4,'Met Data'!$O$2:$T$368,G564,FALSE)</f>
        <v>1.0943315234208899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204</v>
      </c>
      <c r="H565" s="97">
        <f t="shared" ca="1" si="89"/>
        <v>45860</v>
      </c>
      <c r="I565" s="121">
        <f ca="1">HLOOKUP($H$4,'Met Data'!$A$2:$F$368,G565,FALSE)</f>
        <v>6.5757575757575699</v>
      </c>
      <c r="J565" s="119">
        <f ca="1">HLOOKUP($H$4,'Met Data'!$H$2:$M$368,G565,FALSE)*L565</f>
        <v>2.55151515151515</v>
      </c>
      <c r="K565" s="98">
        <f ca="1">HLOOKUP($H$4,'Met Data'!$O$2:$T$368,G565,FALSE)</f>
        <v>1.2263410572015001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205</v>
      </c>
      <c r="H566" s="97">
        <f t="shared" ca="1" si="89"/>
        <v>45861</v>
      </c>
      <c r="I566" s="121">
        <f ca="1">HLOOKUP($H$4,'Met Data'!$A$2:$F$368,G566,FALSE)</f>
        <v>6.8424242424242401</v>
      </c>
      <c r="J566" s="119">
        <f ca="1">HLOOKUP($H$4,'Met Data'!$H$2:$M$368,G566,FALSE)*L566</f>
        <v>0.84545454545454501</v>
      </c>
      <c r="K566" s="98">
        <f ca="1">HLOOKUP($H$4,'Met Data'!$O$2:$T$368,G566,FALSE)</f>
        <v>1.3752263361541199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206</v>
      </c>
      <c r="H567" s="97">
        <f t="shared" ca="1" si="89"/>
        <v>45862</v>
      </c>
      <c r="I567" s="121">
        <f ca="1">HLOOKUP($H$4,'Met Data'!$A$2:$F$368,G567,FALSE)</f>
        <v>6.7236363636363601</v>
      </c>
      <c r="J567" s="119">
        <f ca="1">HLOOKUP($H$4,'Met Data'!$H$2:$M$368,G567,FALSE)*L567</f>
        <v>0.62727272727272698</v>
      </c>
      <c r="K567" s="98">
        <f ca="1">HLOOKUP($H$4,'Met Data'!$O$2:$T$368,G567,FALSE)</f>
        <v>1.3244433723498701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207</v>
      </c>
      <c r="H568" s="97">
        <f t="shared" ca="1" si="89"/>
        <v>45863</v>
      </c>
      <c r="I568" s="121">
        <f ca="1">HLOOKUP($H$4,'Met Data'!$A$2:$F$368,G568,FALSE)</f>
        <v>6.8075757575757496</v>
      </c>
      <c r="J568" s="119">
        <f ca="1">HLOOKUP($H$4,'Met Data'!$H$2:$M$368,G568,FALSE)*L568</f>
        <v>2.63636363636363</v>
      </c>
      <c r="K568" s="98">
        <f ca="1">HLOOKUP($H$4,'Met Data'!$O$2:$T$368,G568,FALSE)</f>
        <v>1.44760057498724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208</v>
      </c>
      <c r="H569" s="97">
        <f t="shared" ca="1" si="89"/>
        <v>45864</v>
      </c>
      <c r="I569" s="121">
        <f ca="1">HLOOKUP($H$4,'Met Data'!$A$2:$F$368,G569,FALSE)</f>
        <v>6.7636363636363601</v>
      </c>
      <c r="J569" s="119">
        <f ca="1">HLOOKUP($H$4,'Met Data'!$H$2:$M$368,G569,FALSE)*L569</f>
        <v>1.49696969696969</v>
      </c>
      <c r="K569" s="98">
        <f ca="1">HLOOKUP($H$4,'Met Data'!$O$2:$T$368,G569,FALSE)</f>
        <v>1.60850212631903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209</v>
      </c>
      <c r="H570" s="97">
        <f t="shared" ca="1" si="89"/>
        <v>45865</v>
      </c>
      <c r="I570" s="121">
        <f ca="1">HLOOKUP($H$4,'Met Data'!$A$2:$F$368,G570,FALSE)</f>
        <v>7.0954545454545404</v>
      </c>
      <c r="J570" s="119">
        <f ca="1">HLOOKUP($H$4,'Met Data'!$H$2:$M$368,G570,FALSE)*L570</f>
        <v>2.4303030303030302</v>
      </c>
      <c r="K570" s="98">
        <f ca="1">HLOOKUP($H$4,'Met Data'!$O$2:$T$368,G570,FALSE)</f>
        <v>1.55883335001025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210</v>
      </c>
      <c r="H571" s="97">
        <f t="shared" ca="1" si="89"/>
        <v>45866</v>
      </c>
      <c r="I571" s="121">
        <f ca="1">HLOOKUP($H$4,'Met Data'!$A$2:$F$368,G571,FALSE)</f>
        <v>7.0287878787878704</v>
      </c>
      <c r="J571" s="119">
        <f ca="1">HLOOKUP($H$4,'Met Data'!$H$2:$M$368,G571,FALSE)*L571</f>
        <v>0.79090909090909101</v>
      </c>
      <c r="K571" s="98">
        <f ca="1">HLOOKUP($H$4,'Met Data'!$O$2:$T$368,G571,FALSE)</f>
        <v>1.4832490994765199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211</v>
      </c>
      <c r="H572" s="97">
        <f t="shared" ca="1" si="89"/>
        <v>45867</v>
      </c>
      <c r="I572" s="121">
        <f ca="1">HLOOKUP($H$4,'Met Data'!$A$2:$F$368,G572,FALSE)</f>
        <v>7.4492424242424198</v>
      </c>
      <c r="J572" s="119">
        <f ca="1">HLOOKUP($H$4,'Met Data'!$H$2:$M$368,G572,FALSE)*L572</f>
        <v>0.79696969696969699</v>
      </c>
      <c r="K572" s="98">
        <f ca="1">HLOOKUP($H$4,'Met Data'!$O$2:$T$368,G572,FALSE)</f>
        <v>1.5379059871907199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212</v>
      </c>
      <c r="H573" s="97">
        <f t="shared" ca="1" si="89"/>
        <v>45868</v>
      </c>
      <c r="I573" s="121">
        <f ca="1">HLOOKUP($H$4,'Met Data'!$A$2:$F$368,G573,FALSE)</f>
        <v>6.8409090909090899</v>
      </c>
      <c r="J573" s="119">
        <f ca="1">HLOOKUP($H$4,'Met Data'!$H$2:$M$368,G573,FALSE)*L573</f>
        <v>1.59393939393939</v>
      </c>
      <c r="K573" s="98">
        <f ca="1">HLOOKUP($H$4,'Met Data'!$O$2:$T$368,G573,FALSE)</f>
        <v>1.61262260286068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213</v>
      </c>
      <c r="H574" s="97">
        <f t="shared" ca="1" si="89"/>
        <v>45869</v>
      </c>
      <c r="I574" s="121">
        <f ca="1">HLOOKUP($H$4,'Met Data'!$A$2:$F$368,G574,FALSE)</f>
        <v>7.1918181818181797</v>
      </c>
      <c r="J574" s="119">
        <f ca="1">HLOOKUP($H$4,'Met Data'!$H$2:$M$368,G574,FALSE)*L574</f>
        <v>0.86060606060606004</v>
      </c>
      <c r="K574" s="98">
        <f ca="1">HLOOKUP($H$4,'Met Data'!$O$2:$T$368,G574,FALSE)</f>
        <v>1.7014054560095799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214</v>
      </c>
      <c r="H575" s="97">
        <f t="shared" ca="1" si="89"/>
        <v>45870</v>
      </c>
      <c r="I575" s="121">
        <f ca="1">HLOOKUP($H$4,'Met Data'!$A$2:$F$368,G575,FALSE)</f>
        <v>7.4148484848484797</v>
      </c>
      <c r="J575" s="119">
        <f ca="1">HLOOKUP($H$4,'Met Data'!$H$2:$M$368,G575,FALSE)*L575</f>
        <v>1.7787878787878699</v>
      </c>
      <c r="K575" s="98">
        <f ca="1">HLOOKUP($H$4,'Met Data'!$O$2:$T$368,G575,FALSE)</f>
        <v>1.57863389711225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215</v>
      </c>
      <c r="H576" s="97">
        <f t="shared" ca="1" si="89"/>
        <v>45871</v>
      </c>
      <c r="I576" s="121">
        <f ca="1">HLOOKUP($H$4,'Met Data'!$A$2:$F$368,G576,FALSE)</f>
        <v>7.1409090909090898</v>
      </c>
      <c r="J576" s="119">
        <f ca="1">HLOOKUP($H$4,'Met Data'!$H$2:$M$368,G576,FALSE)*L576</f>
        <v>1.47272727272727</v>
      </c>
      <c r="K576" s="98">
        <f ca="1">HLOOKUP($H$4,'Met Data'!$O$2:$T$368,G576,FALSE)</f>
        <v>1.5098843625253899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216</v>
      </c>
      <c r="H577" s="97">
        <f t="shared" ca="1" si="89"/>
        <v>45872</v>
      </c>
      <c r="I577" s="121">
        <f ca="1">HLOOKUP($H$4,'Met Data'!$A$2:$F$368,G577,FALSE)</f>
        <v>6.7681818181818096</v>
      </c>
      <c r="J577" s="119">
        <f ca="1">HLOOKUP($H$4,'Met Data'!$H$2:$M$368,G577,FALSE)*L577</f>
        <v>0.76666666666666605</v>
      </c>
      <c r="K577" s="98">
        <f ca="1">HLOOKUP($H$4,'Met Data'!$O$2:$T$368,G577,FALSE)</f>
        <v>1.28491883482887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217</v>
      </c>
      <c r="H578" s="97">
        <f t="shared" ca="1" si="89"/>
        <v>45873</v>
      </c>
      <c r="I578" s="121">
        <f ca="1">HLOOKUP($H$4,'Met Data'!$A$2:$F$368,G578,FALSE)</f>
        <v>7.2015151515151503</v>
      </c>
      <c r="J578" s="119">
        <f ca="1">HLOOKUP($H$4,'Met Data'!$H$2:$M$368,G578,FALSE)*L578</f>
        <v>1.47272727272727</v>
      </c>
      <c r="K578" s="98">
        <f ca="1">HLOOKUP($H$4,'Met Data'!$O$2:$T$368,G578,FALSE)</f>
        <v>1.3386149785468899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218</v>
      </c>
      <c r="H579" s="97">
        <f t="shared" ca="1" si="89"/>
        <v>45874</v>
      </c>
      <c r="I579" s="121">
        <f ca="1">HLOOKUP($H$4,'Met Data'!$A$2:$F$368,G579,FALSE)</f>
        <v>7.3742424242424196</v>
      </c>
      <c r="J579" s="119">
        <f ca="1">HLOOKUP($H$4,'Met Data'!$H$2:$M$368,G579,FALSE)*L579</f>
        <v>1.75757575757575</v>
      </c>
      <c r="K579" s="98">
        <f ca="1">HLOOKUP($H$4,'Met Data'!$O$2:$T$368,G579,FALSE)</f>
        <v>1.55222576978494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219</v>
      </c>
      <c r="H580" s="97">
        <f t="shared" ca="1" si="89"/>
        <v>45875</v>
      </c>
      <c r="I580" s="121">
        <f ca="1">HLOOKUP($H$4,'Met Data'!$A$2:$F$368,G580,FALSE)</f>
        <v>7.4590909090909001</v>
      </c>
      <c r="J580" s="119">
        <f ca="1">HLOOKUP($H$4,'Met Data'!$H$2:$M$368,G580,FALSE)*L580</f>
        <v>0.60909090909090902</v>
      </c>
      <c r="K580" s="98">
        <f ca="1">HLOOKUP($H$4,'Met Data'!$O$2:$T$368,G580,FALSE)</f>
        <v>1.4979769801628799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220</v>
      </c>
      <c r="H581" s="97">
        <f t="shared" ca="1" si="89"/>
        <v>45876</v>
      </c>
      <c r="I581" s="121">
        <f ca="1">HLOOKUP($H$4,'Met Data'!$A$2:$F$368,G581,FALSE)</f>
        <v>7.5939393939393902</v>
      </c>
      <c r="J581" s="119">
        <f ca="1">HLOOKUP($H$4,'Met Data'!$H$2:$M$368,G581,FALSE)*L581</f>
        <v>3.3848484848484799</v>
      </c>
      <c r="K581" s="98">
        <f ca="1">HLOOKUP($H$4,'Met Data'!$O$2:$T$368,G581,FALSE)</f>
        <v>1.51963915749211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221</v>
      </c>
      <c r="H582" s="97">
        <f t="shared" ca="1" si="89"/>
        <v>45877</v>
      </c>
      <c r="I582" s="121">
        <f ca="1">HLOOKUP($H$4,'Met Data'!$A$2:$F$368,G582,FALSE)</f>
        <v>7.3257575757575699</v>
      </c>
      <c r="J582" s="119">
        <f ca="1">HLOOKUP($H$4,'Met Data'!$H$2:$M$368,G582,FALSE)*L582</f>
        <v>3.2363636363636301</v>
      </c>
      <c r="K582" s="98">
        <f ca="1">HLOOKUP($H$4,'Met Data'!$O$2:$T$368,G582,FALSE)</f>
        <v>1.7182656587563401</v>
      </c>
      <c r="L582">
        <f t="shared" ref="L582:L645" ca="1" si="98">IF(H582&lt;$B$31,$J$3,$J$4)</f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222</v>
      </c>
      <c r="H583" s="97">
        <f t="shared" ca="1" si="89"/>
        <v>45878</v>
      </c>
      <c r="I583" s="121">
        <f ca="1">HLOOKUP($H$4,'Met Data'!$A$2:$F$368,G583,FALSE)</f>
        <v>6.6333333333333302</v>
      </c>
      <c r="J583" s="119">
        <f ca="1">HLOOKUP($H$4,'Met Data'!$H$2:$M$368,G583,FALSE)*L583</f>
        <v>1.55151515151515</v>
      </c>
      <c r="K583" s="98">
        <f ca="1">HLOOKUP($H$4,'Met Data'!$O$2:$T$368,G583,FALSE)</f>
        <v>1.45992841951307</v>
      </c>
      <c r="L583">
        <f t="shared" ca="1" si="98"/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223</v>
      </c>
      <c r="H584" s="97">
        <f t="shared" ref="H584:H647" ca="1" si="99">H583+1</f>
        <v>45879</v>
      </c>
      <c r="I584" s="121">
        <f ca="1">HLOOKUP($H$4,'Met Data'!$A$2:$F$368,G584,FALSE)</f>
        <v>7.0696969696969703</v>
      </c>
      <c r="J584" s="119">
        <f ca="1">HLOOKUP($H$4,'Met Data'!$H$2:$M$368,G584,FALSE)*L584</f>
        <v>1.4545454545454499</v>
      </c>
      <c r="K584" s="98">
        <f ca="1">HLOOKUP($H$4,'Met Data'!$O$2:$T$368,G584,FALSE)</f>
        <v>1.43429877915796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224</v>
      </c>
      <c r="H585" s="97">
        <f t="shared" ca="1" si="99"/>
        <v>45880</v>
      </c>
      <c r="I585" s="121">
        <f ca="1">HLOOKUP($H$4,'Met Data'!$A$2:$F$368,G585,FALSE)</f>
        <v>7.5106060606060598</v>
      </c>
      <c r="J585" s="119">
        <f ca="1">HLOOKUP($H$4,'Met Data'!$H$2:$M$368,G585,FALSE)*L585</f>
        <v>1.6030303030302999</v>
      </c>
      <c r="K585" s="98">
        <f ca="1">HLOOKUP($H$4,'Met Data'!$O$2:$T$368,G585,FALSE)</f>
        <v>1.4617211304547399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225</v>
      </c>
      <c r="H586" s="97">
        <f t="shared" ca="1" si="99"/>
        <v>45881</v>
      </c>
      <c r="I586" s="121">
        <f ca="1">HLOOKUP($H$4,'Met Data'!$A$2:$F$368,G586,FALSE)</f>
        <v>7.7378787878787803</v>
      </c>
      <c r="J586" s="119">
        <f ca="1">HLOOKUP($H$4,'Met Data'!$H$2:$M$368,G586,FALSE)*L586</f>
        <v>1.2</v>
      </c>
      <c r="K586" s="98">
        <f ca="1">HLOOKUP($H$4,'Met Data'!$O$2:$T$368,G586,FALSE)</f>
        <v>1.64327704752056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226</v>
      </c>
      <c r="H587" s="97">
        <f t="shared" ca="1" si="99"/>
        <v>45882</v>
      </c>
      <c r="I587" s="121">
        <f ca="1">HLOOKUP($H$4,'Met Data'!$A$2:$F$368,G587,FALSE)</f>
        <v>7.4378787878787804</v>
      </c>
      <c r="J587" s="119">
        <f ca="1">HLOOKUP($H$4,'Met Data'!$H$2:$M$368,G587,FALSE)*L587</f>
        <v>2.0151515151515098</v>
      </c>
      <c r="K587" s="98">
        <f ca="1">HLOOKUP($H$4,'Met Data'!$O$2:$T$368,G587,FALSE)</f>
        <v>1.7219137683755099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227</v>
      </c>
      <c r="H588" s="97">
        <f t="shared" ca="1" si="99"/>
        <v>45883</v>
      </c>
      <c r="I588" s="121">
        <f ca="1">HLOOKUP($H$4,'Met Data'!$A$2:$F$368,G588,FALSE)</f>
        <v>7.3203125</v>
      </c>
      <c r="J588" s="119">
        <f ca="1">HLOOKUP($H$4,'Met Data'!$H$2:$M$368,G588,FALSE)*L588</f>
        <v>2.2093750000000001</v>
      </c>
      <c r="K588" s="98">
        <f ca="1">HLOOKUP($H$4,'Met Data'!$O$2:$T$368,G588,FALSE)</f>
        <v>1.6752410691035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228</v>
      </c>
      <c r="H589" s="97">
        <f t="shared" ca="1" si="99"/>
        <v>45884</v>
      </c>
      <c r="I589" s="121">
        <f ca="1">HLOOKUP($H$4,'Met Data'!$A$2:$F$368,G589,FALSE)</f>
        <v>6.9593749999999996</v>
      </c>
      <c r="J589" s="119">
        <f ca="1">HLOOKUP($H$4,'Met Data'!$H$2:$M$368,G589,FALSE)*L589</f>
        <v>2.0531250000000001</v>
      </c>
      <c r="K589" s="98">
        <f ca="1">HLOOKUP($H$4,'Met Data'!$O$2:$T$368,G589,FALSE)</f>
        <v>1.6478784943890401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229</v>
      </c>
      <c r="H590" s="97">
        <f t="shared" ca="1" si="99"/>
        <v>45885</v>
      </c>
      <c r="I590" s="121">
        <f ca="1">HLOOKUP($H$4,'Met Data'!$A$2:$F$368,G590,FALSE)</f>
        <v>7.1937499999999996</v>
      </c>
      <c r="J590" s="119">
        <f ca="1">HLOOKUP($H$4,'Met Data'!$H$2:$M$368,G590,FALSE)*L590</f>
        <v>2.03125</v>
      </c>
      <c r="K590" s="98">
        <f ca="1">HLOOKUP($H$4,'Met Data'!$O$2:$T$368,G590,FALSE)</f>
        <v>1.7164445634915999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230</v>
      </c>
      <c r="H591" s="97">
        <f t="shared" ca="1" si="99"/>
        <v>45886</v>
      </c>
      <c r="I591" s="121">
        <f ca="1">HLOOKUP($H$4,'Met Data'!$A$2:$F$368,G591,FALSE)</f>
        <v>7.7437500000000004</v>
      </c>
      <c r="J591" s="119">
        <f ca="1">HLOOKUP($H$4,'Met Data'!$H$2:$M$368,G591,FALSE)*L591</f>
        <v>2.4874999999999998</v>
      </c>
      <c r="K591" s="98">
        <f ca="1">HLOOKUP($H$4,'Met Data'!$O$2:$T$368,G591,FALSE)</f>
        <v>1.83858279668266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231</v>
      </c>
      <c r="H592" s="97">
        <f t="shared" ca="1" si="99"/>
        <v>45887</v>
      </c>
      <c r="I592" s="121">
        <f ca="1">HLOOKUP($H$4,'Met Data'!$A$2:$F$368,G592,FALSE)</f>
        <v>7.8</v>
      </c>
      <c r="J592" s="119">
        <f ca="1">HLOOKUP($H$4,'Met Data'!$H$2:$M$368,G592,FALSE)*L592</f>
        <v>2.4656250000000002</v>
      </c>
      <c r="K592" s="98">
        <f ca="1">HLOOKUP($H$4,'Met Data'!$O$2:$T$368,G592,FALSE)</f>
        <v>1.65941446777998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232</v>
      </c>
      <c r="H593" s="97">
        <f t="shared" ca="1" si="99"/>
        <v>45888</v>
      </c>
      <c r="I593" s="121">
        <f ca="1">HLOOKUP($H$4,'Met Data'!$A$2:$F$368,G593,FALSE)</f>
        <v>7.5171875000000004</v>
      </c>
      <c r="J593" s="119">
        <f ca="1">HLOOKUP($H$4,'Met Data'!$H$2:$M$368,G593,FALSE)*L593</f>
        <v>2.0375000000000001</v>
      </c>
      <c r="K593" s="98">
        <f ca="1">HLOOKUP($H$4,'Met Data'!$O$2:$T$368,G593,FALSE)</f>
        <v>1.8302956478085199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233</v>
      </c>
      <c r="H594" s="97">
        <f t="shared" ca="1" si="99"/>
        <v>45889</v>
      </c>
      <c r="I594" s="121">
        <f ca="1">HLOOKUP($H$4,'Met Data'!$A$2:$F$368,G594,FALSE)</f>
        <v>7.5671875000000002</v>
      </c>
      <c r="J594" s="119">
        <f ca="1">HLOOKUP($H$4,'Met Data'!$H$2:$M$368,G594,FALSE)*L594</f>
        <v>1.278125</v>
      </c>
      <c r="K594" s="98">
        <f ca="1">HLOOKUP($H$4,'Met Data'!$O$2:$T$368,G594,FALSE)</f>
        <v>1.86992300057723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234</v>
      </c>
      <c r="H595" s="97">
        <f t="shared" ca="1" si="99"/>
        <v>45890</v>
      </c>
      <c r="I595" s="121">
        <f ca="1">HLOOKUP($H$4,'Met Data'!$A$2:$F$368,G595,FALSE)</f>
        <v>7.2593750000000004</v>
      </c>
      <c r="J595" s="119">
        <f ca="1">HLOOKUP($H$4,'Met Data'!$H$2:$M$368,G595,FALSE)*L595</f>
        <v>2.7843749999999998</v>
      </c>
      <c r="K595" s="98">
        <f ca="1">HLOOKUP($H$4,'Met Data'!$O$2:$T$368,G595,FALSE)</f>
        <v>1.7326605302545099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235</v>
      </c>
      <c r="H596" s="97">
        <f t="shared" ca="1" si="99"/>
        <v>45891</v>
      </c>
      <c r="I596" s="121">
        <f ca="1">HLOOKUP($H$4,'Met Data'!$A$2:$F$368,G596,FALSE)</f>
        <v>7.5062499999999996</v>
      </c>
      <c r="J596" s="119">
        <f ca="1">HLOOKUP($H$4,'Met Data'!$H$2:$M$368,G596,FALSE)*L596</f>
        <v>3.6281249999999998</v>
      </c>
      <c r="K596" s="98">
        <f ca="1">HLOOKUP($H$4,'Met Data'!$O$2:$T$368,G596,FALSE)</f>
        <v>1.7739522546512301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236</v>
      </c>
      <c r="H597" s="97">
        <f t="shared" ca="1" si="99"/>
        <v>45892</v>
      </c>
      <c r="I597" s="121">
        <f ca="1">HLOOKUP($H$4,'Met Data'!$A$2:$F$368,G597,FALSE)</f>
        <v>7.6363636363636296</v>
      </c>
      <c r="J597" s="119">
        <f ca="1">HLOOKUP($H$4,'Met Data'!$H$2:$M$368,G597,FALSE)*L597</f>
        <v>2.0787878787878702</v>
      </c>
      <c r="K597" s="98">
        <f ca="1">HLOOKUP($H$4,'Met Data'!$O$2:$T$368,G597,FALSE)</f>
        <v>1.8600874849981099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237</v>
      </c>
      <c r="H598" s="97">
        <f t="shared" ca="1" si="99"/>
        <v>45893</v>
      </c>
      <c r="I598" s="121">
        <f ca="1">HLOOKUP($H$4,'Met Data'!$A$2:$F$368,G598,FALSE)</f>
        <v>8.1045454545454501</v>
      </c>
      <c r="J598" s="119">
        <f ca="1">HLOOKUP($H$4,'Met Data'!$H$2:$M$368,G598,FALSE)*L598</f>
        <v>0.324242424242424</v>
      </c>
      <c r="K598" s="98">
        <f ca="1">HLOOKUP($H$4,'Met Data'!$O$2:$T$368,G598,FALSE)</f>
        <v>1.9096330242923301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238</v>
      </c>
      <c r="H599" s="97">
        <f t="shared" ca="1" si="99"/>
        <v>45894</v>
      </c>
      <c r="I599" s="121">
        <f ca="1">HLOOKUP($H$4,'Met Data'!$A$2:$F$368,G599,FALSE)</f>
        <v>8.2954545454545396</v>
      </c>
      <c r="J599" s="119">
        <f ca="1">HLOOKUP($H$4,'Met Data'!$H$2:$M$368,G599,FALSE)*L599</f>
        <v>1.3424242424242401</v>
      </c>
      <c r="K599" s="98">
        <f ca="1">HLOOKUP($H$4,'Met Data'!$O$2:$T$368,G599,FALSE)</f>
        <v>1.9397244182821201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239</v>
      </c>
      <c r="H600" s="97">
        <f t="shared" ca="1" si="99"/>
        <v>45895</v>
      </c>
      <c r="I600" s="121">
        <f ca="1">HLOOKUP($H$4,'Met Data'!$A$2:$F$368,G600,FALSE)</f>
        <v>8.2378787878787794</v>
      </c>
      <c r="J600" s="119">
        <f ca="1">HLOOKUP($H$4,'Met Data'!$H$2:$M$368,G600,FALSE)*L600</f>
        <v>2.47272727272727</v>
      </c>
      <c r="K600" s="98">
        <f ca="1">HLOOKUP($H$4,'Met Data'!$O$2:$T$368,G600,FALSE)</f>
        <v>1.7062659547971699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240</v>
      </c>
      <c r="H601" s="97">
        <f t="shared" ca="1" si="99"/>
        <v>45896</v>
      </c>
      <c r="I601" s="121">
        <f ca="1">HLOOKUP($H$4,'Met Data'!$A$2:$F$368,G601,FALSE)</f>
        <v>8.2484848484848392</v>
      </c>
      <c r="J601" s="119">
        <f ca="1">HLOOKUP($H$4,'Met Data'!$H$2:$M$368,G601,FALSE)*L601</f>
        <v>2.9151515151515102</v>
      </c>
      <c r="K601" s="98">
        <f ca="1">HLOOKUP($H$4,'Met Data'!$O$2:$T$368,G601,FALSE)</f>
        <v>1.9297175584059301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241</v>
      </c>
      <c r="H602" s="97">
        <f t="shared" ca="1" si="99"/>
        <v>45897</v>
      </c>
      <c r="I602" s="121">
        <f ca="1">HLOOKUP($H$4,'Met Data'!$A$2:$F$368,G602,FALSE)</f>
        <v>8.5593939393939298</v>
      </c>
      <c r="J602" s="119">
        <f ca="1">HLOOKUP($H$4,'Met Data'!$H$2:$M$368,G602,FALSE)*L602</f>
        <v>1.8696969696969601</v>
      </c>
      <c r="K602" s="98">
        <f ca="1">HLOOKUP($H$4,'Met Data'!$O$2:$T$368,G602,FALSE)</f>
        <v>2.0109048192884398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242</v>
      </c>
      <c r="H603" s="97">
        <f t="shared" ca="1" si="99"/>
        <v>45898</v>
      </c>
      <c r="I603" s="121">
        <f ca="1">HLOOKUP($H$4,'Met Data'!$A$2:$F$368,G603,FALSE)</f>
        <v>8.2121212121212093</v>
      </c>
      <c r="J603" s="119">
        <f ca="1">HLOOKUP($H$4,'Met Data'!$H$2:$M$368,G603,FALSE)*L603</f>
        <v>2.1333333333333302</v>
      </c>
      <c r="K603" s="98">
        <f ca="1">HLOOKUP($H$4,'Met Data'!$O$2:$T$368,G603,FALSE)</f>
        <v>1.9004966666128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243</v>
      </c>
      <c r="H604" s="97">
        <f t="shared" ca="1" si="99"/>
        <v>45899</v>
      </c>
      <c r="I604" s="121">
        <f ca="1">HLOOKUP($H$4,'Met Data'!$A$2:$F$368,G604,FALSE)</f>
        <v>8.8015151515151508</v>
      </c>
      <c r="J604" s="119">
        <f ca="1">HLOOKUP($H$4,'Met Data'!$H$2:$M$368,G604,FALSE)*L604</f>
        <v>1.3060606060605999</v>
      </c>
      <c r="K604" s="98">
        <f ca="1">HLOOKUP($H$4,'Met Data'!$O$2:$T$368,G604,FALSE)</f>
        <v>2.0203052831425601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244</v>
      </c>
      <c r="H605" s="97">
        <f t="shared" ca="1" si="99"/>
        <v>45900</v>
      </c>
      <c r="I605" s="121">
        <f ca="1">HLOOKUP($H$4,'Met Data'!$A$2:$F$368,G605,FALSE)</f>
        <v>7.8968181818181797</v>
      </c>
      <c r="J605" s="119">
        <f ca="1">HLOOKUP($H$4,'Met Data'!$H$2:$M$368,G605,FALSE)*L605</f>
        <v>0.73030303030303001</v>
      </c>
      <c r="K605" s="98">
        <f ca="1">HLOOKUP($H$4,'Met Data'!$O$2:$T$368,G605,FALSE)</f>
        <v>2.13768236411026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245</v>
      </c>
      <c r="H606" s="97">
        <f t="shared" ca="1" si="99"/>
        <v>45901</v>
      </c>
      <c r="I606" s="121">
        <f ca="1">HLOOKUP($H$4,'Met Data'!$A$2:$F$368,G606,FALSE)</f>
        <v>8.5848484848484805</v>
      </c>
      <c r="J606" s="119">
        <f ca="1">HLOOKUP($H$4,'Met Data'!$H$2:$M$368,G606,FALSE)*L606</f>
        <v>1.66363636363636</v>
      </c>
      <c r="K606" s="98">
        <f ca="1">HLOOKUP($H$4,'Met Data'!$O$2:$T$368,G606,FALSE)</f>
        <v>2.4306848632987301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246</v>
      </c>
      <c r="H607" s="97">
        <f t="shared" ca="1" si="99"/>
        <v>45902</v>
      </c>
      <c r="I607" s="121">
        <f ca="1">HLOOKUP($H$4,'Met Data'!$A$2:$F$368,G607,FALSE)</f>
        <v>9.0333333333333297</v>
      </c>
      <c r="J607" s="119">
        <f ca="1">HLOOKUP($H$4,'Met Data'!$H$2:$M$368,G607,FALSE)*L607</f>
        <v>1.2393939393939299</v>
      </c>
      <c r="K607" s="98">
        <f ca="1">HLOOKUP($H$4,'Met Data'!$O$2:$T$368,G607,FALSE)</f>
        <v>2.2838857553046599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247</v>
      </c>
      <c r="H608" s="97">
        <f t="shared" ca="1" si="99"/>
        <v>45903</v>
      </c>
      <c r="I608" s="121">
        <f ca="1">HLOOKUP($H$4,'Met Data'!$A$2:$F$368,G608,FALSE)</f>
        <v>8.7469696969696908</v>
      </c>
      <c r="J608" s="119">
        <f ca="1">HLOOKUP($H$4,'Met Data'!$H$2:$M$368,G608,FALSE)*L608</f>
        <v>1.06969696969696</v>
      </c>
      <c r="K608" s="98">
        <f ca="1">HLOOKUP($H$4,'Met Data'!$O$2:$T$368,G608,FALSE)</f>
        <v>2.13744572746974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248</v>
      </c>
      <c r="H609" s="97">
        <f t="shared" ca="1" si="99"/>
        <v>45904</v>
      </c>
      <c r="I609" s="121">
        <f ca="1">HLOOKUP($H$4,'Met Data'!$A$2:$F$368,G609,FALSE)</f>
        <v>8.7227272727272709</v>
      </c>
      <c r="J609" s="119">
        <f ca="1">HLOOKUP($H$4,'Met Data'!$H$2:$M$368,G609,FALSE)*L609</f>
        <v>1.0878787878787799</v>
      </c>
      <c r="K609" s="98">
        <f ca="1">HLOOKUP($H$4,'Met Data'!$O$2:$T$368,G609,FALSE)</f>
        <v>2.20158976988608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249</v>
      </c>
      <c r="H610" s="97">
        <f t="shared" ca="1" si="99"/>
        <v>45905</v>
      </c>
      <c r="I610" s="121">
        <f ca="1">HLOOKUP($H$4,'Met Data'!$A$2:$F$368,G610,FALSE)</f>
        <v>8.4803030303030305</v>
      </c>
      <c r="J610" s="119">
        <f ca="1">HLOOKUP($H$4,'Met Data'!$H$2:$M$368,G610,FALSE)*L610</f>
        <v>0.95151515151515098</v>
      </c>
      <c r="K610" s="98">
        <f ca="1">HLOOKUP($H$4,'Met Data'!$O$2:$T$368,G610,FALSE)</f>
        <v>2.0118416889679498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250</v>
      </c>
      <c r="H611" s="97">
        <f t="shared" ca="1" si="99"/>
        <v>45906</v>
      </c>
      <c r="I611" s="121">
        <f ca="1">HLOOKUP($H$4,'Met Data'!$A$2:$F$368,G611,FALSE)</f>
        <v>8.9078125000000004</v>
      </c>
      <c r="J611" s="119">
        <f ca="1">HLOOKUP($H$4,'Met Data'!$H$2:$M$368,G611,FALSE)*L611</f>
        <v>1.4151515151515099</v>
      </c>
      <c r="K611" s="98">
        <f ca="1">HLOOKUP($H$4,'Met Data'!$O$2:$T$368,G611,FALSE)</f>
        <v>2.43907717587116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251</v>
      </c>
      <c r="H612" s="97">
        <f t="shared" ca="1" si="99"/>
        <v>45907</v>
      </c>
      <c r="I612" s="121">
        <f ca="1">HLOOKUP($H$4,'Met Data'!$A$2:$F$368,G612,FALSE)</f>
        <v>8.9656249999999993</v>
      </c>
      <c r="J612" s="119">
        <f ca="1">HLOOKUP($H$4,'Met Data'!$H$2:$M$368,G612,FALSE)*L612</f>
        <v>0.51818181818181797</v>
      </c>
      <c r="K612" s="98">
        <f ca="1">HLOOKUP($H$4,'Met Data'!$O$2:$T$368,G612,FALSE)</f>
        <v>2.4631446914892501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252</v>
      </c>
      <c r="H613" s="97">
        <f t="shared" ca="1" si="99"/>
        <v>45908</v>
      </c>
      <c r="I613" s="121">
        <f ca="1">HLOOKUP($H$4,'Met Data'!$A$2:$F$368,G613,FALSE)</f>
        <v>8.6015625</v>
      </c>
      <c r="J613" s="119">
        <f ca="1">HLOOKUP($H$4,'Met Data'!$H$2:$M$368,G613,FALSE)*L613</f>
        <v>1.0757575757575699</v>
      </c>
      <c r="K613" s="98">
        <f ca="1">HLOOKUP($H$4,'Met Data'!$O$2:$T$368,G613,FALSE)</f>
        <v>2.5132482169425701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253</v>
      </c>
      <c r="H614" s="97">
        <f t="shared" ca="1" si="99"/>
        <v>45909</v>
      </c>
      <c r="I614" s="121">
        <f ca="1">HLOOKUP($H$4,'Met Data'!$A$2:$F$368,G614,FALSE)</f>
        <v>8.0227272727272698</v>
      </c>
      <c r="J614" s="119">
        <f ca="1">HLOOKUP($H$4,'Met Data'!$H$2:$M$368,G614,FALSE)*L614</f>
        <v>1.0878787878787799</v>
      </c>
      <c r="K614" s="98">
        <f ca="1">HLOOKUP($H$4,'Met Data'!$O$2:$T$368,G614,FALSE)</f>
        <v>2.2941202547295898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254</v>
      </c>
      <c r="H615" s="97">
        <f t="shared" ca="1" si="99"/>
        <v>45910</v>
      </c>
      <c r="I615" s="121">
        <f ca="1">HLOOKUP($H$4,'Met Data'!$A$2:$F$368,G615,FALSE)</f>
        <v>9.0060606060606005</v>
      </c>
      <c r="J615" s="119">
        <f ca="1">HLOOKUP($H$4,'Met Data'!$H$2:$M$368,G615,FALSE)*L615</f>
        <v>1.08181818181818</v>
      </c>
      <c r="K615" s="98">
        <f ca="1">HLOOKUP($H$4,'Met Data'!$O$2:$T$368,G615,FALSE)</f>
        <v>2.6251015131954198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255</v>
      </c>
      <c r="H616" s="97">
        <f t="shared" ca="1" si="99"/>
        <v>45911</v>
      </c>
      <c r="I616" s="121">
        <f ca="1">HLOOKUP($H$4,'Met Data'!$A$2:$F$368,G616,FALSE)</f>
        <v>9.7090909090909001</v>
      </c>
      <c r="J616" s="119">
        <f ca="1">HLOOKUP($H$4,'Met Data'!$H$2:$M$368,G616,FALSE)*L616</f>
        <v>2.0393939393939302</v>
      </c>
      <c r="K616" s="98">
        <f ca="1">HLOOKUP($H$4,'Met Data'!$O$2:$T$368,G616,FALSE)</f>
        <v>2.7986809667616899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256</v>
      </c>
      <c r="H617" s="97">
        <f t="shared" ca="1" si="99"/>
        <v>45912</v>
      </c>
      <c r="I617" s="121">
        <f ca="1">HLOOKUP($H$4,'Met Data'!$A$2:$F$368,G617,FALSE)</f>
        <v>9.6212121212121193</v>
      </c>
      <c r="J617" s="119">
        <f ca="1">HLOOKUP($H$4,'Met Data'!$H$2:$M$368,G617,FALSE)*L617</f>
        <v>1.4424242424242399</v>
      </c>
      <c r="K617" s="98">
        <f ca="1">HLOOKUP($H$4,'Met Data'!$O$2:$T$368,G617,FALSE)</f>
        <v>2.6610711999077199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257</v>
      </c>
      <c r="H618" s="97">
        <f t="shared" ca="1" si="99"/>
        <v>45913</v>
      </c>
      <c r="I618" s="121">
        <f ca="1">HLOOKUP($H$4,'Met Data'!$A$2:$F$368,G618,FALSE)</f>
        <v>9.3833333333333293</v>
      </c>
      <c r="J618" s="119">
        <f ca="1">HLOOKUP($H$4,'Met Data'!$H$2:$M$368,G618,FALSE)*L618</f>
        <v>1.5181818181818101</v>
      </c>
      <c r="K618" s="98">
        <f ca="1">HLOOKUP($H$4,'Met Data'!$O$2:$T$368,G618,FALSE)</f>
        <v>2.3076791368567799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258</v>
      </c>
      <c r="H619" s="97">
        <f t="shared" ca="1" si="99"/>
        <v>45914</v>
      </c>
      <c r="I619" s="121">
        <f ca="1">HLOOKUP($H$4,'Met Data'!$A$2:$F$368,G619,FALSE)</f>
        <v>9.8590909090909093</v>
      </c>
      <c r="J619" s="119">
        <f ca="1">HLOOKUP($H$4,'Met Data'!$H$2:$M$368,G619,FALSE)*L619</f>
        <v>1.0060606060606001</v>
      </c>
      <c r="K619" s="98">
        <f ca="1">HLOOKUP($H$4,'Met Data'!$O$2:$T$368,G619,FALSE)</f>
        <v>2.7166636421386499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259</v>
      </c>
      <c r="H620" s="97">
        <f t="shared" ca="1" si="99"/>
        <v>45915</v>
      </c>
      <c r="I620" s="121">
        <f ca="1">HLOOKUP($H$4,'Met Data'!$A$2:$F$368,G620,FALSE)</f>
        <v>10.654545454545399</v>
      </c>
      <c r="J620" s="119">
        <f ca="1">HLOOKUP($H$4,'Met Data'!$H$2:$M$368,G620,FALSE)*L620</f>
        <v>0.69090909090909003</v>
      </c>
      <c r="K620" s="98">
        <f ca="1">HLOOKUP($H$4,'Met Data'!$O$2:$T$368,G620,FALSE)</f>
        <v>2.8776450917507499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260</v>
      </c>
      <c r="H621" s="97">
        <f t="shared" ca="1" si="99"/>
        <v>45916</v>
      </c>
      <c r="I621" s="121">
        <f ca="1">HLOOKUP($H$4,'Met Data'!$A$2:$F$368,G621,FALSE)</f>
        <v>10.4757575757575</v>
      </c>
      <c r="J621" s="119">
        <f ca="1">HLOOKUP($H$4,'Met Data'!$H$2:$M$368,G621,FALSE)*L621</f>
        <v>0.112121212121212</v>
      </c>
      <c r="K621" s="98">
        <f ca="1">HLOOKUP($H$4,'Met Data'!$O$2:$T$368,G621,FALSE)</f>
        <v>2.9007479200825799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261</v>
      </c>
      <c r="H622" s="97">
        <f t="shared" ca="1" si="99"/>
        <v>45917</v>
      </c>
      <c r="I622" s="121">
        <f ca="1">HLOOKUP($H$4,'Met Data'!$A$2:$F$368,G622,FALSE)</f>
        <v>9.8469696969696905</v>
      </c>
      <c r="J622" s="119">
        <f ca="1">HLOOKUP($H$4,'Met Data'!$H$2:$M$368,G622,FALSE)*L622</f>
        <v>0.26969696969696899</v>
      </c>
      <c r="K622" s="98">
        <f ca="1">HLOOKUP($H$4,'Met Data'!$O$2:$T$368,G622,FALSE)</f>
        <v>2.7216431909543002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262</v>
      </c>
      <c r="H623" s="97">
        <f t="shared" ca="1" si="99"/>
        <v>45918</v>
      </c>
      <c r="I623" s="121">
        <f ca="1">HLOOKUP($H$4,'Met Data'!$A$2:$F$368,G623,FALSE)</f>
        <v>9.6045454545454501</v>
      </c>
      <c r="J623" s="119">
        <f ca="1">HLOOKUP($H$4,'Met Data'!$H$2:$M$368,G623,FALSE)*L623</f>
        <v>1.3212121212121199</v>
      </c>
      <c r="K623" s="98">
        <f ca="1">HLOOKUP($H$4,'Met Data'!$O$2:$T$368,G623,FALSE)</f>
        <v>2.6828140641286899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ref="G624:G687" ca="1" si="100">H624-DATE(YEAR(H624),1,0)+1</f>
        <v>263</v>
      </c>
      <c r="H624" s="97">
        <f t="shared" ca="1" si="99"/>
        <v>45919</v>
      </c>
      <c r="I624" s="121">
        <f ca="1">HLOOKUP($H$4,'Met Data'!$A$2:$F$368,G624,FALSE)</f>
        <v>9.8772727272727199</v>
      </c>
      <c r="J624" s="119">
        <f ca="1">HLOOKUP($H$4,'Met Data'!$H$2:$M$368,G624,FALSE)*L624</f>
        <v>1.83636363636363</v>
      </c>
      <c r="K624" s="98">
        <f ca="1">HLOOKUP($H$4,'Met Data'!$O$2:$T$368,G624,FALSE)</f>
        <v>2.84418375617479</v>
      </c>
      <c r="L624">
        <f t="shared" ca="1" si="98"/>
        <v>1</v>
      </c>
      <c r="N624" t="e">
        <f t="shared" ref="N624:N687" ca="1" si="101">IF(P624&lt;$P$3,TRUE,FALSE)</f>
        <v>#N/A</v>
      </c>
      <c r="O624" t="e">
        <f t="shared" ref="O624:O687" ca="1" si="10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3">IFERROR(P624,$AD$4)</f>
        <v>0</v>
      </c>
      <c r="AE624">
        <f t="shared" ref="AE624:AE687" ca="1" si="104">IFERROR(U624,0)</f>
        <v>0</v>
      </c>
      <c r="AG624" s="63" t="e">
        <f t="shared" ref="AG624:AG687" ca="1" si="105">Q623+S624+T624+U624</f>
        <v>#N/A</v>
      </c>
      <c r="AH624" s="63" t="e">
        <f t="shared" ref="AH624:AH687" ca="1" si="106">Q624+R624+X624</f>
        <v>#N/A</v>
      </c>
      <c r="AI624" s="3" t="e">
        <f t="shared" ref="AI624:AI687" ca="1" si="107">AH624-AG624</f>
        <v>#N/A</v>
      </c>
    </row>
    <row r="625" spans="7:35" ht="15.75" thickBot="1">
      <c r="G625" s="3">
        <f t="shared" ca="1" si="100"/>
        <v>264</v>
      </c>
      <c r="H625" s="97">
        <f t="shared" ca="1" si="99"/>
        <v>45920</v>
      </c>
      <c r="I625" s="121">
        <f ca="1">HLOOKUP($H$4,'Met Data'!$A$2:$F$368,G625,FALSE)</f>
        <v>9.4984848484848392</v>
      </c>
      <c r="J625" s="119">
        <f ca="1">HLOOKUP($H$4,'Met Data'!$H$2:$M$368,G625,FALSE)*L625</f>
        <v>1.47272727272727</v>
      </c>
      <c r="K625" s="98">
        <f ca="1">HLOOKUP($H$4,'Met Data'!$O$2:$T$368,G625,FALSE)</f>
        <v>2.76130603025703</v>
      </c>
      <c r="L625">
        <f t="shared" ca="1" si="98"/>
        <v>1</v>
      </c>
      <c r="N625" t="e">
        <f t="shared" ca="1" si="101"/>
        <v>#N/A</v>
      </c>
      <c r="O625" t="e">
        <f t="shared" ca="1" si="10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3"/>
        <v>0</v>
      </c>
      <c r="AE625">
        <f t="shared" ca="1" si="104"/>
        <v>0</v>
      </c>
      <c r="AG625" s="63" t="e">
        <f t="shared" ca="1" si="105"/>
        <v>#N/A</v>
      </c>
      <c r="AH625" s="63" t="e">
        <f t="shared" ca="1" si="106"/>
        <v>#N/A</v>
      </c>
      <c r="AI625" s="3" t="e">
        <f t="shared" ca="1" si="107"/>
        <v>#N/A</v>
      </c>
    </row>
    <row r="626" spans="7:35" ht="15.75" thickBot="1">
      <c r="G626" s="3">
        <f t="shared" ca="1" si="100"/>
        <v>265</v>
      </c>
      <c r="H626" s="97">
        <f t="shared" ca="1" si="99"/>
        <v>45921</v>
      </c>
      <c r="I626" s="121">
        <f ca="1">HLOOKUP($H$4,'Met Data'!$A$2:$F$368,G626,FALSE)</f>
        <v>9.9712121212121207</v>
      </c>
      <c r="J626" s="119">
        <f ca="1">HLOOKUP($H$4,'Met Data'!$H$2:$M$368,G626,FALSE)*L626</f>
        <v>1.39090909090909</v>
      </c>
      <c r="K626" s="98">
        <f ca="1">HLOOKUP($H$4,'Met Data'!$O$2:$T$368,G626,FALSE)</f>
        <v>2.9434337638791899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266</v>
      </c>
      <c r="H627" s="97">
        <f t="shared" ca="1" si="99"/>
        <v>45922</v>
      </c>
      <c r="I627" s="121">
        <f ca="1">HLOOKUP($H$4,'Met Data'!$A$2:$F$368,G627,FALSE)</f>
        <v>9.6348484848484794</v>
      </c>
      <c r="J627" s="119">
        <f ca="1">HLOOKUP($H$4,'Met Data'!$H$2:$M$368,G627,FALSE)*L627</f>
        <v>1.4060606060606</v>
      </c>
      <c r="K627" s="98">
        <f ca="1">HLOOKUP($H$4,'Met Data'!$O$2:$T$368,G627,FALSE)</f>
        <v>2.8650949205126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267</v>
      </c>
      <c r="H628" s="97">
        <f t="shared" ca="1" si="99"/>
        <v>45923</v>
      </c>
      <c r="I628" s="121">
        <f ca="1">HLOOKUP($H$4,'Met Data'!$A$2:$F$368,G628,FALSE)</f>
        <v>9.4318181818181799</v>
      </c>
      <c r="J628" s="119">
        <f ca="1">HLOOKUP($H$4,'Met Data'!$H$2:$M$368,G628,FALSE)*L628</f>
        <v>0.86060606060606004</v>
      </c>
      <c r="K628" s="98">
        <f ca="1">HLOOKUP($H$4,'Met Data'!$O$2:$T$368,G628,FALSE)</f>
        <v>2.84690777824148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268</v>
      </c>
      <c r="H629" s="97">
        <f t="shared" ca="1" si="99"/>
        <v>45924</v>
      </c>
      <c r="I629" s="121">
        <f ca="1">HLOOKUP($H$4,'Met Data'!$A$2:$F$368,G629,FALSE)</f>
        <v>9.9181818181818109</v>
      </c>
      <c r="J629" s="119">
        <f ca="1">HLOOKUP($H$4,'Met Data'!$H$2:$M$368,G629,FALSE)*L629</f>
        <v>2.1454545454545402</v>
      </c>
      <c r="K629" s="98">
        <f ca="1">HLOOKUP($H$4,'Met Data'!$O$2:$T$368,G629,FALSE)</f>
        <v>2.75735755546836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269</v>
      </c>
      <c r="H630" s="97">
        <f t="shared" ca="1" si="99"/>
        <v>45925</v>
      </c>
      <c r="I630" s="121">
        <f ca="1">HLOOKUP($H$4,'Met Data'!$A$2:$F$368,G630,FALSE)</f>
        <v>9.4424242424242397</v>
      </c>
      <c r="J630" s="119">
        <f ca="1">HLOOKUP($H$4,'Met Data'!$H$2:$M$368,G630,FALSE)*L630</f>
        <v>2.4363636363636298</v>
      </c>
      <c r="K630" s="98">
        <f ca="1">HLOOKUP($H$4,'Met Data'!$O$2:$T$368,G630,FALSE)</f>
        <v>2.5822558734868299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270</v>
      </c>
      <c r="H631" s="97">
        <f t="shared" ca="1" si="99"/>
        <v>45926</v>
      </c>
      <c r="I631" s="121">
        <f ca="1">HLOOKUP($H$4,'Met Data'!$A$2:$F$368,G631,FALSE)</f>
        <v>10.2424242424242</v>
      </c>
      <c r="J631" s="119">
        <f ca="1">HLOOKUP($H$4,'Met Data'!$H$2:$M$368,G631,FALSE)*L631</f>
        <v>1.5363636363636299</v>
      </c>
      <c r="K631" s="98">
        <f ca="1">HLOOKUP($H$4,'Met Data'!$O$2:$T$368,G631,FALSE)</f>
        <v>3.0759435950739098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271</v>
      </c>
      <c r="H632" s="97">
        <f t="shared" ca="1" si="99"/>
        <v>45927</v>
      </c>
      <c r="I632" s="121">
        <f ca="1">HLOOKUP($H$4,'Met Data'!$A$2:$F$368,G632,FALSE)</f>
        <v>10.445454545454499</v>
      </c>
      <c r="J632" s="119">
        <f ca="1">HLOOKUP($H$4,'Met Data'!$H$2:$M$368,G632,FALSE)*L632</f>
        <v>0.384848484848484</v>
      </c>
      <c r="K632" s="98">
        <f ca="1">HLOOKUP($H$4,'Met Data'!$O$2:$T$368,G632,FALSE)</f>
        <v>3.0351526425456301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272</v>
      </c>
      <c r="H633" s="97">
        <f t="shared" ca="1" si="99"/>
        <v>45928</v>
      </c>
      <c r="I633" s="121">
        <f ca="1">HLOOKUP($H$4,'Met Data'!$A$2:$F$368,G633,FALSE)</f>
        <v>10.198484848484799</v>
      </c>
      <c r="J633" s="119">
        <f ca="1">HLOOKUP($H$4,'Met Data'!$H$2:$M$368,G633,FALSE)*L633</f>
        <v>2.6393939393939299</v>
      </c>
      <c r="K633" s="98">
        <f ca="1">HLOOKUP($H$4,'Met Data'!$O$2:$T$368,G633,FALSE)</f>
        <v>2.92273242129352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273</v>
      </c>
      <c r="H634" s="97">
        <f t="shared" ca="1" si="99"/>
        <v>45929</v>
      </c>
      <c r="I634" s="121">
        <f ca="1">HLOOKUP($H$4,'Met Data'!$A$2:$F$368,G634,FALSE)</f>
        <v>10.072727272727199</v>
      </c>
      <c r="J634" s="119">
        <f ca="1">HLOOKUP($H$4,'Met Data'!$H$2:$M$368,G634,FALSE)*L634</f>
        <v>2.21515151515151</v>
      </c>
      <c r="K634" s="98">
        <f ca="1">HLOOKUP($H$4,'Met Data'!$O$2:$T$368,G634,FALSE)</f>
        <v>3.0079671587405801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274</v>
      </c>
      <c r="H635" s="97">
        <f t="shared" ca="1" si="99"/>
        <v>45930</v>
      </c>
      <c r="I635" s="121">
        <f ca="1">HLOOKUP($H$4,'Met Data'!$A$2:$F$368,G635,FALSE)</f>
        <v>11.2515151515151</v>
      </c>
      <c r="J635" s="119">
        <f ca="1">HLOOKUP($H$4,'Met Data'!$H$2:$M$368,G635,FALSE)*L635</f>
        <v>0.33939393939393903</v>
      </c>
      <c r="K635" s="98">
        <f ca="1">HLOOKUP($H$4,'Met Data'!$O$2:$T$368,G635,FALSE)</f>
        <v>3.4114061949116499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275</v>
      </c>
      <c r="H636" s="97">
        <f t="shared" ca="1" si="99"/>
        <v>45931</v>
      </c>
      <c r="I636" s="121">
        <f ca="1">HLOOKUP($H$4,'Met Data'!$A$2:$F$368,G636,FALSE)</f>
        <v>11.2893939393939</v>
      </c>
      <c r="J636" s="119">
        <f ca="1">HLOOKUP($H$4,'Met Data'!$H$2:$M$368,G636,FALSE)*L636</f>
        <v>0.36060606060605999</v>
      </c>
      <c r="K636" s="98">
        <f ca="1">HLOOKUP($H$4,'Met Data'!$O$2:$T$368,G636,FALSE)</f>
        <v>3.4573036102364698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276</v>
      </c>
      <c r="H637" s="97">
        <f t="shared" ca="1" si="99"/>
        <v>45932</v>
      </c>
      <c r="I637" s="121">
        <f ca="1">HLOOKUP($H$4,'Met Data'!$A$2:$F$368,G637,FALSE)</f>
        <v>11.590909090908999</v>
      </c>
      <c r="J637" s="119">
        <f ca="1">HLOOKUP($H$4,'Met Data'!$H$2:$M$368,G637,FALSE)*L637</f>
        <v>0.86969696969696897</v>
      </c>
      <c r="K637" s="98">
        <f ca="1">HLOOKUP($H$4,'Met Data'!$O$2:$T$368,G637,FALSE)</f>
        <v>3.4181246576745901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277</v>
      </c>
      <c r="H638" s="97">
        <f t="shared" ca="1" si="99"/>
        <v>45933</v>
      </c>
      <c r="I638" s="121">
        <f ca="1">HLOOKUP($H$4,'Met Data'!$A$2:$F$368,G638,FALSE)</f>
        <v>10.8530303030303</v>
      </c>
      <c r="J638" s="119">
        <f ca="1">HLOOKUP($H$4,'Met Data'!$H$2:$M$368,G638,FALSE)*L638</f>
        <v>2.9272727272727201</v>
      </c>
      <c r="K638" s="98">
        <f ca="1">HLOOKUP($H$4,'Met Data'!$O$2:$T$368,G638,FALSE)</f>
        <v>3.28237222726839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278</v>
      </c>
      <c r="H639" s="97">
        <f t="shared" ca="1" si="99"/>
        <v>45934</v>
      </c>
      <c r="I639" s="121">
        <f ca="1">HLOOKUP($H$4,'Met Data'!$A$2:$F$368,G639,FALSE)</f>
        <v>10.580303030303</v>
      </c>
      <c r="J639" s="119">
        <f ca="1">HLOOKUP($H$4,'Met Data'!$H$2:$M$368,G639,FALSE)*L639</f>
        <v>3.0151515151515098</v>
      </c>
      <c r="K639" s="98">
        <f ca="1">HLOOKUP($H$4,'Met Data'!$O$2:$T$368,G639,FALSE)</f>
        <v>2.9435441276045902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279</v>
      </c>
      <c r="H640" s="97">
        <f t="shared" ca="1" si="99"/>
        <v>45935</v>
      </c>
      <c r="I640" s="121">
        <f ca="1">HLOOKUP($H$4,'Met Data'!$A$2:$F$368,G640,FALSE)</f>
        <v>10.5</v>
      </c>
      <c r="J640" s="119">
        <f ca="1">HLOOKUP($H$4,'Met Data'!$H$2:$M$368,G640,FALSE)*L640</f>
        <v>1.5060606060606001</v>
      </c>
      <c r="K640" s="98">
        <f ca="1">HLOOKUP($H$4,'Met Data'!$O$2:$T$368,G640,FALSE)</f>
        <v>3.3810413875387701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280</v>
      </c>
      <c r="H641" s="97">
        <f t="shared" ca="1" si="99"/>
        <v>45936</v>
      </c>
      <c r="I641" s="121">
        <f ca="1">HLOOKUP($H$4,'Met Data'!$A$2:$F$368,G641,FALSE)</f>
        <v>11.0757575757575</v>
      </c>
      <c r="J641" s="119">
        <f ca="1">HLOOKUP($H$4,'Met Data'!$H$2:$M$368,G641,FALSE)*L641</f>
        <v>0.86666666666666603</v>
      </c>
      <c r="K641" s="98">
        <f ca="1">HLOOKUP($H$4,'Met Data'!$O$2:$T$368,G641,FALSE)</f>
        <v>3.3814368699018198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281</v>
      </c>
      <c r="H642" s="97">
        <f t="shared" ca="1" si="99"/>
        <v>45937</v>
      </c>
      <c r="I642" s="121">
        <f ca="1">HLOOKUP($H$4,'Met Data'!$A$2:$F$368,G642,FALSE)</f>
        <v>11.1621212121212</v>
      </c>
      <c r="J642" s="119">
        <f ca="1">HLOOKUP($H$4,'Met Data'!$H$2:$M$368,G642,FALSE)*L642</f>
        <v>1.1424242424242399</v>
      </c>
      <c r="K642" s="98">
        <f ca="1">HLOOKUP($H$4,'Met Data'!$O$2:$T$368,G642,FALSE)</f>
        <v>3.44855016002714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282</v>
      </c>
      <c r="H643" s="97">
        <f t="shared" ca="1" si="99"/>
        <v>45938</v>
      </c>
      <c r="I643" s="121">
        <f ca="1">HLOOKUP($H$4,'Met Data'!$A$2:$F$368,G643,FALSE)</f>
        <v>10.442424242424201</v>
      </c>
      <c r="J643" s="119">
        <f ca="1">HLOOKUP($H$4,'Met Data'!$H$2:$M$368,G643,FALSE)*L643</f>
        <v>3.97272727272727</v>
      </c>
      <c r="K643" s="98">
        <f ca="1">HLOOKUP($H$4,'Met Data'!$O$2:$T$368,G643,FALSE)</f>
        <v>3.0735601882933201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283</v>
      </c>
      <c r="H644" s="97">
        <f t="shared" ca="1" si="99"/>
        <v>45939</v>
      </c>
      <c r="I644" s="121">
        <f ca="1">HLOOKUP($H$4,'Met Data'!$A$2:$F$368,G644,FALSE)</f>
        <v>10.1257575757575</v>
      </c>
      <c r="J644" s="119">
        <f ca="1">HLOOKUP($H$4,'Met Data'!$H$2:$M$368,G644,FALSE)*L644</f>
        <v>2.9363636363636298</v>
      </c>
      <c r="K644" s="98">
        <f ca="1">HLOOKUP($H$4,'Met Data'!$O$2:$T$368,G644,FALSE)</f>
        <v>2.8856583502815898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284</v>
      </c>
      <c r="H645" s="97">
        <f t="shared" ca="1" si="99"/>
        <v>45940</v>
      </c>
      <c r="I645" s="121">
        <f ca="1">HLOOKUP($H$4,'Met Data'!$A$2:$F$368,G645,FALSE)</f>
        <v>10.0590909090909</v>
      </c>
      <c r="J645" s="119">
        <f ca="1">HLOOKUP($H$4,'Met Data'!$H$2:$M$368,G645,FALSE)*L645</f>
        <v>2.5939393939393902</v>
      </c>
      <c r="K645" s="98">
        <f ca="1">HLOOKUP($H$4,'Met Data'!$O$2:$T$368,G645,FALSE)</f>
        <v>2.97068142496583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285</v>
      </c>
      <c r="H646" s="97">
        <f t="shared" ca="1" si="99"/>
        <v>45941</v>
      </c>
      <c r="I646" s="121">
        <f ca="1">HLOOKUP($H$4,'Met Data'!$A$2:$F$368,G646,FALSE)</f>
        <v>10.7469696969696</v>
      </c>
      <c r="J646" s="119">
        <f ca="1">HLOOKUP($H$4,'Met Data'!$H$2:$M$368,G646,FALSE)*L646</f>
        <v>1.8181818181818099</v>
      </c>
      <c r="K646" s="98">
        <f ca="1">HLOOKUP($H$4,'Met Data'!$O$2:$T$368,G646,FALSE)</f>
        <v>3.3415142660940802</v>
      </c>
      <c r="L646">
        <f t="shared" ref="L646:L709" ca="1" si="108">IF(H646&lt;$B$31,$J$3,$J$4)</f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286</v>
      </c>
      <c r="H647" s="97">
        <f t="shared" ca="1" si="99"/>
        <v>45942</v>
      </c>
      <c r="I647" s="121">
        <f ca="1">HLOOKUP($H$4,'Met Data'!$A$2:$F$368,G647,FALSE)</f>
        <v>12.012121212121199</v>
      </c>
      <c r="J647" s="119">
        <f ca="1">HLOOKUP($H$4,'Met Data'!$H$2:$M$368,G647,FALSE)*L647</f>
        <v>1.7393939393939299</v>
      </c>
      <c r="K647" s="98">
        <f ca="1">HLOOKUP($H$4,'Met Data'!$O$2:$T$368,G647,FALSE)</f>
        <v>3.8727634784268798</v>
      </c>
      <c r="L647">
        <f t="shared" ca="1" si="108"/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287</v>
      </c>
      <c r="H648" s="97">
        <f t="shared" ref="H648:H711" ca="1" si="109">H647+1</f>
        <v>45943</v>
      </c>
      <c r="I648" s="121">
        <f ca="1">HLOOKUP($H$4,'Met Data'!$A$2:$F$368,G648,FALSE)</f>
        <v>11.445454545454499</v>
      </c>
      <c r="J648" s="119">
        <f ca="1">HLOOKUP($H$4,'Met Data'!$H$2:$M$368,G648,FALSE)*L648</f>
        <v>3.22727272727272</v>
      </c>
      <c r="K648" s="98">
        <f ca="1">HLOOKUP($H$4,'Met Data'!$O$2:$T$368,G648,FALSE)</f>
        <v>3.7654187532628201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288</v>
      </c>
      <c r="H649" s="97">
        <f t="shared" ca="1" si="109"/>
        <v>45944</v>
      </c>
      <c r="I649" s="121">
        <f ca="1">HLOOKUP($H$4,'Met Data'!$A$2:$F$368,G649,FALSE)</f>
        <v>11.0863636363636</v>
      </c>
      <c r="J649" s="119">
        <f ca="1">HLOOKUP($H$4,'Met Data'!$H$2:$M$368,G649,FALSE)*L649</f>
        <v>1.8060606060605999</v>
      </c>
      <c r="K649" s="98">
        <f ca="1">HLOOKUP($H$4,'Met Data'!$O$2:$T$368,G649,FALSE)</f>
        <v>3.5839169020731898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289</v>
      </c>
      <c r="H650" s="97">
        <f t="shared" ca="1" si="109"/>
        <v>45945</v>
      </c>
      <c r="I650" s="121">
        <f ca="1">HLOOKUP($H$4,'Met Data'!$A$2:$F$368,G650,FALSE)</f>
        <v>10.820454545454499</v>
      </c>
      <c r="J650" s="119">
        <f ca="1">HLOOKUP($H$4,'Met Data'!$H$2:$M$368,G650,FALSE)*L650</f>
        <v>1.17272727272727</v>
      </c>
      <c r="K650" s="98">
        <f ca="1">HLOOKUP($H$4,'Met Data'!$O$2:$T$368,G650,FALSE)</f>
        <v>3.5135934353686902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290</v>
      </c>
      <c r="H651" s="97">
        <f t="shared" ca="1" si="109"/>
        <v>45946</v>
      </c>
      <c r="I651" s="121">
        <f ca="1">HLOOKUP($H$4,'Met Data'!$A$2:$F$368,G651,FALSE)</f>
        <v>11.382575757575699</v>
      </c>
      <c r="J651" s="119">
        <f ca="1">HLOOKUP($H$4,'Met Data'!$H$2:$M$368,G651,FALSE)*L651</f>
        <v>0.98181818181818103</v>
      </c>
      <c r="K651" s="98">
        <f ca="1">HLOOKUP($H$4,'Met Data'!$O$2:$T$368,G651,FALSE)</f>
        <v>3.66659887182134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291</v>
      </c>
      <c r="H652" s="97">
        <f t="shared" ca="1" si="109"/>
        <v>45947</v>
      </c>
      <c r="I652" s="121">
        <f ca="1">HLOOKUP($H$4,'Met Data'!$A$2:$F$368,G652,FALSE)</f>
        <v>12.1743939393939</v>
      </c>
      <c r="J652" s="119">
        <f ca="1">HLOOKUP($H$4,'Met Data'!$H$2:$M$368,G652,FALSE)*L652</f>
        <v>1.93030303030303</v>
      </c>
      <c r="K652" s="98">
        <f ca="1">HLOOKUP($H$4,'Met Data'!$O$2:$T$368,G652,FALSE)</f>
        <v>4.4221266913625099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292</v>
      </c>
      <c r="H653" s="97">
        <f t="shared" ca="1" si="109"/>
        <v>45948</v>
      </c>
      <c r="I653" s="121">
        <f ca="1">HLOOKUP($H$4,'Met Data'!$A$2:$F$368,G653,FALSE)</f>
        <v>11.5590909090909</v>
      </c>
      <c r="J653" s="119">
        <f ca="1">HLOOKUP($H$4,'Met Data'!$H$2:$M$368,G653,FALSE)*L653</f>
        <v>0.9</v>
      </c>
      <c r="K653" s="98">
        <f ca="1">HLOOKUP($H$4,'Met Data'!$O$2:$T$368,G653,FALSE)</f>
        <v>4.1615819400289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293</v>
      </c>
      <c r="H654" s="97">
        <f t="shared" ca="1" si="109"/>
        <v>45949</v>
      </c>
      <c r="I654" s="121">
        <f ca="1">HLOOKUP($H$4,'Met Data'!$A$2:$F$368,G654,FALSE)</f>
        <v>11.530303030302999</v>
      </c>
      <c r="J654" s="119">
        <f ca="1">HLOOKUP($H$4,'Met Data'!$H$2:$M$368,G654,FALSE)*L654</f>
        <v>2.16363636363636</v>
      </c>
      <c r="K654" s="98">
        <f ca="1">HLOOKUP($H$4,'Met Data'!$O$2:$T$368,G654,FALSE)</f>
        <v>4.1616928735003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294</v>
      </c>
      <c r="H655" s="97">
        <f t="shared" ca="1" si="109"/>
        <v>45950</v>
      </c>
      <c r="I655" s="121">
        <f ca="1">HLOOKUP($H$4,'Met Data'!$A$2:$F$368,G655,FALSE)</f>
        <v>11.592424242424199</v>
      </c>
      <c r="J655" s="119">
        <f ca="1">HLOOKUP($H$4,'Met Data'!$H$2:$M$368,G655,FALSE)*L655</f>
        <v>0.68787878787878698</v>
      </c>
      <c r="K655" s="98">
        <f ca="1">HLOOKUP($H$4,'Met Data'!$O$2:$T$368,G655,FALSE)</f>
        <v>4.1355638104854497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295</v>
      </c>
      <c r="H656" s="97">
        <f t="shared" ca="1" si="109"/>
        <v>45951</v>
      </c>
      <c r="I656" s="121">
        <f ca="1">HLOOKUP($H$4,'Met Data'!$A$2:$F$368,G656,FALSE)</f>
        <v>12.6712121212121</v>
      </c>
      <c r="J656" s="119">
        <f ca="1">HLOOKUP($H$4,'Met Data'!$H$2:$M$368,G656,FALSE)*L656</f>
        <v>0.91515151515151505</v>
      </c>
      <c r="K656" s="98">
        <f ca="1">HLOOKUP($H$4,'Met Data'!$O$2:$T$368,G656,FALSE)</f>
        <v>4.2548689124348202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296</v>
      </c>
      <c r="H657" s="97">
        <f t="shared" ca="1" si="109"/>
        <v>45952</v>
      </c>
      <c r="I657" s="121">
        <f ca="1">HLOOKUP($H$4,'Met Data'!$A$2:$F$368,G657,FALSE)</f>
        <v>11.5966666666666</v>
      </c>
      <c r="J657" s="119">
        <f ca="1">HLOOKUP($H$4,'Met Data'!$H$2:$M$368,G657,FALSE)*L657</f>
        <v>1.0757575757575699</v>
      </c>
      <c r="K657" s="98">
        <f ca="1">HLOOKUP($H$4,'Met Data'!$O$2:$T$368,G657,FALSE)</f>
        <v>3.8892850116651498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297</v>
      </c>
      <c r="H658" s="97">
        <f t="shared" ca="1" si="109"/>
        <v>45953</v>
      </c>
      <c r="I658" s="121">
        <f ca="1">HLOOKUP($H$4,'Met Data'!$A$2:$F$368,G658,FALSE)</f>
        <v>11.5331818181818</v>
      </c>
      <c r="J658" s="119">
        <f ca="1">HLOOKUP($H$4,'Met Data'!$H$2:$M$368,G658,FALSE)*L658</f>
        <v>1.5757575757575699</v>
      </c>
      <c r="K658" s="98">
        <f ca="1">HLOOKUP($H$4,'Met Data'!$O$2:$T$368,G658,FALSE)</f>
        <v>3.7538214127918499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298</v>
      </c>
      <c r="H659" s="97">
        <f t="shared" ca="1" si="109"/>
        <v>45954</v>
      </c>
      <c r="I659" s="121">
        <f ca="1">HLOOKUP($H$4,'Met Data'!$A$2:$F$368,G659,FALSE)</f>
        <v>11.6060606060606</v>
      </c>
      <c r="J659" s="119">
        <f ca="1">HLOOKUP($H$4,'Met Data'!$H$2:$M$368,G659,FALSE)*L659</f>
        <v>0.95454545454545403</v>
      </c>
      <c r="K659" s="98">
        <f ca="1">HLOOKUP($H$4,'Met Data'!$O$2:$T$368,G659,FALSE)</f>
        <v>3.9920282440950898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299</v>
      </c>
      <c r="H660" s="97">
        <f t="shared" ca="1" si="109"/>
        <v>45955</v>
      </c>
      <c r="I660" s="121">
        <f ca="1">HLOOKUP($H$4,'Met Data'!$A$2:$F$368,G660,FALSE)</f>
        <v>11.821212121212101</v>
      </c>
      <c r="J660" s="119">
        <f ca="1">HLOOKUP($H$4,'Met Data'!$H$2:$M$368,G660,FALSE)*L660</f>
        <v>0.13030303030303</v>
      </c>
      <c r="K660" s="98">
        <f ca="1">HLOOKUP($H$4,'Met Data'!$O$2:$T$368,G660,FALSE)</f>
        <v>3.94572673133468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300</v>
      </c>
      <c r="H661" s="97">
        <f t="shared" ca="1" si="109"/>
        <v>45956</v>
      </c>
      <c r="I661" s="121">
        <f ca="1">HLOOKUP($H$4,'Met Data'!$A$2:$F$368,G661,FALSE)</f>
        <v>12.8742424242424</v>
      </c>
      <c r="J661" s="119">
        <f ca="1">HLOOKUP($H$4,'Met Data'!$H$2:$M$368,G661,FALSE)*L661</f>
        <v>1.03939393939393</v>
      </c>
      <c r="K661" s="98">
        <f ca="1">HLOOKUP($H$4,'Met Data'!$O$2:$T$368,G661,FALSE)</f>
        <v>4.24133991088486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301</v>
      </c>
      <c r="H662" s="97">
        <f t="shared" ca="1" si="109"/>
        <v>45957</v>
      </c>
      <c r="I662" s="121">
        <f ca="1">HLOOKUP($H$4,'Met Data'!$A$2:$F$368,G662,FALSE)</f>
        <v>12.3921212121212</v>
      </c>
      <c r="J662" s="119">
        <f ca="1">HLOOKUP($H$4,'Met Data'!$H$2:$M$368,G662,FALSE)*L662</f>
        <v>1.66060606060606</v>
      </c>
      <c r="K662" s="98">
        <f ca="1">HLOOKUP($H$4,'Met Data'!$O$2:$T$368,G662,FALSE)</f>
        <v>3.98512648995679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302</v>
      </c>
      <c r="H663" s="97">
        <f t="shared" ca="1" si="109"/>
        <v>45958</v>
      </c>
      <c r="I663" s="121">
        <f ca="1">HLOOKUP($H$4,'Met Data'!$A$2:$F$368,G663,FALSE)</f>
        <v>13.0242424242424</v>
      </c>
      <c r="J663" s="119">
        <f ca="1">HLOOKUP($H$4,'Met Data'!$H$2:$M$368,G663,FALSE)*L663</f>
        <v>1.6848484848484799</v>
      </c>
      <c r="K663" s="98">
        <f ca="1">HLOOKUP($H$4,'Met Data'!$O$2:$T$368,G663,FALSE)</f>
        <v>4.06785476536513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303</v>
      </c>
      <c r="H664" s="97">
        <f t="shared" ca="1" si="109"/>
        <v>45959</v>
      </c>
      <c r="I664" s="121">
        <f ca="1">HLOOKUP($H$4,'Met Data'!$A$2:$F$368,G664,FALSE)</f>
        <v>13.2075757575757</v>
      </c>
      <c r="J664" s="119">
        <f ca="1">HLOOKUP($H$4,'Met Data'!$H$2:$M$368,G664,FALSE)*L664</f>
        <v>1</v>
      </c>
      <c r="K664" s="98">
        <f ca="1">HLOOKUP($H$4,'Met Data'!$O$2:$T$368,G664,FALSE)</f>
        <v>3.8638743234578601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304</v>
      </c>
      <c r="H665" s="97">
        <f t="shared" ca="1" si="109"/>
        <v>45960</v>
      </c>
      <c r="I665" s="121">
        <f ca="1">HLOOKUP($H$4,'Met Data'!$A$2:$F$368,G665,FALSE)</f>
        <v>12.865151515151499</v>
      </c>
      <c r="J665" s="119">
        <f ca="1">HLOOKUP($H$4,'Met Data'!$H$2:$M$368,G665,FALSE)*L665</f>
        <v>1.44848484848484</v>
      </c>
      <c r="K665" s="98">
        <f ca="1">HLOOKUP($H$4,'Met Data'!$O$2:$T$368,G665,FALSE)</f>
        <v>4.2171092806571897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305</v>
      </c>
      <c r="H666" s="97">
        <f t="shared" ca="1" si="109"/>
        <v>45961</v>
      </c>
      <c r="I666" s="121">
        <f ca="1">HLOOKUP($H$4,'Met Data'!$A$2:$F$368,G666,FALSE)</f>
        <v>12.8045454545454</v>
      </c>
      <c r="J666" s="119">
        <f ca="1">HLOOKUP($H$4,'Met Data'!$H$2:$M$368,G666,FALSE)*L666</f>
        <v>0.38787878787878699</v>
      </c>
      <c r="K666" s="98">
        <f ca="1">HLOOKUP($H$4,'Met Data'!$O$2:$T$368,G666,FALSE)</f>
        <v>4.4006301765887699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306</v>
      </c>
      <c r="H667" s="97">
        <f t="shared" ca="1" si="109"/>
        <v>45962</v>
      </c>
      <c r="I667" s="121">
        <f ca="1">HLOOKUP($H$4,'Met Data'!$A$2:$F$368,G667,FALSE)</f>
        <v>13.4363636363636</v>
      </c>
      <c r="J667" s="119">
        <f ca="1">HLOOKUP($H$4,'Met Data'!$H$2:$M$368,G667,FALSE)*L667</f>
        <v>0.82121212121212095</v>
      </c>
      <c r="K667" s="98">
        <f ca="1">HLOOKUP($H$4,'Met Data'!$O$2:$T$368,G667,FALSE)</f>
        <v>4.6060103377193604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307</v>
      </c>
      <c r="H668" s="97">
        <f t="shared" ca="1" si="109"/>
        <v>45963</v>
      </c>
      <c r="I668" s="121">
        <f ca="1">HLOOKUP($H$4,'Met Data'!$A$2:$F$368,G668,FALSE)</f>
        <v>12.756060606060601</v>
      </c>
      <c r="J668" s="119">
        <f ca="1">HLOOKUP($H$4,'Met Data'!$H$2:$M$368,G668,FALSE)*L668</f>
        <v>1.5727272727272701</v>
      </c>
      <c r="K668" s="98">
        <f ca="1">HLOOKUP($H$4,'Met Data'!$O$2:$T$368,G668,FALSE)</f>
        <v>4.4078340774843401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308</v>
      </c>
      <c r="H669" s="97">
        <f t="shared" ca="1" si="109"/>
        <v>45964</v>
      </c>
      <c r="I669" s="121">
        <f ca="1">HLOOKUP($H$4,'Met Data'!$A$2:$F$368,G669,FALSE)</f>
        <v>12.960606060606001</v>
      </c>
      <c r="J669" s="119">
        <f ca="1">HLOOKUP($H$4,'Met Data'!$H$2:$M$368,G669,FALSE)*L669</f>
        <v>0.86969696969696897</v>
      </c>
      <c r="K669" s="98">
        <f ca="1">HLOOKUP($H$4,'Met Data'!$O$2:$T$368,G669,FALSE)</f>
        <v>4.7355757109775203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309</v>
      </c>
      <c r="H670" s="97">
        <f t="shared" ca="1" si="109"/>
        <v>45965</v>
      </c>
      <c r="I670" s="121">
        <f ca="1">HLOOKUP($H$4,'Met Data'!$A$2:$F$368,G670,FALSE)</f>
        <v>13.0166666666666</v>
      </c>
      <c r="J670" s="119">
        <f ca="1">HLOOKUP($H$4,'Met Data'!$H$2:$M$368,G670,FALSE)*L670</f>
        <v>0.972727272727272</v>
      </c>
      <c r="K670" s="98">
        <f ca="1">HLOOKUP($H$4,'Met Data'!$O$2:$T$368,G670,FALSE)</f>
        <v>4.6816234323257397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310</v>
      </c>
      <c r="H671" s="97">
        <f t="shared" ca="1" si="109"/>
        <v>45966</v>
      </c>
      <c r="I671" s="121">
        <f ca="1">HLOOKUP($H$4,'Met Data'!$A$2:$F$368,G671,FALSE)</f>
        <v>12.8439393939393</v>
      </c>
      <c r="J671" s="119">
        <f ca="1">HLOOKUP($H$4,'Met Data'!$H$2:$M$368,G671,FALSE)*L671</f>
        <v>1.7090909090908999</v>
      </c>
      <c r="K671" s="98">
        <f ca="1">HLOOKUP($H$4,'Met Data'!$O$2:$T$368,G671,FALSE)</f>
        <v>4.6727463269062399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311</v>
      </c>
      <c r="H672" s="97">
        <f t="shared" ca="1" si="109"/>
        <v>45967</v>
      </c>
      <c r="I672" s="121">
        <f ca="1">HLOOKUP($H$4,'Met Data'!$A$2:$F$368,G672,FALSE)</f>
        <v>12.319696969696899</v>
      </c>
      <c r="J672" s="119">
        <f ca="1">HLOOKUP($H$4,'Met Data'!$H$2:$M$368,G672,FALSE)*L672</f>
        <v>1.2030303030303</v>
      </c>
      <c r="K672" s="98">
        <f ca="1">HLOOKUP($H$4,'Met Data'!$O$2:$T$368,G672,FALSE)</f>
        <v>4.2180058763468802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312</v>
      </c>
      <c r="H673" s="97">
        <f t="shared" ca="1" si="109"/>
        <v>45968</v>
      </c>
      <c r="I673" s="121">
        <f ca="1">HLOOKUP($H$4,'Met Data'!$A$2:$F$368,G673,FALSE)</f>
        <v>12.6025757575757</v>
      </c>
      <c r="J673" s="119">
        <f ca="1">HLOOKUP($H$4,'Met Data'!$H$2:$M$368,G673,FALSE)*L673</f>
        <v>2.3060606060605999</v>
      </c>
      <c r="K673" s="98">
        <f ca="1">HLOOKUP($H$4,'Met Data'!$O$2:$T$368,G673,FALSE)</f>
        <v>4.3094672807614902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313</v>
      </c>
      <c r="H674" s="97">
        <f t="shared" ca="1" si="109"/>
        <v>45969</v>
      </c>
      <c r="I674" s="121">
        <f ca="1">HLOOKUP($H$4,'Met Data'!$A$2:$F$368,G674,FALSE)</f>
        <v>12.547121212121199</v>
      </c>
      <c r="J674" s="119">
        <f ca="1">HLOOKUP($H$4,'Met Data'!$H$2:$M$368,G674,FALSE)*L674</f>
        <v>0.92727272727272703</v>
      </c>
      <c r="K674" s="98">
        <f ca="1">HLOOKUP($H$4,'Met Data'!$O$2:$T$368,G674,FALSE)</f>
        <v>4.1336721636417497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314</v>
      </c>
      <c r="H675" s="97">
        <f t="shared" ca="1" si="109"/>
        <v>45970</v>
      </c>
      <c r="I675" s="121">
        <f ca="1">HLOOKUP($H$4,'Met Data'!$A$2:$F$368,G675,FALSE)</f>
        <v>12.8168181818181</v>
      </c>
      <c r="J675" s="119">
        <f ca="1">HLOOKUP($H$4,'Met Data'!$H$2:$M$368,G675,FALSE)*L675</f>
        <v>1.0212121212121199</v>
      </c>
      <c r="K675" s="98">
        <f ca="1">HLOOKUP($H$4,'Met Data'!$O$2:$T$368,G675,FALSE)</f>
        <v>4.3938915359457704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315</v>
      </c>
      <c r="H676" s="97">
        <f t="shared" ca="1" si="109"/>
        <v>45971</v>
      </c>
      <c r="I676" s="121">
        <f ca="1">HLOOKUP($H$4,'Met Data'!$A$2:$F$368,G676,FALSE)</f>
        <v>14.334848484848401</v>
      </c>
      <c r="J676" s="119">
        <f ca="1">HLOOKUP($H$4,'Met Data'!$H$2:$M$368,G676,FALSE)*L676</f>
        <v>0.51818181818181797</v>
      </c>
      <c r="K676" s="98">
        <f ca="1">HLOOKUP($H$4,'Met Data'!$O$2:$T$368,G676,FALSE)</f>
        <v>5.1862560436492702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316</v>
      </c>
      <c r="H677" s="97">
        <f t="shared" ca="1" si="109"/>
        <v>45972</v>
      </c>
      <c r="I677" s="121">
        <f ca="1">HLOOKUP($H$4,'Met Data'!$A$2:$F$368,G677,FALSE)</f>
        <v>13.660606060606</v>
      </c>
      <c r="J677" s="119">
        <f ca="1">HLOOKUP($H$4,'Met Data'!$H$2:$M$368,G677,FALSE)*L677</f>
        <v>0.90606060606060601</v>
      </c>
      <c r="K677" s="98">
        <f ca="1">HLOOKUP($H$4,'Met Data'!$O$2:$T$368,G677,FALSE)</f>
        <v>4.8906124961293598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317</v>
      </c>
      <c r="H678" s="97">
        <f t="shared" ca="1" si="109"/>
        <v>45973</v>
      </c>
      <c r="I678" s="121">
        <f ca="1">HLOOKUP($H$4,'Met Data'!$A$2:$F$368,G678,FALSE)</f>
        <v>13.3045454545454</v>
      </c>
      <c r="J678" s="119">
        <f ca="1">HLOOKUP($H$4,'Met Data'!$H$2:$M$368,G678,FALSE)*L678</f>
        <v>2.2575757575757498</v>
      </c>
      <c r="K678" s="98">
        <f ca="1">HLOOKUP($H$4,'Met Data'!$O$2:$T$368,G678,FALSE)</f>
        <v>4.5262878878537398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318</v>
      </c>
      <c r="H679" s="97">
        <f t="shared" ca="1" si="109"/>
        <v>45974</v>
      </c>
      <c r="I679" s="121">
        <f ca="1">HLOOKUP($H$4,'Met Data'!$A$2:$F$368,G679,FALSE)</f>
        <v>12.422727272727199</v>
      </c>
      <c r="J679" s="119">
        <f ca="1">HLOOKUP($H$4,'Met Data'!$H$2:$M$368,G679,FALSE)*L679</f>
        <v>1.1818181818181801</v>
      </c>
      <c r="K679" s="98">
        <f ca="1">HLOOKUP($H$4,'Met Data'!$O$2:$T$368,G679,FALSE)</f>
        <v>4.3459922348738003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319</v>
      </c>
      <c r="H680" s="97">
        <f t="shared" ca="1" si="109"/>
        <v>45975</v>
      </c>
      <c r="I680" s="121">
        <f ca="1">HLOOKUP($H$4,'Met Data'!$A$2:$F$368,G680,FALSE)</f>
        <v>12.9954545454545</v>
      </c>
      <c r="J680" s="119">
        <f ca="1">HLOOKUP($H$4,'Met Data'!$H$2:$M$368,G680,FALSE)*L680</f>
        <v>0.324242424242424</v>
      </c>
      <c r="K680" s="98">
        <f ca="1">HLOOKUP($H$4,'Met Data'!$O$2:$T$368,G680,FALSE)</f>
        <v>4.6406514807717096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320</v>
      </c>
      <c r="H681" s="97">
        <f t="shared" ca="1" si="109"/>
        <v>45976</v>
      </c>
      <c r="I681" s="121">
        <f ca="1">HLOOKUP($H$4,'Met Data'!$A$2:$F$368,G681,FALSE)</f>
        <v>13.430303030303</v>
      </c>
      <c r="J681" s="119">
        <f ca="1">HLOOKUP($H$4,'Met Data'!$H$2:$M$368,G681,FALSE)*L681</f>
        <v>0.469696969696969</v>
      </c>
      <c r="K681" s="98">
        <f ca="1">HLOOKUP($H$4,'Met Data'!$O$2:$T$368,G681,FALSE)</f>
        <v>5.0457035491188602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321</v>
      </c>
      <c r="H682" s="97">
        <f t="shared" ca="1" si="109"/>
        <v>45977</v>
      </c>
      <c r="I682" s="121">
        <f ca="1">HLOOKUP($H$4,'Met Data'!$A$2:$F$368,G682,FALSE)</f>
        <v>13.7712121212121</v>
      </c>
      <c r="J682" s="119">
        <f ca="1">HLOOKUP($H$4,'Met Data'!$H$2:$M$368,G682,FALSE)*L682</f>
        <v>1.79696969696969</v>
      </c>
      <c r="K682" s="98">
        <f ca="1">HLOOKUP($H$4,'Met Data'!$O$2:$T$368,G682,FALSE)</f>
        <v>4.8091723913410096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322</v>
      </c>
      <c r="H683" s="97">
        <f t="shared" ca="1" si="109"/>
        <v>45978</v>
      </c>
      <c r="I683" s="121">
        <f ca="1">HLOOKUP($H$4,'Met Data'!$A$2:$F$368,G683,FALSE)</f>
        <v>12.8924242424242</v>
      </c>
      <c r="J683" s="119">
        <f ca="1">HLOOKUP($H$4,'Met Data'!$H$2:$M$368,G683,FALSE)*L683</f>
        <v>1.46969696969696</v>
      </c>
      <c r="K683" s="98">
        <f ca="1">HLOOKUP($H$4,'Met Data'!$O$2:$T$368,G683,FALSE)</f>
        <v>4.4924353878463998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323</v>
      </c>
      <c r="H684" s="97">
        <f t="shared" ca="1" si="109"/>
        <v>45979</v>
      </c>
      <c r="I684" s="121">
        <f ca="1">HLOOKUP($H$4,'Met Data'!$A$2:$F$368,G684,FALSE)</f>
        <v>12.363636363636299</v>
      </c>
      <c r="J684" s="119">
        <f ca="1">HLOOKUP($H$4,'Met Data'!$H$2:$M$368,G684,FALSE)*L684</f>
        <v>2.6151515151515099</v>
      </c>
      <c r="K684" s="98">
        <f ca="1">HLOOKUP($H$4,'Met Data'!$O$2:$T$368,G684,FALSE)</f>
        <v>4.3049572040258504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324</v>
      </c>
      <c r="H685" s="97">
        <f t="shared" ca="1" si="109"/>
        <v>45980</v>
      </c>
      <c r="I685" s="121">
        <f ca="1">HLOOKUP($H$4,'Met Data'!$A$2:$F$368,G685,FALSE)</f>
        <v>12.159090909090899</v>
      </c>
      <c r="J685" s="119">
        <f ca="1">HLOOKUP($H$4,'Met Data'!$H$2:$M$368,G685,FALSE)*L685</f>
        <v>2.7848484848484798</v>
      </c>
      <c r="K685" s="98">
        <f ca="1">HLOOKUP($H$4,'Met Data'!$O$2:$T$368,G685,FALSE)</f>
        <v>4.1173997511743199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325</v>
      </c>
      <c r="H686" s="97">
        <f t="shared" ca="1" si="109"/>
        <v>45981</v>
      </c>
      <c r="I686" s="121">
        <f ca="1">HLOOKUP($H$4,'Met Data'!$A$2:$F$368,G686,FALSE)</f>
        <v>13.048484848484801</v>
      </c>
      <c r="J686" s="119">
        <f ca="1">HLOOKUP($H$4,'Met Data'!$H$2:$M$368,G686,FALSE)*L686</f>
        <v>1.49696969696969</v>
      </c>
      <c r="K686" s="98">
        <f ca="1">HLOOKUP($H$4,'Met Data'!$O$2:$T$368,G686,FALSE)</f>
        <v>4.5766974923540298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326</v>
      </c>
      <c r="H687" s="97">
        <f t="shared" ca="1" si="109"/>
        <v>45982</v>
      </c>
      <c r="I687" s="121">
        <f ca="1">HLOOKUP($H$4,'Met Data'!$A$2:$F$368,G687,FALSE)</f>
        <v>12.9621212121212</v>
      </c>
      <c r="J687" s="119">
        <f ca="1">HLOOKUP($H$4,'Met Data'!$H$2:$M$368,G687,FALSE)*L687</f>
        <v>2.8727272727272699</v>
      </c>
      <c r="K687" s="98">
        <f ca="1">HLOOKUP($H$4,'Met Data'!$O$2:$T$368,G687,FALSE)</f>
        <v>4.2114496325231201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ref="G688:G751" ca="1" si="110">H688-DATE(YEAR(H688),1,0)+1</f>
        <v>327</v>
      </c>
      <c r="H688" s="97">
        <f t="shared" ca="1" si="109"/>
        <v>45983</v>
      </c>
      <c r="I688" s="121">
        <f ca="1">HLOOKUP($H$4,'Met Data'!$A$2:$F$368,G688,FALSE)</f>
        <v>12.268749999999899</v>
      </c>
      <c r="J688" s="119">
        <f ca="1">HLOOKUP($H$4,'Met Data'!$H$2:$M$368,G688,FALSE)*L688</f>
        <v>1.4437500000000001</v>
      </c>
      <c r="K688" s="98">
        <f ca="1">HLOOKUP($H$4,'Met Data'!$O$2:$T$368,G688,FALSE)</f>
        <v>4.3766355597309001</v>
      </c>
      <c r="L688">
        <f t="shared" ca="1" si="108"/>
        <v>1</v>
      </c>
      <c r="N688" t="e">
        <f t="shared" ref="N688:N751" ca="1" si="111">IF(P688&lt;$P$3,TRUE,FALSE)</f>
        <v>#N/A</v>
      </c>
      <c r="O688" t="e">
        <f t="shared" ref="O688:O751" ca="1" si="112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3">IFERROR(P688,$AD$4)</f>
        <v>0</v>
      </c>
      <c r="AE688">
        <f t="shared" ref="AE688:AE751" ca="1" si="114">IFERROR(U688,0)</f>
        <v>0</v>
      </c>
      <c r="AG688" s="63" t="e">
        <f t="shared" ref="AG688:AG751" ca="1" si="115">Q687+S688+T688+U688</f>
        <v>#N/A</v>
      </c>
      <c r="AH688" s="63" t="e">
        <f t="shared" ref="AH688:AH751" ca="1" si="116">Q688+R688+X688</f>
        <v>#N/A</v>
      </c>
      <c r="AI688" s="3" t="e">
        <f t="shared" ref="AI688:AI751" ca="1" si="117">AH688-AG688</f>
        <v>#N/A</v>
      </c>
    </row>
    <row r="689" spans="7:35" ht="15.75" thickBot="1">
      <c r="G689" s="3">
        <f t="shared" ca="1" si="110"/>
        <v>328</v>
      </c>
      <c r="H689" s="97">
        <f t="shared" ca="1" si="109"/>
        <v>45984</v>
      </c>
      <c r="I689" s="121">
        <f ca="1">HLOOKUP($H$4,'Met Data'!$A$2:$F$368,G689,FALSE)</f>
        <v>13.610937499999901</v>
      </c>
      <c r="J689" s="119">
        <f ca="1">HLOOKUP($H$4,'Met Data'!$H$2:$M$368,G689,FALSE)*L689</f>
        <v>0.90937499999999905</v>
      </c>
      <c r="K689" s="98">
        <f ca="1">HLOOKUP($H$4,'Met Data'!$O$2:$T$368,G689,FALSE)</f>
        <v>4.8353730549956699</v>
      </c>
      <c r="L689">
        <f t="shared" ca="1" si="108"/>
        <v>1</v>
      </c>
      <c r="N689" t="e">
        <f t="shared" ca="1" si="111"/>
        <v>#N/A</v>
      </c>
      <c r="O689" t="e">
        <f t="shared" ca="1" si="112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3"/>
        <v>0</v>
      </c>
      <c r="AE689">
        <f t="shared" ca="1" si="114"/>
        <v>0</v>
      </c>
      <c r="AG689" s="63" t="e">
        <f t="shared" ca="1" si="115"/>
        <v>#N/A</v>
      </c>
      <c r="AH689" s="63" t="e">
        <f t="shared" ca="1" si="116"/>
        <v>#N/A</v>
      </c>
      <c r="AI689" s="3" t="e">
        <f t="shared" ca="1" si="117"/>
        <v>#N/A</v>
      </c>
    </row>
    <row r="690" spans="7:35" ht="15.75" thickBot="1">
      <c r="G690" s="3">
        <f t="shared" ca="1" si="110"/>
        <v>329</v>
      </c>
      <c r="H690" s="97">
        <f t="shared" ca="1" si="109"/>
        <v>45985</v>
      </c>
      <c r="I690" s="121">
        <f ca="1">HLOOKUP($H$4,'Met Data'!$A$2:$F$368,G690,FALSE)</f>
        <v>13.9</v>
      </c>
      <c r="J690" s="119">
        <f ca="1">HLOOKUP($H$4,'Met Data'!$H$2:$M$368,G690,FALSE)*L690</f>
        <v>1.096875</v>
      </c>
      <c r="K690" s="98">
        <f ca="1">HLOOKUP($H$4,'Met Data'!$O$2:$T$368,G690,FALSE)</f>
        <v>4.8959034423889598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330</v>
      </c>
      <c r="H691" s="97">
        <f t="shared" ca="1" si="109"/>
        <v>45986</v>
      </c>
      <c r="I691" s="121">
        <f ca="1">HLOOKUP($H$4,'Met Data'!$A$2:$F$368,G691,FALSE)</f>
        <v>14.229687499999899</v>
      </c>
      <c r="J691" s="119">
        <f ca="1">HLOOKUP($H$4,'Met Data'!$H$2:$M$368,G691,FALSE)*L691</f>
        <v>2.9937499999999999</v>
      </c>
      <c r="K691" s="98">
        <f ca="1">HLOOKUP($H$4,'Met Data'!$O$2:$T$368,G691,FALSE)</f>
        <v>4.5291120809301404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331</v>
      </c>
      <c r="H692" s="97">
        <f t="shared" ca="1" si="109"/>
        <v>45987</v>
      </c>
      <c r="I692" s="121">
        <f ca="1">HLOOKUP($H$4,'Met Data'!$A$2:$F$368,G692,FALSE)</f>
        <v>13.9375</v>
      </c>
      <c r="J692" s="119">
        <f ca="1">HLOOKUP($H$4,'Met Data'!$H$2:$M$368,G692,FALSE)*L692</f>
        <v>1.871875</v>
      </c>
      <c r="K692" s="98">
        <f ca="1">HLOOKUP($H$4,'Met Data'!$O$2:$T$368,G692,FALSE)</f>
        <v>4.6952794682709396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332</v>
      </c>
      <c r="H693" s="97">
        <f t="shared" ca="1" si="109"/>
        <v>45988</v>
      </c>
      <c r="I693" s="121">
        <f ca="1">HLOOKUP($H$4,'Met Data'!$A$2:$F$368,G693,FALSE)</f>
        <v>13.6234375</v>
      </c>
      <c r="J693" s="119">
        <f ca="1">HLOOKUP($H$4,'Met Data'!$H$2:$M$368,G693,FALSE)*L693</f>
        <v>0.89375000000000004</v>
      </c>
      <c r="K693" s="98">
        <f ca="1">HLOOKUP($H$4,'Met Data'!$O$2:$T$368,G693,FALSE)</f>
        <v>4.7009583495068297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333</v>
      </c>
      <c r="H694" s="97">
        <f t="shared" ca="1" si="109"/>
        <v>45989</v>
      </c>
      <c r="I694" s="121">
        <f ca="1">HLOOKUP($H$4,'Met Data'!$A$2:$F$368,G694,FALSE)</f>
        <v>13.4125</v>
      </c>
      <c r="J694" s="119">
        <f ca="1">HLOOKUP($H$4,'Met Data'!$H$2:$M$368,G694,FALSE)*L694</f>
        <v>2.8031250000000001</v>
      </c>
      <c r="K694" s="98">
        <f ca="1">HLOOKUP($H$4,'Met Data'!$O$2:$T$368,G694,FALSE)</f>
        <v>4.6692836926226899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334</v>
      </c>
      <c r="H695" s="97">
        <f t="shared" ca="1" si="109"/>
        <v>45990</v>
      </c>
      <c r="I695" s="121">
        <f ca="1">HLOOKUP($H$4,'Met Data'!$A$2:$F$368,G695,FALSE)</f>
        <v>13.120312499999899</v>
      </c>
      <c r="J695" s="119">
        <f ca="1">HLOOKUP($H$4,'Met Data'!$H$2:$M$368,G695,FALSE)*L695</f>
        <v>1.125</v>
      </c>
      <c r="K695" s="98">
        <f ca="1">HLOOKUP($H$4,'Met Data'!$O$2:$T$368,G695,FALSE)</f>
        <v>4.5223331629764099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335</v>
      </c>
      <c r="H696" s="97">
        <f t="shared" ca="1" si="109"/>
        <v>45991</v>
      </c>
      <c r="I696" s="121">
        <f ca="1">HLOOKUP($H$4,'Met Data'!$A$2:$F$368,G696,FALSE)</f>
        <v>13.534375000000001</v>
      </c>
      <c r="J696" s="119">
        <f ca="1">HLOOKUP($H$4,'Met Data'!$H$2:$M$368,G696,FALSE)*L696</f>
        <v>1.659375</v>
      </c>
      <c r="K696" s="98">
        <f ca="1">HLOOKUP($H$4,'Met Data'!$O$2:$T$368,G696,FALSE)</f>
        <v>4.4045021528656898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336</v>
      </c>
      <c r="H697" s="97">
        <f t="shared" ca="1" si="109"/>
        <v>45992</v>
      </c>
      <c r="I697" s="121">
        <f ca="1">HLOOKUP($H$4,'Met Data'!$A$2:$F$368,G697,FALSE)</f>
        <v>14.5196969696969</v>
      </c>
      <c r="J697" s="119">
        <f ca="1">HLOOKUP($H$4,'Met Data'!$H$2:$M$368,G697,FALSE)*L697</f>
        <v>1.1545454545454501</v>
      </c>
      <c r="K697" s="98">
        <f ca="1">HLOOKUP($H$4,'Met Data'!$O$2:$T$368,G697,FALSE)</f>
        <v>4.9008684982534403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337</v>
      </c>
      <c r="H698" s="97">
        <f t="shared" ca="1" si="109"/>
        <v>45993</v>
      </c>
      <c r="I698" s="121">
        <f ca="1">HLOOKUP($H$4,'Met Data'!$A$2:$F$368,G698,FALSE)</f>
        <v>14.7863636363636</v>
      </c>
      <c r="J698" s="119">
        <f ca="1">HLOOKUP($H$4,'Met Data'!$H$2:$M$368,G698,FALSE)*L698</f>
        <v>0.68484848484848404</v>
      </c>
      <c r="K698" s="98">
        <f ca="1">HLOOKUP($H$4,'Met Data'!$O$2:$T$368,G698,FALSE)</f>
        <v>4.4310616880942204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338</v>
      </c>
      <c r="H699" s="97">
        <f t="shared" ca="1" si="109"/>
        <v>45994</v>
      </c>
      <c r="I699" s="121">
        <f ca="1">HLOOKUP($H$4,'Met Data'!$A$2:$F$368,G699,FALSE)</f>
        <v>15.427272727272699</v>
      </c>
      <c r="J699" s="119">
        <f ca="1">HLOOKUP($H$4,'Met Data'!$H$2:$M$368,G699,FALSE)*L699</f>
        <v>0.94242424242424205</v>
      </c>
      <c r="K699" s="98">
        <f ca="1">HLOOKUP($H$4,'Met Data'!$O$2:$T$368,G699,FALSE)</f>
        <v>4.8682330205678701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339</v>
      </c>
      <c r="H700" s="97">
        <f t="shared" ca="1" si="109"/>
        <v>45995</v>
      </c>
      <c r="I700" s="121">
        <f ca="1">HLOOKUP($H$4,'Met Data'!$A$2:$F$368,G700,FALSE)</f>
        <v>15.004545454545401</v>
      </c>
      <c r="J700" s="119">
        <f ca="1">HLOOKUP($H$4,'Met Data'!$H$2:$M$368,G700,FALSE)*L700</f>
        <v>0.98787878787878702</v>
      </c>
      <c r="K700" s="98">
        <f ca="1">HLOOKUP($H$4,'Met Data'!$O$2:$T$368,G700,FALSE)</f>
        <v>5.2050138478161401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340</v>
      </c>
      <c r="H701" s="97">
        <f t="shared" ca="1" si="109"/>
        <v>45996</v>
      </c>
      <c r="I701" s="121">
        <f ca="1">HLOOKUP($H$4,'Met Data'!$A$2:$F$368,G701,FALSE)</f>
        <v>14.903030303030301</v>
      </c>
      <c r="J701" s="119">
        <f ca="1">HLOOKUP($H$4,'Met Data'!$H$2:$M$368,G701,FALSE)*L701</f>
        <v>1.5848484848484801</v>
      </c>
      <c r="K701" s="98">
        <f ca="1">HLOOKUP($H$4,'Met Data'!$O$2:$T$368,G701,FALSE)</f>
        <v>4.6641306366413202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341</v>
      </c>
      <c r="H702" s="97">
        <f t="shared" ca="1" si="109"/>
        <v>45997</v>
      </c>
      <c r="I702" s="121">
        <f ca="1">HLOOKUP($H$4,'Met Data'!$A$2:$F$368,G702,FALSE)</f>
        <v>14.301515151515099</v>
      </c>
      <c r="J702" s="119">
        <f ca="1">HLOOKUP($H$4,'Met Data'!$H$2:$M$368,G702,FALSE)*L702</f>
        <v>1.8545454545454501</v>
      </c>
      <c r="K702" s="98">
        <f ca="1">HLOOKUP($H$4,'Met Data'!$O$2:$T$368,G702,FALSE)</f>
        <v>4.1875145428280103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342</v>
      </c>
      <c r="H703" s="97">
        <f t="shared" ca="1" si="109"/>
        <v>45998</v>
      </c>
      <c r="I703" s="121">
        <f ca="1">HLOOKUP($H$4,'Met Data'!$A$2:$F$368,G703,FALSE)</f>
        <v>14.8272727272727</v>
      </c>
      <c r="J703" s="119">
        <f ca="1">HLOOKUP($H$4,'Met Data'!$H$2:$M$368,G703,FALSE)*L703</f>
        <v>1.1151515151515099</v>
      </c>
      <c r="K703" s="98">
        <f ca="1">HLOOKUP($H$4,'Met Data'!$O$2:$T$368,G703,FALSE)</f>
        <v>4.78641268464904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343</v>
      </c>
      <c r="H704" s="97">
        <f t="shared" ca="1" si="109"/>
        <v>45999</v>
      </c>
      <c r="I704" s="121">
        <f ca="1">HLOOKUP($H$4,'Met Data'!$A$2:$F$368,G704,FALSE)</f>
        <v>14.8772727272727</v>
      </c>
      <c r="J704" s="119">
        <f ca="1">HLOOKUP($H$4,'Met Data'!$H$2:$M$368,G704,FALSE)*L704</f>
        <v>2.8242424242424198</v>
      </c>
      <c r="K704" s="98">
        <f ca="1">HLOOKUP($H$4,'Met Data'!$O$2:$T$368,G704,FALSE)</f>
        <v>4.7928671108875296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344</v>
      </c>
      <c r="H705" s="97">
        <f t="shared" ca="1" si="109"/>
        <v>46000</v>
      </c>
      <c r="I705" s="121">
        <f ca="1">HLOOKUP($H$4,'Met Data'!$A$2:$F$368,G705,FALSE)</f>
        <v>14.215151515151501</v>
      </c>
      <c r="J705" s="119">
        <f ca="1">HLOOKUP($H$4,'Met Data'!$H$2:$M$368,G705,FALSE)*L705</f>
        <v>0.49393939393939301</v>
      </c>
      <c r="K705" s="98">
        <f ca="1">HLOOKUP($H$4,'Met Data'!$O$2:$T$368,G705,FALSE)</f>
        <v>4.8235358630714096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345</v>
      </c>
      <c r="H706" s="97">
        <f t="shared" ca="1" si="109"/>
        <v>46001</v>
      </c>
      <c r="I706" s="121">
        <f ca="1">HLOOKUP($H$4,'Met Data'!$A$2:$F$368,G706,FALSE)</f>
        <v>14.9121212121212</v>
      </c>
      <c r="J706" s="119">
        <f ca="1">HLOOKUP($H$4,'Met Data'!$H$2:$M$368,G706,FALSE)*L706</f>
        <v>0.67878787878787805</v>
      </c>
      <c r="K706" s="98">
        <f ca="1">HLOOKUP($H$4,'Met Data'!$O$2:$T$368,G706,FALSE)</f>
        <v>4.3850054551207398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346</v>
      </c>
      <c r="H707" s="97">
        <f t="shared" ca="1" si="109"/>
        <v>46002</v>
      </c>
      <c r="I707" s="121">
        <f ca="1">HLOOKUP($H$4,'Met Data'!$A$2:$F$368,G707,FALSE)</f>
        <v>15.940909090909001</v>
      </c>
      <c r="J707" s="119">
        <f ca="1">HLOOKUP($H$4,'Met Data'!$H$2:$M$368,G707,FALSE)*L707</f>
        <v>0.221212121212121</v>
      </c>
      <c r="K707" s="98">
        <f ca="1">HLOOKUP($H$4,'Met Data'!$O$2:$T$368,G707,FALSE)</f>
        <v>5.2714081938624204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347</v>
      </c>
      <c r="H708" s="97">
        <f t="shared" ca="1" si="109"/>
        <v>46003</v>
      </c>
      <c r="I708" s="121">
        <f ca="1">HLOOKUP($H$4,'Met Data'!$A$2:$F$368,G708,FALSE)</f>
        <v>16.6272727272727</v>
      </c>
      <c r="J708" s="119">
        <f ca="1">HLOOKUP($H$4,'Met Data'!$H$2:$M$368,G708,FALSE)*L708</f>
        <v>1.21818181818181</v>
      </c>
      <c r="K708" s="98">
        <f ca="1">HLOOKUP($H$4,'Met Data'!$O$2:$T$368,G708,FALSE)</f>
        <v>5.2469107263269903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348</v>
      </c>
      <c r="H709" s="97">
        <f t="shared" ca="1" si="109"/>
        <v>46004</v>
      </c>
      <c r="I709" s="121">
        <f ca="1">HLOOKUP($H$4,'Met Data'!$A$2:$F$368,G709,FALSE)</f>
        <v>15.6196969696969</v>
      </c>
      <c r="J709" s="119">
        <f ca="1">HLOOKUP($H$4,'Met Data'!$H$2:$M$368,G709,FALSE)*L709</f>
        <v>2.59696969696969</v>
      </c>
      <c r="K709" s="98">
        <f ca="1">HLOOKUP($H$4,'Met Data'!$O$2:$T$368,G709,FALSE)</f>
        <v>5.0310266433765403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349</v>
      </c>
      <c r="H710" s="97">
        <f t="shared" ca="1" si="109"/>
        <v>46005</v>
      </c>
      <c r="I710" s="121">
        <f ca="1">HLOOKUP($H$4,'Met Data'!$A$2:$F$368,G710,FALSE)</f>
        <v>14.8939393939393</v>
      </c>
      <c r="J710" s="119">
        <f ca="1">HLOOKUP($H$4,'Met Data'!$H$2:$M$368,G710,FALSE)*L710</f>
        <v>1.05151515151515</v>
      </c>
      <c r="K710" s="98">
        <f ca="1">HLOOKUP($H$4,'Met Data'!$O$2:$T$368,G710,FALSE)</f>
        <v>5.1072739426404103</v>
      </c>
      <c r="L710">
        <f t="shared" ref="L710:L773" ca="1" si="118">IF(H710&lt;$B$31,$J$3,$J$4)</f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350</v>
      </c>
      <c r="H711" s="97">
        <f t="shared" ca="1" si="109"/>
        <v>46006</v>
      </c>
      <c r="I711" s="121">
        <f ca="1">HLOOKUP($H$4,'Met Data'!$A$2:$F$368,G711,FALSE)</f>
        <v>16</v>
      </c>
      <c r="J711" s="119">
        <f ca="1">HLOOKUP($H$4,'Met Data'!$H$2:$M$368,G711,FALSE)*L711</f>
        <v>1.04242424242424</v>
      </c>
      <c r="K711" s="98">
        <f ca="1">HLOOKUP($H$4,'Met Data'!$O$2:$T$368,G711,FALSE)</f>
        <v>5.4539790972000102</v>
      </c>
      <c r="L711">
        <f t="shared" ca="1" si="118"/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351</v>
      </c>
      <c r="H712" s="97">
        <f t="shared" ref="H712:H775" ca="1" si="119">H711+1</f>
        <v>46007</v>
      </c>
      <c r="I712" s="121">
        <f ca="1">HLOOKUP($H$4,'Met Data'!$A$2:$F$368,G712,FALSE)</f>
        <v>15.5590909090909</v>
      </c>
      <c r="J712" s="119">
        <f ca="1">HLOOKUP($H$4,'Met Data'!$H$2:$M$368,G712,FALSE)*L712</f>
        <v>1.9272727272727199</v>
      </c>
      <c r="K712" s="98">
        <f ca="1">HLOOKUP($H$4,'Met Data'!$O$2:$T$368,G712,FALSE)</f>
        <v>4.5883036332124396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352</v>
      </c>
      <c r="H713" s="97">
        <f t="shared" ca="1" si="119"/>
        <v>46008</v>
      </c>
      <c r="I713" s="121">
        <f ca="1">HLOOKUP($H$4,'Met Data'!$A$2:$F$368,G713,FALSE)</f>
        <v>15.2454545454545</v>
      </c>
      <c r="J713" s="119">
        <f ca="1">HLOOKUP($H$4,'Met Data'!$H$2:$M$368,G713,FALSE)*L713</f>
        <v>2.4060606060606</v>
      </c>
      <c r="K713" s="98">
        <f ca="1">HLOOKUP($H$4,'Met Data'!$O$2:$T$368,G713,FALSE)</f>
        <v>4.7700419489867203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353</v>
      </c>
      <c r="H714" s="97">
        <f t="shared" ca="1" si="119"/>
        <v>46009</v>
      </c>
      <c r="I714" s="121">
        <f ca="1">HLOOKUP($H$4,'Met Data'!$A$2:$F$368,G714,FALSE)</f>
        <v>15.4969696969696</v>
      </c>
      <c r="J714" s="119">
        <f ca="1">HLOOKUP($H$4,'Met Data'!$H$2:$M$368,G714,FALSE)*L714</f>
        <v>1.9363636363636301</v>
      </c>
      <c r="K714" s="98">
        <f ca="1">HLOOKUP($H$4,'Met Data'!$O$2:$T$368,G714,FALSE)</f>
        <v>5.0336294289784602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354</v>
      </c>
      <c r="H715" s="97">
        <f t="shared" ca="1" si="119"/>
        <v>46010</v>
      </c>
      <c r="I715" s="121">
        <f ca="1">HLOOKUP($H$4,'Met Data'!$A$2:$F$368,G715,FALSE)</f>
        <v>15.5242424242424</v>
      </c>
      <c r="J715" s="119">
        <f ca="1">HLOOKUP($H$4,'Met Data'!$H$2:$M$368,G715,FALSE)*L715</f>
        <v>1.78181818181818</v>
      </c>
      <c r="K715" s="98">
        <f ca="1">HLOOKUP($H$4,'Met Data'!$O$2:$T$368,G715,FALSE)</f>
        <v>4.98855977845243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355</v>
      </c>
      <c r="H716" s="97">
        <f t="shared" ca="1" si="119"/>
        <v>46011</v>
      </c>
      <c r="I716" s="121">
        <f ca="1">HLOOKUP($H$4,'Met Data'!$A$2:$F$368,G716,FALSE)</f>
        <v>15.1863636363636</v>
      </c>
      <c r="J716" s="119">
        <f ca="1">HLOOKUP($H$4,'Met Data'!$H$2:$M$368,G716,FALSE)*L716</f>
        <v>4.1696969696969699</v>
      </c>
      <c r="K716" s="98">
        <f ca="1">HLOOKUP($H$4,'Met Data'!$O$2:$T$368,G716,FALSE)</f>
        <v>4.9791838222051101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356</v>
      </c>
      <c r="H717" s="97">
        <f t="shared" ca="1" si="119"/>
        <v>46012</v>
      </c>
      <c r="I717" s="121">
        <f ca="1">HLOOKUP($H$4,'Met Data'!$A$2:$F$368,G717,FALSE)</f>
        <v>14.9893480257116</v>
      </c>
      <c r="J717" s="119">
        <f ca="1">HLOOKUP($H$4,'Met Data'!$H$2:$M$368,G717,FALSE)*L717</f>
        <v>2.6030303030302999</v>
      </c>
      <c r="K717" s="98">
        <f ca="1">HLOOKUP($H$4,'Met Data'!$O$2:$T$368,G717,FALSE)</f>
        <v>5.3026714900844496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357</v>
      </c>
      <c r="H718" s="97">
        <f t="shared" ca="1" si="119"/>
        <v>46013</v>
      </c>
      <c r="I718" s="121">
        <f ca="1">HLOOKUP($H$4,'Met Data'!$A$2:$F$368,G718,FALSE)</f>
        <v>15.318181818181801</v>
      </c>
      <c r="J718" s="119">
        <f ca="1">HLOOKUP($H$4,'Met Data'!$H$2:$M$368,G718,FALSE)*L718</f>
        <v>2.1333333333333302</v>
      </c>
      <c r="K718" s="98">
        <f ca="1">HLOOKUP($H$4,'Met Data'!$O$2:$T$368,G718,FALSE)</f>
        <v>5.2799428567790896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358</v>
      </c>
      <c r="H719" s="97">
        <f t="shared" ca="1" si="119"/>
        <v>46014</v>
      </c>
      <c r="I719" s="121">
        <f ca="1">HLOOKUP($H$4,'Met Data'!$A$2:$F$368,G719,FALSE)</f>
        <v>15.1030303030303</v>
      </c>
      <c r="J719" s="119">
        <f ca="1">HLOOKUP($H$4,'Met Data'!$H$2:$M$368,G719,FALSE)*L719</f>
        <v>1.7606060606060601</v>
      </c>
      <c r="K719" s="98">
        <f ca="1">HLOOKUP($H$4,'Met Data'!$O$2:$T$368,G719,FALSE)</f>
        <v>4.9208206081117201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359</v>
      </c>
      <c r="H720" s="97">
        <f t="shared" ca="1" si="119"/>
        <v>46015</v>
      </c>
      <c r="I720" s="121">
        <f ca="1">HLOOKUP($H$4,'Met Data'!$A$2:$F$368,G720,FALSE)</f>
        <v>15.75</v>
      </c>
      <c r="J720" s="119">
        <f ca="1">HLOOKUP($H$4,'Met Data'!$H$2:$M$368,G720,FALSE)*L720</f>
        <v>0.44545454545454499</v>
      </c>
      <c r="K720" s="98">
        <f ca="1">HLOOKUP($H$4,'Met Data'!$O$2:$T$368,G720,FALSE)</f>
        <v>5.2220060011835203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360</v>
      </c>
      <c r="H721" s="97">
        <f t="shared" ca="1" si="119"/>
        <v>46016</v>
      </c>
      <c r="I721" s="121">
        <f ca="1">HLOOKUP($H$4,'Met Data'!$A$2:$F$368,G721,FALSE)</f>
        <v>15.801515151515099</v>
      </c>
      <c r="J721" s="119">
        <f ca="1">HLOOKUP($H$4,'Met Data'!$H$2:$M$368,G721,FALSE)*L721</f>
        <v>0.86969696969696897</v>
      </c>
      <c r="K721" s="98">
        <f ca="1">HLOOKUP($H$4,'Met Data'!$O$2:$T$368,G721,FALSE)</f>
        <v>5.4909304436539399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361</v>
      </c>
      <c r="H722" s="97">
        <f t="shared" ca="1" si="119"/>
        <v>46017</v>
      </c>
      <c r="I722" s="121">
        <f ca="1">HLOOKUP($H$4,'Met Data'!$A$2:$F$368,G722,FALSE)</f>
        <v>15.1378787878787</v>
      </c>
      <c r="J722" s="119">
        <f ca="1">HLOOKUP($H$4,'Met Data'!$H$2:$M$368,G722,FALSE)*L722</f>
        <v>0.68181818181818099</v>
      </c>
      <c r="K722" s="98">
        <f ca="1">HLOOKUP($H$4,'Met Data'!$O$2:$T$368,G722,FALSE)</f>
        <v>4.9163537354420397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362</v>
      </c>
      <c r="H723" s="97">
        <f t="shared" ca="1" si="119"/>
        <v>46018</v>
      </c>
      <c r="I723" s="121">
        <f ca="1">HLOOKUP($H$4,'Met Data'!$A$2:$F$368,G723,FALSE)</f>
        <v>16.901515151515099</v>
      </c>
      <c r="J723" s="119">
        <f ca="1">HLOOKUP($H$4,'Met Data'!$H$2:$M$368,G723,FALSE)*L723</f>
        <v>1.11818181818181</v>
      </c>
      <c r="K723" s="98">
        <f ca="1">HLOOKUP($H$4,'Met Data'!$O$2:$T$368,G723,FALSE)</f>
        <v>5.7188006673869101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363</v>
      </c>
      <c r="H724" s="97">
        <f t="shared" ca="1" si="119"/>
        <v>46019</v>
      </c>
      <c r="I724" s="121">
        <f ca="1">HLOOKUP($H$4,'Met Data'!$A$2:$F$368,G724,FALSE)</f>
        <v>17.143939393939299</v>
      </c>
      <c r="J724" s="119">
        <f ca="1">HLOOKUP($H$4,'Met Data'!$H$2:$M$368,G724,FALSE)*L724</f>
        <v>2.9666666666666601</v>
      </c>
      <c r="K724" s="98">
        <f ca="1">HLOOKUP($H$4,'Met Data'!$O$2:$T$368,G724,FALSE)</f>
        <v>5.7794443898681997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364</v>
      </c>
      <c r="H725" s="97">
        <f t="shared" ca="1" si="119"/>
        <v>46020</v>
      </c>
      <c r="I725" s="121">
        <f ca="1">HLOOKUP($H$4,'Met Data'!$A$2:$F$368,G725,FALSE)</f>
        <v>15.795454545454501</v>
      </c>
      <c r="J725" s="119">
        <f ca="1">HLOOKUP($H$4,'Met Data'!$H$2:$M$368,G725,FALSE)*L725</f>
        <v>1.01212121212121</v>
      </c>
      <c r="K725" s="98">
        <f ca="1">HLOOKUP($H$4,'Met Data'!$O$2:$T$368,G725,FALSE)</f>
        <v>4.8778466207725302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365</v>
      </c>
      <c r="H726" s="97">
        <f t="shared" ca="1" si="119"/>
        <v>46021</v>
      </c>
      <c r="I726" s="121">
        <f ca="1">HLOOKUP($H$4,'Met Data'!$A$2:$F$368,G726,FALSE)</f>
        <v>16.3359375</v>
      </c>
      <c r="J726" s="119">
        <f ca="1">HLOOKUP($H$4,'Met Data'!$H$2:$M$368,G726,FALSE)*L726</f>
        <v>2.5656249999999998</v>
      </c>
      <c r="K726" s="98">
        <f ca="1">HLOOKUP($H$4,'Met Data'!$O$2:$T$368,G726,FALSE)</f>
        <v>4.8055507109703601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366</v>
      </c>
      <c r="H727" s="97">
        <f t="shared" ca="1" si="119"/>
        <v>46022</v>
      </c>
      <c r="I727" s="121">
        <f ca="1">HLOOKUP($H$4,'Met Data'!$A$2:$F$368,G727,FALSE)</f>
        <v>15.832812499999999</v>
      </c>
      <c r="J727" s="119">
        <f ca="1">HLOOKUP($H$4,'Met Data'!$H$2:$M$368,G727,FALSE)*L727</f>
        <v>1.0062500000000001</v>
      </c>
      <c r="K727" s="98">
        <f ca="1">HLOOKUP($H$4,'Met Data'!$O$2:$T$368,G727,FALSE)</f>
        <v>5.3791049074685899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2</v>
      </c>
      <c r="H728" s="97">
        <f t="shared" ca="1" si="119"/>
        <v>46023</v>
      </c>
      <c r="I728" s="121">
        <f ca="1">HLOOKUP($H$4,'Met Data'!$A$2:$F$368,G728,FALSE)</f>
        <v>16.179411764705801</v>
      </c>
      <c r="J728" s="119">
        <f ca="1">HLOOKUP($H$4,'Met Data'!$H$2:$M$368,G728,FALSE)*L728</f>
        <v>0.69411764705882295</v>
      </c>
      <c r="K728" s="98">
        <f ca="1">HLOOKUP($H$4,'Met Data'!$O$2:$T$368,G728,FALSE)</f>
        <v>5.6670911405215199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3</v>
      </c>
      <c r="H729" s="97">
        <f t="shared" ca="1" si="119"/>
        <v>46024</v>
      </c>
      <c r="I729" s="121">
        <f ca="1">HLOOKUP($H$4,'Met Data'!$A$2:$F$368,G729,FALSE)</f>
        <v>17.160294117646998</v>
      </c>
      <c r="J729" s="119">
        <f ca="1">HLOOKUP($H$4,'Met Data'!$H$2:$M$368,G729,FALSE)*L729</f>
        <v>1.5735294117647001</v>
      </c>
      <c r="K729" s="98">
        <f ca="1">HLOOKUP($H$4,'Met Data'!$O$2:$T$368,G729,FALSE)</f>
        <v>5.47016136211003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4</v>
      </c>
      <c r="H730" s="97">
        <f t="shared" ca="1" si="119"/>
        <v>46025</v>
      </c>
      <c r="I730" s="121">
        <f ca="1">HLOOKUP($H$4,'Met Data'!$A$2:$F$368,G730,FALSE)</f>
        <v>16.8117647058823</v>
      </c>
      <c r="J730" s="119">
        <f ca="1">HLOOKUP($H$4,'Met Data'!$H$2:$M$368,G730,FALSE)*L730</f>
        <v>2.3529411764705799</v>
      </c>
      <c r="K730" s="98">
        <f ca="1">HLOOKUP($H$4,'Met Data'!$O$2:$T$368,G730,FALSE)</f>
        <v>5.5060411752421698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5</v>
      </c>
      <c r="H731" s="97">
        <f t="shared" ca="1" si="119"/>
        <v>46026</v>
      </c>
      <c r="I731" s="121">
        <f ca="1">HLOOKUP($H$4,'Met Data'!$A$2:$F$368,G731,FALSE)</f>
        <v>15.772058823529401</v>
      </c>
      <c r="J731" s="119">
        <f ca="1">HLOOKUP($H$4,'Met Data'!$H$2:$M$368,G731,FALSE)*L731</f>
        <v>1.96470588235294</v>
      </c>
      <c r="K731" s="98">
        <f ca="1">HLOOKUP($H$4,'Met Data'!$O$2:$T$368,G731,FALSE)</f>
        <v>4.9972624433289496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6</v>
      </c>
      <c r="H732" s="97">
        <f t="shared" ca="1" si="119"/>
        <v>46027</v>
      </c>
      <c r="I732" s="121">
        <f ca="1">HLOOKUP($H$4,'Met Data'!$A$2:$F$368,G732,FALSE)</f>
        <v>16.045588235294101</v>
      </c>
      <c r="J732" s="119">
        <f ca="1">HLOOKUP($H$4,'Met Data'!$H$2:$M$368,G732,FALSE)*L732</f>
        <v>1.5588235294117601</v>
      </c>
      <c r="K732" s="98">
        <f ca="1">HLOOKUP($H$4,'Met Data'!$O$2:$T$368,G732,FALSE)</f>
        <v>5.1481016165606404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7</v>
      </c>
      <c r="H733" s="97">
        <f t="shared" ca="1" si="119"/>
        <v>46028</v>
      </c>
      <c r="I733" s="121">
        <f ca="1">HLOOKUP($H$4,'Met Data'!$A$2:$F$368,G733,FALSE)</f>
        <v>16.1955882352941</v>
      </c>
      <c r="J733" s="119">
        <f ca="1">HLOOKUP($H$4,'Met Data'!$H$2:$M$368,G733,FALSE)*L733</f>
        <v>0.438235294117647</v>
      </c>
      <c r="K733" s="98">
        <f ca="1">HLOOKUP($H$4,'Met Data'!$O$2:$T$368,G733,FALSE)</f>
        <v>5.1335474577147604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8</v>
      </c>
      <c r="H734" s="97">
        <f t="shared" ca="1" si="119"/>
        <v>46029</v>
      </c>
      <c r="I734" s="121">
        <f ca="1">HLOOKUP($H$4,'Met Data'!$A$2:$F$368,G734,FALSE)</f>
        <v>17.395588235294099</v>
      </c>
      <c r="J734" s="119">
        <f ca="1">HLOOKUP($H$4,'Met Data'!$H$2:$M$368,G734,FALSE)*L734</f>
        <v>0.92647058823529405</v>
      </c>
      <c r="K734" s="98">
        <f ca="1">HLOOKUP($H$4,'Met Data'!$O$2:$T$368,G734,FALSE)</f>
        <v>5.4532643793489903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9</v>
      </c>
      <c r="H735" s="97">
        <f t="shared" ca="1" si="119"/>
        <v>46030</v>
      </c>
      <c r="I735" s="121">
        <f ca="1">HLOOKUP($H$4,'Met Data'!$A$2:$F$368,G735,FALSE)</f>
        <v>17.102249134948</v>
      </c>
      <c r="J735" s="119">
        <f ca="1">HLOOKUP($H$4,'Met Data'!$H$2:$M$368,G735,FALSE)*L735</f>
        <v>2.3176470588235198</v>
      </c>
      <c r="K735" s="98">
        <f ca="1">HLOOKUP($H$4,'Met Data'!$O$2:$T$368,G735,FALSE)</f>
        <v>5.57690448669634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10</v>
      </c>
      <c r="H736" s="97">
        <f t="shared" ca="1" si="119"/>
        <v>46031</v>
      </c>
      <c r="I736" s="121">
        <f ca="1">HLOOKUP($H$4,'Met Data'!$A$2:$F$368,G736,FALSE)</f>
        <v>16.213235294117599</v>
      </c>
      <c r="J736" s="119">
        <f ca="1">HLOOKUP($H$4,'Met Data'!$H$2:$M$368,G736,FALSE)*L736</f>
        <v>0.90882352941176403</v>
      </c>
      <c r="K736" s="98">
        <f ca="1">HLOOKUP($H$4,'Met Data'!$O$2:$T$368,G736,FALSE)</f>
        <v>5.14581424029529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11</v>
      </c>
      <c r="H737" s="97">
        <f t="shared" ca="1" si="119"/>
        <v>46032</v>
      </c>
      <c r="I737" s="121">
        <f ca="1">HLOOKUP($H$4,'Met Data'!$A$2:$F$368,G737,FALSE)</f>
        <v>15.8947058823529</v>
      </c>
      <c r="J737" s="119">
        <f ca="1">HLOOKUP($H$4,'Met Data'!$H$2:$M$368,G737,FALSE)*L737</f>
        <v>2.69999999999999</v>
      </c>
      <c r="K737" s="98">
        <f ca="1">HLOOKUP($H$4,'Met Data'!$O$2:$T$368,G737,FALSE)</f>
        <v>4.7411675639454902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12</v>
      </c>
      <c r="H738" s="97">
        <f t="shared" ca="1" si="119"/>
        <v>46033</v>
      </c>
      <c r="I738" s="121">
        <f ca="1">HLOOKUP($H$4,'Met Data'!$A$2:$F$368,G738,FALSE)</f>
        <v>16.250588235294099</v>
      </c>
      <c r="J738" s="119">
        <f ca="1">HLOOKUP($H$4,'Met Data'!$H$2:$M$368,G738,FALSE)*L738</f>
        <v>2.3529411764705799</v>
      </c>
      <c r="K738" s="98">
        <f ca="1">HLOOKUP($H$4,'Met Data'!$O$2:$T$368,G738,FALSE)</f>
        <v>4.6490051927409599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13</v>
      </c>
      <c r="H739" s="97">
        <f t="shared" ca="1" si="119"/>
        <v>46034</v>
      </c>
      <c r="I739" s="121">
        <f ca="1">HLOOKUP($H$4,'Met Data'!$A$2:$F$368,G739,FALSE)</f>
        <v>16.662352941176401</v>
      </c>
      <c r="J739" s="119">
        <f ca="1">HLOOKUP($H$4,'Met Data'!$H$2:$M$368,G739,FALSE)*L739</f>
        <v>2.74705882352941</v>
      </c>
      <c r="K739" s="98">
        <f ca="1">HLOOKUP($H$4,'Met Data'!$O$2:$T$368,G739,FALSE)</f>
        <v>4.8719680350014798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14</v>
      </c>
      <c r="H740" s="97">
        <f t="shared" ca="1" si="119"/>
        <v>46035</v>
      </c>
      <c r="I740" s="121">
        <f ca="1">HLOOKUP($H$4,'Met Data'!$A$2:$F$368,G740,FALSE)</f>
        <v>16.830882352941099</v>
      </c>
      <c r="J740" s="119">
        <f ca="1">HLOOKUP($H$4,'Met Data'!$H$2:$M$368,G740,FALSE)*L740</f>
        <v>1.29411764705882</v>
      </c>
      <c r="K740" s="98">
        <f ca="1">HLOOKUP($H$4,'Met Data'!$O$2:$T$368,G740,FALSE)</f>
        <v>5.1562686308583903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15</v>
      </c>
      <c r="H741" s="97">
        <f t="shared" ca="1" si="119"/>
        <v>46036</v>
      </c>
      <c r="I741" s="121">
        <f ca="1">HLOOKUP($H$4,'Met Data'!$A$2:$F$368,G741,FALSE)</f>
        <v>16.835294117646999</v>
      </c>
      <c r="J741" s="119">
        <f ca="1">HLOOKUP($H$4,'Met Data'!$H$2:$M$368,G741,FALSE)*L741</f>
        <v>0.93823529411764695</v>
      </c>
      <c r="K741" s="98">
        <f ca="1">HLOOKUP($H$4,'Met Data'!$O$2:$T$368,G741,FALSE)</f>
        <v>5.3875143634853799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16</v>
      </c>
      <c r="H742" s="97">
        <f t="shared" ca="1" si="119"/>
        <v>46037</v>
      </c>
      <c r="I742" s="121">
        <f ca="1">HLOOKUP($H$4,'Met Data'!$A$2:$F$368,G742,FALSE)</f>
        <v>17.335294117646999</v>
      </c>
      <c r="J742" s="119">
        <f ca="1">HLOOKUP($H$4,'Met Data'!$H$2:$M$368,G742,FALSE)*L742</f>
        <v>1.0911764705882301</v>
      </c>
      <c r="K742" s="98">
        <f ca="1">HLOOKUP($H$4,'Met Data'!$O$2:$T$368,G742,FALSE)</f>
        <v>5.8399033494252999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17</v>
      </c>
      <c r="H743" s="97">
        <f t="shared" ca="1" si="119"/>
        <v>46038</v>
      </c>
      <c r="I743" s="121">
        <f ca="1">HLOOKUP($H$4,'Met Data'!$A$2:$F$368,G743,FALSE)</f>
        <v>16.8279411764705</v>
      </c>
      <c r="J743" s="119">
        <f ca="1">HLOOKUP($H$4,'Met Data'!$H$2:$M$368,G743,FALSE)*L743</f>
        <v>0.77647058823529402</v>
      </c>
      <c r="K743" s="98">
        <f ca="1">HLOOKUP($H$4,'Met Data'!$O$2:$T$368,G743,FALSE)</f>
        <v>5.6587590306219901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18</v>
      </c>
      <c r="H744" s="97">
        <f t="shared" ca="1" si="119"/>
        <v>46039</v>
      </c>
      <c r="I744" s="121">
        <f ca="1">HLOOKUP($H$4,'Met Data'!$A$2:$F$368,G744,FALSE)</f>
        <v>16.722058823529402</v>
      </c>
      <c r="J744" s="119">
        <f ca="1">HLOOKUP($H$4,'Met Data'!$H$2:$M$368,G744,FALSE)*L744</f>
        <v>0.57058823529411695</v>
      </c>
      <c r="K744" s="98">
        <f ca="1">HLOOKUP($H$4,'Met Data'!$O$2:$T$368,G744,FALSE)</f>
        <v>5.3270431561074503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19</v>
      </c>
      <c r="H745" s="97">
        <f t="shared" ca="1" si="119"/>
        <v>46040</v>
      </c>
      <c r="I745" s="121">
        <f ca="1">HLOOKUP($H$4,'Met Data'!$A$2:$F$368,G745,FALSE)</f>
        <v>17.301470588235201</v>
      </c>
      <c r="J745" s="119">
        <f ca="1">HLOOKUP($H$4,'Met Data'!$H$2:$M$368,G745,FALSE)*L745</f>
        <v>3.48529411764705</v>
      </c>
      <c r="K745" s="98">
        <f ca="1">HLOOKUP($H$4,'Met Data'!$O$2:$T$368,G745,FALSE)</f>
        <v>5.0203920634541701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20</v>
      </c>
      <c r="H746" s="97">
        <f t="shared" ca="1" si="119"/>
        <v>46041</v>
      </c>
      <c r="I746" s="121">
        <f ca="1">HLOOKUP($H$4,'Met Data'!$A$2:$F$368,G746,FALSE)</f>
        <v>17.052941176470501</v>
      </c>
      <c r="J746" s="119">
        <f ca="1">HLOOKUP($H$4,'Met Data'!$H$2:$M$368,G746,FALSE)*L746</f>
        <v>0.99117647058823499</v>
      </c>
      <c r="K746" s="98">
        <f ca="1">HLOOKUP($H$4,'Met Data'!$O$2:$T$368,G746,FALSE)</f>
        <v>5.3707211610908496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21</v>
      </c>
      <c r="H747" s="97">
        <f t="shared" ca="1" si="119"/>
        <v>46042</v>
      </c>
      <c r="I747" s="121">
        <f ca="1">HLOOKUP($H$4,'Met Data'!$A$2:$F$368,G747,FALSE)</f>
        <v>15.9367647058823</v>
      </c>
      <c r="J747" s="119">
        <f ca="1">HLOOKUP($H$4,'Met Data'!$H$2:$M$368,G747,FALSE)*L747</f>
        <v>0.25588235294117601</v>
      </c>
      <c r="K747" s="98">
        <f ca="1">HLOOKUP($H$4,'Met Data'!$O$2:$T$368,G747,FALSE)</f>
        <v>5.3547882621027503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22</v>
      </c>
      <c r="H748" s="97">
        <f t="shared" ca="1" si="119"/>
        <v>46043</v>
      </c>
      <c r="I748" s="121">
        <f ca="1">HLOOKUP($H$4,'Met Data'!$A$2:$F$368,G748,FALSE)</f>
        <v>17.475000000000001</v>
      </c>
      <c r="J748" s="119">
        <f ca="1">HLOOKUP($H$4,'Met Data'!$H$2:$M$368,G748,FALSE)*L748</f>
        <v>0.35882352941176399</v>
      </c>
      <c r="K748" s="98">
        <f ca="1">HLOOKUP($H$4,'Met Data'!$O$2:$T$368,G748,FALSE)</f>
        <v>5.3930487438230301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23</v>
      </c>
      <c r="H749" s="97">
        <f t="shared" ca="1" si="119"/>
        <v>46044</v>
      </c>
      <c r="I749" s="121">
        <f ca="1">HLOOKUP($H$4,'Met Data'!$A$2:$F$368,G749,FALSE)</f>
        <v>18.2514705882352</v>
      </c>
      <c r="J749" s="119">
        <f ca="1">HLOOKUP($H$4,'Met Data'!$H$2:$M$368,G749,FALSE)*L749</f>
        <v>1.94705882352941</v>
      </c>
      <c r="K749" s="98">
        <f ca="1">HLOOKUP($H$4,'Met Data'!$O$2:$T$368,G749,FALSE)</f>
        <v>5.5152286930917596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24</v>
      </c>
      <c r="H750" s="97">
        <f t="shared" ca="1" si="119"/>
        <v>46045</v>
      </c>
      <c r="I750" s="121">
        <f ca="1">HLOOKUP($H$4,'Met Data'!$A$2:$F$368,G750,FALSE)</f>
        <v>17.176470588235201</v>
      </c>
      <c r="J750" s="119">
        <f ca="1">HLOOKUP($H$4,'Met Data'!$H$2:$M$368,G750,FALSE)*L750</f>
        <v>0.744117647058823</v>
      </c>
      <c r="K750" s="98">
        <f ca="1">HLOOKUP($H$4,'Met Data'!$O$2:$T$368,G750,FALSE)</f>
        <v>5.2065069869691296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25</v>
      </c>
      <c r="H751" s="97">
        <f t="shared" ca="1" si="119"/>
        <v>46046</v>
      </c>
      <c r="I751" s="121">
        <f ca="1">HLOOKUP($H$4,'Met Data'!$A$2:$F$368,G751,FALSE)</f>
        <v>16.835294117646999</v>
      </c>
      <c r="J751" s="119">
        <f ca="1">HLOOKUP($H$4,'Met Data'!$H$2:$M$368,G751,FALSE)*L751</f>
        <v>1.4117647058823499</v>
      </c>
      <c r="K751" s="98">
        <f ca="1">HLOOKUP($H$4,'Met Data'!$O$2:$T$368,G751,FALSE)</f>
        <v>4.7133252171052504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ref="G752:G815" ca="1" si="120">H752-DATE(YEAR(H752),1,0)+1</f>
        <v>26</v>
      </c>
      <c r="H752" s="97">
        <f t="shared" ca="1" si="119"/>
        <v>46047</v>
      </c>
      <c r="I752" s="121">
        <f ca="1">HLOOKUP($H$4,'Met Data'!$A$2:$F$368,G752,FALSE)</f>
        <v>16.6941176470588</v>
      </c>
      <c r="J752" s="119">
        <f ca="1">HLOOKUP($H$4,'Met Data'!$H$2:$M$368,G752,FALSE)*L752</f>
        <v>1.25588235294117</v>
      </c>
      <c r="K752" s="98">
        <f ca="1">HLOOKUP($H$4,'Met Data'!$O$2:$T$368,G752,FALSE)</f>
        <v>4.3325050650897401</v>
      </c>
      <c r="L752">
        <f t="shared" ca="1" si="118"/>
        <v>1</v>
      </c>
      <c r="N752" t="e">
        <f t="shared" ref="N752:N815" ca="1" si="121">IF(P752&lt;$P$3,TRUE,FALSE)</f>
        <v>#N/A</v>
      </c>
      <c r="O752" t="e">
        <f t="shared" ref="O752:O815" ca="1" si="122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3">IFERROR(P752,$AD$4)</f>
        <v>0</v>
      </c>
      <c r="AE752">
        <f t="shared" ref="AE752:AE815" ca="1" si="124">IFERROR(U752,0)</f>
        <v>0</v>
      </c>
      <c r="AG752" s="63" t="e">
        <f t="shared" ref="AG752:AG815" ca="1" si="125">Q751+S752+T752+U752</f>
        <v>#N/A</v>
      </c>
      <c r="AH752" s="63" t="e">
        <f t="shared" ref="AH752:AH815" ca="1" si="126">Q752+R752+X752</f>
        <v>#N/A</v>
      </c>
      <c r="AI752" s="3" t="e">
        <f t="shared" ref="AI752:AI815" ca="1" si="127">AH752-AG752</f>
        <v>#N/A</v>
      </c>
    </row>
    <row r="753" spans="7:35" ht="15.75" thickBot="1">
      <c r="G753" s="3">
        <f t="shared" ca="1" si="120"/>
        <v>27</v>
      </c>
      <c r="H753" s="97">
        <f t="shared" ca="1" si="119"/>
        <v>46048</v>
      </c>
      <c r="I753" s="121">
        <f ca="1">HLOOKUP($H$4,'Met Data'!$A$2:$F$368,G753,FALSE)</f>
        <v>16.433823529411701</v>
      </c>
      <c r="J753" s="119">
        <f ca="1">HLOOKUP($H$4,'Met Data'!$H$2:$M$368,G753,FALSE)*L753</f>
        <v>0.91470588235294104</v>
      </c>
      <c r="K753" s="98">
        <f ca="1">HLOOKUP($H$4,'Met Data'!$O$2:$T$368,G753,FALSE)</f>
        <v>4.7335288521335803</v>
      </c>
      <c r="L753">
        <f t="shared" ca="1" si="118"/>
        <v>1</v>
      </c>
      <c r="N753" t="e">
        <f t="shared" ca="1" si="121"/>
        <v>#N/A</v>
      </c>
      <c r="O753" t="e">
        <f t="shared" ca="1" si="122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3"/>
        <v>0</v>
      </c>
      <c r="AE753">
        <f t="shared" ca="1" si="124"/>
        <v>0</v>
      </c>
      <c r="AG753" s="63" t="e">
        <f t="shared" ca="1" si="125"/>
        <v>#N/A</v>
      </c>
      <c r="AH753" s="63" t="e">
        <f t="shared" ca="1" si="126"/>
        <v>#N/A</v>
      </c>
      <c r="AI753" s="3" t="e">
        <f t="shared" ca="1" si="127"/>
        <v>#N/A</v>
      </c>
    </row>
    <row r="754" spans="7:35" ht="15.75" thickBot="1">
      <c r="G754" s="3">
        <f t="shared" ca="1" si="120"/>
        <v>28</v>
      </c>
      <c r="H754" s="97">
        <f t="shared" ca="1" si="119"/>
        <v>46049</v>
      </c>
      <c r="I754" s="121">
        <f ca="1">HLOOKUP($H$4,'Met Data'!$A$2:$F$368,G754,FALSE)</f>
        <v>16.332352941176399</v>
      </c>
      <c r="J754" s="119">
        <f ca="1">HLOOKUP($H$4,'Met Data'!$H$2:$M$368,G754,FALSE)*L754</f>
        <v>2.3441176470588201</v>
      </c>
      <c r="K754" s="98">
        <f ca="1">HLOOKUP($H$4,'Met Data'!$O$2:$T$368,G754,FALSE)</f>
        <v>4.92375694808094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29</v>
      </c>
      <c r="H755" s="97">
        <f t="shared" ca="1" si="119"/>
        <v>46050</v>
      </c>
      <c r="I755" s="121">
        <f ca="1">HLOOKUP($H$4,'Met Data'!$A$2:$F$368,G755,FALSE)</f>
        <v>17.044117647058801</v>
      </c>
      <c r="J755" s="119">
        <f ca="1">HLOOKUP($H$4,'Met Data'!$H$2:$M$368,G755,FALSE)*L755</f>
        <v>1.02941176470588</v>
      </c>
      <c r="K755" s="98">
        <f ca="1">HLOOKUP($H$4,'Met Data'!$O$2:$T$368,G755,FALSE)</f>
        <v>4.99641153289756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30</v>
      </c>
      <c r="H756" s="97">
        <f t="shared" ca="1" si="119"/>
        <v>46051</v>
      </c>
      <c r="I756" s="121">
        <f ca="1">HLOOKUP($H$4,'Met Data'!$A$2:$F$368,G756,FALSE)</f>
        <v>17.480882352941101</v>
      </c>
      <c r="J756" s="119">
        <f ca="1">HLOOKUP($H$4,'Met Data'!$H$2:$M$368,G756,FALSE)*L756</f>
        <v>6.4705882352941099E-2</v>
      </c>
      <c r="K756" s="98">
        <f ca="1">HLOOKUP($H$4,'Met Data'!$O$2:$T$368,G756,FALSE)</f>
        <v>5.19563668339761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31</v>
      </c>
      <c r="H757" s="97">
        <f t="shared" ca="1" si="119"/>
        <v>46052</v>
      </c>
      <c r="I757" s="121">
        <f ca="1">HLOOKUP($H$4,'Met Data'!$A$2:$F$368,G757,FALSE)</f>
        <v>18.010294117647</v>
      </c>
      <c r="J757" s="119">
        <f ca="1">HLOOKUP($H$4,'Met Data'!$H$2:$M$368,G757,FALSE)*L757</f>
        <v>0.61176470588235299</v>
      </c>
      <c r="K757" s="98">
        <f ca="1">HLOOKUP($H$4,'Met Data'!$O$2:$T$368,G757,FALSE)</f>
        <v>5.2986070991408996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32</v>
      </c>
      <c r="H758" s="97">
        <f t="shared" ca="1" si="119"/>
        <v>46053</v>
      </c>
      <c r="I758" s="121">
        <f ca="1">HLOOKUP($H$4,'Met Data'!$A$2:$F$368,G758,FALSE)</f>
        <v>18.1264705882352</v>
      </c>
      <c r="J758" s="119">
        <f ca="1">HLOOKUP($H$4,'Met Data'!$H$2:$M$368,G758,FALSE)*L758</f>
        <v>1.01176470588235</v>
      </c>
      <c r="K758" s="98">
        <f ca="1">HLOOKUP($H$4,'Met Data'!$O$2:$T$368,G758,FALSE)</f>
        <v>5.6287813361802304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33</v>
      </c>
      <c r="H759" s="97">
        <f t="shared" ca="1" si="119"/>
        <v>46054</v>
      </c>
      <c r="I759" s="121">
        <f ca="1">HLOOKUP($H$4,'Met Data'!$A$2:$F$368,G759,FALSE)</f>
        <v>17.5632352941176</v>
      </c>
      <c r="J759" s="119">
        <f ca="1">HLOOKUP($H$4,'Met Data'!$H$2:$M$368,G759,FALSE)*L759</f>
        <v>0.26764705882352902</v>
      </c>
      <c r="K759" s="98">
        <f ca="1">HLOOKUP($H$4,'Met Data'!$O$2:$T$368,G759,FALSE)</f>
        <v>5.5733898517327303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34</v>
      </c>
      <c r="H760" s="97">
        <f t="shared" ca="1" si="119"/>
        <v>46055</v>
      </c>
      <c r="I760" s="121">
        <f ca="1">HLOOKUP($H$4,'Met Data'!$A$2:$F$368,G760,FALSE)</f>
        <v>16.530882352941099</v>
      </c>
      <c r="J760" s="119">
        <f ca="1">HLOOKUP($H$4,'Met Data'!$H$2:$M$368,G760,FALSE)*L760</f>
        <v>1.22058823529411</v>
      </c>
      <c r="K760" s="98">
        <f ca="1">HLOOKUP($H$4,'Met Data'!$O$2:$T$368,G760,FALSE)</f>
        <v>4.8866884380741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35</v>
      </c>
      <c r="H761" s="97">
        <f t="shared" ca="1" si="119"/>
        <v>46056</v>
      </c>
      <c r="I761" s="121">
        <f ca="1">HLOOKUP($H$4,'Met Data'!$A$2:$F$368,G761,FALSE)</f>
        <v>16.339705882352899</v>
      </c>
      <c r="J761" s="119">
        <f ca="1">HLOOKUP($H$4,'Met Data'!$H$2:$M$368,G761,FALSE)*L761</f>
        <v>0.72352941176470498</v>
      </c>
      <c r="K761" s="98">
        <f ca="1">HLOOKUP($H$4,'Met Data'!$O$2:$T$368,G761,FALSE)</f>
        <v>4.6016509460585002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36</v>
      </c>
      <c r="H762" s="97">
        <f t="shared" ca="1" si="119"/>
        <v>46057</v>
      </c>
      <c r="I762" s="121">
        <f ca="1">HLOOKUP($H$4,'Met Data'!$A$2:$F$368,G762,FALSE)</f>
        <v>17.920588235294101</v>
      </c>
      <c r="J762" s="119">
        <f ca="1">HLOOKUP($H$4,'Met Data'!$H$2:$M$368,G762,FALSE)*L762</f>
        <v>1.75294117647058</v>
      </c>
      <c r="K762" s="98">
        <f ca="1">HLOOKUP($H$4,'Met Data'!$O$2:$T$368,G762,FALSE)</f>
        <v>5.2770860248475602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37</v>
      </c>
      <c r="H763" s="97">
        <f t="shared" ca="1" si="119"/>
        <v>46058</v>
      </c>
      <c r="I763" s="121">
        <f ca="1">HLOOKUP($H$4,'Met Data'!$A$2:$F$368,G763,FALSE)</f>
        <v>16.083823529411699</v>
      </c>
      <c r="J763" s="119">
        <f ca="1">HLOOKUP($H$4,'Met Data'!$H$2:$M$368,G763,FALSE)*L763</f>
        <v>2.20882352941176</v>
      </c>
      <c r="K763" s="98">
        <f ca="1">HLOOKUP($H$4,'Met Data'!$O$2:$T$368,G763,FALSE)</f>
        <v>4.27430593476155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38</v>
      </c>
      <c r="H764" s="97">
        <f t="shared" ca="1" si="119"/>
        <v>46059</v>
      </c>
      <c r="I764" s="121">
        <f ca="1">HLOOKUP($H$4,'Met Data'!$A$2:$F$368,G764,FALSE)</f>
        <v>16.539705882352902</v>
      </c>
      <c r="J764" s="119">
        <f ca="1">HLOOKUP($H$4,'Met Data'!$H$2:$M$368,G764,FALSE)*L764</f>
        <v>0.49117647058823499</v>
      </c>
      <c r="K764" s="98">
        <f ca="1">HLOOKUP($H$4,'Met Data'!$O$2:$T$368,G764,FALSE)</f>
        <v>4.96013704262971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39</v>
      </c>
      <c r="H765" s="97">
        <f t="shared" ca="1" si="119"/>
        <v>46060</v>
      </c>
      <c r="I765" s="121">
        <f ca="1">HLOOKUP($H$4,'Met Data'!$A$2:$F$368,G765,FALSE)</f>
        <v>16.527941176470499</v>
      </c>
      <c r="J765" s="119">
        <f ca="1">HLOOKUP($H$4,'Met Data'!$H$2:$M$368,G765,FALSE)*L765</f>
        <v>1.98235294117647</v>
      </c>
      <c r="K765" s="98">
        <f ca="1">HLOOKUP($H$4,'Met Data'!$O$2:$T$368,G765,FALSE)</f>
        <v>4.6946370204271801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40</v>
      </c>
      <c r="H766" s="97">
        <f t="shared" ca="1" si="119"/>
        <v>46061</v>
      </c>
      <c r="I766" s="121">
        <f ca="1">HLOOKUP($H$4,'Met Data'!$A$2:$F$368,G766,FALSE)</f>
        <v>16.855882352941101</v>
      </c>
      <c r="J766" s="119">
        <f ca="1">HLOOKUP($H$4,'Met Data'!$H$2:$M$368,G766,FALSE)*L766</f>
        <v>0.79411764705882304</v>
      </c>
      <c r="K766" s="98">
        <f ca="1">HLOOKUP($H$4,'Met Data'!$O$2:$T$368,G766,FALSE)</f>
        <v>5.0220708698278598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41</v>
      </c>
      <c r="H767" s="97">
        <f t="shared" ca="1" si="119"/>
        <v>46062</v>
      </c>
      <c r="I767" s="121">
        <f ca="1">HLOOKUP($H$4,'Met Data'!$A$2:$F$368,G767,FALSE)</f>
        <v>16.957352941176399</v>
      </c>
      <c r="J767" s="119">
        <f ca="1">HLOOKUP($H$4,'Met Data'!$H$2:$M$368,G767,FALSE)*L767</f>
        <v>1.1352941176470499</v>
      </c>
      <c r="K767" s="98">
        <f ca="1">HLOOKUP($H$4,'Met Data'!$O$2:$T$368,G767,FALSE)</f>
        <v>4.61421103176027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42</v>
      </c>
      <c r="H768" s="97">
        <f t="shared" ca="1" si="119"/>
        <v>46063</v>
      </c>
      <c r="I768" s="121">
        <f ca="1">HLOOKUP($H$4,'Met Data'!$A$2:$F$368,G768,FALSE)</f>
        <v>16.866176470588201</v>
      </c>
      <c r="J768" s="119">
        <f ca="1">HLOOKUP($H$4,'Met Data'!$H$2:$M$368,G768,FALSE)*L768</f>
        <v>0.77647058823529402</v>
      </c>
      <c r="K768" s="98">
        <f ca="1">HLOOKUP($H$4,'Met Data'!$O$2:$T$368,G768,FALSE)</f>
        <v>4.40551625163656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43</v>
      </c>
      <c r="H769" s="97">
        <f t="shared" ca="1" si="119"/>
        <v>46064</v>
      </c>
      <c r="I769" s="121">
        <f ca="1">HLOOKUP($H$4,'Met Data'!$A$2:$F$368,G769,FALSE)</f>
        <v>17.485294117647001</v>
      </c>
      <c r="J769" s="119">
        <f ca="1">HLOOKUP($H$4,'Met Data'!$H$2:$M$368,G769,FALSE)*L769</f>
        <v>1.0529411764705801</v>
      </c>
      <c r="K769" s="98">
        <f ca="1">HLOOKUP($H$4,'Met Data'!$O$2:$T$368,G769,FALSE)</f>
        <v>4.4685640225242098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44</v>
      </c>
      <c r="H770" s="97">
        <f t="shared" ca="1" si="119"/>
        <v>46065</v>
      </c>
      <c r="I770" s="121">
        <f ca="1">HLOOKUP($H$4,'Met Data'!$A$2:$F$368,G770,FALSE)</f>
        <v>17.980882352941101</v>
      </c>
      <c r="J770" s="119">
        <f ca="1">HLOOKUP($H$4,'Met Data'!$H$2:$M$368,G770,FALSE)*L770</f>
        <v>2.1735294117646999</v>
      </c>
      <c r="K770" s="98">
        <f ca="1">HLOOKUP($H$4,'Met Data'!$O$2:$T$368,G770,FALSE)</f>
        <v>4.3571116145332098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45</v>
      </c>
      <c r="H771" s="97">
        <f t="shared" ca="1" si="119"/>
        <v>46066</v>
      </c>
      <c r="I771" s="121">
        <f ca="1">HLOOKUP($H$4,'Met Data'!$A$2:$F$368,G771,FALSE)</f>
        <v>16.401470588235199</v>
      </c>
      <c r="J771" s="119">
        <f ca="1">HLOOKUP($H$4,'Met Data'!$H$2:$M$368,G771,FALSE)*L771</f>
        <v>1.78235294117647</v>
      </c>
      <c r="K771" s="98">
        <f ca="1">HLOOKUP($H$4,'Met Data'!$O$2:$T$368,G771,FALSE)</f>
        <v>3.9824902366083998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46</v>
      </c>
      <c r="H772" s="97">
        <f t="shared" ca="1" si="119"/>
        <v>46067</v>
      </c>
      <c r="I772" s="121">
        <f ca="1">HLOOKUP($H$4,'Met Data'!$A$2:$F$368,G772,FALSE)</f>
        <v>15.8867647058823</v>
      </c>
      <c r="J772" s="119">
        <f ca="1">HLOOKUP($H$4,'Met Data'!$H$2:$M$368,G772,FALSE)*L772</f>
        <v>2.5647058823529401</v>
      </c>
      <c r="K772" s="98">
        <f ca="1">HLOOKUP($H$4,'Met Data'!$O$2:$T$368,G772,FALSE)</f>
        <v>3.6699943049553201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47</v>
      </c>
      <c r="H773" s="97">
        <f t="shared" ca="1" si="119"/>
        <v>46068</v>
      </c>
      <c r="I773" s="121">
        <f ca="1">HLOOKUP($H$4,'Met Data'!$A$2:$F$368,G773,FALSE)</f>
        <v>15.4705882352941</v>
      </c>
      <c r="J773" s="119">
        <f ca="1">HLOOKUP($H$4,'Met Data'!$H$2:$M$368,G773,FALSE)*L773</f>
        <v>2.2558823529411698</v>
      </c>
      <c r="K773" s="98">
        <f ca="1">HLOOKUP($H$4,'Met Data'!$O$2:$T$368,G773,FALSE)</f>
        <v>4.0108603157722298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48</v>
      </c>
      <c r="H774" s="97">
        <f t="shared" ca="1" si="119"/>
        <v>46069</v>
      </c>
      <c r="I774" s="121">
        <f ca="1">HLOOKUP($H$4,'Met Data'!$A$2:$F$368,G774,FALSE)</f>
        <v>16.035294117646998</v>
      </c>
      <c r="J774" s="119">
        <f ca="1">HLOOKUP($H$4,'Met Data'!$H$2:$M$368,G774,FALSE)*L774</f>
        <v>1.3529411764705801</v>
      </c>
      <c r="K774" s="98">
        <f ca="1">HLOOKUP($H$4,'Met Data'!$O$2:$T$368,G774,FALSE)</f>
        <v>4.2159434978261299</v>
      </c>
      <c r="L774">
        <f t="shared" ref="L774:L837" ca="1" si="128">IF(H774&lt;$B$31,$J$3,$J$4)</f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49</v>
      </c>
      <c r="H775" s="97">
        <f t="shared" ca="1" si="119"/>
        <v>46070</v>
      </c>
      <c r="I775" s="121">
        <f ca="1">HLOOKUP($H$4,'Met Data'!$A$2:$F$368,G775,FALSE)</f>
        <v>17.155882352941099</v>
      </c>
      <c r="J775" s="119">
        <f ca="1">HLOOKUP($H$4,'Met Data'!$H$2:$M$368,G775,FALSE)*L775</f>
        <v>1.3794117647058799</v>
      </c>
      <c r="K775" s="98">
        <f ca="1">HLOOKUP($H$4,'Met Data'!$O$2:$T$368,G775,FALSE)</f>
        <v>4.4742152890515898</v>
      </c>
      <c r="L775">
        <f t="shared" ca="1" si="128"/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50</v>
      </c>
      <c r="H776" s="97">
        <f t="shared" ref="H776:H839" ca="1" si="129">H775+1</f>
        <v>46071</v>
      </c>
      <c r="I776" s="121">
        <f ca="1">HLOOKUP($H$4,'Met Data'!$A$2:$F$368,G776,FALSE)</f>
        <v>17.5720588235294</v>
      </c>
      <c r="J776" s="119">
        <f ca="1">HLOOKUP($H$4,'Met Data'!$H$2:$M$368,G776,FALSE)*L776</f>
        <v>2.15</v>
      </c>
      <c r="K776" s="98">
        <f ca="1">HLOOKUP($H$4,'Met Data'!$O$2:$T$368,G776,FALSE)</f>
        <v>4.8952010783751296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51</v>
      </c>
      <c r="H777" s="97">
        <f t="shared" ca="1" si="129"/>
        <v>46072</v>
      </c>
      <c r="I777" s="121">
        <f ca="1">HLOOKUP($H$4,'Met Data'!$A$2:$F$368,G777,FALSE)</f>
        <v>16.991176470588201</v>
      </c>
      <c r="J777" s="119">
        <f ca="1">HLOOKUP($H$4,'Met Data'!$H$2:$M$368,G777,FALSE)*L777</f>
        <v>0.64117647058823501</v>
      </c>
      <c r="K777" s="98">
        <f ca="1">HLOOKUP($H$4,'Met Data'!$O$2:$T$368,G777,FALSE)</f>
        <v>4.3668387336618597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52</v>
      </c>
      <c r="H778" s="97">
        <f t="shared" ca="1" si="129"/>
        <v>46073</v>
      </c>
      <c r="I778" s="121">
        <f ca="1">HLOOKUP($H$4,'Met Data'!$A$2:$F$368,G778,FALSE)</f>
        <v>16.655882352941099</v>
      </c>
      <c r="J778" s="119">
        <f ca="1">HLOOKUP($H$4,'Met Data'!$H$2:$M$368,G778,FALSE)*L778</f>
        <v>2.5705882352941098</v>
      </c>
      <c r="K778" s="98">
        <f ca="1">HLOOKUP($H$4,'Met Data'!$O$2:$T$368,G778,FALSE)</f>
        <v>4.6555880727780803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53</v>
      </c>
      <c r="H779" s="97">
        <f t="shared" ca="1" si="129"/>
        <v>46074</v>
      </c>
      <c r="I779" s="121">
        <f ca="1">HLOOKUP($H$4,'Met Data'!$A$2:$F$368,G779,FALSE)</f>
        <v>16.6955882352941</v>
      </c>
      <c r="J779" s="119">
        <f ca="1">HLOOKUP($H$4,'Met Data'!$H$2:$M$368,G779,FALSE)*L779</f>
        <v>0.76470588235294101</v>
      </c>
      <c r="K779" s="98">
        <f ca="1">HLOOKUP($H$4,'Met Data'!$O$2:$T$368,G779,FALSE)</f>
        <v>4.46937460417998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54</v>
      </c>
      <c r="H780" s="97">
        <f t="shared" ca="1" si="129"/>
        <v>46075</v>
      </c>
      <c r="I780" s="121">
        <f ca="1">HLOOKUP($H$4,'Met Data'!$A$2:$F$368,G780,FALSE)</f>
        <v>16.394117647058799</v>
      </c>
      <c r="J780" s="119">
        <f ca="1">HLOOKUP($H$4,'Met Data'!$H$2:$M$368,G780,FALSE)*L780</f>
        <v>1.52647058823529</v>
      </c>
      <c r="K780" s="98">
        <f ca="1">HLOOKUP($H$4,'Met Data'!$O$2:$T$368,G780,FALSE)</f>
        <v>4.4113780272088796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55</v>
      </c>
      <c r="H781" s="97">
        <f t="shared" ca="1" si="129"/>
        <v>46076</v>
      </c>
      <c r="I781" s="121">
        <f ca="1">HLOOKUP($H$4,'Met Data'!$A$2:$F$368,G781,FALSE)</f>
        <v>16.088235294117599</v>
      </c>
      <c r="J781" s="119">
        <f ca="1">HLOOKUP($H$4,'Met Data'!$H$2:$M$368,G781,FALSE)*L781</f>
        <v>1.78529411764705</v>
      </c>
      <c r="K781" s="98">
        <f ca="1">HLOOKUP($H$4,'Met Data'!$O$2:$T$368,G781,FALSE)</f>
        <v>3.9052160279772399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56</v>
      </c>
      <c r="H782" s="97">
        <f t="shared" ca="1" si="129"/>
        <v>46077</v>
      </c>
      <c r="I782" s="121">
        <f ca="1">HLOOKUP($H$4,'Met Data'!$A$2:$F$368,G782,FALSE)</f>
        <v>16.782352941176399</v>
      </c>
      <c r="J782" s="119">
        <f ca="1">HLOOKUP($H$4,'Met Data'!$H$2:$M$368,G782,FALSE)*L782</f>
        <v>1.6794117647058799</v>
      </c>
      <c r="K782" s="98">
        <f ca="1">HLOOKUP($H$4,'Met Data'!$O$2:$T$368,G782,FALSE)</f>
        <v>4.8281000917338197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57</v>
      </c>
      <c r="H783" s="97">
        <f t="shared" ca="1" si="129"/>
        <v>46078</v>
      </c>
      <c r="I783" s="121">
        <f ca="1">HLOOKUP($H$4,'Met Data'!$A$2:$F$368,G783,FALSE)</f>
        <v>16.1897058823529</v>
      </c>
      <c r="J783" s="119">
        <f ca="1">HLOOKUP($H$4,'Met Data'!$H$2:$M$368,G783,FALSE)*L783</f>
        <v>0.59411764705882297</v>
      </c>
      <c r="K783" s="98">
        <f ca="1">HLOOKUP($H$4,'Met Data'!$O$2:$T$368,G783,FALSE)</f>
        <v>4.4819172090086496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58</v>
      </c>
      <c r="H784" s="97">
        <f t="shared" ca="1" si="129"/>
        <v>46079</v>
      </c>
      <c r="I784" s="121">
        <f ca="1">HLOOKUP($H$4,'Met Data'!$A$2:$F$368,G784,FALSE)</f>
        <v>16.1941176470588</v>
      </c>
      <c r="J784" s="119">
        <f ca="1">HLOOKUP($H$4,'Met Data'!$H$2:$M$368,G784,FALSE)*L784</f>
        <v>1.93333333333333</v>
      </c>
      <c r="K784" s="98">
        <f ca="1">HLOOKUP($H$4,'Met Data'!$O$2:$T$368,G784,FALSE)</f>
        <v>4.3896941334323998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59</v>
      </c>
      <c r="H785" s="97">
        <f t="shared" ca="1" si="129"/>
        <v>46080</v>
      </c>
      <c r="I785" s="121">
        <f ca="1">HLOOKUP($H$4,'Met Data'!$A$2:$F$368,G785,FALSE)</f>
        <v>16.208823529411699</v>
      </c>
      <c r="J785" s="119">
        <f ca="1">HLOOKUP($H$4,'Met Data'!$H$2:$M$368,G785,FALSE)*L785</f>
        <v>1.1676470588235199</v>
      </c>
      <c r="K785" s="98">
        <f ca="1">HLOOKUP($H$4,'Met Data'!$O$2:$T$368,G785,FALSE)</f>
        <v>4.0964729959716299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60</v>
      </c>
      <c r="H786" s="97">
        <f t="shared" ca="1" si="129"/>
        <v>46081</v>
      </c>
      <c r="I786" s="121">
        <f ca="1">HLOOKUP($H$4,'Met Data'!$A$2:$F$368,G786,FALSE)</f>
        <v>16.074999999999999</v>
      </c>
      <c r="J786" s="119">
        <f ca="1">HLOOKUP($H$4,'Met Data'!$H$2:$M$368,G786,FALSE)*L786</f>
        <v>1.3352941176470501</v>
      </c>
      <c r="K786" s="98">
        <f ca="1">HLOOKUP($H$4,'Met Data'!$O$2:$T$368,G786,FALSE)</f>
        <v>4.1211840462926297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61</v>
      </c>
      <c r="H787" s="97">
        <f t="shared" ca="1" si="129"/>
        <v>46082</v>
      </c>
      <c r="I787" s="121">
        <f ca="1">HLOOKUP($H$4,'Met Data'!$A$2:$F$368,G787,FALSE)</f>
        <v>16.264705882352899</v>
      </c>
      <c r="J787" s="119">
        <f ca="1">HLOOKUP($H$4,'Met Data'!$H$2:$M$368,G787,FALSE)*L787</f>
        <v>0.48235294117646998</v>
      </c>
      <c r="K787" s="98">
        <f ca="1">HLOOKUP($H$4,'Met Data'!$O$2:$T$368,G787,FALSE)</f>
        <v>4.4835430215906102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62</v>
      </c>
      <c r="H788" s="97">
        <f t="shared" ca="1" si="129"/>
        <v>46083</v>
      </c>
      <c r="I788" s="121">
        <f ca="1">HLOOKUP($H$4,'Met Data'!$A$2:$F$368,G788,FALSE)</f>
        <v>15.9727272727272</v>
      </c>
      <c r="J788" s="119">
        <f ca="1">HLOOKUP($H$4,'Met Data'!$H$2:$M$368,G788,FALSE)*L788</f>
        <v>1.65151515151515</v>
      </c>
      <c r="K788" s="98">
        <f ca="1">HLOOKUP($H$4,'Met Data'!$O$2:$T$368,G788,FALSE)</f>
        <v>4.3251674269725902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63</v>
      </c>
      <c r="H789" s="97">
        <f t="shared" ca="1" si="129"/>
        <v>46084</v>
      </c>
      <c r="I789" s="121">
        <f ca="1">HLOOKUP($H$4,'Met Data'!$A$2:$F$368,G789,FALSE)</f>
        <v>15.216666666666599</v>
      </c>
      <c r="J789" s="119">
        <f ca="1">HLOOKUP($H$4,'Met Data'!$H$2:$M$368,G789,FALSE)*L789</f>
        <v>3.5272727272727198</v>
      </c>
      <c r="K789" s="98">
        <f ca="1">HLOOKUP($H$4,'Met Data'!$O$2:$T$368,G789,FALSE)</f>
        <v>3.8149865129266902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64</v>
      </c>
      <c r="H790" s="97">
        <f t="shared" ca="1" si="129"/>
        <v>46085</v>
      </c>
      <c r="I790" s="121">
        <f ca="1">HLOOKUP($H$4,'Met Data'!$A$2:$F$368,G790,FALSE)</f>
        <v>14.612121212121201</v>
      </c>
      <c r="J790" s="119">
        <f ca="1">HLOOKUP($H$4,'Met Data'!$H$2:$M$368,G790,FALSE)*L790</f>
        <v>2.1212121212121202</v>
      </c>
      <c r="K790" s="98">
        <f ca="1">HLOOKUP($H$4,'Met Data'!$O$2:$T$368,G790,FALSE)</f>
        <v>3.8891905260327699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65</v>
      </c>
      <c r="H791" s="97">
        <f t="shared" ca="1" si="129"/>
        <v>46086</v>
      </c>
      <c r="I791" s="121">
        <f ca="1">HLOOKUP($H$4,'Met Data'!$A$2:$F$368,G791,FALSE)</f>
        <v>15.7681818181818</v>
      </c>
      <c r="J791" s="119">
        <f ca="1">HLOOKUP($H$4,'Met Data'!$H$2:$M$368,G791,FALSE)*L791</f>
        <v>2.5606060606060601</v>
      </c>
      <c r="K791" s="98">
        <f ca="1">HLOOKUP($H$4,'Met Data'!$O$2:$T$368,G791,FALSE)</f>
        <v>4.10786263681889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66</v>
      </c>
      <c r="H792" s="97">
        <f t="shared" ca="1" si="129"/>
        <v>46087</v>
      </c>
      <c r="I792" s="121">
        <f ca="1">HLOOKUP($H$4,'Met Data'!$A$2:$F$368,G792,FALSE)</f>
        <v>15.9954545454545</v>
      </c>
      <c r="J792" s="119">
        <f ca="1">HLOOKUP($H$4,'Met Data'!$H$2:$M$368,G792,FALSE)*L792</f>
        <v>0.50303030303030305</v>
      </c>
      <c r="K792" s="98">
        <f ca="1">HLOOKUP($H$4,'Met Data'!$O$2:$T$368,G792,FALSE)</f>
        <v>4.0766889307448597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67</v>
      </c>
      <c r="H793" s="97">
        <f t="shared" ca="1" si="129"/>
        <v>46088</v>
      </c>
      <c r="I793" s="121">
        <f ca="1">HLOOKUP($H$4,'Met Data'!$A$2:$F$368,G793,FALSE)</f>
        <v>15.0166666666666</v>
      </c>
      <c r="J793" s="119">
        <f ca="1">HLOOKUP($H$4,'Met Data'!$H$2:$M$368,G793,FALSE)*L793</f>
        <v>0.884848484848484</v>
      </c>
      <c r="K793" s="98">
        <f ca="1">HLOOKUP($H$4,'Met Data'!$O$2:$T$368,G793,FALSE)</f>
        <v>3.8855543781492301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68</v>
      </c>
      <c r="H794" s="97">
        <f t="shared" ca="1" si="129"/>
        <v>46089</v>
      </c>
      <c r="I794" s="121">
        <f ca="1">HLOOKUP($H$4,'Met Data'!$A$2:$F$368,G794,FALSE)</f>
        <v>15.3257575757575</v>
      </c>
      <c r="J794" s="119">
        <f ca="1">HLOOKUP($H$4,'Met Data'!$H$2:$M$368,G794,FALSE)*L794</f>
        <v>0.98787878787878702</v>
      </c>
      <c r="K794" s="98">
        <f ca="1">HLOOKUP($H$4,'Met Data'!$O$2:$T$368,G794,FALSE)</f>
        <v>3.6905019360086202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69</v>
      </c>
      <c r="H795" s="97">
        <f t="shared" ca="1" si="129"/>
        <v>46090</v>
      </c>
      <c r="I795" s="121">
        <f ca="1">HLOOKUP($H$4,'Met Data'!$A$2:$F$368,G795,FALSE)</f>
        <v>14.630303030303001</v>
      </c>
      <c r="J795" s="119">
        <f ca="1">HLOOKUP($H$4,'Met Data'!$H$2:$M$368,G795,FALSE)*L795</f>
        <v>0.82121212121212095</v>
      </c>
      <c r="K795" s="98">
        <f ca="1">HLOOKUP($H$4,'Met Data'!$O$2:$T$368,G795,FALSE)</f>
        <v>3.5528537387163399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70</v>
      </c>
      <c r="H796" s="97">
        <f t="shared" ca="1" si="129"/>
        <v>46091</v>
      </c>
      <c r="I796" s="121">
        <f ca="1">HLOOKUP($H$4,'Met Data'!$A$2:$F$368,G796,FALSE)</f>
        <v>15.7924242424242</v>
      </c>
      <c r="J796" s="119">
        <f ca="1">HLOOKUP($H$4,'Met Data'!$H$2:$M$368,G796,FALSE)*L796</f>
        <v>1.4909090909090901</v>
      </c>
      <c r="K796" s="98">
        <f ca="1">HLOOKUP($H$4,'Met Data'!$O$2:$T$368,G796,FALSE)</f>
        <v>3.7245673615528201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71</v>
      </c>
      <c r="H797" s="97">
        <f t="shared" ca="1" si="129"/>
        <v>46092</v>
      </c>
      <c r="I797" s="121">
        <f ca="1">HLOOKUP($H$4,'Met Data'!$A$2:$F$368,G797,FALSE)</f>
        <v>15.055882352941101</v>
      </c>
      <c r="J797" s="119">
        <f ca="1">HLOOKUP($H$4,'Met Data'!$H$2:$M$368,G797,FALSE)*L797</f>
        <v>1.93823529411764</v>
      </c>
      <c r="K797" s="98">
        <f ca="1">HLOOKUP($H$4,'Met Data'!$O$2:$T$368,G797,FALSE)</f>
        <v>3.2545752102886598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72</v>
      </c>
      <c r="H798" s="97">
        <f t="shared" ca="1" si="129"/>
        <v>46093</v>
      </c>
      <c r="I798" s="121">
        <f ca="1">HLOOKUP($H$4,'Met Data'!$A$2:$F$368,G798,FALSE)</f>
        <v>14.958823529411699</v>
      </c>
      <c r="J798" s="119">
        <f ca="1">HLOOKUP($H$4,'Met Data'!$H$2:$M$368,G798,FALSE)*L798</f>
        <v>3.24705882352941</v>
      </c>
      <c r="K798" s="98">
        <f ca="1">HLOOKUP($H$4,'Met Data'!$O$2:$T$368,G798,FALSE)</f>
        <v>3.17975180664317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73</v>
      </c>
      <c r="H799" s="97">
        <f t="shared" ca="1" si="129"/>
        <v>46094</v>
      </c>
      <c r="I799" s="121">
        <f ca="1">HLOOKUP($H$4,'Met Data'!$A$2:$F$368,G799,FALSE)</f>
        <v>15.205882352941099</v>
      </c>
      <c r="J799" s="119">
        <f ca="1">HLOOKUP($H$4,'Met Data'!$H$2:$M$368,G799,FALSE)*L799</f>
        <v>2.9088235294117601</v>
      </c>
      <c r="K799" s="98">
        <f ca="1">HLOOKUP($H$4,'Met Data'!$O$2:$T$368,G799,FALSE)</f>
        <v>3.3146668186599602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74</v>
      </c>
      <c r="H800" s="97">
        <f t="shared" ca="1" si="129"/>
        <v>46095</v>
      </c>
      <c r="I800" s="121">
        <f ca="1">HLOOKUP($H$4,'Met Data'!$A$2:$F$368,G800,FALSE)</f>
        <v>14.888235294117599</v>
      </c>
      <c r="J800" s="119">
        <f ca="1">HLOOKUP($H$4,'Met Data'!$H$2:$M$368,G800,FALSE)*L800</f>
        <v>2.2999999999999998</v>
      </c>
      <c r="K800" s="98">
        <f ca="1">HLOOKUP($H$4,'Met Data'!$O$2:$T$368,G800,FALSE)</f>
        <v>3.3312157637355302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75</v>
      </c>
      <c r="H801" s="97">
        <f t="shared" ca="1" si="129"/>
        <v>46096</v>
      </c>
      <c r="I801" s="121">
        <f ca="1">HLOOKUP($H$4,'Met Data'!$A$2:$F$368,G801,FALSE)</f>
        <v>14.9794117647058</v>
      </c>
      <c r="J801" s="119">
        <f ca="1">HLOOKUP($H$4,'Met Data'!$H$2:$M$368,G801,FALSE)*L801</f>
        <v>0.34411764705882297</v>
      </c>
      <c r="K801" s="98">
        <f ca="1">HLOOKUP($H$4,'Met Data'!$O$2:$T$368,G801,FALSE)</f>
        <v>3.9291146060483402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76</v>
      </c>
      <c r="H802" s="97">
        <f t="shared" ca="1" si="129"/>
        <v>46097</v>
      </c>
      <c r="I802" s="121">
        <f ca="1">HLOOKUP($H$4,'Met Data'!$A$2:$F$368,G802,FALSE)</f>
        <v>15</v>
      </c>
      <c r="J802" s="119">
        <f ca="1">HLOOKUP($H$4,'Met Data'!$H$2:$M$368,G802,FALSE)*L802</f>
        <v>1.3499999999999901</v>
      </c>
      <c r="K802" s="98">
        <f ca="1">HLOOKUP($H$4,'Met Data'!$O$2:$T$368,G802,FALSE)</f>
        <v>3.4649343661814198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77</v>
      </c>
      <c r="H803" s="97">
        <f t="shared" ca="1" si="129"/>
        <v>46098</v>
      </c>
      <c r="I803" s="121">
        <f ca="1">HLOOKUP($H$4,'Met Data'!$A$2:$F$368,G803,FALSE)</f>
        <v>14.8191176470588</v>
      </c>
      <c r="J803" s="119">
        <f ca="1">HLOOKUP($H$4,'Met Data'!$H$2:$M$368,G803,FALSE)*L803</f>
        <v>1.49117647058823</v>
      </c>
      <c r="K803" s="98">
        <f ca="1">HLOOKUP($H$4,'Met Data'!$O$2:$T$368,G803,FALSE)</f>
        <v>3.6481150031845502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78</v>
      </c>
      <c r="H804" s="97">
        <f t="shared" ca="1" si="129"/>
        <v>46099</v>
      </c>
      <c r="I804" s="121">
        <f ca="1">HLOOKUP($H$4,'Met Data'!$A$2:$F$368,G804,FALSE)</f>
        <v>13.742647058823501</v>
      </c>
      <c r="J804" s="119">
        <f ca="1">HLOOKUP($H$4,'Met Data'!$H$2:$M$368,G804,FALSE)*L804</f>
        <v>1.8470588235294101</v>
      </c>
      <c r="K804" s="98">
        <f ca="1">HLOOKUP($H$4,'Met Data'!$O$2:$T$368,G804,FALSE)</f>
        <v>3.23711449028497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79</v>
      </c>
      <c r="H805" s="97">
        <f t="shared" ca="1" si="129"/>
        <v>46100</v>
      </c>
      <c r="I805" s="121">
        <f ca="1">HLOOKUP($H$4,'Met Data'!$A$2:$F$368,G805,FALSE)</f>
        <v>14.5911764705882</v>
      </c>
      <c r="J805" s="119">
        <f ca="1">HLOOKUP($H$4,'Met Data'!$H$2:$M$368,G805,FALSE)*L805</f>
        <v>1.1617647058823499</v>
      </c>
      <c r="K805" s="98">
        <f ca="1">HLOOKUP($H$4,'Met Data'!$O$2:$T$368,G805,FALSE)</f>
        <v>3.5497173485221101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80</v>
      </c>
      <c r="H806" s="97">
        <f t="shared" ca="1" si="129"/>
        <v>46101</v>
      </c>
      <c r="I806" s="121">
        <f ca="1">HLOOKUP($H$4,'Met Data'!$A$2:$F$368,G806,FALSE)</f>
        <v>15.358823529411699</v>
      </c>
      <c r="J806" s="119">
        <f ca="1">HLOOKUP($H$4,'Met Data'!$H$2:$M$368,G806,FALSE)*L806</f>
        <v>0.66176470588235203</v>
      </c>
      <c r="K806" s="98">
        <f ca="1">HLOOKUP($H$4,'Met Data'!$O$2:$T$368,G806,FALSE)</f>
        <v>3.6735377917360399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81</v>
      </c>
      <c r="H807" s="97">
        <f t="shared" ca="1" si="129"/>
        <v>46102</v>
      </c>
      <c r="I807" s="121">
        <f ca="1">HLOOKUP($H$4,'Met Data'!$A$2:$F$368,G807,FALSE)</f>
        <v>14.954411764705799</v>
      </c>
      <c r="J807" s="119">
        <f ca="1">HLOOKUP($H$4,'Met Data'!$H$2:$M$368,G807,FALSE)*L807</f>
        <v>0.95588235294117596</v>
      </c>
      <c r="K807" s="98">
        <f ca="1">HLOOKUP($H$4,'Met Data'!$O$2:$T$368,G807,FALSE)</f>
        <v>3.2764370104371201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82</v>
      </c>
      <c r="H808" s="97">
        <f t="shared" ca="1" si="129"/>
        <v>46103</v>
      </c>
      <c r="I808" s="121">
        <f ca="1">HLOOKUP($H$4,'Met Data'!$A$2:$F$368,G808,FALSE)</f>
        <v>14.5426470588235</v>
      </c>
      <c r="J808" s="119">
        <f ca="1">HLOOKUP($H$4,'Met Data'!$H$2:$M$368,G808,FALSE)*L808</f>
        <v>1.0823529411764701</v>
      </c>
      <c r="K808" s="98">
        <f ca="1">HLOOKUP($H$4,'Met Data'!$O$2:$T$368,G808,FALSE)</f>
        <v>3.2063273498641101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83</v>
      </c>
      <c r="H809" s="97">
        <f t="shared" ca="1" si="129"/>
        <v>46104</v>
      </c>
      <c r="I809" s="121">
        <f ca="1">HLOOKUP($H$4,'Met Data'!$A$2:$F$368,G809,FALSE)</f>
        <v>13.9808823529411</v>
      </c>
      <c r="J809" s="119">
        <f ca="1">HLOOKUP($H$4,'Met Data'!$H$2:$M$368,G809,FALSE)*L809</f>
        <v>2.1911764705882302</v>
      </c>
      <c r="K809" s="98">
        <f ca="1">HLOOKUP($H$4,'Met Data'!$O$2:$T$368,G809,FALSE)</f>
        <v>2.9655145666728702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84</v>
      </c>
      <c r="H810" s="97">
        <f t="shared" ca="1" si="129"/>
        <v>46105</v>
      </c>
      <c r="I810" s="121">
        <f ca="1">HLOOKUP($H$4,'Met Data'!$A$2:$F$368,G810,FALSE)</f>
        <v>14.1040998217468</v>
      </c>
      <c r="J810" s="119">
        <f ca="1">HLOOKUP($H$4,'Met Data'!$H$2:$M$368,G810,FALSE)*L810</f>
        <v>1.0235294117647</v>
      </c>
      <c r="K810" s="98">
        <f ca="1">HLOOKUP($H$4,'Met Data'!$O$2:$T$368,G810,FALSE)</f>
        <v>3.1669873410987299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85</v>
      </c>
      <c r="H811" s="97">
        <f t="shared" ca="1" si="129"/>
        <v>46106</v>
      </c>
      <c r="I811" s="121">
        <f ca="1">HLOOKUP($H$4,'Met Data'!$A$2:$F$368,G811,FALSE)</f>
        <v>14.397058823529401</v>
      </c>
      <c r="J811" s="119">
        <f ca="1">HLOOKUP($H$4,'Met Data'!$H$2:$M$368,G811,FALSE)*L811</f>
        <v>2.0852941176470501</v>
      </c>
      <c r="K811" s="98">
        <f ca="1">HLOOKUP($H$4,'Met Data'!$O$2:$T$368,G811,FALSE)</f>
        <v>3.15831903524233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86</v>
      </c>
      <c r="H812" s="97">
        <f t="shared" ca="1" si="129"/>
        <v>46107</v>
      </c>
      <c r="I812" s="121">
        <f ca="1">HLOOKUP($H$4,'Met Data'!$A$2:$F$368,G812,FALSE)</f>
        <v>13.613235294117599</v>
      </c>
      <c r="J812" s="119">
        <f ca="1">HLOOKUP($H$4,'Met Data'!$H$2:$M$368,G812,FALSE)*L812</f>
        <v>0.36764705882352899</v>
      </c>
      <c r="K812" s="98">
        <f ca="1">HLOOKUP($H$4,'Met Data'!$O$2:$T$368,G812,FALSE)</f>
        <v>2.9834653601225298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87</v>
      </c>
      <c r="H813" s="97">
        <f t="shared" ca="1" si="129"/>
        <v>46108</v>
      </c>
      <c r="I813" s="121">
        <f ca="1">HLOOKUP($H$4,'Met Data'!$A$2:$F$368,G813,FALSE)</f>
        <v>14.4676470588235</v>
      </c>
      <c r="J813" s="119">
        <f ca="1">HLOOKUP($H$4,'Met Data'!$H$2:$M$368,G813,FALSE)*L813</f>
        <v>1.0823529411764701</v>
      </c>
      <c r="K813" s="98">
        <f ca="1">HLOOKUP($H$4,'Met Data'!$O$2:$T$368,G813,FALSE)</f>
        <v>2.8333092043964401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88</v>
      </c>
      <c r="H814" s="97">
        <f t="shared" ca="1" si="129"/>
        <v>46109</v>
      </c>
      <c r="I814" s="121">
        <f ca="1">HLOOKUP($H$4,'Met Data'!$A$2:$F$368,G814,FALSE)</f>
        <v>14.926470588235199</v>
      </c>
      <c r="J814" s="119">
        <f ca="1">HLOOKUP($H$4,'Met Data'!$H$2:$M$368,G814,FALSE)*L814</f>
        <v>0.94705882352941095</v>
      </c>
      <c r="K814" s="98">
        <f ca="1">HLOOKUP($H$4,'Met Data'!$O$2:$T$368,G814,FALSE)</f>
        <v>3.21972745270357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89</v>
      </c>
      <c r="H815" s="97">
        <f t="shared" ca="1" si="129"/>
        <v>46110</v>
      </c>
      <c r="I815" s="121">
        <f ca="1">HLOOKUP($H$4,'Met Data'!$A$2:$F$368,G815,FALSE)</f>
        <v>14.8691176470588</v>
      </c>
      <c r="J815" s="119">
        <f ca="1">HLOOKUP($H$4,'Met Data'!$H$2:$M$368,G815,FALSE)*L815</f>
        <v>1.0558823529411701</v>
      </c>
      <c r="K815" s="98">
        <f ca="1">HLOOKUP($H$4,'Met Data'!$O$2:$T$368,G815,FALSE)</f>
        <v>3.2466735955910102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ref="G816:G879" ca="1" si="130">H816-DATE(YEAR(H816),1,0)+1</f>
        <v>90</v>
      </c>
      <c r="H816" s="97">
        <f t="shared" ca="1" si="129"/>
        <v>46111</v>
      </c>
      <c r="I816" s="121">
        <f ca="1">HLOOKUP($H$4,'Met Data'!$A$2:$F$368,G816,FALSE)</f>
        <v>14.9382352941176</v>
      </c>
      <c r="J816" s="119">
        <f ca="1">HLOOKUP($H$4,'Met Data'!$H$2:$M$368,G816,FALSE)*L816</f>
        <v>2.7852941176470498</v>
      </c>
      <c r="K816" s="98">
        <f ca="1">HLOOKUP($H$4,'Met Data'!$O$2:$T$368,G816,FALSE)</f>
        <v>3.4072037420100298</v>
      </c>
      <c r="L816">
        <f t="shared" ca="1" si="128"/>
        <v>1</v>
      </c>
      <c r="N816" t="e">
        <f t="shared" ref="N816:N879" ca="1" si="131">IF(P816&lt;$P$3,TRUE,FALSE)</f>
        <v>#N/A</v>
      </c>
      <c r="O816" t="e">
        <f t="shared" ref="O816:O879" ca="1" si="132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3">IFERROR(P816,$AD$4)</f>
        <v>0</v>
      </c>
      <c r="AE816">
        <f t="shared" ref="AE816:AE879" ca="1" si="134">IFERROR(U816,0)</f>
        <v>0</v>
      </c>
      <c r="AG816" s="63" t="e">
        <f t="shared" ref="AG816:AG879" ca="1" si="135">Q815+S816+T816+U816</f>
        <v>#N/A</v>
      </c>
      <c r="AH816" s="63" t="e">
        <f t="shared" ref="AH816:AH879" ca="1" si="136">Q816+R816+X816</f>
        <v>#N/A</v>
      </c>
      <c r="AI816" s="3" t="e">
        <f t="shared" ref="AI816:AI879" ca="1" si="137">AH816-AG816</f>
        <v>#N/A</v>
      </c>
    </row>
    <row r="817" spans="7:35" ht="15.75" thickBot="1">
      <c r="G817" s="3">
        <f t="shared" ca="1" si="130"/>
        <v>91</v>
      </c>
      <c r="H817" s="97">
        <f t="shared" ca="1" si="129"/>
        <v>46112</v>
      </c>
      <c r="I817" s="121">
        <f ca="1">HLOOKUP($H$4,'Met Data'!$A$2:$F$368,G817,FALSE)</f>
        <v>14.0308823529411</v>
      </c>
      <c r="J817" s="119">
        <f ca="1">HLOOKUP($H$4,'Met Data'!$H$2:$M$368,G817,FALSE)*L817</f>
        <v>1.8794117647058799</v>
      </c>
      <c r="K817" s="98">
        <f ca="1">HLOOKUP($H$4,'Met Data'!$O$2:$T$368,G817,FALSE)</f>
        <v>3.0552812923505202</v>
      </c>
      <c r="L817">
        <f t="shared" ca="1" si="128"/>
        <v>1</v>
      </c>
      <c r="N817" t="e">
        <f t="shared" ca="1" si="131"/>
        <v>#N/A</v>
      </c>
      <c r="O817" t="e">
        <f t="shared" ca="1" si="132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3"/>
        <v>0</v>
      </c>
      <c r="AE817">
        <f t="shared" ca="1" si="134"/>
        <v>0</v>
      </c>
      <c r="AG817" s="63" t="e">
        <f t="shared" ca="1" si="135"/>
        <v>#N/A</v>
      </c>
      <c r="AH817" s="63" t="e">
        <f t="shared" ca="1" si="136"/>
        <v>#N/A</v>
      </c>
      <c r="AI817" s="3" t="e">
        <f t="shared" ca="1" si="137"/>
        <v>#N/A</v>
      </c>
    </row>
    <row r="818" spans="7:35" ht="15.75" thickBot="1">
      <c r="G818" s="3">
        <f t="shared" ca="1" si="130"/>
        <v>92</v>
      </c>
      <c r="H818" s="97">
        <f t="shared" ca="1" si="129"/>
        <v>46113</v>
      </c>
      <c r="I818" s="121">
        <f ca="1">HLOOKUP($H$4,'Met Data'!$A$2:$F$368,G818,FALSE)</f>
        <v>13.4647058823529</v>
      </c>
      <c r="J818" s="119">
        <f ca="1">HLOOKUP($H$4,'Met Data'!$H$2:$M$368,G818,FALSE)*L818</f>
        <v>1.0852941176470501</v>
      </c>
      <c r="K818" s="98">
        <f ca="1">HLOOKUP($H$4,'Met Data'!$O$2:$T$368,G818,FALSE)</f>
        <v>3.01312511683413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93</v>
      </c>
      <c r="H819" s="97">
        <f t="shared" ca="1" si="129"/>
        <v>46114</v>
      </c>
      <c r="I819" s="121">
        <f ca="1">HLOOKUP($H$4,'Met Data'!$A$2:$F$368,G819,FALSE)</f>
        <v>14.017647058823499</v>
      </c>
      <c r="J819" s="119">
        <f ca="1">HLOOKUP($H$4,'Met Data'!$H$2:$M$368,G819,FALSE)*L819</f>
        <v>0.94117647058823495</v>
      </c>
      <c r="K819" s="98">
        <f ca="1">HLOOKUP($H$4,'Met Data'!$O$2:$T$368,G819,FALSE)</f>
        <v>3.2186093862229201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94</v>
      </c>
      <c r="H820" s="97">
        <f t="shared" ca="1" si="129"/>
        <v>46115</v>
      </c>
      <c r="I820" s="121">
        <f ca="1">HLOOKUP($H$4,'Met Data'!$A$2:$F$368,G820,FALSE)</f>
        <v>13.6090909090909</v>
      </c>
      <c r="J820" s="119">
        <f ca="1">HLOOKUP($H$4,'Met Data'!$H$2:$M$368,G820,FALSE)*L820</f>
        <v>1.49117647058823</v>
      </c>
      <c r="K820" s="98">
        <f ca="1">HLOOKUP($H$4,'Met Data'!$O$2:$T$368,G820,FALSE)</f>
        <v>3.07176916757397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95</v>
      </c>
      <c r="H821" s="97">
        <f t="shared" ca="1" si="129"/>
        <v>46116</v>
      </c>
      <c r="I821" s="121">
        <f ca="1">HLOOKUP($H$4,'Met Data'!$A$2:$F$368,G821,FALSE)</f>
        <v>13.085294117647001</v>
      </c>
      <c r="J821" s="119">
        <f ca="1">HLOOKUP($H$4,'Met Data'!$H$2:$M$368,G821,FALSE)*L821</f>
        <v>1.72941176470588</v>
      </c>
      <c r="K821" s="98">
        <f ca="1">HLOOKUP($H$4,'Met Data'!$O$2:$T$368,G821,FALSE)</f>
        <v>2.7784232053438802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96</v>
      </c>
      <c r="H822" s="97">
        <f t="shared" ca="1" si="129"/>
        <v>46117</v>
      </c>
      <c r="I822" s="121">
        <f ca="1">HLOOKUP($H$4,'Met Data'!$A$2:$F$368,G822,FALSE)</f>
        <v>12.85</v>
      </c>
      <c r="J822" s="119">
        <f ca="1">HLOOKUP($H$4,'Met Data'!$H$2:$M$368,G822,FALSE)*L822</f>
        <v>1.3441176470588201</v>
      </c>
      <c r="K822" s="98">
        <f ca="1">HLOOKUP($H$4,'Met Data'!$O$2:$T$368,G822,FALSE)</f>
        <v>2.61431180626996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97</v>
      </c>
      <c r="H823" s="97">
        <f t="shared" ca="1" si="129"/>
        <v>46118</v>
      </c>
      <c r="I823" s="121">
        <f ca="1">HLOOKUP($H$4,'Met Data'!$A$2:$F$368,G823,FALSE)</f>
        <v>12.9941176470588</v>
      </c>
      <c r="J823" s="119">
        <f ca="1">HLOOKUP($H$4,'Met Data'!$H$2:$M$368,G823,FALSE)*L823</f>
        <v>2.2911764705882298</v>
      </c>
      <c r="K823" s="98">
        <f ca="1">HLOOKUP($H$4,'Met Data'!$O$2:$T$368,G823,FALSE)</f>
        <v>2.55102036350638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98</v>
      </c>
      <c r="H824" s="97">
        <f t="shared" ca="1" si="129"/>
        <v>46119</v>
      </c>
      <c r="I824" s="121">
        <f ca="1">HLOOKUP($H$4,'Met Data'!$A$2:$F$368,G824,FALSE)</f>
        <v>12.891176470588199</v>
      </c>
      <c r="J824" s="119">
        <f ca="1">HLOOKUP($H$4,'Met Data'!$H$2:$M$368,G824,FALSE)*L824</f>
        <v>3.5058823529411698</v>
      </c>
      <c r="K824" s="98">
        <f ca="1">HLOOKUP($H$4,'Met Data'!$O$2:$T$368,G824,FALSE)</f>
        <v>2.5900977274770201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99</v>
      </c>
      <c r="H825" s="97">
        <f t="shared" ca="1" si="129"/>
        <v>46120</v>
      </c>
      <c r="I825" s="121">
        <f ca="1">HLOOKUP($H$4,'Met Data'!$A$2:$F$368,G825,FALSE)</f>
        <v>12.924999999999899</v>
      </c>
      <c r="J825" s="119">
        <f ca="1">HLOOKUP($H$4,'Met Data'!$H$2:$M$368,G825,FALSE)*L825</f>
        <v>2.1029411764705799</v>
      </c>
      <c r="K825" s="98">
        <f ca="1">HLOOKUP($H$4,'Met Data'!$O$2:$T$368,G825,FALSE)</f>
        <v>2.6944935581784701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100</v>
      </c>
      <c r="H826" s="97">
        <f t="shared" ca="1" si="129"/>
        <v>46121</v>
      </c>
      <c r="I826" s="121">
        <f ca="1">HLOOKUP($H$4,'Met Data'!$A$2:$F$368,G826,FALSE)</f>
        <v>12.363235294117599</v>
      </c>
      <c r="J826" s="119">
        <f ca="1">HLOOKUP($H$4,'Met Data'!$H$2:$M$368,G826,FALSE)*L826</f>
        <v>2.8117647058823501</v>
      </c>
      <c r="K826" s="98">
        <f ca="1">HLOOKUP($H$4,'Met Data'!$O$2:$T$368,G826,FALSE)</f>
        <v>2.27410330215878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101</v>
      </c>
      <c r="H827" s="97">
        <f t="shared" ca="1" si="129"/>
        <v>46122</v>
      </c>
      <c r="I827" s="121">
        <f ca="1">HLOOKUP($H$4,'Met Data'!$A$2:$F$368,G827,FALSE)</f>
        <v>11.3573529411764</v>
      </c>
      <c r="J827" s="119">
        <f ca="1">HLOOKUP($H$4,'Met Data'!$H$2:$M$368,G827,FALSE)*L827</f>
        <v>2.0676470588235198</v>
      </c>
      <c r="K827" s="98">
        <f ca="1">HLOOKUP($H$4,'Met Data'!$O$2:$T$368,G827,FALSE)</f>
        <v>2.42845739075634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102</v>
      </c>
      <c r="H828" s="97">
        <f t="shared" ca="1" si="129"/>
        <v>46123</v>
      </c>
      <c r="I828" s="121">
        <f ca="1">HLOOKUP($H$4,'Met Data'!$A$2:$F$368,G828,FALSE)</f>
        <v>11.6044117647058</v>
      </c>
      <c r="J828" s="119">
        <f ca="1">HLOOKUP($H$4,'Met Data'!$H$2:$M$368,G828,FALSE)*L828</f>
        <v>1.3794117647058799</v>
      </c>
      <c r="K828" s="98">
        <f ca="1">HLOOKUP($H$4,'Met Data'!$O$2:$T$368,G828,FALSE)</f>
        <v>2.30587050945396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103</v>
      </c>
      <c r="H829" s="97">
        <f t="shared" ca="1" si="129"/>
        <v>46124</v>
      </c>
      <c r="I829" s="121">
        <f ca="1">HLOOKUP($H$4,'Met Data'!$A$2:$F$368,G829,FALSE)</f>
        <v>11.445454545454499</v>
      </c>
      <c r="J829" s="119">
        <f ca="1">HLOOKUP($H$4,'Met Data'!$H$2:$M$368,G829,FALSE)*L829</f>
        <v>1.8117647058823501</v>
      </c>
      <c r="K829" s="98">
        <f ca="1">HLOOKUP($H$4,'Met Data'!$O$2:$T$368,G829,FALSE)</f>
        <v>2.1258259155745698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104</v>
      </c>
      <c r="H830" s="97">
        <f t="shared" ca="1" si="129"/>
        <v>46125</v>
      </c>
      <c r="I830" s="121">
        <f ca="1">HLOOKUP($H$4,'Met Data'!$A$2:$F$368,G830,FALSE)</f>
        <v>11.897058823529401</v>
      </c>
      <c r="J830" s="119">
        <f ca="1">HLOOKUP($H$4,'Met Data'!$H$2:$M$368,G830,FALSE)*L830</f>
        <v>1.4117647058823499</v>
      </c>
      <c r="K830" s="98">
        <f ca="1">HLOOKUP($H$4,'Met Data'!$O$2:$T$368,G830,FALSE)</f>
        <v>2.2855460299238599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105</v>
      </c>
      <c r="H831" s="97">
        <f t="shared" ca="1" si="129"/>
        <v>46126</v>
      </c>
      <c r="I831" s="121">
        <f ca="1">HLOOKUP($H$4,'Met Data'!$A$2:$F$368,G831,FALSE)</f>
        <v>11.5014705882352</v>
      </c>
      <c r="J831" s="119">
        <f ca="1">HLOOKUP($H$4,'Met Data'!$H$2:$M$368,G831,FALSE)*L831</f>
        <v>1.26470588235294</v>
      </c>
      <c r="K831" s="98">
        <f ca="1">HLOOKUP($H$4,'Met Data'!$O$2:$T$368,G831,FALSE)</f>
        <v>2.1675311808748998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106</v>
      </c>
      <c r="H832" s="97">
        <f t="shared" ca="1" si="129"/>
        <v>46127</v>
      </c>
      <c r="I832" s="121">
        <f ca="1">HLOOKUP($H$4,'Met Data'!$A$2:$F$368,G832,FALSE)</f>
        <v>12.461764705882301</v>
      </c>
      <c r="J832" s="119">
        <f ca="1">HLOOKUP($H$4,'Met Data'!$H$2:$M$368,G832,FALSE)*L832</f>
        <v>0.48529411764705799</v>
      </c>
      <c r="K832" s="98">
        <f ca="1">HLOOKUP($H$4,'Met Data'!$O$2:$T$368,G832,FALSE)</f>
        <v>2.6480171040382698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107</v>
      </c>
      <c r="H833" s="97">
        <f t="shared" ca="1" si="129"/>
        <v>46128</v>
      </c>
      <c r="I833" s="121">
        <f ca="1">HLOOKUP($H$4,'Met Data'!$A$2:$F$368,G833,FALSE)</f>
        <v>12.083823529411699</v>
      </c>
      <c r="J833" s="119">
        <f ca="1">HLOOKUP($H$4,'Met Data'!$H$2:$M$368,G833,FALSE)*L833</f>
        <v>1.1558823529411699</v>
      </c>
      <c r="K833" s="98">
        <f ca="1">HLOOKUP($H$4,'Met Data'!$O$2:$T$368,G833,FALSE)</f>
        <v>2.1774423034333599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108</v>
      </c>
      <c r="H834" s="97">
        <f t="shared" ca="1" si="129"/>
        <v>46129</v>
      </c>
      <c r="I834" s="121">
        <f ca="1">HLOOKUP($H$4,'Met Data'!$A$2:$F$368,G834,FALSE)</f>
        <v>12.307352941176401</v>
      </c>
      <c r="J834" s="119">
        <f ca="1">HLOOKUP($H$4,'Met Data'!$H$2:$M$368,G834,FALSE)*L834</f>
        <v>1.68823529411764</v>
      </c>
      <c r="K834" s="98">
        <f ca="1">HLOOKUP($H$4,'Met Data'!$O$2:$T$368,G834,FALSE)</f>
        <v>2.0825962231468602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109</v>
      </c>
      <c r="H835" s="97">
        <f t="shared" ca="1" si="129"/>
        <v>46130</v>
      </c>
      <c r="I835" s="121">
        <f ca="1">HLOOKUP($H$4,'Met Data'!$A$2:$F$368,G835,FALSE)</f>
        <v>11.5970588235294</v>
      </c>
      <c r="J835" s="119">
        <f ca="1">HLOOKUP($H$4,'Met Data'!$H$2:$M$368,G835,FALSE)*L835</f>
        <v>1.19117647058823</v>
      </c>
      <c r="K835" s="98">
        <f ca="1">HLOOKUP($H$4,'Met Data'!$O$2:$T$368,G835,FALSE)</f>
        <v>1.83123332157564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110</v>
      </c>
      <c r="H836" s="97">
        <f t="shared" ca="1" si="129"/>
        <v>46131</v>
      </c>
      <c r="I836" s="121">
        <f ca="1">HLOOKUP($H$4,'Met Data'!$A$2:$F$368,G836,FALSE)</f>
        <v>11.710294117647001</v>
      </c>
      <c r="J836" s="119">
        <f ca="1">HLOOKUP($H$4,'Met Data'!$H$2:$M$368,G836,FALSE)*L836</f>
        <v>0.876470588235294</v>
      </c>
      <c r="K836" s="98">
        <f ca="1">HLOOKUP($H$4,'Met Data'!$O$2:$T$368,G836,FALSE)</f>
        <v>1.9918324383127699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111</v>
      </c>
      <c r="H837" s="97">
        <f t="shared" ca="1" si="129"/>
        <v>46132</v>
      </c>
      <c r="I837" s="121">
        <f ca="1">HLOOKUP($H$4,'Met Data'!$A$2:$F$368,G837,FALSE)</f>
        <v>12.0897058823529</v>
      </c>
      <c r="J837" s="119">
        <f ca="1">HLOOKUP($H$4,'Met Data'!$H$2:$M$368,G837,FALSE)*L837</f>
        <v>1.6147058823529401</v>
      </c>
      <c r="K837" s="98">
        <f ca="1">HLOOKUP($H$4,'Met Data'!$O$2:$T$368,G837,FALSE)</f>
        <v>2.3214267905608299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112</v>
      </c>
      <c r="H838" s="97">
        <f t="shared" ca="1" si="129"/>
        <v>46133</v>
      </c>
      <c r="I838" s="121">
        <f ca="1">HLOOKUP($H$4,'Met Data'!$A$2:$F$368,G838,FALSE)</f>
        <v>11.1882352941176</v>
      </c>
      <c r="J838" s="119">
        <f ca="1">HLOOKUP($H$4,'Met Data'!$H$2:$M$368,G838,FALSE)*L838</f>
        <v>1.6352941176470499</v>
      </c>
      <c r="K838" s="98">
        <f ca="1">HLOOKUP($H$4,'Met Data'!$O$2:$T$368,G838,FALSE)</f>
        <v>1.88439420500637</v>
      </c>
      <c r="L838">
        <f t="shared" ref="L838:L901" ca="1" si="138">IF(H838&lt;$B$31,$J$3,$J$4)</f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113</v>
      </c>
      <c r="H839" s="97">
        <f t="shared" ca="1" si="129"/>
        <v>46134</v>
      </c>
      <c r="I839" s="121">
        <f ca="1">HLOOKUP($H$4,'Met Data'!$A$2:$F$368,G839,FALSE)</f>
        <v>11.0044117647058</v>
      </c>
      <c r="J839" s="119">
        <f ca="1">HLOOKUP($H$4,'Met Data'!$H$2:$M$368,G839,FALSE)*L839</f>
        <v>0.81176470588235194</v>
      </c>
      <c r="K839" s="98">
        <f ca="1">HLOOKUP($H$4,'Met Data'!$O$2:$T$368,G839,FALSE)</f>
        <v>1.9179571566201901</v>
      </c>
      <c r="L839">
        <f t="shared" ca="1" si="138"/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114</v>
      </c>
      <c r="H840" s="97">
        <f t="shared" ref="H840:H903" ca="1" si="139">H839+1</f>
        <v>46135</v>
      </c>
      <c r="I840" s="121">
        <f ca="1">HLOOKUP($H$4,'Met Data'!$A$2:$F$368,G840,FALSE)</f>
        <v>11.586764705882301</v>
      </c>
      <c r="J840" s="119">
        <f ca="1">HLOOKUP($H$4,'Met Data'!$H$2:$M$368,G840,FALSE)*L840</f>
        <v>0.77352941176470502</v>
      </c>
      <c r="K840" s="98">
        <f ca="1">HLOOKUP($H$4,'Met Data'!$O$2:$T$368,G840,FALSE)</f>
        <v>2.1115808573458499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115</v>
      </c>
      <c r="H841" s="97">
        <f t="shared" ca="1" si="139"/>
        <v>46136</v>
      </c>
      <c r="I841" s="121">
        <f ca="1">HLOOKUP($H$4,'Met Data'!$A$2:$F$368,G841,FALSE)</f>
        <v>10.9985294117647</v>
      </c>
      <c r="J841" s="119">
        <f ca="1">HLOOKUP($H$4,'Met Data'!$H$2:$M$368,G841,FALSE)*L841</f>
        <v>1.75294117647058</v>
      </c>
      <c r="K841" s="98">
        <f ca="1">HLOOKUP($H$4,'Met Data'!$O$2:$T$368,G841,FALSE)</f>
        <v>1.81614923585608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116</v>
      </c>
      <c r="H842" s="97">
        <f t="shared" ca="1" si="139"/>
        <v>46137</v>
      </c>
      <c r="I842" s="121">
        <f ca="1">HLOOKUP($H$4,'Met Data'!$A$2:$F$368,G842,FALSE)</f>
        <v>11.547058823529399</v>
      </c>
      <c r="J842" s="119">
        <f ca="1">HLOOKUP($H$4,'Met Data'!$H$2:$M$368,G842,FALSE)*L842</f>
        <v>1.70294117647058</v>
      </c>
      <c r="K842" s="98">
        <f ca="1">HLOOKUP($H$4,'Met Data'!$O$2:$T$368,G842,FALSE)</f>
        <v>1.8798608741396901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117</v>
      </c>
      <c r="H843" s="97">
        <f t="shared" ca="1" si="139"/>
        <v>46138</v>
      </c>
      <c r="I843" s="121">
        <f ca="1">HLOOKUP($H$4,'Met Data'!$A$2:$F$368,G843,FALSE)</f>
        <v>11.6955882352941</v>
      </c>
      <c r="J843" s="119">
        <f ca="1">HLOOKUP($H$4,'Met Data'!$H$2:$M$368,G843,FALSE)*L843</f>
        <v>0.41176470588235198</v>
      </c>
      <c r="K843" s="98">
        <f ca="1">HLOOKUP($H$4,'Met Data'!$O$2:$T$368,G843,FALSE)</f>
        <v>1.88699621875139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118</v>
      </c>
      <c r="H844" s="97">
        <f t="shared" ca="1" si="139"/>
        <v>46139</v>
      </c>
      <c r="I844" s="121">
        <f ca="1">HLOOKUP($H$4,'Met Data'!$A$2:$F$368,G844,FALSE)</f>
        <v>11.833823529411699</v>
      </c>
      <c r="J844" s="119">
        <f ca="1">HLOOKUP($H$4,'Met Data'!$H$2:$M$368,G844,FALSE)*L844</f>
        <v>1.79705882352941</v>
      </c>
      <c r="K844" s="98">
        <f ca="1">HLOOKUP($H$4,'Met Data'!$O$2:$T$368,G844,FALSE)</f>
        <v>1.76466679700699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119</v>
      </c>
      <c r="H845" s="97">
        <f t="shared" ca="1" si="139"/>
        <v>46140</v>
      </c>
      <c r="I845" s="121">
        <f ca="1">HLOOKUP($H$4,'Met Data'!$A$2:$F$368,G845,FALSE)</f>
        <v>12.1279411764705</v>
      </c>
      <c r="J845" s="119">
        <f ca="1">HLOOKUP($H$4,'Met Data'!$H$2:$M$368,G845,FALSE)*L845</f>
        <v>2.1588235294117601</v>
      </c>
      <c r="K845" s="98">
        <f ca="1">HLOOKUP($H$4,'Met Data'!$O$2:$T$368,G845,FALSE)</f>
        <v>1.95217239254561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120</v>
      </c>
      <c r="H846" s="97">
        <f t="shared" ca="1" si="139"/>
        <v>46141</v>
      </c>
      <c r="I846" s="121">
        <f ca="1">HLOOKUP($H$4,'Met Data'!$A$2:$F$368,G846,FALSE)</f>
        <v>10.824999999999999</v>
      </c>
      <c r="J846" s="119">
        <f ca="1">HLOOKUP($H$4,'Met Data'!$H$2:$M$368,G846,FALSE)*L846</f>
        <v>5.4352941176470502</v>
      </c>
      <c r="K846" s="98">
        <f ca="1">HLOOKUP($H$4,'Met Data'!$O$2:$T$368,G846,FALSE)</f>
        <v>1.6384329462009699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121</v>
      </c>
      <c r="H847" s="97">
        <f t="shared" ca="1" si="139"/>
        <v>46142</v>
      </c>
      <c r="I847" s="121">
        <f ca="1">HLOOKUP($H$4,'Met Data'!$A$2:$F$368,G847,FALSE)</f>
        <v>10.554411764705799</v>
      </c>
      <c r="J847" s="119">
        <f ca="1">HLOOKUP($H$4,'Met Data'!$H$2:$M$368,G847,FALSE)*L847</f>
        <v>2.5852941176470501</v>
      </c>
      <c r="K847" s="98">
        <f ca="1">HLOOKUP($H$4,'Met Data'!$O$2:$T$368,G847,FALSE)</f>
        <v>1.6462620711534199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122</v>
      </c>
      <c r="H848" s="97">
        <f t="shared" ca="1" si="139"/>
        <v>46143</v>
      </c>
      <c r="I848" s="121">
        <f ca="1">HLOOKUP($H$4,'Met Data'!$A$2:$F$368,G848,FALSE)</f>
        <v>10.2014705882352</v>
      </c>
      <c r="J848" s="119">
        <f ca="1">HLOOKUP($H$4,'Met Data'!$H$2:$M$368,G848,FALSE)*L848</f>
        <v>1.01176470588235</v>
      </c>
      <c r="K848" s="98">
        <f ca="1">HLOOKUP($H$4,'Met Data'!$O$2:$T$368,G848,FALSE)</f>
        <v>1.5886994013641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123</v>
      </c>
      <c r="H849" s="97">
        <f t="shared" ca="1" si="139"/>
        <v>46144</v>
      </c>
      <c r="I849" s="121">
        <f ca="1">HLOOKUP($H$4,'Met Data'!$A$2:$F$368,G849,FALSE)</f>
        <v>10.3191176470588</v>
      </c>
      <c r="J849" s="119">
        <f ca="1">HLOOKUP($H$4,'Met Data'!$H$2:$M$368,G849,FALSE)*L849</f>
        <v>0.91470588235294104</v>
      </c>
      <c r="K849" s="98">
        <f ca="1">HLOOKUP($H$4,'Met Data'!$O$2:$T$368,G849,FALSE)</f>
        <v>1.52724346363737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124</v>
      </c>
      <c r="H850" s="97">
        <f t="shared" ca="1" si="139"/>
        <v>46145</v>
      </c>
      <c r="I850" s="121">
        <f ca="1">HLOOKUP($H$4,'Met Data'!$A$2:$F$368,G850,FALSE)</f>
        <v>10.267647058823499</v>
      </c>
      <c r="J850" s="119">
        <f ca="1">HLOOKUP($H$4,'Met Data'!$H$2:$M$368,G850,FALSE)*L850</f>
        <v>0.91764705882352904</v>
      </c>
      <c r="K850" s="98">
        <f ca="1">HLOOKUP($H$4,'Met Data'!$O$2:$T$368,G850,FALSE)</f>
        <v>1.7604236957874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125</v>
      </c>
      <c r="H851" s="97">
        <f t="shared" ca="1" si="139"/>
        <v>46146</v>
      </c>
      <c r="I851" s="121">
        <f ca="1">HLOOKUP($H$4,'Met Data'!$A$2:$F$368,G851,FALSE)</f>
        <v>10.807352941176401</v>
      </c>
      <c r="J851" s="119">
        <f ca="1">HLOOKUP($H$4,'Met Data'!$H$2:$M$368,G851,FALSE)*L851</f>
        <v>1.78529411764705</v>
      </c>
      <c r="K851" s="98">
        <f ca="1">HLOOKUP($H$4,'Met Data'!$O$2:$T$368,G851,FALSE)</f>
        <v>1.87410891042832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126</v>
      </c>
      <c r="H852" s="97">
        <f t="shared" ca="1" si="139"/>
        <v>46147</v>
      </c>
      <c r="I852" s="121">
        <f ca="1">HLOOKUP($H$4,'Met Data'!$A$2:$F$368,G852,FALSE)</f>
        <v>10.7742424242424</v>
      </c>
      <c r="J852" s="119">
        <f ca="1">HLOOKUP($H$4,'Met Data'!$H$2:$M$368,G852,FALSE)*L852</f>
        <v>1.0941176470588201</v>
      </c>
      <c r="K852" s="98">
        <f ca="1">HLOOKUP($H$4,'Met Data'!$O$2:$T$368,G852,FALSE)</f>
        <v>1.5837713381857701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127</v>
      </c>
      <c r="H853" s="97">
        <f t="shared" ca="1" si="139"/>
        <v>46148</v>
      </c>
      <c r="I853" s="121">
        <f ca="1">HLOOKUP($H$4,'Met Data'!$A$2:$F$368,G853,FALSE)</f>
        <v>11.583823529411699</v>
      </c>
      <c r="J853" s="119">
        <f ca="1">HLOOKUP($H$4,'Met Data'!$H$2:$M$368,G853,FALSE)*L853</f>
        <v>3.2617647058823498</v>
      </c>
      <c r="K853" s="98">
        <f ca="1">HLOOKUP($H$4,'Met Data'!$O$2:$T$368,G853,FALSE)</f>
        <v>1.9285474517201799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128</v>
      </c>
      <c r="H854" s="97">
        <f t="shared" ca="1" si="139"/>
        <v>46149</v>
      </c>
      <c r="I854" s="121">
        <f ca="1">HLOOKUP($H$4,'Met Data'!$A$2:$F$368,G854,FALSE)</f>
        <v>11.138235294117599</v>
      </c>
      <c r="J854" s="119">
        <f ca="1">HLOOKUP($H$4,'Met Data'!$H$2:$M$368,G854,FALSE)*L854</f>
        <v>1.1176470588235199</v>
      </c>
      <c r="K854" s="98">
        <f ca="1">HLOOKUP($H$4,'Met Data'!$O$2:$T$368,G854,FALSE)</f>
        <v>1.69465579062546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129</v>
      </c>
      <c r="H855" s="97">
        <f t="shared" ca="1" si="139"/>
        <v>46150</v>
      </c>
      <c r="I855" s="121">
        <f ca="1">HLOOKUP($H$4,'Met Data'!$A$2:$F$368,G855,FALSE)</f>
        <v>10.079411764705799</v>
      </c>
      <c r="J855" s="119">
        <f ca="1">HLOOKUP($H$4,'Met Data'!$H$2:$M$368,G855,FALSE)*L855</f>
        <v>3.0588235294117601</v>
      </c>
      <c r="K855" s="98">
        <f ca="1">HLOOKUP($H$4,'Met Data'!$O$2:$T$368,G855,FALSE)</f>
        <v>1.6998944555739099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130</v>
      </c>
      <c r="H856" s="97">
        <f t="shared" ca="1" si="139"/>
        <v>46151</v>
      </c>
      <c r="I856" s="121">
        <f ca="1">HLOOKUP($H$4,'Met Data'!$A$2:$F$368,G856,FALSE)</f>
        <v>10.2279411764705</v>
      </c>
      <c r="J856" s="119">
        <f ca="1">HLOOKUP($H$4,'Met Data'!$H$2:$M$368,G856,FALSE)*L856</f>
        <v>0.78235294117647003</v>
      </c>
      <c r="K856" s="98">
        <f ca="1">HLOOKUP($H$4,'Met Data'!$O$2:$T$368,G856,FALSE)</f>
        <v>1.6080556103689001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131</v>
      </c>
      <c r="H857" s="97">
        <f t="shared" ca="1" si="139"/>
        <v>46152</v>
      </c>
      <c r="I857" s="121">
        <f ca="1">HLOOKUP($H$4,'Met Data'!$A$2:$F$368,G857,FALSE)</f>
        <v>10.1044117647058</v>
      </c>
      <c r="J857" s="119">
        <f ca="1">HLOOKUP($H$4,'Met Data'!$H$2:$M$368,G857,FALSE)*L857</f>
        <v>1.99411764705882</v>
      </c>
      <c r="K857" s="98">
        <f ca="1">HLOOKUP($H$4,'Met Data'!$O$2:$T$368,G857,FALSE)</f>
        <v>1.41413311869791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132</v>
      </c>
      <c r="H858" s="97">
        <f t="shared" ca="1" si="139"/>
        <v>46153</v>
      </c>
      <c r="I858" s="121">
        <f ca="1">HLOOKUP($H$4,'Met Data'!$A$2:$F$368,G858,FALSE)</f>
        <v>10.4441176470588</v>
      </c>
      <c r="J858" s="119">
        <f ca="1">HLOOKUP($H$4,'Met Data'!$H$2:$M$368,G858,FALSE)*L858</f>
        <v>0.92058823529411704</v>
      </c>
      <c r="K858" s="98">
        <f ca="1">HLOOKUP($H$4,'Met Data'!$O$2:$T$368,G858,FALSE)</f>
        <v>1.66219643843515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133</v>
      </c>
      <c r="H859" s="97">
        <f t="shared" ca="1" si="139"/>
        <v>46154</v>
      </c>
      <c r="I859" s="121">
        <f ca="1">HLOOKUP($H$4,'Met Data'!$A$2:$F$368,G859,FALSE)</f>
        <v>10.801470588235199</v>
      </c>
      <c r="J859" s="119">
        <f ca="1">HLOOKUP($H$4,'Met Data'!$H$2:$M$368,G859,FALSE)*L859</f>
        <v>1.73823529411764</v>
      </c>
      <c r="K859" s="98">
        <f ca="1">HLOOKUP($H$4,'Met Data'!$O$2:$T$368,G859,FALSE)</f>
        <v>1.5723667757897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134</v>
      </c>
      <c r="H860" s="97">
        <f t="shared" ca="1" si="139"/>
        <v>46155</v>
      </c>
      <c r="I860" s="121">
        <f ca="1">HLOOKUP($H$4,'Met Data'!$A$2:$F$368,G860,FALSE)</f>
        <v>10.149999999999901</v>
      </c>
      <c r="J860" s="119">
        <f ca="1">HLOOKUP($H$4,'Met Data'!$H$2:$M$368,G860,FALSE)*L860</f>
        <v>1.23235294117647</v>
      </c>
      <c r="K860" s="98">
        <f ca="1">HLOOKUP($H$4,'Met Data'!$O$2:$T$368,G860,FALSE)</f>
        <v>1.62543661304557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135</v>
      </c>
      <c r="H861" s="97">
        <f t="shared" ca="1" si="139"/>
        <v>46156</v>
      </c>
      <c r="I861" s="121">
        <f ca="1">HLOOKUP($H$4,'Met Data'!$A$2:$F$368,G861,FALSE)</f>
        <v>10.029411764705801</v>
      </c>
      <c r="J861" s="119">
        <f ca="1">HLOOKUP($H$4,'Met Data'!$H$2:$M$368,G861,FALSE)*L861</f>
        <v>1.69705882352941</v>
      </c>
      <c r="K861" s="98">
        <f ca="1">HLOOKUP($H$4,'Met Data'!$O$2:$T$368,G861,FALSE)</f>
        <v>1.6139957133282601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136</v>
      </c>
      <c r="H862" s="97">
        <f t="shared" ca="1" si="139"/>
        <v>46157</v>
      </c>
      <c r="I862" s="121">
        <f ca="1">HLOOKUP($H$4,'Met Data'!$A$2:$F$368,G862,FALSE)</f>
        <v>9.6235294117647001</v>
      </c>
      <c r="J862" s="119">
        <f ca="1">HLOOKUP($H$4,'Met Data'!$H$2:$M$368,G862,FALSE)*L862</f>
        <v>1.51764705882352</v>
      </c>
      <c r="K862" s="98">
        <f ca="1">HLOOKUP($H$4,'Met Data'!$O$2:$T$368,G862,FALSE)</f>
        <v>1.6005498237626701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137</v>
      </c>
      <c r="H863" s="97">
        <f t="shared" ca="1" si="139"/>
        <v>46158</v>
      </c>
      <c r="I863" s="121">
        <f ca="1">HLOOKUP($H$4,'Met Data'!$A$2:$F$368,G863,FALSE)</f>
        <v>10.177941176470499</v>
      </c>
      <c r="J863" s="119">
        <f ca="1">HLOOKUP($H$4,'Met Data'!$H$2:$M$368,G863,FALSE)*L863</f>
        <v>2.0147058823529398</v>
      </c>
      <c r="K863" s="98">
        <f ca="1">HLOOKUP($H$4,'Met Data'!$O$2:$T$368,G863,FALSE)</f>
        <v>1.76114821084059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138</v>
      </c>
      <c r="H864" s="97">
        <f t="shared" ca="1" si="139"/>
        <v>46159</v>
      </c>
      <c r="I864" s="121">
        <f ca="1">HLOOKUP($H$4,'Met Data'!$A$2:$F$368,G864,FALSE)</f>
        <v>9.2779411764705806</v>
      </c>
      <c r="J864" s="119">
        <f ca="1">HLOOKUP($H$4,'Met Data'!$H$2:$M$368,G864,FALSE)*L864</f>
        <v>2.7235294117647002</v>
      </c>
      <c r="K864" s="98">
        <f ca="1">HLOOKUP($H$4,'Met Data'!$O$2:$T$368,G864,FALSE)</f>
        <v>1.51265723824432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139</v>
      </c>
      <c r="H865" s="97">
        <f t="shared" ca="1" si="139"/>
        <v>46160</v>
      </c>
      <c r="I865" s="121">
        <f ca="1">HLOOKUP($H$4,'Met Data'!$A$2:$F$368,G865,FALSE)</f>
        <v>9.0485294117647008</v>
      </c>
      <c r="J865" s="119">
        <f ca="1">HLOOKUP($H$4,'Met Data'!$H$2:$M$368,G865,FALSE)*L865</f>
        <v>1.5</v>
      </c>
      <c r="K865" s="98">
        <f ca="1">HLOOKUP($H$4,'Met Data'!$O$2:$T$368,G865,FALSE)</f>
        <v>1.42917243065086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140</v>
      </c>
      <c r="H866" s="97">
        <f t="shared" ca="1" si="139"/>
        <v>46161</v>
      </c>
      <c r="I866" s="121">
        <f ca="1">HLOOKUP($H$4,'Met Data'!$A$2:$F$368,G866,FALSE)</f>
        <v>9.3647058823529399</v>
      </c>
      <c r="J866" s="119">
        <f ca="1">HLOOKUP($H$4,'Met Data'!$H$2:$M$368,G866,FALSE)*L866</f>
        <v>1.5735294117647001</v>
      </c>
      <c r="K866" s="98">
        <f ca="1">HLOOKUP($H$4,'Met Data'!$O$2:$T$368,G866,FALSE)</f>
        <v>1.4324355889067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141</v>
      </c>
      <c r="H867" s="97">
        <f t="shared" ca="1" si="139"/>
        <v>46162</v>
      </c>
      <c r="I867" s="121">
        <f ca="1">HLOOKUP($H$4,'Met Data'!$A$2:$F$368,G867,FALSE)</f>
        <v>9.4352941176470502</v>
      </c>
      <c r="J867" s="119">
        <f ca="1">HLOOKUP($H$4,'Met Data'!$H$2:$M$368,G867,FALSE)*L867</f>
        <v>1.9352941176470499</v>
      </c>
      <c r="K867" s="98">
        <f ca="1">HLOOKUP($H$4,'Met Data'!$O$2:$T$368,G867,FALSE)</f>
        <v>1.4124835611223401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142</v>
      </c>
      <c r="H868" s="97">
        <f t="shared" ca="1" si="139"/>
        <v>46163</v>
      </c>
      <c r="I868" s="121">
        <f ca="1">HLOOKUP($H$4,'Met Data'!$A$2:$F$368,G868,FALSE)</f>
        <v>9.1705882352941099</v>
      </c>
      <c r="J868" s="119">
        <f ca="1">HLOOKUP($H$4,'Met Data'!$H$2:$M$368,G868,FALSE)*L868</f>
        <v>2.3529411764705799</v>
      </c>
      <c r="K868" s="98">
        <f ca="1">HLOOKUP($H$4,'Met Data'!$O$2:$T$368,G868,FALSE)</f>
        <v>1.2765511235284199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143</v>
      </c>
      <c r="H869" s="97">
        <f t="shared" ca="1" si="139"/>
        <v>46164</v>
      </c>
      <c r="I869" s="121">
        <f ca="1">HLOOKUP($H$4,'Met Data'!$A$2:$F$368,G869,FALSE)</f>
        <v>8.3529411764705799</v>
      </c>
      <c r="J869" s="119">
        <f ca="1">HLOOKUP($H$4,'Met Data'!$H$2:$M$368,G869,FALSE)*L869</f>
        <v>1.5852941176470501</v>
      </c>
      <c r="K869" s="98">
        <f ca="1">HLOOKUP($H$4,'Met Data'!$O$2:$T$368,G869,FALSE)</f>
        <v>1.1618550175400399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144</v>
      </c>
      <c r="H870" s="97">
        <f t="shared" ca="1" si="139"/>
        <v>46165</v>
      </c>
      <c r="I870" s="121">
        <f ca="1">HLOOKUP($H$4,'Met Data'!$A$2:$F$368,G870,FALSE)</f>
        <v>9.0132352941176404</v>
      </c>
      <c r="J870" s="119">
        <f ca="1">HLOOKUP($H$4,'Met Data'!$H$2:$M$368,G870,FALSE)*L870</f>
        <v>1.6205882352941099</v>
      </c>
      <c r="K870" s="98">
        <f ca="1">HLOOKUP($H$4,'Met Data'!$O$2:$T$368,G870,FALSE)</f>
        <v>1.3880525200190601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145</v>
      </c>
      <c r="H871" s="97">
        <f t="shared" ca="1" si="139"/>
        <v>46166</v>
      </c>
      <c r="I871" s="121">
        <f ca="1">HLOOKUP($H$4,'Met Data'!$A$2:$F$368,G871,FALSE)</f>
        <v>8.7911764705882298</v>
      </c>
      <c r="J871" s="119">
        <f ca="1">HLOOKUP($H$4,'Met Data'!$H$2:$M$368,G871,FALSE)*L871</f>
        <v>3.3764705882352901</v>
      </c>
      <c r="K871" s="98">
        <f ca="1">HLOOKUP($H$4,'Met Data'!$O$2:$T$368,G871,FALSE)</f>
        <v>1.28085602366637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146</v>
      </c>
      <c r="H872" s="97">
        <f t="shared" ca="1" si="139"/>
        <v>46167</v>
      </c>
      <c r="I872" s="121">
        <f ca="1">HLOOKUP($H$4,'Met Data'!$A$2:$F$368,G872,FALSE)</f>
        <v>8.3720588235294109</v>
      </c>
      <c r="J872" s="119">
        <f ca="1">HLOOKUP($H$4,'Met Data'!$H$2:$M$368,G872,FALSE)*L872</f>
        <v>1.9058823529411699</v>
      </c>
      <c r="K872" s="98">
        <f ca="1">HLOOKUP($H$4,'Met Data'!$O$2:$T$368,G872,FALSE)</f>
        <v>1.28602442078779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147</v>
      </c>
      <c r="H873" s="97">
        <f t="shared" ca="1" si="139"/>
        <v>46168</v>
      </c>
      <c r="I873" s="121">
        <f ca="1">HLOOKUP($H$4,'Met Data'!$A$2:$F$368,G873,FALSE)</f>
        <v>8.5632352941176393</v>
      </c>
      <c r="J873" s="119">
        <f ca="1">HLOOKUP($H$4,'Met Data'!$H$2:$M$368,G873,FALSE)*L873</f>
        <v>4.3794117647058801</v>
      </c>
      <c r="K873" s="98">
        <f ca="1">HLOOKUP($H$4,'Met Data'!$O$2:$T$368,G873,FALSE)</f>
        <v>1.33540018897607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148</v>
      </c>
      <c r="H874" s="97">
        <f t="shared" ca="1" si="139"/>
        <v>46169</v>
      </c>
      <c r="I874" s="121">
        <f ca="1">HLOOKUP($H$4,'Met Data'!$A$2:$F$368,G874,FALSE)</f>
        <v>8.4573529411764703</v>
      </c>
      <c r="J874" s="119">
        <f ca="1">HLOOKUP($H$4,'Met Data'!$H$2:$M$368,G874,FALSE)*L874</f>
        <v>0.997058823529411</v>
      </c>
      <c r="K874" s="98">
        <f ca="1">HLOOKUP($H$4,'Met Data'!$O$2:$T$368,G874,FALSE)</f>
        <v>1.45727309162839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149</v>
      </c>
      <c r="H875" s="97">
        <f t="shared" ca="1" si="139"/>
        <v>46170</v>
      </c>
      <c r="I875" s="121">
        <f ca="1">HLOOKUP($H$4,'Met Data'!$A$2:$F$368,G875,FALSE)</f>
        <v>8.1897058823529392</v>
      </c>
      <c r="J875" s="119">
        <f ca="1">HLOOKUP($H$4,'Met Data'!$H$2:$M$368,G875,FALSE)*L875</f>
        <v>2.3676470588235201</v>
      </c>
      <c r="K875" s="98">
        <f ca="1">HLOOKUP($H$4,'Met Data'!$O$2:$T$368,G875,FALSE)</f>
        <v>1.60616595463803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150</v>
      </c>
      <c r="H876" s="97">
        <f t="shared" ca="1" si="139"/>
        <v>46171</v>
      </c>
      <c r="I876" s="121">
        <f ca="1">HLOOKUP($H$4,'Met Data'!$A$2:$F$368,G876,FALSE)</f>
        <v>8.3764705882352892</v>
      </c>
      <c r="J876" s="119">
        <f ca="1">HLOOKUP($H$4,'Met Data'!$H$2:$M$368,G876,FALSE)*L876</f>
        <v>2.75</v>
      </c>
      <c r="K876" s="98">
        <f ca="1">HLOOKUP($H$4,'Met Data'!$O$2:$T$368,G876,FALSE)</f>
        <v>1.41028048478178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151</v>
      </c>
      <c r="H877" s="97">
        <f t="shared" ca="1" si="139"/>
        <v>46172</v>
      </c>
      <c r="I877" s="121">
        <f ca="1">HLOOKUP($H$4,'Met Data'!$A$2:$F$368,G877,FALSE)</f>
        <v>7.9235294117646999</v>
      </c>
      <c r="J877" s="119">
        <f ca="1">HLOOKUP($H$4,'Met Data'!$H$2:$M$368,G877,FALSE)*L877</f>
        <v>1.52647058823529</v>
      </c>
      <c r="K877" s="98">
        <f ca="1">HLOOKUP($H$4,'Met Data'!$O$2:$T$368,G877,FALSE)</f>
        <v>1.2181769845433199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152</v>
      </c>
      <c r="H878" s="97">
        <f t="shared" ca="1" si="139"/>
        <v>46173</v>
      </c>
      <c r="I878" s="121">
        <f ca="1">HLOOKUP($H$4,'Met Data'!$A$2:$F$368,G878,FALSE)</f>
        <v>7.9742424242424201</v>
      </c>
      <c r="J878" s="119">
        <f ca="1">HLOOKUP($H$4,'Met Data'!$H$2:$M$368,G878,FALSE)*L878</f>
        <v>0.65454545454545399</v>
      </c>
      <c r="K878" s="98">
        <f ca="1">HLOOKUP($H$4,'Met Data'!$O$2:$T$368,G878,FALSE)</f>
        <v>1.4140792042866701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153</v>
      </c>
      <c r="H879" s="97">
        <f t="shared" ca="1" si="139"/>
        <v>46174</v>
      </c>
      <c r="I879" s="121">
        <f ca="1">HLOOKUP($H$4,'Met Data'!$A$2:$F$368,G879,FALSE)</f>
        <v>8.0696969696969596</v>
      </c>
      <c r="J879" s="119">
        <f ca="1">HLOOKUP($H$4,'Met Data'!$H$2:$M$368,G879,FALSE)*L879</f>
        <v>2.6606060606060602</v>
      </c>
      <c r="K879" s="98">
        <f ca="1">HLOOKUP($H$4,'Met Data'!$O$2:$T$368,G879,FALSE)</f>
        <v>1.3648777039729501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ref="G880:G943" ca="1" si="140">H880-DATE(YEAR(H880),1,0)+1</f>
        <v>154</v>
      </c>
      <c r="H880" s="97">
        <f t="shared" ca="1" si="139"/>
        <v>46175</v>
      </c>
      <c r="I880" s="121">
        <f ca="1">HLOOKUP($H$4,'Met Data'!$A$2:$F$368,G880,FALSE)</f>
        <v>7.75</v>
      </c>
      <c r="J880" s="119">
        <f ca="1">HLOOKUP($H$4,'Met Data'!$H$2:$M$368,G880,FALSE)*L880</f>
        <v>1.6818181818181801</v>
      </c>
      <c r="K880" s="98">
        <f ca="1">HLOOKUP($H$4,'Met Data'!$O$2:$T$368,G880,FALSE)</f>
        <v>1.1270486273289499</v>
      </c>
      <c r="L880">
        <f t="shared" ca="1" si="138"/>
        <v>1</v>
      </c>
      <c r="N880" t="e">
        <f t="shared" ref="N880:N943" ca="1" si="141">IF(P880&lt;$P$3,TRUE,FALSE)</f>
        <v>#N/A</v>
      </c>
      <c r="O880" t="e">
        <f t="shared" ref="O880:O943" ca="1" si="142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3">IFERROR(P880,$AD$4)</f>
        <v>0</v>
      </c>
      <c r="AE880">
        <f t="shared" ref="AE880:AE943" ca="1" si="144">IFERROR(U880,0)</f>
        <v>0</v>
      </c>
      <c r="AG880" s="63" t="e">
        <f t="shared" ref="AG880:AG943" ca="1" si="145">Q879+S880+T880+U880</f>
        <v>#N/A</v>
      </c>
      <c r="AH880" s="63" t="e">
        <f t="shared" ref="AH880:AH943" ca="1" si="146">Q880+R880+X880</f>
        <v>#N/A</v>
      </c>
      <c r="AI880" s="3" t="e">
        <f t="shared" ref="AI880:AI943" ca="1" si="147">AH880-AG880</f>
        <v>#N/A</v>
      </c>
    </row>
    <row r="881" spans="7:35" ht="15.75" thickBot="1">
      <c r="G881" s="3">
        <f t="shared" ca="1" si="140"/>
        <v>155</v>
      </c>
      <c r="H881" s="97">
        <f t="shared" ca="1" si="139"/>
        <v>46176</v>
      </c>
      <c r="I881" s="121">
        <f ca="1">HLOOKUP($H$4,'Met Data'!$A$2:$F$368,G881,FALSE)</f>
        <v>7.4484848484848403</v>
      </c>
      <c r="J881" s="119">
        <f ca="1">HLOOKUP($H$4,'Met Data'!$H$2:$M$368,G881,FALSE)*L881</f>
        <v>1.9090909090909001</v>
      </c>
      <c r="K881" s="98">
        <f ca="1">HLOOKUP($H$4,'Met Data'!$O$2:$T$368,G881,FALSE)</f>
        <v>1.25249803659369</v>
      </c>
      <c r="L881">
        <f t="shared" ca="1" si="138"/>
        <v>1</v>
      </c>
      <c r="N881" t="e">
        <f t="shared" ca="1" si="141"/>
        <v>#N/A</v>
      </c>
      <c r="O881" t="e">
        <f t="shared" ca="1" si="142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3"/>
        <v>0</v>
      </c>
      <c r="AE881">
        <f t="shared" ca="1" si="144"/>
        <v>0</v>
      </c>
      <c r="AG881" s="63" t="e">
        <f t="shared" ca="1" si="145"/>
        <v>#N/A</v>
      </c>
      <c r="AH881" s="63" t="e">
        <f t="shared" ca="1" si="146"/>
        <v>#N/A</v>
      </c>
      <c r="AI881" s="3" t="e">
        <f t="shared" ca="1" si="147"/>
        <v>#N/A</v>
      </c>
    </row>
    <row r="882" spans="7:35" ht="15.75" thickBot="1">
      <c r="G882" s="3">
        <f t="shared" ca="1" si="140"/>
        <v>156</v>
      </c>
      <c r="H882" s="97">
        <f t="shared" ca="1" si="139"/>
        <v>46177</v>
      </c>
      <c r="I882" s="121">
        <f ca="1">HLOOKUP($H$4,'Met Data'!$A$2:$F$368,G882,FALSE)</f>
        <v>7.27424242424242</v>
      </c>
      <c r="J882" s="119">
        <f ca="1">HLOOKUP($H$4,'Met Data'!$H$2:$M$368,G882,FALSE)*L882</f>
        <v>2.05151515151515</v>
      </c>
      <c r="K882" s="98">
        <f ca="1">HLOOKUP($H$4,'Met Data'!$O$2:$T$368,G882,FALSE)</f>
        <v>1.2350476326500801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157</v>
      </c>
      <c r="H883" s="97">
        <f t="shared" ca="1" si="139"/>
        <v>46178</v>
      </c>
      <c r="I883" s="121">
        <f ca="1">HLOOKUP($H$4,'Met Data'!$A$2:$F$368,G883,FALSE)</f>
        <v>7.1969696969696901</v>
      </c>
      <c r="J883" s="119">
        <f ca="1">HLOOKUP($H$4,'Met Data'!$H$2:$M$368,G883,FALSE)*L883</f>
        <v>1.2333333333333301</v>
      </c>
      <c r="K883" s="98">
        <f ca="1">HLOOKUP($H$4,'Met Data'!$O$2:$T$368,G883,FALSE)</f>
        <v>1.1815334376359199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158</v>
      </c>
      <c r="H884" s="97">
        <f t="shared" ca="1" si="139"/>
        <v>46179</v>
      </c>
      <c r="I884" s="121">
        <f ca="1">HLOOKUP($H$4,'Met Data'!$A$2:$F$368,G884,FALSE)</f>
        <v>6.8636363636363598</v>
      </c>
      <c r="J884" s="119">
        <f ca="1">HLOOKUP($H$4,'Met Data'!$H$2:$M$368,G884,FALSE)*L884</f>
        <v>1.3454545454545399</v>
      </c>
      <c r="K884" s="98">
        <f ca="1">HLOOKUP($H$4,'Met Data'!$O$2:$T$368,G884,FALSE)</f>
        <v>1.11819764768331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159</v>
      </c>
      <c r="H885" s="97">
        <f t="shared" ca="1" si="139"/>
        <v>46180</v>
      </c>
      <c r="I885" s="121">
        <f ca="1">HLOOKUP($H$4,'Met Data'!$A$2:$F$368,G885,FALSE)</f>
        <v>7.0772727272727201</v>
      </c>
      <c r="J885" s="119">
        <f ca="1">HLOOKUP($H$4,'Met Data'!$H$2:$M$368,G885,FALSE)*L885</f>
        <v>2.1393939393939299</v>
      </c>
      <c r="K885" s="98">
        <f ca="1">HLOOKUP($H$4,'Met Data'!$O$2:$T$368,G885,FALSE)</f>
        <v>1.2201388257180199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160</v>
      </c>
      <c r="H886" s="97">
        <f t="shared" ca="1" si="139"/>
        <v>46181</v>
      </c>
      <c r="I886" s="121">
        <f ca="1">HLOOKUP($H$4,'Met Data'!$A$2:$F$368,G886,FALSE)</f>
        <v>7.6151515151515099</v>
      </c>
      <c r="J886" s="119">
        <f ca="1">HLOOKUP($H$4,'Met Data'!$H$2:$M$368,G886,FALSE)*L886</f>
        <v>2.0727272727272701</v>
      </c>
      <c r="K886" s="98">
        <f ca="1">HLOOKUP($H$4,'Met Data'!$O$2:$T$368,G886,FALSE)</f>
        <v>1.26531828522689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161</v>
      </c>
      <c r="H887" s="97">
        <f t="shared" ca="1" si="139"/>
        <v>46182</v>
      </c>
      <c r="I887" s="121">
        <f ca="1">HLOOKUP($H$4,'Met Data'!$A$2:$F$368,G887,FALSE)</f>
        <v>7.8272727272727201</v>
      </c>
      <c r="J887" s="119">
        <f ca="1">HLOOKUP($H$4,'Met Data'!$H$2:$M$368,G887,FALSE)*L887</f>
        <v>1.4757575757575701</v>
      </c>
      <c r="K887" s="98">
        <f ca="1">HLOOKUP($H$4,'Met Data'!$O$2:$T$368,G887,FALSE)</f>
        <v>1.2369277599155599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162</v>
      </c>
      <c r="H888" s="97">
        <f t="shared" ca="1" si="139"/>
        <v>46183</v>
      </c>
      <c r="I888" s="121">
        <f ca="1">HLOOKUP($H$4,'Met Data'!$A$2:$F$368,G888,FALSE)</f>
        <v>7.8272727272727201</v>
      </c>
      <c r="J888" s="119">
        <f ca="1">HLOOKUP($H$4,'Met Data'!$H$2:$M$368,G888,FALSE)*L888</f>
        <v>1.8848484848484801</v>
      </c>
      <c r="K888" s="98">
        <f ca="1">HLOOKUP($H$4,'Met Data'!$O$2:$T$368,G888,FALSE)</f>
        <v>1.0943317227835101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163</v>
      </c>
      <c r="H889" s="97">
        <f t="shared" ca="1" si="139"/>
        <v>46184</v>
      </c>
      <c r="I889" s="121">
        <f ca="1">HLOOKUP($H$4,'Met Data'!$A$2:$F$368,G889,FALSE)</f>
        <v>7.6075757575757503</v>
      </c>
      <c r="J889" s="119">
        <f ca="1">HLOOKUP($H$4,'Met Data'!$H$2:$M$368,G889,FALSE)*L889</f>
        <v>1.28484848484848</v>
      </c>
      <c r="K889" s="98">
        <f ca="1">HLOOKUP($H$4,'Met Data'!$O$2:$T$368,G889,FALSE)</f>
        <v>1.2594125286590201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164</v>
      </c>
      <c r="H890" s="97">
        <f t="shared" ca="1" si="139"/>
        <v>46185</v>
      </c>
      <c r="I890" s="121">
        <f ca="1">HLOOKUP($H$4,'Met Data'!$A$2:$F$368,G890,FALSE)</f>
        <v>7.7030303030302996</v>
      </c>
      <c r="J890" s="119">
        <f ca="1">HLOOKUP($H$4,'Met Data'!$H$2:$M$368,G890,FALSE)*L890</f>
        <v>3.9121212121212099</v>
      </c>
      <c r="K890" s="98">
        <f ca="1">HLOOKUP($H$4,'Met Data'!$O$2:$T$368,G890,FALSE)</f>
        <v>1.3128498286819099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165</v>
      </c>
      <c r="H891" s="97">
        <f t="shared" ca="1" si="139"/>
        <v>46186</v>
      </c>
      <c r="I891" s="121">
        <f ca="1">HLOOKUP($H$4,'Met Data'!$A$2:$F$368,G891,FALSE)</f>
        <v>6.8681818181818102</v>
      </c>
      <c r="J891" s="119">
        <f ca="1">HLOOKUP($H$4,'Met Data'!$H$2:$M$368,G891,FALSE)*L891</f>
        <v>2.0303030303030298</v>
      </c>
      <c r="K891" s="98">
        <f ca="1">HLOOKUP($H$4,'Met Data'!$O$2:$T$368,G891,FALSE)</f>
        <v>1.1474480520873001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166</v>
      </c>
      <c r="H892" s="97">
        <f t="shared" ca="1" si="139"/>
        <v>46187</v>
      </c>
      <c r="I892" s="121">
        <f ca="1">HLOOKUP($H$4,'Met Data'!$A$2:$F$368,G892,FALSE)</f>
        <v>7.2318181818181797</v>
      </c>
      <c r="J892" s="119">
        <f ca="1">HLOOKUP($H$4,'Met Data'!$H$2:$M$368,G892,FALSE)*L892</f>
        <v>1.5575757575757501</v>
      </c>
      <c r="K892" s="98">
        <f ca="1">HLOOKUP($H$4,'Met Data'!$O$2:$T$368,G892,FALSE)</f>
        <v>1.2613045443409601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167</v>
      </c>
      <c r="H893" s="97">
        <f t="shared" ca="1" si="139"/>
        <v>46188</v>
      </c>
      <c r="I893" s="121">
        <f ca="1">HLOOKUP($H$4,'Met Data'!$A$2:$F$368,G893,FALSE)</f>
        <v>7.3390624999999998</v>
      </c>
      <c r="J893" s="119">
        <f ca="1">HLOOKUP($H$4,'Met Data'!$H$2:$M$368,G893,FALSE)*L893</f>
        <v>3.41818181818181</v>
      </c>
      <c r="K893" s="98">
        <f ca="1">HLOOKUP($H$4,'Met Data'!$O$2:$T$368,G893,FALSE)</f>
        <v>1.17147222127628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168</v>
      </c>
      <c r="H894" s="97">
        <f t="shared" ca="1" si="139"/>
        <v>46189</v>
      </c>
      <c r="I894" s="121">
        <f ca="1">HLOOKUP($H$4,'Met Data'!$A$2:$F$368,G894,FALSE)</f>
        <v>6.6624999999999996</v>
      </c>
      <c r="J894" s="119">
        <f ca="1">HLOOKUP($H$4,'Met Data'!$H$2:$M$368,G894,FALSE)*L894</f>
        <v>2.5727272727272701</v>
      </c>
      <c r="K894" s="98">
        <f ca="1">HLOOKUP($H$4,'Met Data'!$O$2:$T$368,G894,FALSE)</f>
        <v>1.0572111213197799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169</v>
      </c>
      <c r="H895" s="97">
        <f t="shared" ca="1" si="139"/>
        <v>46190</v>
      </c>
      <c r="I895" s="121">
        <f ca="1">HLOOKUP($H$4,'Met Data'!$A$2:$F$368,G895,FALSE)</f>
        <v>6.015625</v>
      </c>
      <c r="J895" s="119">
        <f ca="1">HLOOKUP($H$4,'Met Data'!$H$2:$M$368,G895,FALSE)*L895</f>
        <v>3.0060606060606001</v>
      </c>
      <c r="K895" s="98">
        <f ca="1">HLOOKUP($H$4,'Met Data'!$O$2:$T$368,G895,FALSE)</f>
        <v>1.0716644953435599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170</v>
      </c>
      <c r="H896" s="97">
        <f t="shared" ca="1" si="139"/>
        <v>46191</v>
      </c>
      <c r="I896" s="121">
        <f ca="1">HLOOKUP($H$4,'Met Data'!$A$2:$F$368,G896,FALSE)</f>
        <v>6.4772727272727204</v>
      </c>
      <c r="J896" s="119">
        <f ca="1">HLOOKUP($H$4,'Met Data'!$H$2:$M$368,G896,FALSE)*L896</f>
        <v>2.2727272727272698</v>
      </c>
      <c r="K896" s="98">
        <f ca="1">HLOOKUP($H$4,'Met Data'!$O$2:$T$368,G896,FALSE)</f>
        <v>1.12776465530811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171</v>
      </c>
      <c r="H897" s="97">
        <f t="shared" ca="1" si="139"/>
        <v>46192</v>
      </c>
      <c r="I897" s="121">
        <f ca="1">HLOOKUP($H$4,'Met Data'!$A$2:$F$368,G897,FALSE)</f>
        <v>6.3803030303030299</v>
      </c>
      <c r="J897" s="119">
        <f ca="1">HLOOKUP($H$4,'Met Data'!$H$2:$M$368,G897,FALSE)*L897</f>
        <v>2.1939393939393899</v>
      </c>
      <c r="K897" s="98">
        <f ca="1">HLOOKUP($H$4,'Met Data'!$O$2:$T$368,G897,FALSE)</f>
        <v>1.1020204232536399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172</v>
      </c>
      <c r="H898" s="97">
        <f t="shared" ca="1" si="139"/>
        <v>46193</v>
      </c>
      <c r="I898" s="121">
        <f ca="1">HLOOKUP($H$4,'Met Data'!$A$2:$F$368,G898,FALSE)</f>
        <v>6.4439393939393899</v>
      </c>
      <c r="J898" s="119">
        <f ca="1">HLOOKUP($H$4,'Met Data'!$H$2:$M$368,G898,FALSE)*L898</f>
        <v>2.1121212121212101</v>
      </c>
      <c r="K898" s="98">
        <f ca="1">HLOOKUP($H$4,'Met Data'!$O$2:$T$368,G898,FALSE)</f>
        <v>1.0991176814324299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173</v>
      </c>
      <c r="H899" s="97">
        <f t="shared" ca="1" si="139"/>
        <v>46194</v>
      </c>
      <c r="I899" s="121">
        <f ca="1">HLOOKUP($H$4,'Met Data'!$A$2:$F$368,G899,FALSE)</f>
        <v>6.5606060606060597</v>
      </c>
      <c r="J899" s="119">
        <f ca="1">HLOOKUP($H$4,'Met Data'!$H$2:$M$368,G899,FALSE)*L899</f>
        <v>2.0333333333333301</v>
      </c>
      <c r="K899" s="98">
        <f ca="1">HLOOKUP($H$4,'Met Data'!$O$2:$T$368,G899,FALSE)</f>
        <v>1.06265243044536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174</v>
      </c>
      <c r="H900" s="97">
        <f t="shared" ca="1" si="139"/>
        <v>46195</v>
      </c>
      <c r="I900" s="121">
        <f ca="1">HLOOKUP($H$4,'Met Data'!$A$2:$F$368,G900,FALSE)</f>
        <v>6.1424242424242399</v>
      </c>
      <c r="J900" s="119">
        <f ca="1">HLOOKUP($H$4,'Met Data'!$H$2:$M$368,G900,FALSE)*L900</f>
        <v>2.0939393939393902</v>
      </c>
      <c r="K900" s="98">
        <f ca="1">HLOOKUP($H$4,'Met Data'!$O$2:$T$368,G900,FALSE)</f>
        <v>1.01861486176599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175</v>
      </c>
      <c r="H901" s="97">
        <f t="shared" ca="1" si="139"/>
        <v>46196</v>
      </c>
      <c r="I901" s="121">
        <f ca="1">HLOOKUP($H$4,'Met Data'!$A$2:$F$368,G901,FALSE)</f>
        <v>6.20757575757575</v>
      </c>
      <c r="J901" s="119">
        <f ca="1">HLOOKUP($H$4,'Met Data'!$H$2:$M$368,G901,FALSE)*L901</f>
        <v>1.41818181818181</v>
      </c>
      <c r="K901" s="98">
        <f ca="1">HLOOKUP($H$4,'Met Data'!$O$2:$T$368,G901,FALSE)</f>
        <v>1.17304690631908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176</v>
      </c>
      <c r="H902" s="97">
        <f t="shared" ca="1" si="139"/>
        <v>46197</v>
      </c>
      <c r="I902" s="121">
        <f ca="1">HLOOKUP($H$4,'Met Data'!$A$2:$F$368,G902,FALSE)</f>
        <v>6.5106060606060598</v>
      </c>
      <c r="J902" s="119">
        <f ca="1">HLOOKUP($H$4,'Met Data'!$H$2:$M$368,G902,FALSE)*L902</f>
        <v>1.78484848484848</v>
      </c>
      <c r="K902" s="98">
        <f ca="1">HLOOKUP($H$4,'Met Data'!$O$2:$T$368,G902,FALSE)</f>
        <v>1.05340987186552</v>
      </c>
      <c r="L902">
        <f t="shared" ref="L902:L965" ca="1" si="148">IF(H902&lt;$B$31,$J$3,$J$4)</f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177</v>
      </c>
      <c r="H903" s="97">
        <f t="shared" ca="1" si="139"/>
        <v>46198</v>
      </c>
      <c r="I903" s="121">
        <f ca="1">HLOOKUP($H$4,'Met Data'!$A$2:$F$368,G903,FALSE)</f>
        <v>6.4439393939393899</v>
      </c>
      <c r="J903" s="119">
        <f ca="1">HLOOKUP($H$4,'Met Data'!$H$2:$M$368,G903,FALSE)*L903</f>
        <v>1.4909090909090901</v>
      </c>
      <c r="K903" s="98">
        <f ca="1">HLOOKUP($H$4,'Met Data'!$O$2:$T$368,G903,FALSE)</f>
        <v>1.1237466528878399</v>
      </c>
      <c r="L903">
        <f t="shared" ca="1" si="148"/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178</v>
      </c>
      <c r="H904" s="97">
        <f t="shared" ref="H904:H967" ca="1" si="149">H903+1</f>
        <v>46199</v>
      </c>
      <c r="I904" s="121">
        <f ca="1">HLOOKUP($H$4,'Met Data'!$A$2:$F$368,G904,FALSE)</f>
        <v>6.6909090909090896</v>
      </c>
      <c r="J904" s="119">
        <f ca="1">HLOOKUP($H$4,'Met Data'!$H$2:$M$368,G904,FALSE)*L904</f>
        <v>1.3090909090909</v>
      </c>
      <c r="K904" s="98">
        <f ca="1">HLOOKUP($H$4,'Met Data'!$O$2:$T$368,G904,FALSE)</f>
        <v>1.1592232631741799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179</v>
      </c>
      <c r="H905" s="97">
        <f t="shared" ca="1" si="149"/>
        <v>46200</v>
      </c>
      <c r="I905" s="121">
        <f ca="1">HLOOKUP($H$4,'Met Data'!$A$2:$F$368,G905,FALSE)</f>
        <v>6.1848484848484802</v>
      </c>
      <c r="J905" s="119">
        <f ca="1">HLOOKUP($H$4,'Met Data'!$H$2:$M$368,G905,FALSE)*L905</f>
        <v>1.8060606060605999</v>
      </c>
      <c r="K905" s="98">
        <f ca="1">HLOOKUP($H$4,'Met Data'!$O$2:$T$368,G905,FALSE)</f>
        <v>1.0801233950998499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180</v>
      </c>
      <c r="H906" s="97">
        <f t="shared" ca="1" si="149"/>
        <v>46201</v>
      </c>
      <c r="I906" s="121">
        <f ca="1">HLOOKUP($H$4,'Met Data'!$A$2:$F$368,G906,FALSE)</f>
        <v>5.9242424242424203</v>
      </c>
      <c r="J906" s="119">
        <f ca="1">HLOOKUP($H$4,'Met Data'!$H$2:$M$368,G906,FALSE)*L906</f>
        <v>1.7121212121212099</v>
      </c>
      <c r="K906" s="98">
        <f ca="1">HLOOKUP($H$4,'Met Data'!$O$2:$T$368,G906,FALSE)</f>
        <v>1.01058351362291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181</v>
      </c>
      <c r="H907" s="97">
        <f t="shared" ca="1" si="149"/>
        <v>46202</v>
      </c>
      <c r="I907" s="121">
        <f ca="1">HLOOKUP($H$4,'Met Data'!$A$2:$F$368,G907,FALSE)</f>
        <v>6.1499999999999897</v>
      </c>
      <c r="J907" s="119">
        <f ca="1">HLOOKUP($H$4,'Met Data'!$H$2:$M$368,G907,FALSE)*L907</f>
        <v>3.14848484848484</v>
      </c>
      <c r="K907" s="98">
        <f ca="1">HLOOKUP($H$4,'Met Data'!$O$2:$T$368,G907,FALSE)</f>
        <v>1.0356452508213501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182</v>
      </c>
      <c r="H908" s="97">
        <f t="shared" ca="1" si="149"/>
        <v>46203</v>
      </c>
      <c r="I908" s="121">
        <f ca="1">HLOOKUP($H$4,'Met Data'!$A$2:$F$368,G908,FALSE)</f>
        <v>6.4909090909090903</v>
      </c>
      <c r="J908" s="119">
        <f ca="1">HLOOKUP($H$4,'Met Data'!$H$2:$M$368,G908,FALSE)*L908</f>
        <v>2.17575757575757</v>
      </c>
      <c r="K908" s="98">
        <f ca="1">HLOOKUP($H$4,'Met Data'!$O$2:$T$368,G908,FALSE)</f>
        <v>1.2161265984409499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183</v>
      </c>
      <c r="H909" s="97">
        <f t="shared" ca="1" si="149"/>
        <v>46204</v>
      </c>
      <c r="I909" s="121">
        <f ca="1">HLOOKUP($H$4,'Met Data'!$A$2:$F$368,G909,FALSE)</f>
        <v>5.80151515151515</v>
      </c>
      <c r="J909" s="119">
        <f ca="1">HLOOKUP($H$4,'Met Data'!$H$2:$M$368,G909,FALSE)*L909</f>
        <v>1.3575757575757501</v>
      </c>
      <c r="K909" s="98">
        <f ca="1">HLOOKUP($H$4,'Met Data'!$O$2:$T$368,G909,FALSE)</f>
        <v>1.0914719035015701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184</v>
      </c>
      <c r="H910" s="97">
        <f t="shared" ca="1" si="149"/>
        <v>46205</v>
      </c>
      <c r="I910" s="121">
        <f ca="1">HLOOKUP($H$4,'Met Data'!$A$2:$F$368,G910,FALSE)</f>
        <v>5.4696969696969697</v>
      </c>
      <c r="J910" s="119">
        <f ca="1">HLOOKUP($H$4,'Met Data'!$H$2:$M$368,G910,FALSE)*L910</f>
        <v>1.66363636363636</v>
      </c>
      <c r="K910" s="98">
        <f ca="1">HLOOKUP($H$4,'Met Data'!$O$2:$T$368,G910,FALSE)</f>
        <v>1.0977706117478601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185</v>
      </c>
      <c r="H911" s="97">
        <f t="shared" ca="1" si="149"/>
        <v>46206</v>
      </c>
      <c r="I911" s="121">
        <f ca="1">HLOOKUP($H$4,'Met Data'!$A$2:$F$368,G911,FALSE)</f>
        <v>6.01212121212121</v>
      </c>
      <c r="J911" s="119">
        <f ca="1">HLOOKUP($H$4,'Met Data'!$H$2:$M$368,G911,FALSE)*L911</f>
        <v>1.73030303030303</v>
      </c>
      <c r="K911" s="98">
        <f ca="1">HLOOKUP($H$4,'Met Data'!$O$2:$T$368,G911,FALSE)</f>
        <v>1.17483894696367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186</v>
      </c>
      <c r="H912" s="97">
        <f t="shared" ca="1" si="149"/>
        <v>46207</v>
      </c>
      <c r="I912" s="121">
        <f ca="1">HLOOKUP($H$4,'Met Data'!$A$2:$F$368,G912,FALSE)</f>
        <v>6.2727272727272698</v>
      </c>
      <c r="J912" s="119">
        <f ca="1">HLOOKUP($H$4,'Met Data'!$H$2:$M$368,G912,FALSE)*L912</f>
        <v>1.39393939393939</v>
      </c>
      <c r="K912" s="98">
        <f ca="1">HLOOKUP($H$4,'Met Data'!$O$2:$T$368,G912,FALSE)</f>
        <v>1.1350548695748499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187</v>
      </c>
      <c r="H913" s="97">
        <f t="shared" ca="1" si="149"/>
        <v>46208</v>
      </c>
      <c r="I913" s="121">
        <f ca="1">HLOOKUP($H$4,'Met Data'!$A$2:$F$368,G913,FALSE)</f>
        <v>6.5393939393939302</v>
      </c>
      <c r="J913" s="119">
        <f ca="1">HLOOKUP($H$4,'Met Data'!$H$2:$M$368,G913,FALSE)*L913</f>
        <v>1.2030303030303</v>
      </c>
      <c r="K913" s="98">
        <f ca="1">HLOOKUP($H$4,'Met Data'!$O$2:$T$368,G913,FALSE)</f>
        <v>1.3082124240908799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188</v>
      </c>
      <c r="H914" s="97">
        <f t="shared" ca="1" si="149"/>
        <v>46209</v>
      </c>
      <c r="I914" s="121">
        <f ca="1">HLOOKUP($H$4,'Met Data'!$A$2:$F$368,G914,FALSE)</f>
        <v>6.3272727272727201</v>
      </c>
      <c r="J914" s="119">
        <f ca="1">HLOOKUP($H$4,'Met Data'!$H$2:$M$368,G914,FALSE)*L914</f>
        <v>3.2515151515151501</v>
      </c>
      <c r="K914" s="98">
        <f ca="1">HLOOKUP($H$4,'Met Data'!$O$2:$T$368,G914,FALSE)</f>
        <v>1.1532462604149001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189</v>
      </c>
      <c r="H915" s="97">
        <f t="shared" ca="1" si="149"/>
        <v>46210</v>
      </c>
      <c r="I915" s="121">
        <f ca="1">HLOOKUP($H$4,'Met Data'!$A$2:$F$368,G915,FALSE)</f>
        <v>5.5742424242424198</v>
      </c>
      <c r="J915" s="119">
        <f ca="1">HLOOKUP($H$4,'Met Data'!$H$2:$M$368,G915,FALSE)*L915</f>
        <v>1.1151515151515099</v>
      </c>
      <c r="K915" s="98">
        <f ca="1">HLOOKUP($H$4,'Met Data'!$O$2:$T$368,G915,FALSE)</f>
        <v>1.1860865780805001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190</v>
      </c>
      <c r="H916" s="97">
        <f t="shared" ca="1" si="149"/>
        <v>46211</v>
      </c>
      <c r="I916" s="121">
        <f ca="1">HLOOKUP($H$4,'Met Data'!$A$2:$F$368,G916,FALSE)</f>
        <v>5.2243939393939298</v>
      </c>
      <c r="J916" s="119">
        <f ca="1">HLOOKUP($H$4,'Met Data'!$H$2:$M$368,G916,FALSE)*L916</f>
        <v>1.7878787878787801</v>
      </c>
      <c r="K916" s="98">
        <f ca="1">HLOOKUP($H$4,'Met Data'!$O$2:$T$368,G916,FALSE)</f>
        <v>1.0756170169258299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191</v>
      </c>
      <c r="H917" s="97">
        <f t="shared" ca="1" si="149"/>
        <v>46212</v>
      </c>
      <c r="I917" s="121">
        <f ca="1">HLOOKUP($H$4,'Met Data'!$A$2:$F$368,G917,FALSE)</f>
        <v>5.4590909090909001</v>
      </c>
      <c r="J917" s="119">
        <f ca="1">HLOOKUP($H$4,'Met Data'!$H$2:$M$368,G917,FALSE)*L917</f>
        <v>1.32424242424242</v>
      </c>
      <c r="K917" s="98">
        <f ca="1">HLOOKUP($H$4,'Met Data'!$O$2:$T$368,G917,FALSE)</f>
        <v>1.1571191090080499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192</v>
      </c>
      <c r="H918" s="97">
        <f t="shared" ca="1" si="149"/>
        <v>46213</v>
      </c>
      <c r="I918" s="121">
        <f ca="1">HLOOKUP($H$4,'Met Data'!$A$2:$F$368,G918,FALSE)</f>
        <v>5.67121212121212</v>
      </c>
      <c r="J918" s="119">
        <f ca="1">HLOOKUP($H$4,'Met Data'!$H$2:$M$368,G918,FALSE)*L918</f>
        <v>1.1303030303030299</v>
      </c>
      <c r="K918" s="98">
        <f ca="1">HLOOKUP($H$4,'Met Data'!$O$2:$T$368,G918,FALSE)</f>
        <v>1.1823583053236399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193</v>
      </c>
      <c r="H919" s="97">
        <f t="shared" ca="1" si="149"/>
        <v>46214</v>
      </c>
      <c r="I919" s="121">
        <f ca="1">HLOOKUP($H$4,'Met Data'!$A$2:$F$368,G919,FALSE)</f>
        <v>5.5803030303030301</v>
      </c>
      <c r="J919" s="119">
        <f ca="1">HLOOKUP($H$4,'Met Data'!$H$2:$M$368,G919,FALSE)*L919</f>
        <v>1.71818181818181</v>
      </c>
      <c r="K919" s="98">
        <f ca="1">HLOOKUP($H$4,'Met Data'!$O$2:$T$368,G919,FALSE)</f>
        <v>1.1413084648267999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194</v>
      </c>
      <c r="H920" s="97">
        <f t="shared" ca="1" si="149"/>
        <v>46215</v>
      </c>
      <c r="I920" s="121">
        <f ca="1">HLOOKUP($H$4,'Met Data'!$A$2:$F$368,G920,FALSE)</f>
        <v>5.8181818181818103</v>
      </c>
      <c r="J920" s="119">
        <f ca="1">HLOOKUP($H$4,'Met Data'!$H$2:$M$368,G920,FALSE)*L920</f>
        <v>1.27272727272727</v>
      </c>
      <c r="K920" s="98">
        <f ca="1">HLOOKUP($H$4,'Met Data'!$O$2:$T$368,G920,FALSE)</f>
        <v>1.2366027185060899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195</v>
      </c>
      <c r="H921" s="97">
        <f t="shared" ca="1" si="149"/>
        <v>46216</v>
      </c>
      <c r="I921" s="121">
        <f ca="1">HLOOKUP($H$4,'Met Data'!$A$2:$F$368,G921,FALSE)</f>
        <v>5.8984848484848396</v>
      </c>
      <c r="J921" s="119">
        <f ca="1">HLOOKUP($H$4,'Met Data'!$H$2:$M$368,G921,FALSE)*L921</f>
        <v>1.44545454545454</v>
      </c>
      <c r="K921" s="98">
        <f ca="1">HLOOKUP($H$4,'Met Data'!$O$2:$T$368,G921,FALSE)</f>
        <v>1.20462827119224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196</v>
      </c>
      <c r="H922" s="97">
        <f t="shared" ca="1" si="149"/>
        <v>46217</v>
      </c>
      <c r="I922" s="121">
        <f ca="1">HLOOKUP($H$4,'Met Data'!$A$2:$F$368,G922,FALSE)</f>
        <v>6.1590909090909003</v>
      </c>
      <c r="J922" s="119">
        <f ca="1">HLOOKUP($H$4,'Met Data'!$H$2:$M$368,G922,FALSE)*L922</f>
        <v>0.93333333333333302</v>
      </c>
      <c r="K922" s="98">
        <f ca="1">HLOOKUP($H$4,'Met Data'!$O$2:$T$368,G922,FALSE)</f>
        <v>1.08107866384151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197</v>
      </c>
      <c r="H923" s="97">
        <f t="shared" ca="1" si="149"/>
        <v>46218</v>
      </c>
      <c r="I923" s="121">
        <f ca="1">HLOOKUP($H$4,'Met Data'!$A$2:$F$368,G923,FALSE)</f>
        <v>5.8606060606060604</v>
      </c>
      <c r="J923" s="119">
        <f ca="1">HLOOKUP($H$4,'Met Data'!$H$2:$M$368,G923,FALSE)*L923</f>
        <v>0.95454545454545403</v>
      </c>
      <c r="K923" s="98">
        <f ca="1">HLOOKUP($H$4,'Met Data'!$O$2:$T$368,G923,FALSE)</f>
        <v>1.0543699556166799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198</v>
      </c>
      <c r="H924" s="97">
        <f t="shared" ca="1" si="149"/>
        <v>46219</v>
      </c>
      <c r="I924" s="121">
        <f ca="1">HLOOKUP($H$4,'Met Data'!$A$2:$F$368,G924,FALSE)</f>
        <v>6.3318181818181802</v>
      </c>
      <c r="J924" s="119">
        <f ca="1">HLOOKUP($H$4,'Met Data'!$H$2:$M$368,G924,FALSE)*L924</f>
        <v>1.9030303030303</v>
      </c>
      <c r="K924" s="98">
        <f ca="1">HLOOKUP($H$4,'Met Data'!$O$2:$T$368,G924,FALSE)</f>
        <v>1.0854702771695099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199</v>
      </c>
      <c r="H925" s="97">
        <f t="shared" ca="1" si="149"/>
        <v>46220</v>
      </c>
      <c r="I925" s="121">
        <f ca="1">HLOOKUP($H$4,'Met Data'!$A$2:$F$368,G925,FALSE)</f>
        <v>6.4424242424242397</v>
      </c>
      <c r="J925" s="119">
        <f ca="1">HLOOKUP($H$4,'Met Data'!$H$2:$M$368,G925,FALSE)*L925</f>
        <v>2.3454545454545399</v>
      </c>
      <c r="K925" s="98">
        <f ca="1">HLOOKUP($H$4,'Met Data'!$O$2:$T$368,G925,FALSE)</f>
        <v>0.98557119798157899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200</v>
      </c>
      <c r="H926" s="97">
        <f t="shared" ca="1" si="149"/>
        <v>46221</v>
      </c>
      <c r="I926" s="121">
        <f ca="1">HLOOKUP($H$4,'Met Data'!$A$2:$F$368,G926,FALSE)</f>
        <v>6.3242424242424198</v>
      </c>
      <c r="J926" s="119">
        <f ca="1">HLOOKUP($H$4,'Met Data'!$H$2:$M$368,G926,FALSE)*L926</f>
        <v>3.6</v>
      </c>
      <c r="K926" s="98">
        <f ca="1">HLOOKUP($H$4,'Met Data'!$O$2:$T$368,G926,FALSE)</f>
        <v>1.0101770597585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201</v>
      </c>
      <c r="H927" s="97">
        <f t="shared" ca="1" si="149"/>
        <v>46222</v>
      </c>
      <c r="I927" s="121">
        <f ca="1">HLOOKUP($H$4,'Met Data'!$A$2:$F$368,G927,FALSE)</f>
        <v>6.5333333333333297</v>
      </c>
      <c r="J927" s="119">
        <f ca="1">HLOOKUP($H$4,'Met Data'!$H$2:$M$368,G927,FALSE)*L927</f>
        <v>1.92121212121212</v>
      </c>
      <c r="K927" s="98">
        <f ca="1">HLOOKUP($H$4,'Met Data'!$O$2:$T$368,G927,FALSE)</f>
        <v>1.0019139083521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202</v>
      </c>
      <c r="H928" s="97">
        <f t="shared" ca="1" si="149"/>
        <v>46223</v>
      </c>
      <c r="I928" s="121">
        <f ca="1">HLOOKUP($H$4,'Met Data'!$A$2:$F$368,G928,FALSE)</f>
        <v>6.70757575757575</v>
      </c>
      <c r="J928" s="119">
        <f ca="1">HLOOKUP($H$4,'Met Data'!$H$2:$M$368,G928,FALSE)*L928</f>
        <v>1.76969696969696</v>
      </c>
      <c r="K928" s="98">
        <f ca="1">HLOOKUP($H$4,'Met Data'!$O$2:$T$368,G928,FALSE)</f>
        <v>1.1757544824616699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203</v>
      </c>
      <c r="H929" s="97">
        <f t="shared" ca="1" si="149"/>
        <v>46224</v>
      </c>
      <c r="I929" s="121">
        <f ca="1">HLOOKUP($H$4,'Met Data'!$A$2:$F$368,G929,FALSE)</f>
        <v>6.2909090909090901</v>
      </c>
      <c r="J929" s="119">
        <f ca="1">HLOOKUP($H$4,'Met Data'!$H$2:$M$368,G929,FALSE)*L929</f>
        <v>2.1</v>
      </c>
      <c r="K929" s="98">
        <f ca="1">HLOOKUP($H$4,'Met Data'!$O$2:$T$368,G929,FALSE)</f>
        <v>1.0943315234208899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204</v>
      </c>
      <c r="H930" s="97">
        <f t="shared" ca="1" si="149"/>
        <v>46225</v>
      </c>
      <c r="I930" s="121">
        <f ca="1">HLOOKUP($H$4,'Met Data'!$A$2:$F$368,G930,FALSE)</f>
        <v>6.5757575757575699</v>
      </c>
      <c r="J930" s="119">
        <f ca="1">HLOOKUP($H$4,'Met Data'!$H$2:$M$368,G930,FALSE)*L930</f>
        <v>2.55151515151515</v>
      </c>
      <c r="K930" s="98">
        <f ca="1">HLOOKUP($H$4,'Met Data'!$O$2:$T$368,G930,FALSE)</f>
        <v>1.2263410572015001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205</v>
      </c>
      <c r="H931" s="97">
        <f t="shared" ca="1" si="149"/>
        <v>46226</v>
      </c>
      <c r="I931" s="121">
        <f ca="1">HLOOKUP($H$4,'Met Data'!$A$2:$F$368,G931,FALSE)</f>
        <v>6.8424242424242401</v>
      </c>
      <c r="J931" s="119">
        <f ca="1">HLOOKUP($H$4,'Met Data'!$H$2:$M$368,G931,FALSE)*L931</f>
        <v>0.84545454545454501</v>
      </c>
      <c r="K931" s="98">
        <f ca="1">HLOOKUP($H$4,'Met Data'!$O$2:$T$368,G931,FALSE)</f>
        <v>1.3752263361541199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206</v>
      </c>
      <c r="H932" s="97">
        <f t="shared" ca="1" si="149"/>
        <v>46227</v>
      </c>
      <c r="I932" s="121">
        <f ca="1">HLOOKUP($H$4,'Met Data'!$A$2:$F$368,G932,FALSE)</f>
        <v>6.7236363636363601</v>
      </c>
      <c r="J932" s="119">
        <f ca="1">HLOOKUP($H$4,'Met Data'!$H$2:$M$368,G932,FALSE)*L932</f>
        <v>0.62727272727272698</v>
      </c>
      <c r="K932" s="98">
        <f ca="1">HLOOKUP($H$4,'Met Data'!$O$2:$T$368,G932,FALSE)</f>
        <v>1.3244433723498701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207</v>
      </c>
      <c r="H933" s="97">
        <f t="shared" ca="1" si="149"/>
        <v>46228</v>
      </c>
      <c r="I933" s="121">
        <f ca="1">HLOOKUP($H$4,'Met Data'!$A$2:$F$368,G933,FALSE)</f>
        <v>6.8075757575757496</v>
      </c>
      <c r="J933" s="119">
        <f ca="1">HLOOKUP($H$4,'Met Data'!$H$2:$M$368,G933,FALSE)*L933</f>
        <v>2.63636363636363</v>
      </c>
      <c r="K933" s="98">
        <f ca="1">HLOOKUP($H$4,'Met Data'!$O$2:$T$368,G933,FALSE)</f>
        <v>1.44760057498724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208</v>
      </c>
      <c r="H934" s="97">
        <f t="shared" ca="1" si="149"/>
        <v>46229</v>
      </c>
      <c r="I934" s="121">
        <f ca="1">HLOOKUP($H$4,'Met Data'!$A$2:$F$368,G934,FALSE)</f>
        <v>6.7636363636363601</v>
      </c>
      <c r="J934" s="119">
        <f ca="1">HLOOKUP($H$4,'Met Data'!$H$2:$M$368,G934,FALSE)*L934</f>
        <v>1.49696969696969</v>
      </c>
      <c r="K934" s="98">
        <f ca="1">HLOOKUP($H$4,'Met Data'!$O$2:$T$368,G934,FALSE)</f>
        <v>1.60850212631903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209</v>
      </c>
      <c r="H935" s="97">
        <f t="shared" ca="1" si="149"/>
        <v>46230</v>
      </c>
      <c r="I935" s="121">
        <f ca="1">HLOOKUP($H$4,'Met Data'!$A$2:$F$368,G935,FALSE)</f>
        <v>7.0954545454545404</v>
      </c>
      <c r="J935" s="119">
        <f ca="1">HLOOKUP($H$4,'Met Data'!$H$2:$M$368,G935,FALSE)*L935</f>
        <v>2.4303030303030302</v>
      </c>
      <c r="K935" s="98">
        <f ca="1">HLOOKUP($H$4,'Met Data'!$O$2:$T$368,G935,FALSE)</f>
        <v>1.55883335001025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210</v>
      </c>
      <c r="H936" s="97">
        <f t="shared" ca="1" si="149"/>
        <v>46231</v>
      </c>
      <c r="I936" s="121">
        <f ca="1">HLOOKUP($H$4,'Met Data'!$A$2:$F$368,G936,FALSE)</f>
        <v>7.0287878787878704</v>
      </c>
      <c r="J936" s="119">
        <f ca="1">HLOOKUP($H$4,'Met Data'!$H$2:$M$368,G936,FALSE)*L936</f>
        <v>0.79090909090909101</v>
      </c>
      <c r="K936" s="98">
        <f ca="1">HLOOKUP($H$4,'Met Data'!$O$2:$T$368,G936,FALSE)</f>
        <v>1.4832490994765199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211</v>
      </c>
      <c r="H937" s="97">
        <f t="shared" ca="1" si="149"/>
        <v>46232</v>
      </c>
      <c r="I937" s="121">
        <f ca="1">HLOOKUP($H$4,'Met Data'!$A$2:$F$368,G937,FALSE)</f>
        <v>7.4492424242424198</v>
      </c>
      <c r="J937" s="119">
        <f ca="1">HLOOKUP($H$4,'Met Data'!$H$2:$M$368,G937,FALSE)*L937</f>
        <v>0.79696969696969699</v>
      </c>
      <c r="K937" s="98">
        <f ca="1">HLOOKUP($H$4,'Met Data'!$O$2:$T$368,G937,FALSE)</f>
        <v>1.5379059871907199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212</v>
      </c>
      <c r="H938" s="97">
        <f t="shared" ca="1" si="149"/>
        <v>46233</v>
      </c>
      <c r="I938" s="121">
        <f ca="1">HLOOKUP($H$4,'Met Data'!$A$2:$F$368,G938,FALSE)</f>
        <v>6.8409090909090899</v>
      </c>
      <c r="J938" s="119">
        <f ca="1">HLOOKUP($H$4,'Met Data'!$H$2:$M$368,G938,FALSE)*L938</f>
        <v>1.59393939393939</v>
      </c>
      <c r="K938" s="98">
        <f ca="1">HLOOKUP($H$4,'Met Data'!$O$2:$T$368,G938,FALSE)</f>
        <v>1.61262260286068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213</v>
      </c>
      <c r="H939" s="97">
        <f t="shared" ca="1" si="149"/>
        <v>46234</v>
      </c>
      <c r="I939" s="121">
        <f ca="1">HLOOKUP($H$4,'Met Data'!$A$2:$F$368,G939,FALSE)</f>
        <v>7.1918181818181797</v>
      </c>
      <c r="J939" s="119">
        <f ca="1">HLOOKUP($H$4,'Met Data'!$H$2:$M$368,G939,FALSE)*L939</f>
        <v>0.86060606060606004</v>
      </c>
      <c r="K939" s="98">
        <f ca="1">HLOOKUP($H$4,'Met Data'!$O$2:$T$368,G939,FALSE)</f>
        <v>1.7014054560095799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214</v>
      </c>
      <c r="H940" s="97">
        <f t="shared" ca="1" si="149"/>
        <v>46235</v>
      </c>
      <c r="I940" s="121">
        <f ca="1">HLOOKUP($H$4,'Met Data'!$A$2:$F$368,G940,FALSE)</f>
        <v>7.4148484848484797</v>
      </c>
      <c r="J940" s="119">
        <f ca="1">HLOOKUP($H$4,'Met Data'!$H$2:$M$368,G940,FALSE)*L940</f>
        <v>1.7787878787878699</v>
      </c>
      <c r="K940" s="98">
        <f ca="1">HLOOKUP($H$4,'Met Data'!$O$2:$T$368,G940,FALSE)</f>
        <v>1.57863389711225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215</v>
      </c>
      <c r="H941" s="97">
        <f t="shared" ca="1" si="149"/>
        <v>46236</v>
      </c>
      <c r="I941" s="121">
        <f ca="1">HLOOKUP($H$4,'Met Data'!$A$2:$F$368,G941,FALSE)</f>
        <v>7.1409090909090898</v>
      </c>
      <c r="J941" s="119">
        <f ca="1">HLOOKUP($H$4,'Met Data'!$H$2:$M$368,G941,FALSE)*L941</f>
        <v>1.47272727272727</v>
      </c>
      <c r="K941" s="98">
        <f ca="1">HLOOKUP($H$4,'Met Data'!$O$2:$T$368,G941,FALSE)</f>
        <v>1.5098843625253899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216</v>
      </c>
      <c r="H942" s="97">
        <f t="shared" ca="1" si="149"/>
        <v>46237</v>
      </c>
      <c r="I942" s="121">
        <f ca="1">HLOOKUP($H$4,'Met Data'!$A$2:$F$368,G942,FALSE)</f>
        <v>6.7681818181818096</v>
      </c>
      <c r="J942" s="119">
        <f ca="1">HLOOKUP($H$4,'Met Data'!$H$2:$M$368,G942,FALSE)*L942</f>
        <v>0.76666666666666605</v>
      </c>
      <c r="K942" s="98">
        <f ca="1">HLOOKUP($H$4,'Met Data'!$O$2:$T$368,G942,FALSE)</f>
        <v>1.28491883482887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217</v>
      </c>
      <c r="H943" s="97">
        <f t="shared" ca="1" si="149"/>
        <v>46238</v>
      </c>
      <c r="I943" s="121">
        <f ca="1">HLOOKUP($H$4,'Met Data'!$A$2:$F$368,G943,FALSE)</f>
        <v>7.2015151515151503</v>
      </c>
      <c r="J943" s="119">
        <f ca="1">HLOOKUP($H$4,'Met Data'!$H$2:$M$368,G943,FALSE)*L943</f>
        <v>1.47272727272727</v>
      </c>
      <c r="K943" s="98">
        <f ca="1">HLOOKUP($H$4,'Met Data'!$O$2:$T$368,G943,FALSE)</f>
        <v>1.3386149785468899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ref="G944:G999" ca="1" si="150">H944-DATE(YEAR(H944),1,0)+1</f>
        <v>218</v>
      </c>
      <c r="H944" s="97">
        <f t="shared" ca="1" si="149"/>
        <v>46239</v>
      </c>
      <c r="I944" s="121">
        <f ca="1">HLOOKUP($H$4,'Met Data'!$A$2:$F$368,G944,FALSE)</f>
        <v>7.3742424242424196</v>
      </c>
      <c r="J944" s="119">
        <f ca="1">HLOOKUP($H$4,'Met Data'!$H$2:$M$368,G944,FALSE)*L944</f>
        <v>1.75757575757575</v>
      </c>
      <c r="K944" s="98">
        <f ca="1">HLOOKUP($H$4,'Met Data'!$O$2:$T$368,G944,FALSE)</f>
        <v>1.55222576978494</v>
      </c>
      <c r="L944">
        <f t="shared" ca="1" si="148"/>
        <v>1</v>
      </c>
      <c r="N944" t="e">
        <f t="shared" ref="N944:N999" ca="1" si="151">IF(P944&lt;$P$3,TRUE,FALSE)</f>
        <v>#N/A</v>
      </c>
      <c r="O944" t="e">
        <f t="shared" ref="O944:O999" ca="1" si="152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3">IFERROR(P944,$AD$4)</f>
        <v>0</v>
      </c>
      <c r="AE944">
        <f t="shared" ref="AE944:AE999" ca="1" si="154">IFERROR(U944,0)</f>
        <v>0</v>
      </c>
      <c r="AG944" s="63" t="e">
        <f t="shared" ref="AG944:AG999" ca="1" si="155">Q943+S944+T944+U944</f>
        <v>#N/A</v>
      </c>
      <c r="AH944" s="63" t="e">
        <f t="shared" ref="AH944:AH999" ca="1" si="156">Q944+R944+X944</f>
        <v>#N/A</v>
      </c>
      <c r="AI944" s="3" t="e">
        <f t="shared" ref="AI944:AI999" ca="1" si="157">AH944-AG944</f>
        <v>#N/A</v>
      </c>
    </row>
    <row r="945" spans="7:35" ht="15.75" thickBot="1">
      <c r="G945" s="3">
        <f t="shared" ca="1" si="150"/>
        <v>219</v>
      </c>
      <c r="H945" s="97">
        <f t="shared" ca="1" si="149"/>
        <v>46240</v>
      </c>
      <c r="I945" s="121">
        <f ca="1">HLOOKUP($H$4,'Met Data'!$A$2:$F$368,G945,FALSE)</f>
        <v>7.4590909090909001</v>
      </c>
      <c r="J945" s="119">
        <f ca="1">HLOOKUP($H$4,'Met Data'!$H$2:$M$368,G945,FALSE)*L945</f>
        <v>0.60909090909090902</v>
      </c>
      <c r="K945" s="98">
        <f ca="1">HLOOKUP($H$4,'Met Data'!$O$2:$T$368,G945,FALSE)</f>
        <v>1.4979769801628799</v>
      </c>
      <c r="L945">
        <f t="shared" ca="1" si="148"/>
        <v>1</v>
      </c>
      <c r="N945" t="e">
        <f t="shared" ca="1" si="151"/>
        <v>#N/A</v>
      </c>
      <c r="O945" t="e">
        <f t="shared" ca="1" si="152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3"/>
        <v>0</v>
      </c>
      <c r="AE945">
        <f t="shared" ca="1" si="154"/>
        <v>0</v>
      </c>
      <c r="AG945" s="63" t="e">
        <f t="shared" ca="1" si="155"/>
        <v>#N/A</v>
      </c>
      <c r="AH945" s="63" t="e">
        <f t="shared" ca="1" si="156"/>
        <v>#N/A</v>
      </c>
      <c r="AI945" s="3" t="e">
        <f t="shared" ca="1" si="157"/>
        <v>#N/A</v>
      </c>
    </row>
    <row r="946" spans="7:35" ht="15.75" thickBot="1">
      <c r="G946" s="3">
        <f t="shared" ca="1" si="150"/>
        <v>220</v>
      </c>
      <c r="H946" s="97">
        <f t="shared" ca="1" si="149"/>
        <v>46241</v>
      </c>
      <c r="I946" s="121">
        <f ca="1">HLOOKUP($H$4,'Met Data'!$A$2:$F$368,G946,FALSE)</f>
        <v>7.5939393939393902</v>
      </c>
      <c r="J946" s="119">
        <f ca="1">HLOOKUP($H$4,'Met Data'!$H$2:$M$368,G946,FALSE)*L946</f>
        <v>3.3848484848484799</v>
      </c>
      <c r="K946" s="98">
        <f ca="1">HLOOKUP($H$4,'Met Data'!$O$2:$T$368,G946,FALSE)</f>
        <v>1.51963915749211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221</v>
      </c>
      <c r="H947" s="97">
        <f t="shared" ca="1" si="149"/>
        <v>46242</v>
      </c>
      <c r="I947" s="121">
        <f ca="1">HLOOKUP($H$4,'Met Data'!$A$2:$F$368,G947,FALSE)</f>
        <v>7.3257575757575699</v>
      </c>
      <c r="J947" s="119">
        <f ca="1">HLOOKUP($H$4,'Met Data'!$H$2:$M$368,G947,FALSE)*L947</f>
        <v>3.2363636363636301</v>
      </c>
      <c r="K947" s="98">
        <f ca="1">HLOOKUP($H$4,'Met Data'!$O$2:$T$368,G947,FALSE)</f>
        <v>1.7182656587563401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222</v>
      </c>
      <c r="H948" s="97">
        <f t="shared" ca="1" si="149"/>
        <v>46243</v>
      </c>
      <c r="I948" s="121">
        <f ca="1">HLOOKUP($H$4,'Met Data'!$A$2:$F$368,G948,FALSE)</f>
        <v>6.6333333333333302</v>
      </c>
      <c r="J948" s="119">
        <f ca="1">HLOOKUP($H$4,'Met Data'!$H$2:$M$368,G948,FALSE)*L948</f>
        <v>1.55151515151515</v>
      </c>
      <c r="K948" s="98">
        <f ca="1">HLOOKUP($H$4,'Met Data'!$O$2:$T$368,G948,FALSE)</f>
        <v>1.45992841951307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223</v>
      </c>
      <c r="H949" s="97">
        <f t="shared" ca="1" si="149"/>
        <v>46244</v>
      </c>
      <c r="I949" s="121">
        <f ca="1">HLOOKUP($H$4,'Met Data'!$A$2:$F$368,G949,FALSE)</f>
        <v>7.0696969696969703</v>
      </c>
      <c r="J949" s="119">
        <f ca="1">HLOOKUP($H$4,'Met Data'!$H$2:$M$368,G949,FALSE)*L949</f>
        <v>1.4545454545454499</v>
      </c>
      <c r="K949" s="98">
        <f ca="1">HLOOKUP($H$4,'Met Data'!$O$2:$T$368,G949,FALSE)</f>
        <v>1.43429877915796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224</v>
      </c>
      <c r="H950" s="97">
        <f t="shared" ca="1" si="149"/>
        <v>46245</v>
      </c>
      <c r="I950" s="121">
        <f ca="1">HLOOKUP($H$4,'Met Data'!$A$2:$F$368,G950,FALSE)</f>
        <v>7.5106060606060598</v>
      </c>
      <c r="J950" s="119">
        <f ca="1">HLOOKUP($H$4,'Met Data'!$H$2:$M$368,G950,FALSE)*L950</f>
        <v>1.6030303030302999</v>
      </c>
      <c r="K950" s="98">
        <f ca="1">HLOOKUP($H$4,'Met Data'!$O$2:$T$368,G950,FALSE)</f>
        <v>1.4617211304547399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225</v>
      </c>
      <c r="H951" s="97">
        <f t="shared" ca="1" si="149"/>
        <v>46246</v>
      </c>
      <c r="I951" s="121">
        <f ca="1">HLOOKUP($H$4,'Met Data'!$A$2:$F$368,G951,FALSE)</f>
        <v>7.7378787878787803</v>
      </c>
      <c r="J951" s="119">
        <f ca="1">HLOOKUP($H$4,'Met Data'!$H$2:$M$368,G951,FALSE)*L951</f>
        <v>1.2</v>
      </c>
      <c r="K951" s="98">
        <f ca="1">HLOOKUP($H$4,'Met Data'!$O$2:$T$368,G951,FALSE)</f>
        <v>1.64327704752056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226</v>
      </c>
      <c r="H952" s="97">
        <f t="shared" ca="1" si="149"/>
        <v>46247</v>
      </c>
      <c r="I952" s="121">
        <f ca="1">HLOOKUP($H$4,'Met Data'!$A$2:$F$368,G952,FALSE)</f>
        <v>7.4378787878787804</v>
      </c>
      <c r="J952" s="119">
        <f ca="1">HLOOKUP($H$4,'Met Data'!$H$2:$M$368,G952,FALSE)*L952</f>
        <v>2.0151515151515098</v>
      </c>
      <c r="K952" s="98">
        <f ca="1">HLOOKUP($H$4,'Met Data'!$O$2:$T$368,G952,FALSE)</f>
        <v>1.7219137683755099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227</v>
      </c>
      <c r="H953" s="97">
        <f t="shared" ca="1" si="149"/>
        <v>46248</v>
      </c>
      <c r="I953" s="121">
        <f ca="1">HLOOKUP($H$4,'Met Data'!$A$2:$F$368,G953,FALSE)</f>
        <v>7.3203125</v>
      </c>
      <c r="J953" s="119">
        <f ca="1">HLOOKUP($H$4,'Met Data'!$H$2:$M$368,G953,FALSE)*L953</f>
        <v>2.2093750000000001</v>
      </c>
      <c r="K953" s="98">
        <f ca="1">HLOOKUP($H$4,'Met Data'!$O$2:$T$368,G953,FALSE)</f>
        <v>1.6752410691035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228</v>
      </c>
      <c r="H954" s="97">
        <f t="shared" ca="1" si="149"/>
        <v>46249</v>
      </c>
      <c r="I954" s="121">
        <f ca="1">HLOOKUP($H$4,'Met Data'!$A$2:$F$368,G954,FALSE)</f>
        <v>6.9593749999999996</v>
      </c>
      <c r="J954" s="119">
        <f ca="1">HLOOKUP($H$4,'Met Data'!$H$2:$M$368,G954,FALSE)*L954</f>
        <v>2.0531250000000001</v>
      </c>
      <c r="K954" s="98">
        <f ca="1">HLOOKUP($H$4,'Met Data'!$O$2:$T$368,G954,FALSE)</f>
        <v>1.6478784943890401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229</v>
      </c>
      <c r="H955" s="97">
        <f t="shared" ca="1" si="149"/>
        <v>46250</v>
      </c>
      <c r="I955" s="121">
        <f ca="1">HLOOKUP($H$4,'Met Data'!$A$2:$F$368,G955,FALSE)</f>
        <v>7.1937499999999996</v>
      </c>
      <c r="J955" s="119">
        <f ca="1">HLOOKUP($H$4,'Met Data'!$H$2:$M$368,G955,FALSE)*L955</f>
        <v>2.03125</v>
      </c>
      <c r="K955" s="98">
        <f ca="1">HLOOKUP($H$4,'Met Data'!$O$2:$T$368,G955,FALSE)</f>
        <v>1.7164445634915999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230</v>
      </c>
      <c r="H956" s="97">
        <f t="shared" ca="1" si="149"/>
        <v>46251</v>
      </c>
      <c r="I956" s="121">
        <f ca="1">HLOOKUP($H$4,'Met Data'!$A$2:$F$368,G956,FALSE)</f>
        <v>7.7437500000000004</v>
      </c>
      <c r="J956" s="119">
        <f ca="1">HLOOKUP($H$4,'Met Data'!$H$2:$M$368,G956,FALSE)*L956</f>
        <v>2.4874999999999998</v>
      </c>
      <c r="K956" s="98">
        <f ca="1">HLOOKUP($H$4,'Met Data'!$O$2:$T$368,G956,FALSE)</f>
        <v>1.83858279668266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231</v>
      </c>
      <c r="H957" s="97">
        <f t="shared" ca="1" si="149"/>
        <v>46252</v>
      </c>
      <c r="I957" s="121">
        <f ca="1">HLOOKUP($H$4,'Met Data'!$A$2:$F$368,G957,FALSE)</f>
        <v>7.8</v>
      </c>
      <c r="J957" s="119">
        <f ca="1">HLOOKUP($H$4,'Met Data'!$H$2:$M$368,G957,FALSE)*L957</f>
        <v>2.4656250000000002</v>
      </c>
      <c r="K957" s="98">
        <f ca="1">HLOOKUP($H$4,'Met Data'!$O$2:$T$368,G957,FALSE)</f>
        <v>1.65941446777998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232</v>
      </c>
      <c r="H958" s="97">
        <f t="shared" ca="1" si="149"/>
        <v>46253</v>
      </c>
      <c r="I958" s="121">
        <f ca="1">HLOOKUP($H$4,'Met Data'!$A$2:$F$368,G958,FALSE)</f>
        <v>7.5171875000000004</v>
      </c>
      <c r="J958" s="119">
        <f ca="1">HLOOKUP($H$4,'Met Data'!$H$2:$M$368,G958,FALSE)*L958</f>
        <v>2.0375000000000001</v>
      </c>
      <c r="K958" s="98">
        <f ca="1">HLOOKUP($H$4,'Met Data'!$O$2:$T$368,G958,FALSE)</f>
        <v>1.8302956478085199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233</v>
      </c>
      <c r="H959" s="97">
        <f t="shared" ca="1" si="149"/>
        <v>46254</v>
      </c>
      <c r="I959" s="121">
        <f ca="1">HLOOKUP($H$4,'Met Data'!$A$2:$F$368,G959,FALSE)</f>
        <v>7.5671875000000002</v>
      </c>
      <c r="J959" s="119">
        <f ca="1">HLOOKUP($H$4,'Met Data'!$H$2:$M$368,G959,FALSE)*L959</f>
        <v>1.278125</v>
      </c>
      <c r="K959" s="98">
        <f ca="1">HLOOKUP($H$4,'Met Data'!$O$2:$T$368,G959,FALSE)</f>
        <v>1.86992300057723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234</v>
      </c>
      <c r="H960" s="97">
        <f t="shared" ca="1" si="149"/>
        <v>46255</v>
      </c>
      <c r="I960" s="121">
        <f ca="1">HLOOKUP($H$4,'Met Data'!$A$2:$F$368,G960,FALSE)</f>
        <v>7.2593750000000004</v>
      </c>
      <c r="J960" s="119">
        <f ca="1">HLOOKUP($H$4,'Met Data'!$H$2:$M$368,G960,FALSE)*L960</f>
        <v>2.7843749999999998</v>
      </c>
      <c r="K960" s="98">
        <f ca="1">HLOOKUP($H$4,'Met Data'!$O$2:$T$368,G960,FALSE)</f>
        <v>1.7326605302545099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235</v>
      </c>
      <c r="H961" s="97">
        <f t="shared" ca="1" si="149"/>
        <v>46256</v>
      </c>
      <c r="I961" s="121">
        <f ca="1">HLOOKUP($H$4,'Met Data'!$A$2:$F$368,G961,FALSE)</f>
        <v>7.5062499999999996</v>
      </c>
      <c r="J961" s="119">
        <f ca="1">HLOOKUP($H$4,'Met Data'!$H$2:$M$368,G961,FALSE)*L961</f>
        <v>3.6281249999999998</v>
      </c>
      <c r="K961" s="98">
        <f ca="1">HLOOKUP($H$4,'Met Data'!$O$2:$T$368,G961,FALSE)</f>
        <v>1.7739522546512301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236</v>
      </c>
      <c r="H962" s="97">
        <f t="shared" ca="1" si="149"/>
        <v>46257</v>
      </c>
      <c r="I962" s="121">
        <f ca="1">HLOOKUP($H$4,'Met Data'!$A$2:$F$368,G962,FALSE)</f>
        <v>7.6363636363636296</v>
      </c>
      <c r="J962" s="119">
        <f ca="1">HLOOKUP($H$4,'Met Data'!$H$2:$M$368,G962,FALSE)*L962</f>
        <v>2.0787878787878702</v>
      </c>
      <c r="K962" s="98">
        <f ca="1">HLOOKUP($H$4,'Met Data'!$O$2:$T$368,G962,FALSE)</f>
        <v>1.8600874849981099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237</v>
      </c>
      <c r="H963" s="97">
        <f t="shared" ca="1" si="149"/>
        <v>46258</v>
      </c>
      <c r="I963" s="121">
        <f ca="1">HLOOKUP($H$4,'Met Data'!$A$2:$F$368,G963,FALSE)</f>
        <v>8.1045454545454501</v>
      </c>
      <c r="J963" s="119">
        <f ca="1">HLOOKUP($H$4,'Met Data'!$H$2:$M$368,G963,FALSE)*L963</f>
        <v>0.324242424242424</v>
      </c>
      <c r="K963" s="98">
        <f ca="1">HLOOKUP($H$4,'Met Data'!$O$2:$T$368,G963,FALSE)</f>
        <v>1.9096330242923301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238</v>
      </c>
      <c r="H964" s="97">
        <f t="shared" ca="1" si="149"/>
        <v>46259</v>
      </c>
      <c r="I964" s="121">
        <f ca="1">HLOOKUP($H$4,'Met Data'!$A$2:$F$368,G964,FALSE)</f>
        <v>8.2954545454545396</v>
      </c>
      <c r="J964" s="119">
        <f ca="1">HLOOKUP($H$4,'Met Data'!$H$2:$M$368,G964,FALSE)*L964</f>
        <v>1.3424242424242401</v>
      </c>
      <c r="K964" s="98">
        <f ca="1">HLOOKUP($H$4,'Met Data'!$O$2:$T$368,G964,FALSE)</f>
        <v>1.9397244182821201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239</v>
      </c>
      <c r="H965" s="97">
        <f t="shared" ca="1" si="149"/>
        <v>46260</v>
      </c>
      <c r="I965" s="121">
        <f ca="1">HLOOKUP($H$4,'Met Data'!$A$2:$F$368,G965,FALSE)</f>
        <v>8.2378787878787794</v>
      </c>
      <c r="J965" s="119">
        <f ca="1">HLOOKUP($H$4,'Met Data'!$H$2:$M$368,G965,FALSE)*L965</f>
        <v>2.47272727272727</v>
      </c>
      <c r="K965" s="98">
        <f ca="1">HLOOKUP($H$4,'Met Data'!$O$2:$T$368,G965,FALSE)</f>
        <v>1.7062659547971699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240</v>
      </c>
      <c r="H966" s="97">
        <f t="shared" ca="1" si="149"/>
        <v>46261</v>
      </c>
      <c r="I966" s="121">
        <f ca="1">HLOOKUP($H$4,'Met Data'!$A$2:$F$368,G966,FALSE)</f>
        <v>8.2484848484848392</v>
      </c>
      <c r="J966" s="119">
        <f ca="1">HLOOKUP($H$4,'Met Data'!$H$2:$M$368,G966,FALSE)*L966</f>
        <v>2.9151515151515102</v>
      </c>
      <c r="K966" s="98">
        <f ca="1">HLOOKUP($H$4,'Met Data'!$O$2:$T$368,G966,FALSE)</f>
        <v>1.9297175584059301</v>
      </c>
      <c r="L966">
        <f t="shared" ref="L966:L999" ca="1" si="158">IF(H966&lt;$B$31,$J$3,$J$4)</f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241</v>
      </c>
      <c r="H967" s="97">
        <f t="shared" ca="1" si="149"/>
        <v>46262</v>
      </c>
      <c r="I967" s="121">
        <f ca="1">HLOOKUP($H$4,'Met Data'!$A$2:$F$368,G967,FALSE)</f>
        <v>8.5593939393939298</v>
      </c>
      <c r="J967" s="119">
        <f ca="1">HLOOKUP($H$4,'Met Data'!$H$2:$M$368,G967,FALSE)*L967</f>
        <v>1.8696969696969601</v>
      </c>
      <c r="K967" s="98">
        <f ca="1">HLOOKUP($H$4,'Met Data'!$O$2:$T$368,G967,FALSE)</f>
        <v>2.0109048192884398</v>
      </c>
      <c r="L967">
        <f t="shared" ca="1" si="158"/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242</v>
      </c>
      <c r="H968" s="97">
        <f t="shared" ref="H968:H999" ca="1" si="159">H967+1</f>
        <v>46263</v>
      </c>
      <c r="I968" s="121">
        <f ca="1">HLOOKUP($H$4,'Met Data'!$A$2:$F$368,G968,FALSE)</f>
        <v>8.2121212121212093</v>
      </c>
      <c r="J968" s="119">
        <f ca="1">HLOOKUP($H$4,'Met Data'!$H$2:$M$368,G968,FALSE)*L968</f>
        <v>2.1333333333333302</v>
      </c>
      <c r="K968" s="98">
        <f ca="1">HLOOKUP($H$4,'Met Data'!$O$2:$T$368,G968,FALSE)</f>
        <v>1.9004966666128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243</v>
      </c>
      <c r="H969" s="97">
        <f t="shared" ca="1" si="159"/>
        <v>46264</v>
      </c>
      <c r="I969" s="121">
        <f ca="1">HLOOKUP($H$4,'Met Data'!$A$2:$F$368,G969,FALSE)</f>
        <v>8.8015151515151508</v>
      </c>
      <c r="J969" s="119">
        <f ca="1">HLOOKUP($H$4,'Met Data'!$H$2:$M$368,G969,FALSE)*L969</f>
        <v>1.3060606060605999</v>
      </c>
      <c r="K969" s="98">
        <f ca="1">HLOOKUP($H$4,'Met Data'!$O$2:$T$368,G969,FALSE)</f>
        <v>2.0203052831425601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244</v>
      </c>
      <c r="H970" s="97">
        <f t="shared" ca="1" si="159"/>
        <v>46265</v>
      </c>
      <c r="I970" s="121">
        <f ca="1">HLOOKUP($H$4,'Met Data'!$A$2:$F$368,G970,FALSE)</f>
        <v>7.8968181818181797</v>
      </c>
      <c r="J970" s="119">
        <f ca="1">HLOOKUP($H$4,'Met Data'!$H$2:$M$368,G970,FALSE)*L970</f>
        <v>0.73030303030303001</v>
      </c>
      <c r="K970" s="98">
        <f ca="1">HLOOKUP($H$4,'Met Data'!$O$2:$T$368,G970,FALSE)</f>
        <v>2.13768236411026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245</v>
      </c>
      <c r="H971" s="97">
        <f t="shared" ca="1" si="159"/>
        <v>46266</v>
      </c>
      <c r="I971" s="121">
        <f ca="1">HLOOKUP($H$4,'Met Data'!$A$2:$F$368,G971,FALSE)</f>
        <v>8.5848484848484805</v>
      </c>
      <c r="J971" s="119">
        <f ca="1">HLOOKUP($H$4,'Met Data'!$H$2:$M$368,G971,FALSE)*L971</f>
        <v>1.66363636363636</v>
      </c>
      <c r="K971" s="98">
        <f ca="1">HLOOKUP($H$4,'Met Data'!$O$2:$T$368,G971,FALSE)</f>
        <v>2.4306848632987301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246</v>
      </c>
      <c r="H972" s="97">
        <f t="shared" ca="1" si="159"/>
        <v>46267</v>
      </c>
      <c r="I972" s="121">
        <f ca="1">HLOOKUP($H$4,'Met Data'!$A$2:$F$368,G972,FALSE)</f>
        <v>9.0333333333333297</v>
      </c>
      <c r="J972" s="119">
        <f ca="1">HLOOKUP($H$4,'Met Data'!$H$2:$M$368,G972,FALSE)*L972</f>
        <v>1.2393939393939299</v>
      </c>
      <c r="K972" s="98">
        <f ca="1">HLOOKUP($H$4,'Met Data'!$O$2:$T$368,G972,FALSE)</f>
        <v>2.2838857553046599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247</v>
      </c>
      <c r="H973" s="97">
        <f t="shared" ca="1" si="159"/>
        <v>46268</v>
      </c>
      <c r="I973" s="121">
        <f ca="1">HLOOKUP($H$4,'Met Data'!$A$2:$F$368,G973,FALSE)</f>
        <v>8.7469696969696908</v>
      </c>
      <c r="J973" s="119">
        <f ca="1">HLOOKUP($H$4,'Met Data'!$H$2:$M$368,G973,FALSE)*L973</f>
        <v>1.06969696969696</v>
      </c>
      <c r="K973" s="98">
        <f ca="1">HLOOKUP($H$4,'Met Data'!$O$2:$T$368,G973,FALSE)</f>
        <v>2.13744572746974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248</v>
      </c>
      <c r="H974" s="97">
        <f t="shared" ca="1" si="159"/>
        <v>46269</v>
      </c>
      <c r="I974" s="121">
        <f ca="1">HLOOKUP($H$4,'Met Data'!$A$2:$F$368,G974,FALSE)</f>
        <v>8.7227272727272709</v>
      </c>
      <c r="J974" s="119">
        <f ca="1">HLOOKUP($H$4,'Met Data'!$H$2:$M$368,G974,FALSE)*L974</f>
        <v>1.0878787878787799</v>
      </c>
      <c r="K974" s="98">
        <f ca="1">HLOOKUP($H$4,'Met Data'!$O$2:$T$368,G974,FALSE)</f>
        <v>2.20158976988608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249</v>
      </c>
      <c r="H975" s="97">
        <f t="shared" ca="1" si="159"/>
        <v>46270</v>
      </c>
      <c r="I975" s="121">
        <f ca="1">HLOOKUP($H$4,'Met Data'!$A$2:$F$368,G975,FALSE)</f>
        <v>8.4803030303030305</v>
      </c>
      <c r="J975" s="119">
        <f ca="1">HLOOKUP($H$4,'Met Data'!$H$2:$M$368,G975,FALSE)*L975</f>
        <v>0.95151515151515098</v>
      </c>
      <c r="K975" s="98">
        <f ca="1">HLOOKUP($H$4,'Met Data'!$O$2:$T$368,G975,FALSE)</f>
        <v>2.0118416889679498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250</v>
      </c>
      <c r="H976" s="97">
        <f t="shared" ca="1" si="159"/>
        <v>46271</v>
      </c>
      <c r="I976" s="121">
        <f ca="1">HLOOKUP($H$4,'Met Data'!$A$2:$F$368,G976,FALSE)</f>
        <v>8.9078125000000004</v>
      </c>
      <c r="J976" s="119">
        <f ca="1">HLOOKUP($H$4,'Met Data'!$H$2:$M$368,G976,FALSE)*L976</f>
        <v>1.4151515151515099</v>
      </c>
      <c r="K976" s="98">
        <f ca="1">HLOOKUP($H$4,'Met Data'!$O$2:$T$368,G976,FALSE)</f>
        <v>2.43907717587116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251</v>
      </c>
      <c r="H977" s="97">
        <f t="shared" ca="1" si="159"/>
        <v>46272</v>
      </c>
      <c r="I977" s="121">
        <f ca="1">HLOOKUP($H$4,'Met Data'!$A$2:$F$368,G977,FALSE)</f>
        <v>8.9656249999999993</v>
      </c>
      <c r="J977" s="119">
        <f ca="1">HLOOKUP($H$4,'Met Data'!$H$2:$M$368,G977,FALSE)*L977</f>
        <v>0.51818181818181797</v>
      </c>
      <c r="K977" s="98">
        <f ca="1">HLOOKUP($H$4,'Met Data'!$O$2:$T$368,G977,FALSE)</f>
        <v>2.4631446914892501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252</v>
      </c>
      <c r="H978" s="97">
        <f t="shared" ca="1" si="159"/>
        <v>46273</v>
      </c>
      <c r="I978" s="121">
        <f ca="1">HLOOKUP($H$4,'Met Data'!$A$2:$F$368,G978,FALSE)</f>
        <v>8.6015625</v>
      </c>
      <c r="J978" s="119">
        <f ca="1">HLOOKUP($H$4,'Met Data'!$H$2:$M$368,G978,FALSE)*L978</f>
        <v>1.0757575757575699</v>
      </c>
      <c r="K978" s="98">
        <f ca="1">HLOOKUP($H$4,'Met Data'!$O$2:$T$368,G978,FALSE)</f>
        <v>2.5132482169425701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253</v>
      </c>
      <c r="H979" s="97">
        <f t="shared" ca="1" si="159"/>
        <v>46274</v>
      </c>
      <c r="I979" s="121">
        <f ca="1">HLOOKUP($H$4,'Met Data'!$A$2:$F$368,G979,FALSE)</f>
        <v>8.0227272727272698</v>
      </c>
      <c r="J979" s="119">
        <f ca="1">HLOOKUP($H$4,'Met Data'!$H$2:$M$368,G979,FALSE)*L979</f>
        <v>1.0878787878787799</v>
      </c>
      <c r="K979" s="98">
        <f ca="1">HLOOKUP($H$4,'Met Data'!$O$2:$T$368,G979,FALSE)</f>
        <v>2.2941202547295898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254</v>
      </c>
      <c r="H980" s="97">
        <f t="shared" ca="1" si="159"/>
        <v>46275</v>
      </c>
      <c r="I980" s="121">
        <f ca="1">HLOOKUP($H$4,'Met Data'!$A$2:$F$368,G980,FALSE)</f>
        <v>9.0060606060606005</v>
      </c>
      <c r="J980" s="119">
        <f ca="1">HLOOKUP($H$4,'Met Data'!$H$2:$M$368,G980,FALSE)*L980</f>
        <v>1.08181818181818</v>
      </c>
      <c r="K980" s="98">
        <f ca="1">HLOOKUP($H$4,'Met Data'!$O$2:$T$368,G980,FALSE)</f>
        <v>2.6251015131954198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255</v>
      </c>
      <c r="H981" s="97">
        <f t="shared" ca="1" si="159"/>
        <v>46276</v>
      </c>
      <c r="I981" s="121">
        <f ca="1">HLOOKUP($H$4,'Met Data'!$A$2:$F$368,G981,FALSE)</f>
        <v>9.7090909090909001</v>
      </c>
      <c r="J981" s="119">
        <f ca="1">HLOOKUP($H$4,'Met Data'!$H$2:$M$368,G981,FALSE)*L981</f>
        <v>2.0393939393939302</v>
      </c>
      <c r="K981" s="98">
        <f ca="1">HLOOKUP($H$4,'Met Data'!$O$2:$T$368,G981,FALSE)</f>
        <v>2.7986809667616899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256</v>
      </c>
      <c r="H982" s="97">
        <f t="shared" ca="1" si="159"/>
        <v>46277</v>
      </c>
      <c r="I982" s="121">
        <f ca="1">HLOOKUP($H$4,'Met Data'!$A$2:$F$368,G982,FALSE)</f>
        <v>9.6212121212121193</v>
      </c>
      <c r="J982" s="119">
        <f ca="1">HLOOKUP($H$4,'Met Data'!$H$2:$M$368,G982,FALSE)*L982</f>
        <v>1.4424242424242399</v>
      </c>
      <c r="K982" s="98">
        <f ca="1">HLOOKUP($H$4,'Met Data'!$O$2:$T$368,G982,FALSE)</f>
        <v>2.6610711999077199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257</v>
      </c>
      <c r="H983" s="97">
        <f t="shared" ca="1" si="159"/>
        <v>46278</v>
      </c>
      <c r="I983" s="121">
        <f ca="1">HLOOKUP($H$4,'Met Data'!$A$2:$F$368,G983,FALSE)</f>
        <v>9.3833333333333293</v>
      </c>
      <c r="J983" s="119">
        <f ca="1">HLOOKUP($H$4,'Met Data'!$H$2:$M$368,G983,FALSE)*L983</f>
        <v>1.5181818181818101</v>
      </c>
      <c r="K983" s="98">
        <f ca="1">HLOOKUP($H$4,'Met Data'!$O$2:$T$368,G983,FALSE)</f>
        <v>2.3076791368567799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258</v>
      </c>
      <c r="H984" s="97">
        <f t="shared" ca="1" si="159"/>
        <v>46279</v>
      </c>
      <c r="I984" s="121">
        <f ca="1">HLOOKUP($H$4,'Met Data'!$A$2:$F$368,G984,FALSE)</f>
        <v>9.8590909090909093</v>
      </c>
      <c r="J984" s="119">
        <f ca="1">HLOOKUP($H$4,'Met Data'!$H$2:$M$368,G984,FALSE)*L984</f>
        <v>1.0060606060606001</v>
      </c>
      <c r="K984" s="98">
        <f ca="1">HLOOKUP($H$4,'Met Data'!$O$2:$T$368,G984,FALSE)</f>
        <v>2.7166636421386499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259</v>
      </c>
      <c r="H985" s="97">
        <f t="shared" ca="1" si="159"/>
        <v>46280</v>
      </c>
      <c r="I985" s="121">
        <f ca="1">HLOOKUP($H$4,'Met Data'!$A$2:$F$368,G985,FALSE)</f>
        <v>10.654545454545399</v>
      </c>
      <c r="J985" s="119">
        <f ca="1">HLOOKUP($H$4,'Met Data'!$H$2:$M$368,G985,FALSE)*L985</f>
        <v>0.69090909090909003</v>
      </c>
      <c r="K985" s="98">
        <f ca="1">HLOOKUP($H$4,'Met Data'!$O$2:$T$368,G985,FALSE)</f>
        <v>2.8776450917507499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260</v>
      </c>
      <c r="H986" s="97">
        <f t="shared" ca="1" si="159"/>
        <v>46281</v>
      </c>
      <c r="I986" s="121">
        <f ca="1">HLOOKUP($H$4,'Met Data'!$A$2:$F$368,G986,FALSE)</f>
        <v>10.4757575757575</v>
      </c>
      <c r="J986" s="119">
        <f ca="1">HLOOKUP($H$4,'Met Data'!$H$2:$M$368,G986,FALSE)*L986</f>
        <v>0.112121212121212</v>
      </c>
      <c r="K986" s="98">
        <f ca="1">HLOOKUP($H$4,'Met Data'!$O$2:$T$368,G986,FALSE)</f>
        <v>2.9007479200825799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261</v>
      </c>
      <c r="H987" s="97">
        <f t="shared" ca="1" si="159"/>
        <v>46282</v>
      </c>
      <c r="I987" s="121">
        <f ca="1">HLOOKUP($H$4,'Met Data'!$A$2:$F$368,G987,FALSE)</f>
        <v>9.8469696969696905</v>
      </c>
      <c r="J987" s="119">
        <f ca="1">HLOOKUP($H$4,'Met Data'!$H$2:$M$368,G987,FALSE)*L987</f>
        <v>0.26969696969696899</v>
      </c>
      <c r="K987" s="98">
        <f ca="1">HLOOKUP($H$4,'Met Data'!$O$2:$T$368,G987,FALSE)</f>
        <v>2.7216431909543002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262</v>
      </c>
      <c r="H988" s="97">
        <f t="shared" ca="1" si="159"/>
        <v>46283</v>
      </c>
      <c r="I988" s="121">
        <f ca="1">HLOOKUP($H$4,'Met Data'!$A$2:$F$368,G988,FALSE)</f>
        <v>9.6045454545454501</v>
      </c>
      <c r="J988" s="119">
        <f ca="1">HLOOKUP($H$4,'Met Data'!$H$2:$M$368,G988,FALSE)*L988</f>
        <v>1.3212121212121199</v>
      </c>
      <c r="K988" s="98">
        <f ca="1">HLOOKUP($H$4,'Met Data'!$O$2:$T$368,G988,FALSE)</f>
        <v>2.6828140641286899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263</v>
      </c>
      <c r="H989" s="97">
        <f t="shared" ca="1" si="159"/>
        <v>46284</v>
      </c>
      <c r="I989" s="121">
        <f ca="1">HLOOKUP($H$4,'Met Data'!$A$2:$F$368,G989,FALSE)</f>
        <v>9.8772727272727199</v>
      </c>
      <c r="J989" s="119">
        <f ca="1">HLOOKUP($H$4,'Met Data'!$H$2:$M$368,G989,FALSE)*L989</f>
        <v>1.83636363636363</v>
      </c>
      <c r="K989" s="98">
        <f ca="1">HLOOKUP($H$4,'Met Data'!$O$2:$T$368,G989,FALSE)</f>
        <v>2.84418375617479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264</v>
      </c>
      <c r="H990" s="97">
        <f t="shared" ca="1" si="159"/>
        <v>46285</v>
      </c>
      <c r="I990" s="121">
        <f ca="1">HLOOKUP($H$4,'Met Data'!$A$2:$F$368,G990,FALSE)</f>
        <v>9.4984848484848392</v>
      </c>
      <c r="J990" s="119">
        <f ca="1">HLOOKUP($H$4,'Met Data'!$H$2:$M$368,G990,FALSE)*L990</f>
        <v>1.47272727272727</v>
      </c>
      <c r="K990" s="98">
        <f ca="1">HLOOKUP($H$4,'Met Data'!$O$2:$T$368,G990,FALSE)</f>
        <v>2.76130603025703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265</v>
      </c>
      <c r="H991" s="97">
        <f t="shared" ca="1" si="159"/>
        <v>46286</v>
      </c>
      <c r="I991" s="121">
        <f ca="1">HLOOKUP($H$4,'Met Data'!$A$2:$F$368,G991,FALSE)</f>
        <v>9.9712121212121207</v>
      </c>
      <c r="J991" s="119">
        <f ca="1">HLOOKUP($H$4,'Met Data'!$H$2:$M$368,G991,FALSE)*L991</f>
        <v>1.39090909090909</v>
      </c>
      <c r="K991" s="98">
        <f ca="1">HLOOKUP($H$4,'Met Data'!$O$2:$T$368,G991,FALSE)</f>
        <v>2.9434337638791899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266</v>
      </c>
      <c r="H992" s="97">
        <f t="shared" ca="1" si="159"/>
        <v>46287</v>
      </c>
      <c r="I992" s="121">
        <f ca="1">HLOOKUP($H$4,'Met Data'!$A$2:$F$368,G992,FALSE)</f>
        <v>9.6348484848484794</v>
      </c>
      <c r="J992" s="119">
        <f ca="1">HLOOKUP($H$4,'Met Data'!$H$2:$M$368,G992,FALSE)*L992</f>
        <v>1.4060606060606</v>
      </c>
      <c r="K992" s="98">
        <f ca="1">HLOOKUP($H$4,'Met Data'!$O$2:$T$368,G992,FALSE)</f>
        <v>2.8650949205126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267</v>
      </c>
      <c r="H993" s="97">
        <f t="shared" ca="1" si="159"/>
        <v>46288</v>
      </c>
      <c r="I993" s="121">
        <f ca="1">HLOOKUP($H$4,'Met Data'!$A$2:$F$368,G993,FALSE)</f>
        <v>9.4318181818181799</v>
      </c>
      <c r="J993" s="119">
        <f ca="1">HLOOKUP($H$4,'Met Data'!$H$2:$M$368,G993,FALSE)*L993</f>
        <v>0.86060606060606004</v>
      </c>
      <c r="K993" s="98">
        <f ca="1">HLOOKUP($H$4,'Met Data'!$O$2:$T$368,G993,FALSE)</f>
        <v>2.84690777824148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268</v>
      </c>
      <c r="H994" s="97">
        <f t="shared" ca="1" si="159"/>
        <v>46289</v>
      </c>
      <c r="I994" s="121">
        <f ca="1">HLOOKUP($H$4,'Met Data'!$A$2:$F$368,G994,FALSE)</f>
        <v>9.9181818181818109</v>
      </c>
      <c r="J994" s="119">
        <f ca="1">HLOOKUP($H$4,'Met Data'!$H$2:$M$368,G994,FALSE)*L994</f>
        <v>2.1454545454545402</v>
      </c>
      <c r="K994" s="98">
        <f ca="1">HLOOKUP($H$4,'Met Data'!$O$2:$T$368,G994,FALSE)</f>
        <v>2.75735755546836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269</v>
      </c>
      <c r="H995" s="97">
        <f t="shared" ca="1" si="159"/>
        <v>46290</v>
      </c>
      <c r="I995" s="121">
        <f ca="1">HLOOKUP($H$4,'Met Data'!$A$2:$F$368,G995,FALSE)</f>
        <v>9.4424242424242397</v>
      </c>
      <c r="J995" s="119">
        <f ca="1">HLOOKUP($H$4,'Met Data'!$H$2:$M$368,G995,FALSE)*L995</f>
        <v>2.4363636363636298</v>
      </c>
      <c r="K995" s="98">
        <f ca="1">HLOOKUP($H$4,'Met Data'!$O$2:$T$368,G995,FALSE)</f>
        <v>2.5822558734868299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270</v>
      </c>
      <c r="H996" s="97">
        <f t="shared" ca="1" si="159"/>
        <v>46291</v>
      </c>
      <c r="I996" s="121">
        <f ca="1">HLOOKUP($H$4,'Met Data'!$A$2:$F$368,G996,FALSE)</f>
        <v>10.2424242424242</v>
      </c>
      <c r="J996" s="119">
        <f ca="1">HLOOKUP($H$4,'Met Data'!$H$2:$M$368,G996,FALSE)*L996</f>
        <v>1.5363636363636299</v>
      </c>
      <c r="K996" s="98">
        <f ca="1">HLOOKUP($H$4,'Met Data'!$O$2:$T$368,G996,FALSE)</f>
        <v>3.0759435950739098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271</v>
      </c>
      <c r="H997" s="97">
        <f t="shared" ca="1" si="159"/>
        <v>46292</v>
      </c>
      <c r="I997" s="121">
        <f ca="1">HLOOKUP($H$4,'Met Data'!$A$2:$F$368,G997,FALSE)</f>
        <v>10.445454545454499</v>
      </c>
      <c r="J997" s="119">
        <f ca="1">HLOOKUP($H$4,'Met Data'!$H$2:$M$368,G997,FALSE)*L997</f>
        <v>0.384848484848484</v>
      </c>
      <c r="K997" s="98">
        <f ca="1">HLOOKUP($H$4,'Met Data'!$O$2:$T$368,G997,FALSE)</f>
        <v>3.0351526425456301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272</v>
      </c>
      <c r="H998" s="97">
        <f t="shared" ca="1" si="159"/>
        <v>46293</v>
      </c>
      <c r="I998" s="121">
        <f ca="1">HLOOKUP($H$4,'Met Data'!$A$2:$F$368,G998,FALSE)</f>
        <v>10.198484848484799</v>
      </c>
      <c r="J998" s="119">
        <f ca="1">HLOOKUP($H$4,'Met Data'!$H$2:$M$368,G998,FALSE)*L998</f>
        <v>2.6393939393939299</v>
      </c>
      <c r="K998" s="98">
        <f ca="1">HLOOKUP($H$4,'Met Data'!$O$2:$T$368,G998,FALSE)</f>
        <v>2.92273242129352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273</v>
      </c>
      <c r="H999" s="97">
        <f t="shared" ca="1" si="159"/>
        <v>46294</v>
      </c>
      <c r="I999" s="121">
        <f ca="1">HLOOKUP($H$4,'Met Data'!$A$2:$F$368,G999,FALSE)</f>
        <v>10.072727272727199</v>
      </c>
      <c r="J999" s="119">
        <f ca="1">HLOOKUP($H$4,'Met Data'!$H$2:$M$368,G999,FALSE)*L999</f>
        <v>2.21515151515151</v>
      </c>
      <c r="K999" s="98">
        <f ca="1">HLOOKUP($H$4,'Met Data'!$O$2:$T$368,G999,FALSE)</f>
        <v>3.0079671587405801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9" sqref="AP9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225</v>
      </c>
      <c r="AJ6" t="s">
        <v>227</v>
      </c>
      <c r="AM6" s="125" t="s">
        <v>234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230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165</v>
      </c>
      <c r="P7" s="41" t="s">
        <v>166</v>
      </c>
      <c r="R7" s="41" t="s">
        <v>1</v>
      </c>
      <c r="U7" s="41" t="s">
        <v>3</v>
      </c>
      <c r="X7" s="117" t="s">
        <v>192</v>
      </c>
      <c r="Z7" s="117" t="s">
        <v>210</v>
      </c>
      <c r="AA7">
        <v>1.7</v>
      </c>
      <c r="AC7" t="s">
        <v>213</v>
      </c>
      <c r="AE7" t="s">
        <v>218</v>
      </c>
      <c r="AF7">
        <v>2</v>
      </c>
      <c r="AH7" t="s">
        <v>220</v>
      </c>
      <c r="AI7">
        <v>0.7</v>
      </c>
      <c r="AJ7">
        <v>0.76</v>
      </c>
      <c r="AM7" s="124" t="s">
        <v>235</v>
      </c>
      <c r="AN7">
        <v>15</v>
      </c>
      <c r="AP7" t="s">
        <v>249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164</v>
      </c>
      <c r="P8" s="42" t="s">
        <v>173</v>
      </c>
      <c r="R8" s="42" t="s">
        <v>2</v>
      </c>
      <c r="S8">
        <v>1000</v>
      </c>
      <c r="U8" s="42" t="s">
        <v>185</v>
      </c>
      <c r="V8">
        <v>1</v>
      </c>
      <c r="X8" s="42" t="s">
        <v>193</v>
      </c>
      <c r="Z8" s="42" t="s">
        <v>199</v>
      </c>
      <c r="AA8">
        <v>1.35</v>
      </c>
      <c r="AC8" t="s">
        <v>217</v>
      </c>
      <c r="AE8" t="s">
        <v>219</v>
      </c>
      <c r="AF8">
        <v>3</v>
      </c>
      <c r="AH8" t="s">
        <v>68</v>
      </c>
      <c r="AI8">
        <v>1.1499999999999999</v>
      </c>
      <c r="AJ8">
        <v>1.22</v>
      </c>
      <c r="AM8" s="124" t="s">
        <v>236</v>
      </c>
      <c r="AN8">
        <v>17</v>
      </c>
      <c r="AP8" t="s">
        <v>250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175</v>
      </c>
      <c r="R9" s="42" t="s">
        <v>106</v>
      </c>
      <c r="S9">
        <v>1</v>
      </c>
      <c r="U9" s="42" t="s">
        <v>186</v>
      </c>
      <c r="V9">
        <v>2</v>
      </c>
      <c r="X9" s="42" t="s">
        <v>195</v>
      </c>
      <c r="Z9" s="42" t="s">
        <v>198</v>
      </c>
      <c r="AA9">
        <v>1</v>
      </c>
      <c r="AH9" t="s">
        <v>221</v>
      </c>
      <c r="AI9">
        <v>1.1499999999999999</v>
      </c>
      <c r="AJ9">
        <v>1.2</v>
      </c>
      <c r="AM9" s="124" t="s">
        <v>237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174</v>
      </c>
      <c r="R10" s="43" t="s">
        <v>16</v>
      </c>
      <c r="S10">
        <v>1</v>
      </c>
      <c r="U10" s="43" t="s">
        <v>187</v>
      </c>
      <c r="V10">
        <v>3</v>
      </c>
      <c r="X10" s="43" t="s">
        <v>194</v>
      </c>
      <c r="Z10" s="42" t="s">
        <v>200</v>
      </c>
      <c r="AA10">
        <v>0.65</v>
      </c>
      <c r="AH10" t="s">
        <v>222</v>
      </c>
      <c r="AI10">
        <v>0.8</v>
      </c>
      <c r="AJ10">
        <v>0.83</v>
      </c>
      <c r="AM10" s="124" t="s">
        <v>238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211</v>
      </c>
      <c r="AA11">
        <v>0.3</v>
      </c>
      <c r="AH11" t="s">
        <v>223</v>
      </c>
      <c r="AI11">
        <v>1.17</v>
      </c>
      <c r="AJ11">
        <v>1.24</v>
      </c>
      <c r="AM11" s="124" t="s">
        <v>239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224</v>
      </c>
      <c r="AI12">
        <v>1.1599999999999999</v>
      </c>
      <c r="AJ12">
        <v>1.19</v>
      </c>
      <c r="AM12" s="124" t="s">
        <v>240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228</v>
      </c>
      <c r="AM13" s="124" t="s">
        <v>241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242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243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244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245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6" t="s">
        <v>201</v>
      </c>
      <c r="B1" s="146"/>
      <c r="C1" s="146"/>
      <c r="D1" s="146"/>
      <c r="E1" s="146"/>
      <c r="F1" s="146"/>
      <c r="H1" s="146" t="s">
        <v>202</v>
      </c>
      <c r="I1" s="146"/>
      <c r="J1" s="146"/>
      <c r="K1" s="146"/>
      <c r="L1" s="146"/>
      <c r="M1" s="146"/>
      <c r="O1" s="146" t="s">
        <v>203</v>
      </c>
      <c r="P1" s="146"/>
      <c r="Q1" s="146"/>
      <c r="R1" s="146"/>
      <c r="S1" s="146"/>
      <c r="T1" s="146"/>
      <c r="V1" s="146"/>
      <c r="W1" s="146"/>
      <c r="X1" s="146"/>
      <c r="Y1" s="146"/>
      <c r="Z1" s="146"/>
      <c r="AA1" s="146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2024-03-10T20:10:50Z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