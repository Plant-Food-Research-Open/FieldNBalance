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7779E54B-6EAC-4332-8CB8-FBDA88E4BA4E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ListMembers!$A$8:$A$37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Q6" i="3" l="1"/>
  <c r="P11" i="3"/>
  <c r="O16" i="3"/>
  <c r="N21" i="3"/>
  <c r="M26" i="3"/>
  <c r="N10" i="3"/>
  <c r="M15" i="3"/>
  <c r="L20" i="3"/>
  <c r="K25" i="3"/>
  <c r="J30" i="3"/>
  <c r="V34" i="3"/>
  <c r="U39" i="3"/>
  <c r="T44" i="3"/>
  <c r="S49" i="3"/>
  <c r="R54" i="3"/>
  <c r="N7" i="3"/>
  <c r="M12" i="3"/>
  <c r="L17" i="3"/>
  <c r="K22" i="3"/>
  <c r="J27" i="3"/>
  <c r="V31" i="3"/>
  <c r="U36" i="3"/>
  <c r="T41" i="3"/>
  <c r="S46" i="3"/>
  <c r="R51" i="3"/>
  <c r="Q56" i="3"/>
  <c r="M9" i="3"/>
  <c r="L14" i="3"/>
  <c r="K19" i="3"/>
  <c r="J24" i="3"/>
  <c r="V28" i="3"/>
  <c r="U33" i="3"/>
  <c r="T38" i="3"/>
  <c r="S43" i="3"/>
  <c r="R48" i="3"/>
  <c r="Q53" i="3"/>
  <c r="N6" i="3"/>
  <c r="M11" i="3"/>
  <c r="L16" i="3"/>
  <c r="K21" i="3"/>
  <c r="J26" i="3"/>
  <c r="V30" i="3"/>
  <c r="U35" i="3"/>
  <c r="T40" i="3"/>
  <c r="S45" i="3"/>
  <c r="R50" i="3"/>
  <c r="Q55" i="3"/>
  <c r="L11" i="3"/>
  <c r="M24" i="3"/>
  <c r="S34" i="3"/>
  <c r="Q44" i="3"/>
  <c r="O54" i="3"/>
  <c r="L61" i="3"/>
  <c r="K66" i="3"/>
  <c r="J71" i="3"/>
  <c r="V75" i="3"/>
  <c r="U80" i="3"/>
  <c r="T85" i="3"/>
  <c r="M16" i="3"/>
  <c r="R28" i="3"/>
  <c r="P38" i="3"/>
  <c r="N48" i="3"/>
  <c r="L58" i="3"/>
  <c r="K63" i="3"/>
  <c r="J68" i="3"/>
  <c r="V72" i="3"/>
  <c r="U77" i="3"/>
  <c r="T82" i="3"/>
  <c r="K18" i="3"/>
  <c r="V29" i="3"/>
  <c r="T39" i="3"/>
  <c r="R49" i="3"/>
  <c r="U58" i="3"/>
  <c r="T63" i="3"/>
  <c r="S68" i="3"/>
  <c r="R73" i="3"/>
  <c r="Q78" i="3"/>
  <c r="L18" i="3"/>
  <c r="M30" i="3"/>
  <c r="J12" i="3"/>
  <c r="N25" i="3"/>
  <c r="O35" i="3"/>
  <c r="M45" i="3"/>
  <c r="K55" i="3"/>
  <c r="Q61" i="3"/>
  <c r="O8" i="3"/>
  <c r="Y8" i="3" s="1"/>
  <c r="N13" i="3"/>
  <c r="M18" i="3"/>
  <c r="L23" i="3"/>
  <c r="M7" i="3"/>
  <c r="L12" i="3"/>
  <c r="K17" i="3"/>
  <c r="J22" i="3"/>
  <c r="V26" i="3"/>
  <c r="U31" i="3"/>
  <c r="T36" i="3"/>
  <c r="S41" i="3"/>
  <c r="R46" i="3"/>
  <c r="Q51" i="3"/>
  <c r="P56" i="3"/>
  <c r="L9" i="3"/>
  <c r="K14" i="3"/>
  <c r="J19" i="3"/>
  <c r="V23" i="3"/>
  <c r="U28" i="3"/>
  <c r="T33" i="3"/>
  <c r="S38" i="3"/>
  <c r="R43" i="3"/>
  <c r="Q48" i="3"/>
  <c r="P53" i="3"/>
  <c r="L6" i="3"/>
  <c r="K11" i="3"/>
  <c r="J16" i="3"/>
  <c r="V20" i="3"/>
  <c r="U25" i="3"/>
  <c r="T30" i="3"/>
  <c r="S35" i="3"/>
  <c r="R40" i="3"/>
  <c r="Q45" i="3"/>
  <c r="P50" i="3"/>
  <c r="O55" i="3"/>
  <c r="L8" i="3"/>
  <c r="K13" i="3"/>
  <c r="J18" i="3"/>
  <c r="V22" i="3"/>
  <c r="U27" i="3"/>
  <c r="T32" i="3"/>
  <c r="S37" i="3"/>
  <c r="R42" i="3"/>
  <c r="Q47" i="3"/>
  <c r="P52" i="3"/>
  <c r="O57" i="3"/>
  <c r="K16" i="3"/>
  <c r="Q28" i="3"/>
  <c r="O38" i="3"/>
  <c r="Y38" i="3" s="1"/>
  <c r="M48" i="3"/>
  <c r="K58" i="3"/>
  <c r="J63" i="3"/>
  <c r="V67" i="3"/>
  <c r="U72" i="3"/>
  <c r="T77" i="3"/>
  <c r="S82" i="3"/>
  <c r="K8" i="3"/>
  <c r="L21" i="3"/>
  <c r="N32" i="3"/>
  <c r="L42" i="3"/>
  <c r="J52" i="3"/>
  <c r="J60" i="3"/>
  <c r="V64" i="3"/>
  <c r="U69" i="3"/>
  <c r="T74" i="3"/>
  <c r="S79" i="3"/>
  <c r="V9" i="3"/>
  <c r="J23" i="3"/>
  <c r="R33" i="3"/>
  <c r="P43" i="3"/>
  <c r="N53" i="3"/>
  <c r="S60" i="3"/>
  <c r="R65" i="3"/>
  <c r="Q70" i="3"/>
  <c r="P75" i="3"/>
  <c r="K10" i="3"/>
  <c r="K23" i="3"/>
  <c r="V33" i="3"/>
  <c r="V16" i="3"/>
  <c r="M29" i="3"/>
  <c r="K39" i="3"/>
  <c r="V48" i="3"/>
  <c r="P58" i="3"/>
  <c r="O63" i="3"/>
  <c r="J9" i="3"/>
  <c r="V13" i="3"/>
  <c r="U18" i="3"/>
  <c r="T23" i="3"/>
  <c r="U7" i="3"/>
  <c r="T12" i="3"/>
  <c r="S17" i="3"/>
  <c r="R22" i="3"/>
  <c r="Q27" i="3"/>
  <c r="P32" i="3"/>
  <c r="O37" i="3"/>
  <c r="N42" i="3"/>
  <c r="M47" i="3"/>
  <c r="L52" i="3"/>
  <c r="K57" i="3"/>
  <c r="T9" i="3"/>
  <c r="S14" i="3"/>
  <c r="R19" i="3"/>
  <c r="Q24" i="3"/>
  <c r="P29" i="3"/>
  <c r="O34" i="3"/>
  <c r="Y34" i="3" s="1"/>
  <c r="N39" i="3"/>
  <c r="M44" i="3"/>
  <c r="L49" i="3"/>
  <c r="K54" i="3"/>
  <c r="T6" i="3"/>
  <c r="S11" i="3"/>
  <c r="R16" i="3"/>
  <c r="Q21" i="3"/>
  <c r="P26" i="3"/>
  <c r="O31" i="3"/>
  <c r="N36" i="3"/>
  <c r="M41" i="3"/>
  <c r="L46" i="3"/>
  <c r="K51" i="3"/>
  <c r="J56" i="3"/>
  <c r="T8" i="3"/>
  <c r="S13" i="3"/>
  <c r="R18" i="3"/>
  <c r="Q23" i="3"/>
  <c r="P28" i="3"/>
  <c r="O33" i="3"/>
  <c r="N38" i="3"/>
  <c r="M43" i="3"/>
  <c r="L48" i="3"/>
  <c r="K53" i="3"/>
  <c r="J58" i="3"/>
  <c r="Q17" i="3"/>
  <c r="T29" i="3"/>
  <c r="R39" i="3"/>
  <c r="P49" i="3"/>
  <c r="S58" i="3"/>
  <c r="R63" i="3"/>
  <c r="Q68" i="3"/>
  <c r="P73" i="3"/>
  <c r="O78" i="3"/>
  <c r="N83" i="3"/>
  <c r="Q9" i="3"/>
  <c r="U22" i="3"/>
  <c r="Q33" i="3"/>
  <c r="O43" i="3"/>
  <c r="Y43" i="3" s="1"/>
  <c r="M53" i="3"/>
  <c r="R60" i="3"/>
  <c r="Q65" i="3"/>
  <c r="P70" i="3"/>
  <c r="O75" i="3"/>
  <c r="N80" i="3"/>
  <c r="O11" i="3"/>
  <c r="Y11" i="3" s="1"/>
  <c r="S24" i="3"/>
  <c r="U34" i="3"/>
  <c r="S44" i="3"/>
  <c r="Q54" i="3"/>
  <c r="N61" i="3"/>
  <c r="M66" i="3"/>
  <c r="L71" i="3"/>
  <c r="K76" i="3"/>
  <c r="T11" i="3"/>
  <c r="U24" i="3"/>
  <c r="L35" i="3"/>
  <c r="S18" i="3"/>
  <c r="P30" i="3"/>
  <c r="N40" i="3"/>
  <c r="L50" i="3"/>
  <c r="K59" i="3"/>
  <c r="J64" i="3"/>
  <c r="L7" i="3"/>
  <c r="L15" i="3"/>
  <c r="Q22" i="3"/>
  <c r="S9" i="3"/>
  <c r="N18" i="3"/>
  <c r="S25" i="3"/>
  <c r="S33" i="3"/>
  <c r="K41" i="3"/>
  <c r="K49" i="3"/>
  <c r="S57" i="3"/>
  <c r="U12" i="3"/>
  <c r="U20" i="3"/>
  <c r="M28" i="3"/>
  <c r="M36" i="3"/>
  <c r="U44" i="3"/>
  <c r="M52" i="3"/>
  <c r="J8" i="3"/>
  <c r="O15" i="3"/>
  <c r="O23" i="3"/>
  <c r="J32" i="3"/>
  <c r="O39" i="3"/>
  <c r="O47" i="3"/>
  <c r="T54" i="3"/>
  <c r="R10" i="3"/>
  <c r="M19" i="3"/>
  <c r="R26" i="3"/>
  <c r="R34" i="3"/>
  <c r="J42" i="3"/>
  <c r="J50" i="3"/>
  <c r="M6" i="3"/>
  <c r="V25" i="3"/>
  <c r="K42" i="3"/>
  <c r="U56" i="3"/>
  <c r="P65" i="3"/>
  <c r="K74" i="3"/>
  <c r="P81" i="3"/>
  <c r="J13" i="3"/>
  <c r="K31" i="3"/>
  <c r="K47" i="3"/>
  <c r="M61" i="3"/>
  <c r="R68" i="3"/>
  <c r="R76" i="3"/>
  <c r="M8" i="3"/>
  <c r="S28" i="3"/>
  <c r="V45" i="3"/>
  <c r="P59" i="3"/>
  <c r="P67" i="3"/>
  <c r="U74" i="3"/>
  <c r="S16" i="3"/>
  <c r="K7" i="3"/>
  <c r="T26" i="3"/>
  <c r="T42" i="3"/>
  <c r="Q57" i="3"/>
  <c r="U65" i="3"/>
  <c r="T10" i="3"/>
  <c r="K40" i="3"/>
  <c r="V58" i="3"/>
  <c r="T68" i="3"/>
  <c r="U76" i="3"/>
  <c r="R83" i="3"/>
  <c r="V88" i="3"/>
  <c r="U93" i="3"/>
  <c r="T98" i="3"/>
  <c r="S103" i="3"/>
  <c r="R108" i="3"/>
  <c r="Q113" i="3"/>
  <c r="P118" i="3"/>
  <c r="O123" i="3"/>
  <c r="N128" i="3"/>
  <c r="M133" i="3"/>
  <c r="L138" i="3"/>
  <c r="K143" i="3"/>
  <c r="J148" i="3"/>
  <c r="V152" i="3"/>
  <c r="U157" i="3"/>
  <c r="T162" i="3"/>
  <c r="N35" i="3"/>
  <c r="J55" i="3"/>
  <c r="O66" i="3"/>
  <c r="Y66" i="3" s="1"/>
  <c r="J75" i="3"/>
  <c r="M82" i="3"/>
  <c r="T87" i="3"/>
  <c r="S92" i="3"/>
  <c r="R97" i="3"/>
  <c r="Q102" i="3"/>
  <c r="P107" i="3"/>
  <c r="O112" i="3"/>
  <c r="N117" i="3"/>
  <c r="M122" i="3"/>
  <c r="L127" i="3"/>
  <c r="K132" i="3"/>
  <c r="J137" i="3"/>
  <c r="V141" i="3"/>
  <c r="U146" i="3"/>
  <c r="T151" i="3"/>
  <c r="S156" i="3"/>
  <c r="R161" i="3"/>
  <c r="L29" i="3"/>
  <c r="M50" i="3"/>
  <c r="K64" i="3"/>
  <c r="L73" i="3"/>
  <c r="R80" i="3"/>
  <c r="R86" i="3"/>
  <c r="Q91" i="3"/>
  <c r="P96" i="3"/>
  <c r="O101" i="3"/>
  <c r="N106" i="3"/>
  <c r="M111" i="3"/>
  <c r="L116" i="3"/>
  <c r="K121" i="3"/>
  <c r="J126" i="3"/>
  <c r="V130" i="3"/>
  <c r="U135" i="3"/>
  <c r="T140" i="3"/>
  <c r="S145" i="3"/>
  <c r="R150" i="3"/>
  <c r="Q155" i="3"/>
  <c r="P160" i="3"/>
  <c r="T21" i="3"/>
  <c r="R45" i="3"/>
  <c r="S61" i="3"/>
  <c r="N71" i="3"/>
  <c r="L79" i="3"/>
  <c r="N85" i="3"/>
  <c r="O90" i="3"/>
  <c r="N95" i="3"/>
  <c r="M100" i="3"/>
  <c r="L105" i="3"/>
  <c r="K110" i="3"/>
  <c r="J115" i="3"/>
  <c r="V119" i="3"/>
  <c r="U124" i="3"/>
  <c r="T129" i="3"/>
  <c r="S134" i="3"/>
  <c r="R139" i="3"/>
  <c r="Q144" i="3"/>
  <c r="P149" i="3"/>
  <c r="Q36" i="3"/>
  <c r="M56" i="3"/>
  <c r="J67" i="3"/>
  <c r="Q75" i="3"/>
  <c r="Q82" i="3"/>
  <c r="K88" i="3"/>
  <c r="J93" i="3"/>
  <c r="V97" i="3"/>
  <c r="U102" i="3"/>
  <c r="T107" i="3"/>
  <c r="S112" i="3"/>
  <c r="R117" i="3"/>
  <c r="Q122" i="3"/>
  <c r="P127" i="3"/>
  <c r="O132" i="3"/>
  <c r="Y132" i="3" s="1"/>
  <c r="N137" i="3"/>
  <c r="M142" i="3"/>
  <c r="L147" i="3"/>
  <c r="K152" i="3"/>
  <c r="J157" i="3"/>
  <c r="V161" i="3"/>
  <c r="P51" i="3"/>
  <c r="S78" i="3"/>
  <c r="Q93" i="3"/>
  <c r="R106" i="3"/>
  <c r="R119" i="3"/>
  <c r="V132" i="3"/>
  <c r="J146" i="3"/>
  <c r="Q58" i="3"/>
  <c r="L81" i="3"/>
  <c r="O95" i="3"/>
  <c r="Y95" i="3" s="1"/>
  <c r="P108" i="3"/>
  <c r="P121" i="3"/>
  <c r="T7" i="3"/>
  <c r="T15" i="3"/>
  <c r="O24" i="3"/>
  <c r="V10" i="3"/>
  <c r="V18" i="3"/>
  <c r="N26" i="3"/>
  <c r="N34" i="3"/>
  <c r="V42" i="3"/>
  <c r="N50" i="3"/>
  <c r="K6" i="3"/>
  <c r="P13" i="3"/>
  <c r="P21" i="3"/>
  <c r="K30" i="3"/>
  <c r="P37" i="3"/>
  <c r="P45" i="3"/>
  <c r="U52" i="3"/>
  <c r="R8" i="3"/>
  <c r="M17" i="3"/>
  <c r="R24" i="3"/>
  <c r="R32" i="3"/>
  <c r="J40" i="3"/>
  <c r="J48" i="3"/>
  <c r="R56" i="3"/>
  <c r="U11" i="3"/>
  <c r="U19" i="3"/>
  <c r="M27" i="3"/>
  <c r="M35" i="3"/>
  <c r="U43" i="3"/>
  <c r="M51" i="3"/>
  <c r="S7" i="3"/>
  <c r="N27" i="3"/>
  <c r="N43" i="3"/>
  <c r="N59" i="3"/>
  <c r="S66" i="3"/>
  <c r="S74" i="3"/>
  <c r="K82" i="3"/>
  <c r="P14" i="3"/>
  <c r="T34" i="3"/>
  <c r="Q49" i="3"/>
  <c r="U61" i="3"/>
  <c r="M69" i="3"/>
  <c r="M77" i="3"/>
  <c r="L13" i="3"/>
  <c r="L31" i="3"/>
  <c r="L47" i="3"/>
  <c r="K60" i="3"/>
  <c r="K68" i="3"/>
  <c r="S76" i="3"/>
  <c r="V19" i="3"/>
  <c r="U8" i="3"/>
  <c r="J28" i="3"/>
  <c r="J44" i="3"/>
  <c r="S59" i="3"/>
  <c r="P66" i="3"/>
  <c r="R15" i="3"/>
  <c r="Q42" i="3"/>
  <c r="L60" i="3"/>
  <c r="J70" i="3"/>
  <c r="S77" i="3"/>
  <c r="N84" i="3"/>
  <c r="Q89" i="3"/>
  <c r="P94" i="3"/>
  <c r="O99" i="3"/>
  <c r="Y99" i="3" s="1"/>
  <c r="N104" i="3"/>
  <c r="M109" i="3"/>
  <c r="L114" i="3"/>
  <c r="K119" i="3"/>
  <c r="J124" i="3"/>
  <c r="V128" i="3"/>
  <c r="U133" i="3"/>
  <c r="T138" i="3"/>
  <c r="S143" i="3"/>
  <c r="R148" i="3"/>
  <c r="Q153" i="3"/>
  <c r="P158" i="3"/>
  <c r="P7" i="3"/>
  <c r="T37" i="3"/>
  <c r="P57" i="3"/>
  <c r="R9" i="3"/>
  <c r="J17" i="3"/>
  <c r="J25" i="3"/>
  <c r="Q11" i="3"/>
  <c r="Q19" i="3"/>
  <c r="L28" i="3"/>
  <c r="Q35" i="3"/>
  <c r="Q43" i="3"/>
  <c r="V50" i="3"/>
  <c r="S6" i="3"/>
  <c r="N15" i="3"/>
  <c r="S22" i="3"/>
  <c r="S30" i="3"/>
  <c r="K38" i="3"/>
  <c r="K46" i="3"/>
  <c r="S54" i="3"/>
  <c r="U9" i="3"/>
  <c r="U17" i="3"/>
  <c r="M25" i="3"/>
  <c r="M33" i="3"/>
  <c r="U41" i="3"/>
  <c r="M49" i="3"/>
  <c r="M57" i="3"/>
  <c r="P12" i="3"/>
  <c r="P20" i="3"/>
  <c r="K29" i="3"/>
  <c r="P36" i="3"/>
  <c r="P44" i="3"/>
  <c r="U51" i="3"/>
  <c r="P9" i="3"/>
  <c r="J31" i="3"/>
  <c r="T45" i="3"/>
  <c r="V59" i="3"/>
  <c r="N67" i="3"/>
  <c r="N75" i="3"/>
  <c r="V83" i="3"/>
  <c r="V17" i="3"/>
  <c r="J36" i="3"/>
  <c r="T50" i="3"/>
  <c r="P62" i="3"/>
  <c r="K71" i="3"/>
  <c r="P78" i="3"/>
  <c r="U14" i="3"/>
  <c r="O32" i="3"/>
  <c r="O48" i="3"/>
  <c r="V61" i="3"/>
  <c r="M10" i="3"/>
  <c r="R17" i="3"/>
  <c r="R25" i="3"/>
  <c r="O13" i="3"/>
  <c r="T20" i="3"/>
  <c r="T28" i="3"/>
  <c r="L36" i="3"/>
  <c r="L44" i="3"/>
  <c r="T52" i="3"/>
  <c r="V7" i="3"/>
  <c r="V15" i="3"/>
  <c r="N23" i="3"/>
  <c r="N31" i="3"/>
  <c r="V39" i="3"/>
  <c r="N47" i="3"/>
  <c r="N55" i="3"/>
  <c r="P10" i="3"/>
  <c r="P18" i="3"/>
  <c r="K27" i="3"/>
  <c r="P34" i="3"/>
  <c r="P42" i="3"/>
  <c r="U49" i="3"/>
  <c r="U57" i="3"/>
  <c r="N14" i="3"/>
  <c r="S21" i="3"/>
  <c r="S29" i="3"/>
  <c r="K37" i="3"/>
  <c r="K45" i="3"/>
  <c r="S53" i="3"/>
  <c r="R12" i="3"/>
  <c r="M32" i="3"/>
  <c r="J47" i="3"/>
  <c r="Q60" i="3"/>
  <c r="L69" i="3"/>
  <c r="Q76" i="3"/>
  <c r="Q84" i="3"/>
  <c r="O19" i="3"/>
  <c r="M37" i="3"/>
  <c r="P54" i="3"/>
  <c r="S63" i="3"/>
  <c r="S71" i="3"/>
  <c r="K79" i="3"/>
  <c r="N16" i="3"/>
  <c r="K36" i="3"/>
  <c r="U50" i="3"/>
  <c r="Q62" i="3"/>
  <c r="V69" i="3"/>
  <c r="V77" i="3"/>
  <c r="Q26" i="3"/>
  <c r="T13" i="3"/>
  <c r="V32" i="3"/>
  <c r="S47" i="3"/>
  <c r="V60" i="3"/>
  <c r="S67" i="3"/>
  <c r="K24" i="3"/>
  <c r="P47" i="3"/>
  <c r="R62" i="3"/>
  <c r="V71" i="3"/>
  <c r="Q79" i="3"/>
  <c r="S85" i="3"/>
  <c r="T90" i="3"/>
  <c r="S95" i="3"/>
  <c r="R100" i="3"/>
  <c r="Q105" i="3"/>
  <c r="P110" i="3"/>
  <c r="O115" i="3"/>
  <c r="Y115" i="3" s="1"/>
  <c r="N120" i="3"/>
  <c r="M125" i="3"/>
  <c r="L130" i="3"/>
  <c r="K135" i="3"/>
  <c r="J140" i="3"/>
  <c r="V144" i="3"/>
  <c r="U149" i="3"/>
  <c r="T154" i="3"/>
  <c r="S159" i="3"/>
  <c r="S15" i="3"/>
  <c r="S42" i="3"/>
  <c r="M60" i="3"/>
  <c r="K70" i="3"/>
  <c r="J78" i="3"/>
  <c r="O84" i="3"/>
  <c r="Y84" i="3" s="1"/>
  <c r="R89" i="3"/>
  <c r="Q94" i="3"/>
  <c r="P99" i="3"/>
  <c r="O104" i="3"/>
  <c r="N109" i="3"/>
  <c r="M114" i="3"/>
  <c r="L119" i="3"/>
  <c r="K124" i="3"/>
  <c r="J129" i="3"/>
  <c r="V133" i="3"/>
  <c r="U138" i="3"/>
  <c r="T143" i="3"/>
  <c r="S148" i="3"/>
  <c r="R153" i="3"/>
  <c r="Q158" i="3"/>
  <c r="R7" i="3"/>
  <c r="V37" i="3"/>
  <c r="R57" i="3"/>
  <c r="T67" i="3"/>
  <c r="L76" i="3"/>
  <c r="K83" i="3"/>
  <c r="P88" i="3"/>
  <c r="O93" i="3"/>
  <c r="N98" i="3"/>
  <c r="M103" i="3"/>
  <c r="L108" i="3"/>
  <c r="K113" i="3"/>
  <c r="J118" i="3"/>
  <c r="V122" i="3"/>
  <c r="U127" i="3"/>
  <c r="T132" i="3"/>
  <c r="S137" i="3"/>
  <c r="R142" i="3"/>
  <c r="Q147" i="3"/>
  <c r="P152" i="3"/>
  <c r="O157" i="3"/>
  <c r="N162" i="3"/>
  <c r="U32" i="3"/>
  <c r="J53" i="3"/>
  <c r="O65" i="3"/>
  <c r="Y65" i="3" s="1"/>
  <c r="N74" i="3"/>
  <c r="R81" i="3"/>
  <c r="N87" i="3"/>
  <c r="M92" i="3"/>
  <c r="L97" i="3"/>
  <c r="K102" i="3"/>
  <c r="J107" i="3"/>
  <c r="V111" i="3"/>
  <c r="U116" i="3"/>
  <c r="T121" i="3"/>
  <c r="S126" i="3"/>
  <c r="R131" i="3"/>
  <c r="Q136" i="3"/>
  <c r="P141" i="3"/>
  <c r="O146" i="3"/>
  <c r="Q18" i="3"/>
  <c r="V43" i="3"/>
  <c r="U60" i="3"/>
  <c r="R70" i="3"/>
  <c r="N78" i="3"/>
  <c r="T84" i="3"/>
  <c r="V89" i="3"/>
  <c r="U94" i="3"/>
  <c r="T99" i="3"/>
  <c r="S104" i="3"/>
  <c r="R109" i="3"/>
  <c r="Q114" i="3"/>
  <c r="P119" i="3"/>
  <c r="O124" i="3"/>
  <c r="N129" i="3"/>
  <c r="M134" i="3"/>
  <c r="L139" i="3"/>
  <c r="K144" i="3"/>
  <c r="J149" i="3"/>
  <c r="V153" i="3"/>
  <c r="U158" i="3"/>
  <c r="V8" i="3"/>
  <c r="S64" i="3"/>
  <c r="V84" i="3"/>
  <c r="P98" i="3"/>
  <c r="Q111" i="3"/>
  <c r="Q124" i="3"/>
  <c r="U137" i="3"/>
  <c r="M22" i="3"/>
  <c r="O68" i="3"/>
  <c r="J87" i="3"/>
  <c r="N100" i="3"/>
  <c r="O113" i="3"/>
  <c r="O126" i="3"/>
  <c r="Y126" i="3" s="1"/>
  <c r="U10" i="3"/>
  <c r="P19" i="3"/>
  <c r="J6" i="3"/>
  <c r="J14" i="3"/>
  <c r="O21" i="3"/>
  <c r="O29" i="3"/>
  <c r="J38" i="3"/>
  <c r="O45" i="3"/>
  <c r="Y45" i="3" s="1"/>
  <c r="O53" i="3"/>
  <c r="Y53" i="3" s="1"/>
  <c r="Q8" i="3"/>
  <c r="Q16" i="3"/>
  <c r="L25" i="3"/>
  <c r="Q32" i="3"/>
  <c r="Q40" i="3"/>
  <c r="V47" i="3"/>
  <c r="V55" i="3"/>
  <c r="N12" i="3"/>
  <c r="S19" i="3"/>
  <c r="S27" i="3"/>
  <c r="K35" i="3"/>
  <c r="K43" i="3"/>
  <c r="S51" i="3"/>
  <c r="V6" i="3"/>
  <c r="V14" i="3"/>
  <c r="N22" i="3"/>
  <c r="N30" i="3"/>
  <c r="V38" i="3"/>
  <c r="N46" i="3"/>
  <c r="N54" i="3"/>
  <c r="O14" i="3"/>
  <c r="P33" i="3"/>
  <c r="S50" i="3"/>
  <c r="T61" i="3"/>
  <c r="T69" i="3"/>
  <c r="L77" i="3"/>
  <c r="L85" i="3"/>
  <c r="N24" i="3"/>
  <c r="S39" i="3"/>
  <c r="S55" i="3"/>
  <c r="N64" i="3"/>
  <c r="N72" i="3"/>
  <c r="V80" i="3"/>
  <c r="T19" i="3"/>
  <c r="N37" i="3"/>
  <c r="K52" i="3"/>
  <c r="L63" i="3"/>
  <c r="T71" i="3"/>
  <c r="U6" i="3"/>
  <c r="T27" i="3"/>
  <c r="P15" i="3"/>
  <c r="L34" i="3"/>
  <c r="O51" i="3"/>
  <c r="L62" i="3"/>
  <c r="N68" i="3"/>
  <c r="K28" i="3"/>
  <c r="V49" i="3"/>
  <c r="U63" i="3"/>
  <c r="T72" i="3"/>
  <c r="P80" i="3"/>
  <c r="P86" i="3"/>
  <c r="O91" i="3"/>
  <c r="N96" i="3"/>
  <c r="M101" i="3"/>
  <c r="L106" i="3"/>
  <c r="K111" i="3"/>
  <c r="J116" i="3"/>
  <c r="V120" i="3"/>
  <c r="U125" i="3"/>
  <c r="T130" i="3"/>
  <c r="S135" i="3"/>
  <c r="R140" i="3"/>
  <c r="Q145" i="3"/>
  <c r="P150" i="3"/>
  <c r="O155" i="3"/>
  <c r="N160" i="3"/>
  <c r="Q20" i="3"/>
  <c r="L45" i="3"/>
  <c r="P61" i="3"/>
  <c r="V70" i="3"/>
  <c r="U78" i="3"/>
  <c r="K85" i="3"/>
  <c r="M90" i="3"/>
  <c r="L95" i="3"/>
  <c r="K100" i="3"/>
  <c r="J105" i="3"/>
  <c r="V109" i="3"/>
  <c r="U114" i="3"/>
  <c r="T119" i="3"/>
  <c r="S124" i="3"/>
  <c r="R129" i="3"/>
  <c r="Q134" i="3"/>
  <c r="P139" i="3"/>
  <c r="O144" i="3"/>
  <c r="N149" i="3"/>
  <c r="M154" i="3"/>
  <c r="L159" i="3"/>
  <c r="O12" i="3"/>
  <c r="Y12" i="3" s="1"/>
  <c r="O40" i="3"/>
  <c r="L59" i="3"/>
  <c r="J69" i="3"/>
  <c r="J77" i="3"/>
  <c r="T83" i="3"/>
  <c r="K89" i="3"/>
  <c r="J94" i="3"/>
  <c r="V98" i="3"/>
  <c r="U103" i="3"/>
  <c r="T108" i="3"/>
  <c r="S113" i="3"/>
  <c r="R118" i="3"/>
  <c r="Q123" i="3"/>
  <c r="P128" i="3"/>
  <c r="O133" i="3"/>
  <c r="Y133" i="3" s="1"/>
  <c r="N138" i="3"/>
  <c r="M143" i="3"/>
  <c r="L148" i="3"/>
  <c r="K153" i="3"/>
  <c r="J158" i="3"/>
  <c r="V162" i="3"/>
  <c r="T35" i="3"/>
  <c r="P55" i="3"/>
  <c r="R66" i="3"/>
  <c r="L75" i="3"/>
  <c r="O82" i="3"/>
  <c r="V87" i="3"/>
  <c r="U92" i="3"/>
  <c r="T97" i="3"/>
  <c r="S102" i="3"/>
  <c r="R107" i="3"/>
  <c r="Q112" i="3"/>
  <c r="P117" i="3"/>
  <c r="O122" i="3"/>
  <c r="N127" i="3"/>
  <c r="M132" i="3"/>
  <c r="L137" i="3"/>
  <c r="K142" i="3"/>
  <c r="J147" i="3"/>
  <c r="O22" i="3"/>
  <c r="Y22" i="3" s="1"/>
  <c r="O46" i="3"/>
  <c r="K62" i="3"/>
  <c r="P71" i="3"/>
  <c r="N79" i="3"/>
  <c r="P85" i="3"/>
  <c r="Q90" i="3"/>
  <c r="P95" i="3"/>
  <c r="O100" i="3"/>
  <c r="Y100" i="3" s="1"/>
  <c r="N105" i="3"/>
  <c r="M110" i="3"/>
  <c r="L115" i="3"/>
  <c r="K120" i="3"/>
  <c r="J125" i="3"/>
  <c r="V129" i="3"/>
  <c r="U134" i="3"/>
  <c r="K12" i="3"/>
  <c r="K20" i="3"/>
  <c r="R6" i="3"/>
  <c r="R14" i="3"/>
  <c r="M23" i="3"/>
  <c r="R30" i="3"/>
  <c r="R38" i="3"/>
  <c r="J46" i="3"/>
  <c r="J54" i="3"/>
  <c r="O10" i="3"/>
  <c r="T17" i="3"/>
  <c r="T25" i="3"/>
  <c r="L33" i="3"/>
  <c r="L41" i="3"/>
  <c r="T49" i="3"/>
  <c r="L57" i="3"/>
  <c r="V12" i="3"/>
  <c r="N20" i="3"/>
  <c r="N28" i="3"/>
  <c r="V36" i="3"/>
  <c r="N44" i="3"/>
  <c r="N52" i="3"/>
  <c r="Q7" i="3"/>
  <c r="Q15" i="3"/>
  <c r="Q14" i="3"/>
  <c r="V21" i="3"/>
  <c r="K9" i="3"/>
  <c r="P16" i="3"/>
  <c r="P24" i="3"/>
  <c r="K33" i="3"/>
  <c r="P40" i="3"/>
  <c r="P48" i="3"/>
  <c r="U55" i="3"/>
  <c r="R11" i="3"/>
  <c r="M20" i="3"/>
  <c r="R27" i="3"/>
  <c r="R35" i="3"/>
  <c r="J43" i="3"/>
  <c r="J51" i="3"/>
  <c r="O7" i="3"/>
  <c r="Y7" i="3" s="1"/>
  <c r="T14" i="3"/>
  <c r="T22" i="3"/>
  <c r="L30" i="3"/>
  <c r="L38" i="3"/>
  <c r="T46" i="3"/>
  <c r="L54" i="3"/>
  <c r="J10" i="3"/>
  <c r="O17" i="3"/>
  <c r="Y17" i="3" s="1"/>
  <c r="O25" i="3"/>
  <c r="Y25" i="3" s="1"/>
  <c r="J34" i="3"/>
  <c r="O41" i="3"/>
  <c r="O49" i="3"/>
  <c r="T56" i="3"/>
  <c r="P22" i="3"/>
  <c r="U40" i="3"/>
  <c r="R55" i="3"/>
  <c r="U64" i="3"/>
  <c r="M72" i="3"/>
  <c r="M80" i="3"/>
  <c r="N11" i="3"/>
  <c r="U29" i="3"/>
  <c r="U45" i="3"/>
  <c r="O59" i="3"/>
  <c r="Y59" i="3" s="1"/>
  <c r="O67" i="3"/>
  <c r="Y67" i="3" s="1"/>
  <c r="J76" i="3"/>
  <c r="P6" i="3"/>
  <c r="P27" i="3"/>
  <c r="M42" i="3"/>
  <c r="M58" i="3"/>
  <c r="U66" i="3"/>
  <c r="M74" i="3"/>
  <c r="J15" i="3"/>
  <c r="S32" i="3"/>
  <c r="R23" i="3"/>
  <c r="Q41" i="3"/>
  <c r="N56" i="3"/>
  <c r="M65" i="3"/>
  <c r="J7" i="3"/>
  <c r="R37" i="3"/>
  <c r="N57" i="3"/>
  <c r="Q67" i="3"/>
  <c r="T75" i="3"/>
  <c r="V82" i="3"/>
  <c r="N88" i="3"/>
  <c r="M93" i="3"/>
  <c r="L98" i="3"/>
  <c r="K103" i="3"/>
  <c r="J108" i="3"/>
  <c r="V112" i="3"/>
  <c r="U117" i="3"/>
  <c r="T122" i="3"/>
  <c r="S127" i="3"/>
  <c r="R132" i="3"/>
  <c r="Q137" i="3"/>
  <c r="P142" i="3"/>
  <c r="O147" i="3"/>
  <c r="Y147" i="3" s="1"/>
  <c r="N152" i="3"/>
  <c r="M157" i="3"/>
  <c r="L162" i="3"/>
  <c r="S12" i="3"/>
  <c r="M55" i="3"/>
  <c r="Q13" i="3"/>
  <c r="L24" i="3"/>
  <c r="V54" i="3"/>
  <c r="O62" i="3"/>
  <c r="Y62" i="3" s="1"/>
  <c r="K26" i="3"/>
  <c r="Q73" i="3"/>
  <c r="T55" i="3"/>
  <c r="N8" i="3"/>
  <c r="S31" i="3"/>
  <c r="R64" i="3"/>
  <c r="O52" i="3"/>
  <c r="Y52" i="3" s="1"/>
  <c r="T78" i="3"/>
  <c r="R92" i="3"/>
  <c r="T106" i="3"/>
  <c r="S119" i="3"/>
  <c r="J132" i="3"/>
  <c r="L146" i="3"/>
  <c r="K159" i="3"/>
  <c r="R47" i="3"/>
  <c r="U68" i="3"/>
  <c r="N81" i="3"/>
  <c r="U90" i="3"/>
  <c r="M98" i="3"/>
  <c r="M106" i="3"/>
  <c r="R113" i="3"/>
  <c r="R121" i="3"/>
  <c r="M130" i="3"/>
  <c r="R137" i="3"/>
  <c r="R145" i="3"/>
  <c r="J153" i="3"/>
  <c r="J161" i="3"/>
  <c r="S20" i="3"/>
  <c r="J11" i="3"/>
  <c r="L22" i="3"/>
  <c r="T24" i="3"/>
  <c r="L56" i="3"/>
  <c r="M64" i="3"/>
  <c r="O27" i="3"/>
  <c r="L74" i="3"/>
  <c r="J57" i="3"/>
  <c r="M13" i="3"/>
  <c r="R36" i="3"/>
  <c r="K67" i="3"/>
  <c r="U54" i="3"/>
  <c r="M81" i="3"/>
  <c r="K95" i="3"/>
  <c r="O107" i="3"/>
  <c r="Q121" i="3"/>
  <c r="P134" i="3"/>
  <c r="T146" i="3"/>
  <c r="V160" i="3"/>
  <c r="K50" i="3"/>
  <c r="J72" i="3"/>
  <c r="J83" i="3"/>
  <c r="P91" i="3"/>
  <c r="U98" i="3"/>
  <c r="U106" i="3"/>
  <c r="P115" i="3"/>
  <c r="U122" i="3"/>
  <c r="U130" i="3"/>
  <c r="M138" i="3"/>
  <c r="M146" i="3"/>
  <c r="U154" i="3"/>
  <c r="M162" i="3"/>
  <c r="N45" i="3"/>
  <c r="Q66" i="3"/>
  <c r="U79" i="3"/>
  <c r="S89" i="3"/>
  <c r="K97" i="3"/>
  <c r="K105" i="3"/>
  <c r="P112" i="3"/>
  <c r="P120" i="3"/>
  <c r="K129" i="3"/>
  <c r="P136" i="3"/>
  <c r="P144" i="3"/>
  <c r="U151" i="3"/>
  <c r="U159" i="3"/>
  <c r="M38" i="3"/>
  <c r="V62" i="3"/>
  <c r="K77" i="3"/>
  <c r="S86" i="3"/>
  <c r="S94" i="3"/>
  <c r="N103" i="3"/>
  <c r="S110" i="3"/>
  <c r="S118" i="3"/>
  <c r="K126" i="3"/>
  <c r="K134" i="3"/>
  <c r="S142" i="3"/>
  <c r="N9" i="3"/>
  <c r="N51" i="3"/>
  <c r="P69" i="3"/>
  <c r="T81" i="3"/>
  <c r="L91" i="3"/>
  <c r="Q98" i="3"/>
  <c r="Q106" i="3"/>
  <c r="V113" i="3"/>
  <c r="V121" i="3"/>
  <c r="Q130" i="3"/>
  <c r="V137" i="3"/>
  <c r="S144" i="3"/>
  <c r="U150" i="3"/>
  <c r="R157" i="3"/>
  <c r="L19" i="3"/>
  <c r="S73" i="3"/>
  <c r="J95" i="3"/>
  <c r="M113" i="3"/>
  <c r="P129" i="3"/>
  <c r="S147" i="3"/>
  <c r="O71" i="3"/>
  <c r="V91" i="3"/>
  <c r="L110" i="3"/>
  <c r="L128" i="3"/>
  <c r="L141" i="3"/>
  <c r="M153" i="3"/>
  <c r="K163" i="3"/>
  <c r="K168" i="3"/>
  <c r="U15" i="3"/>
  <c r="O26" i="3"/>
  <c r="Q37" i="3"/>
  <c r="L32" i="3"/>
  <c r="J21" i="3"/>
  <c r="R71" i="3"/>
  <c r="R44" i="3"/>
  <c r="L82" i="3"/>
  <c r="J65" i="3"/>
  <c r="J29" i="3"/>
  <c r="P46" i="3"/>
  <c r="Q69" i="3"/>
  <c r="K65" i="3"/>
  <c r="J85" i="3"/>
  <c r="Q97" i="3"/>
  <c r="S111" i="3"/>
  <c r="R124" i="3"/>
  <c r="V136" i="3"/>
  <c r="K151" i="3"/>
  <c r="V11" i="3"/>
  <c r="J59" i="3"/>
  <c r="V73" i="3"/>
  <c r="U85" i="3"/>
  <c r="N93" i="3"/>
  <c r="N101" i="3"/>
  <c r="S108" i="3"/>
  <c r="S116" i="3"/>
  <c r="N125" i="3"/>
  <c r="S132" i="3"/>
  <c r="S140" i="3"/>
  <c r="K148" i="3"/>
  <c r="K156" i="3"/>
  <c r="U16" i="3"/>
  <c r="S52" i="3"/>
  <c r="M71" i="3"/>
  <c r="N82" i="3"/>
  <c r="V90" i="3"/>
  <c r="Q99" i="3"/>
  <c r="V106" i="3"/>
  <c r="V114" i="3"/>
  <c r="N122" i="3"/>
  <c r="N130" i="3"/>
  <c r="V138" i="3"/>
  <c r="N146" i="3"/>
  <c r="N154" i="3"/>
  <c r="S161" i="3"/>
  <c r="L43" i="3"/>
  <c r="U67" i="3"/>
  <c r="V79" i="3"/>
  <c r="L89" i="3"/>
  <c r="Q96" i="3"/>
  <c r="Q104" i="3"/>
  <c r="L113" i="3"/>
  <c r="Q120" i="3"/>
  <c r="Q128" i="3"/>
  <c r="V135" i="3"/>
  <c r="V143" i="3"/>
  <c r="U26" i="3"/>
  <c r="O58" i="3"/>
  <c r="O73" i="3"/>
  <c r="K84" i="3"/>
  <c r="O92" i="3"/>
  <c r="J101" i="3"/>
  <c r="O108" i="3"/>
  <c r="Y108" i="3" s="1"/>
  <c r="O116" i="3"/>
  <c r="T123" i="3"/>
  <c r="T131" i="3"/>
  <c r="T139" i="3"/>
  <c r="V145" i="3"/>
  <c r="S152" i="3"/>
  <c r="P159" i="3"/>
  <c r="U38" i="3"/>
  <c r="K81" i="3"/>
  <c r="V99" i="3"/>
  <c r="P116" i="3"/>
  <c r="O134" i="3"/>
  <c r="U30" i="3"/>
  <c r="P76" i="3"/>
  <c r="U96" i="3"/>
  <c r="K115" i="3"/>
  <c r="N131" i="3"/>
  <c r="R144" i="3"/>
  <c r="S155" i="3"/>
  <c r="O164" i="3"/>
  <c r="N169" i="3"/>
  <c r="U23" i="3"/>
  <c r="J35" i="3"/>
  <c r="V44" i="3"/>
  <c r="Q39" i="3"/>
  <c r="V35" i="3"/>
  <c r="J79" i="3"/>
  <c r="V56" i="3"/>
  <c r="M21" i="3"/>
  <c r="N69" i="3"/>
  <c r="P31" i="3"/>
  <c r="R52" i="3"/>
  <c r="J20" i="3"/>
  <c r="N66" i="3"/>
  <c r="K87" i="3"/>
  <c r="J100" i="3"/>
  <c r="N112" i="3"/>
  <c r="P126" i="3"/>
  <c r="O139" i="3"/>
  <c r="Y139" i="3" s="1"/>
  <c r="S151" i="3"/>
  <c r="V24" i="3"/>
  <c r="S62" i="3"/>
  <c r="U75" i="3"/>
  <c r="Q86" i="3"/>
  <c r="V93" i="3"/>
  <c r="V101" i="3"/>
  <c r="P8" i="3"/>
  <c r="Q29" i="3"/>
  <c r="N19" i="3"/>
  <c r="V40" i="3"/>
  <c r="O64" i="3"/>
  <c r="U37" i="3"/>
  <c r="O61" i="3"/>
  <c r="V96" i="3"/>
  <c r="L122" i="3"/>
  <c r="M149" i="3"/>
  <c r="Q52" i="3"/>
  <c r="S83" i="3"/>
  <c r="S100" i="3"/>
  <c r="J113" i="3"/>
  <c r="Q126" i="3"/>
  <c r="K140" i="3"/>
  <c r="L151" i="3"/>
  <c r="R20" i="3"/>
  <c r="R61" i="3"/>
  <c r="V78" i="3"/>
  <c r="L92" i="3"/>
  <c r="J102" i="3"/>
  <c r="U111" i="3"/>
  <c r="L124" i="3"/>
  <c r="J134" i="3"/>
  <c r="U143" i="3"/>
  <c r="V154" i="3"/>
  <c r="N17" i="3"/>
  <c r="P60" i="3"/>
  <c r="S80" i="3"/>
  <c r="R91" i="3"/>
  <c r="P101" i="3"/>
  <c r="T113" i="3"/>
  <c r="R123" i="3"/>
  <c r="P133" i="3"/>
  <c r="L145" i="3"/>
  <c r="J39" i="3"/>
  <c r="M68" i="3"/>
  <c r="L86" i="3"/>
  <c r="K96" i="3"/>
  <c r="V105" i="3"/>
  <c r="J117" i="3"/>
  <c r="U126" i="3"/>
  <c r="S136" i="3"/>
  <c r="Q146" i="3"/>
  <c r="L155" i="3"/>
  <c r="L163" i="3"/>
  <c r="M83" i="3"/>
  <c r="U104" i="3"/>
  <c r="J128" i="3"/>
  <c r="L39" i="3"/>
  <c r="O85" i="3"/>
  <c r="S106" i="3"/>
  <c r="K133" i="3"/>
  <c r="Q149" i="3"/>
  <c r="U161" i="3"/>
  <c r="V169" i="3"/>
  <c r="U174" i="3"/>
  <c r="T179" i="3"/>
  <c r="S184" i="3"/>
  <c r="R189" i="3"/>
  <c r="Q194" i="3"/>
  <c r="P199" i="3"/>
  <c r="O204" i="3"/>
  <c r="Y204" i="3" s="1"/>
  <c r="N209" i="3"/>
  <c r="M214" i="3"/>
  <c r="S10" i="3"/>
  <c r="S65" i="3"/>
  <c r="Q85" i="3"/>
  <c r="S98" i="3"/>
  <c r="J112" i="3"/>
  <c r="K125" i="3"/>
  <c r="K138" i="3"/>
  <c r="V150" i="3"/>
  <c r="T160" i="3"/>
  <c r="V166" i="3"/>
  <c r="U171" i="3"/>
  <c r="T176" i="3"/>
  <c r="S181" i="3"/>
  <c r="R186" i="3"/>
  <c r="Q191" i="3"/>
  <c r="P196" i="3"/>
  <c r="O201" i="3"/>
  <c r="N206" i="3"/>
  <c r="U46" i="3"/>
  <c r="O77" i="3"/>
  <c r="P92" i="3"/>
  <c r="P105" i="3"/>
  <c r="T118" i="3"/>
  <c r="U131" i="3"/>
  <c r="U144" i="3"/>
  <c r="V155" i="3"/>
  <c r="Q164" i="3"/>
  <c r="P169" i="3"/>
  <c r="O174" i="3"/>
  <c r="N179" i="3"/>
  <c r="M184" i="3"/>
  <c r="L189" i="3"/>
  <c r="M14" i="3"/>
  <c r="J66" i="3"/>
  <c r="K86" i="3"/>
  <c r="M99" i="3"/>
  <c r="M112" i="3"/>
  <c r="Q125" i="3"/>
  <c r="R138" i="3"/>
  <c r="N151" i="3"/>
  <c r="L161" i="3"/>
  <c r="K167" i="3"/>
  <c r="J172" i="3"/>
  <c r="V41" i="3"/>
  <c r="M75" i="3"/>
  <c r="M91" i="3"/>
  <c r="M104" i="3"/>
  <c r="Q117" i="3"/>
  <c r="R130" i="3"/>
  <c r="R143" i="3"/>
  <c r="K155" i="3"/>
  <c r="K164" i="3"/>
  <c r="J169" i="3"/>
  <c r="V173" i="3"/>
  <c r="U178" i="3"/>
  <c r="T183" i="3"/>
  <c r="S188" i="3"/>
  <c r="R193" i="3"/>
  <c r="Q198" i="3"/>
  <c r="P203" i="3"/>
  <c r="O208" i="3"/>
  <c r="K106" i="3"/>
  <c r="J154" i="3"/>
  <c r="R171" i="3"/>
  <c r="L182" i="3"/>
  <c r="J192" i="3"/>
  <c r="N200" i="3"/>
  <c r="M208" i="3"/>
  <c r="V213" i="3"/>
  <c r="P219" i="3"/>
  <c r="O224" i="3"/>
  <c r="Y224" i="3" s="1"/>
  <c r="N229" i="3"/>
  <c r="M234" i="3"/>
  <c r="L239" i="3"/>
  <c r="K244" i="3"/>
  <c r="J249" i="3"/>
  <c r="V253" i="3"/>
  <c r="U258" i="3"/>
  <c r="T263" i="3"/>
  <c r="S268" i="3"/>
  <c r="R273" i="3"/>
  <c r="Q278" i="3"/>
  <c r="P283" i="3"/>
  <c r="O288" i="3"/>
  <c r="N293" i="3"/>
  <c r="M298" i="3"/>
  <c r="L303" i="3"/>
  <c r="K308" i="3"/>
  <c r="J313" i="3"/>
  <c r="V317" i="3"/>
  <c r="U322" i="3"/>
  <c r="R78" i="3"/>
  <c r="Q132" i="3"/>
  <c r="O165" i="3"/>
  <c r="Y165" i="3" s="1"/>
  <c r="Q177" i="3"/>
  <c r="O187" i="3"/>
  <c r="Y187" i="3" s="1"/>
  <c r="Q196" i="3"/>
  <c r="N204" i="3"/>
  <c r="M211" i="3"/>
  <c r="U216" i="3"/>
  <c r="J222" i="3"/>
  <c r="V226" i="3"/>
  <c r="U231" i="3"/>
  <c r="T236" i="3"/>
  <c r="S241" i="3"/>
  <c r="M31" i="3"/>
  <c r="V52" i="3"/>
  <c r="L37" i="3"/>
  <c r="T58" i="3"/>
  <c r="O72" i="3"/>
  <c r="Y72" i="3" s="1"/>
  <c r="U53" i="3"/>
  <c r="U70" i="3"/>
  <c r="U101" i="3"/>
  <c r="K127" i="3"/>
  <c r="L154" i="3"/>
  <c r="V63" i="3"/>
  <c r="L87" i="3"/>
  <c r="L103" i="3"/>
  <c r="K116" i="3"/>
  <c r="T127" i="3"/>
  <c r="N141" i="3"/>
  <c r="O152" i="3"/>
  <c r="P25" i="3"/>
  <c r="U62" i="3"/>
  <c r="O81" i="3"/>
  <c r="T92" i="3"/>
  <c r="R102" i="3"/>
  <c r="N114" i="3"/>
  <c r="T124" i="3"/>
  <c r="R134" i="3"/>
  <c r="K145" i="3"/>
  <c r="L156" i="3"/>
  <c r="Q25" i="3"/>
  <c r="L64" i="3"/>
  <c r="L83" i="3"/>
  <c r="P93" i="3"/>
  <c r="V103" i="3"/>
  <c r="O114" i="3"/>
  <c r="M124" i="3"/>
  <c r="N135" i="3"/>
  <c r="T145" i="3"/>
  <c r="P41" i="3"/>
  <c r="Q72" i="3"/>
  <c r="U86" i="3"/>
  <c r="S96" i="3"/>
  <c r="L107" i="3"/>
  <c r="M118" i="3"/>
  <c r="K128" i="3"/>
  <c r="Q138" i="3"/>
  <c r="T147" i="3"/>
  <c r="T155" i="3"/>
  <c r="Q30" i="3"/>
  <c r="V86" i="3"/>
  <c r="N108" i="3"/>
  <c r="M131" i="3"/>
  <c r="M46" i="3"/>
  <c r="T88" i="3"/>
  <c r="R111" i="3"/>
  <c r="T134" i="3"/>
  <c r="T150" i="3"/>
  <c r="T163" i="3"/>
  <c r="Q170" i="3"/>
  <c r="P175" i="3"/>
  <c r="O180" i="3"/>
  <c r="N185" i="3"/>
  <c r="M190" i="3"/>
  <c r="L195" i="3"/>
  <c r="K200" i="3"/>
  <c r="J205" i="3"/>
  <c r="V209" i="3"/>
  <c r="U214" i="3"/>
  <c r="P23" i="3"/>
  <c r="P68" i="3"/>
  <c r="O87" i="3"/>
  <c r="Y87" i="3" s="1"/>
  <c r="P100" i="3"/>
  <c r="P113" i="3"/>
  <c r="T126" i="3"/>
  <c r="U139" i="3"/>
  <c r="L152" i="3"/>
  <c r="J162" i="3"/>
  <c r="Q167" i="3"/>
  <c r="P172" i="3"/>
  <c r="O177" i="3"/>
  <c r="Y177" i="3" s="1"/>
  <c r="N182" i="3"/>
  <c r="M187" i="3"/>
  <c r="L192" i="3"/>
  <c r="K197" i="3"/>
  <c r="J202" i="3"/>
  <c r="V206" i="3"/>
  <c r="V53" i="3"/>
  <c r="P79" i="3"/>
  <c r="L94" i="3"/>
  <c r="M107" i="3"/>
  <c r="M120" i="3"/>
  <c r="Q133" i="3"/>
  <c r="R146" i="3"/>
  <c r="L157" i="3"/>
  <c r="L165" i="3"/>
  <c r="K170" i="3"/>
  <c r="J175" i="3"/>
  <c r="V179" i="3"/>
  <c r="U184" i="3"/>
  <c r="T189" i="3"/>
  <c r="S26" i="3"/>
  <c r="R69" i="3"/>
  <c r="R87" i="3"/>
  <c r="V100" i="3"/>
  <c r="J114" i="3"/>
  <c r="J127" i="3"/>
  <c r="N140" i="3"/>
  <c r="Q152" i="3"/>
  <c r="O162" i="3"/>
  <c r="S167" i="3"/>
  <c r="R172" i="3"/>
  <c r="J49" i="3"/>
  <c r="R77" i="3"/>
  <c r="V92" i="3"/>
  <c r="J106" i="3"/>
  <c r="J119" i="3"/>
  <c r="N132" i="3"/>
  <c r="O145" i="3"/>
  <c r="N156" i="3"/>
  <c r="S164" i="3"/>
  <c r="R169" i="3"/>
  <c r="Q174" i="3"/>
  <c r="P179" i="3"/>
  <c r="O184" i="3"/>
  <c r="N189" i="3"/>
  <c r="M194" i="3"/>
  <c r="L199" i="3"/>
  <c r="K204" i="3"/>
  <c r="P17" i="3"/>
  <c r="T112" i="3"/>
  <c r="U156" i="3"/>
  <c r="O173" i="3"/>
  <c r="O183" i="3"/>
  <c r="M193" i="3"/>
  <c r="M201" i="3"/>
  <c r="J209" i="3"/>
  <c r="R214" i="3"/>
  <c r="K220" i="3"/>
  <c r="J225" i="3"/>
  <c r="V229" i="3"/>
  <c r="U234" i="3"/>
  <c r="T239" i="3"/>
  <c r="S244" i="3"/>
  <c r="R249" i="3"/>
  <c r="Q254" i="3"/>
  <c r="P259" i="3"/>
  <c r="O264" i="3"/>
  <c r="N269" i="3"/>
  <c r="M274" i="3"/>
  <c r="L279" i="3"/>
  <c r="K284" i="3"/>
  <c r="J289" i="3"/>
  <c r="V293" i="3"/>
  <c r="U298" i="3"/>
  <c r="T303" i="3"/>
  <c r="S308" i="3"/>
  <c r="R313" i="3"/>
  <c r="Q318" i="3"/>
  <c r="P323" i="3"/>
  <c r="T86" i="3"/>
  <c r="M139" i="3"/>
  <c r="T166" i="3"/>
  <c r="T178" i="3"/>
  <c r="R188" i="3"/>
  <c r="P197" i="3"/>
  <c r="O205" i="3"/>
  <c r="V211" i="3"/>
  <c r="Q217" i="3"/>
  <c r="R222" i="3"/>
  <c r="Q227" i="3"/>
  <c r="P232" i="3"/>
  <c r="O237" i="3"/>
  <c r="M39" i="3"/>
  <c r="O9" i="3"/>
  <c r="V51" i="3"/>
  <c r="L66" i="3"/>
  <c r="J73" i="3"/>
  <c r="N60" i="3"/>
  <c r="U47" i="3"/>
  <c r="T16" i="3"/>
  <c r="L53" i="3"/>
  <c r="T66" i="3"/>
  <c r="N77" i="3"/>
  <c r="T62" i="3"/>
  <c r="V74" i="3"/>
  <c r="V104" i="3"/>
  <c r="O131" i="3"/>
  <c r="R156" i="3"/>
  <c r="R67" i="3"/>
  <c r="J89" i="3"/>
  <c r="R105" i="3"/>
  <c r="Q118" i="3"/>
  <c r="P131" i="3"/>
  <c r="L143" i="3"/>
  <c r="N157" i="3"/>
  <c r="P35" i="3"/>
  <c r="L70" i="3"/>
  <c r="M85" i="3"/>
  <c r="M95" i="3"/>
  <c r="S105" i="3"/>
  <c r="T116" i="3"/>
  <c r="R126" i="3"/>
  <c r="K137" i="3"/>
  <c r="T148" i="3"/>
  <c r="R158" i="3"/>
  <c r="S40" i="3"/>
  <c r="M70" i="3"/>
  <c r="R84" i="3"/>
  <c r="V95" i="3"/>
  <c r="O106" i="3"/>
  <c r="M116" i="3"/>
  <c r="V127" i="3"/>
  <c r="O138" i="3"/>
  <c r="M148" i="3"/>
  <c r="T53" i="3"/>
  <c r="O76" i="3"/>
  <c r="Y76" i="3" s="1"/>
  <c r="S88" i="3"/>
  <c r="L99" i="3"/>
  <c r="U110" i="3"/>
  <c r="S120" i="3"/>
  <c r="L131" i="3"/>
  <c r="J141" i="3"/>
  <c r="R149" i="3"/>
  <c r="M158" i="3"/>
  <c r="N58" i="3"/>
  <c r="K90" i="3"/>
  <c r="S114" i="3"/>
  <c r="N139" i="3"/>
  <c r="J62" i="3"/>
  <c r="S93" i="3"/>
  <c r="N118" i="3"/>
  <c r="J138" i="3"/>
  <c r="P154" i="3"/>
  <c r="R165" i="3"/>
  <c r="T171" i="3"/>
  <c r="S176" i="3"/>
  <c r="R181" i="3"/>
  <c r="Q186" i="3"/>
  <c r="P191" i="3"/>
  <c r="O196" i="3"/>
  <c r="Y196" i="3" s="1"/>
  <c r="N201" i="3"/>
  <c r="M206" i="3"/>
  <c r="L211" i="3"/>
  <c r="K216" i="3"/>
  <c r="P39" i="3"/>
  <c r="O74" i="3"/>
  <c r="R90" i="3"/>
  <c r="R103" i="3"/>
  <c r="V116" i="3"/>
  <c r="J130" i="3"/>
  <c r="J143" i="3"/>
  <c r="R154" i="3"/>
  <c r="U163" i="3"/>
  <c r="T168" i="3"/>
  <c r="S173" i="3"/>
  <c r="R178" i="3"/>
  <c r="Q183" i="3"/>
  <c r="P188" i="3"/>
  <c r="O193" i="3"/>
  <c r="N198" i="3"/>
  <c r="M203" i="3"/>
  <c r="L208" i="3"/>
  <c r="N62" i="3"/>
  <c r="J84" i="3"/>
  <c r="O97" i="3"/>
  <c r="Y97" i="3" s="1"/>
  <c r="O110" i="3"/>
  <c r="S123" i="3"/>
  <c r="T136" i="3"/>
  <c r="T149" i="3"/>
  <c r="R159" i="3"/>
  <c r="O166" i="3"/>
  <c r="Y166" i="3" s="1"/>
  <c r="N171" i="3"/>
  <c r="M176" i="3"/>
  <c r="L181" i="3"/>
  <c r="K186" i="3"/>
  <c r="J191" i="3"/>
  <c r="R41" i="3"/>
  <c r="R74" i="3"/>
  <c r="K91" i="3"/>
  <c r="L104" i="3"/>
  <c r="L117" i="3"/>
  <c r="P130" i="3"/>
  <c r="Q143" i="3"/>
  <c r="J155" i="3"/>
  <c r="J164" i="3"/>
  <c r="V168" i="3"/>
  <c r="U173" i="3"/>
  <c r="U59" i="3"/>
  <c r="P82" i="3"/>
  <c r="L96" i="3"/>
  <c r="L109" i="3"/>
  <c r="P122" i="3"/>
  <c r="Q135" i="3"/>
  <c r="Q148" i="3"/>
  <c r="T158" i="3"/>
  <c r="V165" i="3"/>
  <c r="U170" i="3"/>
  <c r="T175" i="3"/>
  <c r="S180" i="3"/>
  <c r="R185" i="3"/>
  <c r="Q190" i="3"/>
  <c r="P195" i="3"/>
  <c r="O200" i="3"/>
  <c r="Y200" i="3" s="1"/>
  <c r="N205" i="3"/>
  <c r="L67" i="3"/>
  <c r="T125" i="3"/>
  <c r="Q163" i="3"/>
  <c r="J176" i="3"/>
  <c r="U185" i="3"/>
  <c r="O195" i="3"/>
  <c r="N203" i="3"/>
  <c r="O210" i="3"/>
  <c r="Y210" i="3" s="1"/>
  <c r="J216" i="3"/>
  <c r="N221" i="3"/>
  <c r="M226" i="3"/>
  <c r="L231" i="3"/>
  <c r="K236" i="3"/>
  <c r="J241" i="3"/>
  <c r="V245" i="3"/>
  <c r="U250" i="3"/>
  <c r="T255" i="3"/>
  <c r="S260" i="3"/>
  <c r="R265" i="3"/>
  <c r="Q270" i="3"/>
  <c r="P275" i="3"/>
  <c r="O280" i="3"/>
  <c r="N285" i="3"/>
  <c r="M290" i="3"/>
  <c r="L295" i="3"/>
  <c r="K300" i="3"/>
  <c r="J305" i="3"/>
  <c r="V309" i="3"/>
  <c r="U314" i="3"/>
  <c r="T319" i="3"/>
  <c r="S324" i="3"/>
  <c r="U99" i="3"/>
  <c r="S150" i="3"/>
  <c r="N170" i="3"/>
  <c r="M181" i="3"/>
  <c r="K191" i="3"/>
  <c r="O199" i="3"/>
  <c r="N207" i="3"/>
  <c r="N213" i="3"/>
  <c r="V218" i="3"/>
  <c r="U223" i="3"/>
  <c r="T228" i="3"/>
  <c r="S233" i="3"/>
  <c r="R238" i="3"/>
  <c r="Q243" i="3"/>
  <c r="O18" i="3"/>
  <c r="Q31" i="3"/>
  <c r="O70" i="3"/>
  <c r="Y70" i="3" s="1"/>
  <c r="Q81" i="3"/>
  <c r="R21" i="3"/>
  <c r="V68" i="3"/>
  <c r="J82" i="3"/>
  <c r="U109" i="3"/>
  <c r="N136" i="3"/>
  <c r="Q161" i="3"/>
  <c r="K73" i="3"/>
  <c r="K92" i="3"/>
  <c r="K108" i="3"/>
  <c r="O120" i="3"/>
  <c r="N133" i="3"/>
  <c r="J145" i="3"/>
  <c r="V157" i="3"/>
  <c r="U42" i="3"/>
  <c r="K72" i="3"/>
  <c r="V85" i="3"/>
  <c r="U95" i="3"/>
  <c r="Q107" i="3"/>
  <c r="O117" i="3"/>
  <c r="M127" i="3"/>
  <c r="Q139" i="3"/>
  <c r="O149" i="3"/>
  <c r="M159" i="3"/>
  <c r="K48" i="3"/>
  <c r="L72" i="3"/>
  <c r="J86" i="3"/>
  <c r="O98" i="3"/>
  <c r="M108" i="3"/>
  <c r="K118" i="3"/>
  <c r="L129" i="3"/>
  <c r="J139" i="3"/>
  <c r="U148" i="3"/>
  <c r="R59" i="3"/>
  <c r="P77" i="3"/>
  <c r="N89" i="3"/>
  <c r="R101" i="3"/>
  <c r="P111" i="3"/>
  <c r="N121" i="3"/>
  <c r="J133" i="3"/>
  <c r="R141" i="3"/>
  <c r="M150" i="3"/>
  <c r="K160" i="3"/>
  <c r="K61" i="3"/>
  <c r="U91" i="3"/>
  <c r="L118" i="3"/>
  <c r="K141" i="3"/>
  <c r="T64" i="3"/>
  <c r="R98" i="3"/>
  <c r="J120" i="3"/>
  <c r="S139" i="3"/>
  <c r="V156" i="3"/>
  <c r="M166" i="3"/>
  <c r="O172" i="3"/>
  <c r="N177" i="3"/>
  <c r="M182" i="3"/>
  <c r="L187" i="3"/>
  <c r="K192" i="3"/>
  <c r="J197" i="3"/>
  <c r="V201" i="3"/>
  <c r="U206" i="3"/>
  <c r="T211" i="3"/>
  <c r="S216" i="3"/>
  <c r="Q46" i="3"/>
  <c r="T76" i="3"/>
  <c r="N92" i="3"/>
  <c r="O105" i="3"/>
  <c r="O118" i="3"/>
  <c r="S131" i="3"/>
  <c r="T144" i="3"/>
  <c r="U155" i="3"/>
  <c r="P164" i="3"/>
  <c r="O169" i="3"/>
  <c r="Y169" i="3" s="1"/>
  <c r="N174" i="3"/>
  <c r="M179" i="3"/>
  <c r="L184" i="3"/>
  <c r="K189" i="3"/>
  <c r="J194" i="3"/>
  <c r="V198" i="3"/>
  <c r="U203" i="3"/>
  <c r="R13" i="3"/>
  <c r="V65" i="3"/>
  <c r="R85" i="3"/>
  <c r="K99" i="3"/>
  <c r="L112" i="3"/>
  <c r="L125" i="3"/>
  <c r="P138" i="3"/>
  <c r="J151" i="3"/>
  <c r="U160" i="3"/>
  <c r="J167" i="3"/>
  <c r="V171" i="3"/>
  <c r="U176" i="3"/>
  <c r="T181" i="3"/>
  <c r="S186" i="3"/>
  <c r="R191" i="3"/>
  <c r="S48" i="3"/>
  <c r="Q77" i="3"/>
  <c r="Q92" i="3"/>
  <c r="U105" i="3"/>
  <c r="V118" i="3"/>
  <c r="V131" i="3"/>
  <c r="M145" i="3"/>
  <c r="M156" i="3"/>
  <c r="R164" i="3"/>
  <c r="Q169" i="3"/>
  <c r="P174" i="3"/>
  <c r="P63" i="3"/>
  <c r="M84" i="3"/>
  <c r="U97" i="3"/>
  <c r="V110" i="3"/>
  <c r="V123" i="3"/>
  <c r="M137" i="3"/>
  <c r="L150" i="3"/>
  <c r="J160" i="3"/>
  <c r="Q166" i="3"/>
  <c r="P171" i="3"/>
  <c r="O176" i="3"/>
  <c r="N181" i="3"/>
  <c r="M186" i="3"/>
  <c r="L191" i="3"/>
  <c r="K196" i="3"/>
  <c r="J201" i="3"/>
  <c r="V205" i="3"/>
  <c r="M78" i="3"/>
  <c r="P132" i="3"/>
  <c r="V164" i="3"/>
  <c r="M177" i="3"/>
  <c r="K187" i="3"/>
  <c r="N196" i="3"/>
  <c r="M204" i="3"/>
  <c r="K211" i="3"/>
  <c r="T216" i="3"/>
  <c r="V221" i="3"/>
  <c r="U226" i="3"/>
  <c r="T231" i="3"/>
  <c r="S236" i="3"/>
  <c r="R241" i="3"/>
  <c r="Q246" i="3"/>
  <c r="P251" i="3"/>
  <c r="O256" i="3"/>
  <c r="N261" i="3"/>
  <c r="M266" i="3"/>
  <c r="L271" i="3"/>
  <c r="K276" i="3"/>
  <c r="J281" i="3"/>
  <c r="V285" i="3"/>
  <c r="U290" i="3"/>
  <c r="T295" i="3"/>
  <c r="S300" i="3"/>
  <c r="R305" i="3"/>
  <c r="Q310" i="3"/>
  <c r="P315" i="3"/>
  <c r="O320" i="3"/>
  <c r="Y320" i="3" s="1"/>
  <c r="N325" i="3"/>
  <c r="P106" i="3"/>
  <c r="K154" i="3"/>
  <c r="S171" i="3"/>
  <c r="P182" i="3"/>
  <c r="N192" i="3"/>
  <c r="P200" i="3"/>
  <c r="N208" i="3"/>
  <c r="J214" i="3"/>
  <c r="Q219" i="3"/>
  <c r="P224" i="3"/>
  <c r="O229" i="3"/>
  <c r="N234" i="3"/>
  <c r="M239" i="3"/>
  <c r="O42" i="3"/>
  <c r="Y42" i="3" s="1"/>
  <c r="O6" i="3"/>
  <c r="Q34" i="3"/>
  <c r="R116" i="3"/>
  <c r="T31" i="3"/>
  <c r="O96" i="3"/>
  <c r="P123" i="3"/>
  <c r="V149" i="3"/>
  <c r="L55" i="3"/>
  <c r="U87" i="3"/>
  <c r="J110" i="3"/>
  <c r="Q131" i="3"/>
  <c r="M151" i="3"/>
  <c r="V57" i="3"/>
  <c r="T89" i="3"/>
  <c r="P109" i="3"/>
  <c r="J131" i="3"/>
  <c r="O30" i="3"/>
  <c r="Y30" i="3" s="1"/>
  <c r="J81" i="3"/>
  <c r="P103" i="3"/>
  <c r="R125" i="3"/>
  <c r="P143" i="3"/>
  <c r="N161" i="3"/>
  <c r="S101" i="3"/>
  <c r="M144" i="3"/>
  <c r="Q103" i="3"/>
  <c r="K146" i="3"/>
  <c r="P167" i="3"/>
  <c r="Q178" i="3"/>
  <c r="O188" i="3"/>
  <c r="M198" i="3"/>
  <c r="K208" i="3"/>
  <c r="V217" i="3"/>
  <c r="S81" i="3"/>
  <c r="Q108" i="3"/>
  <c r="V134" i="3"/>
  <c r="N158" i="3"/>
  <c r="R170" i="3"/>
  <c r="P180" i="3"/>
  <c r="N190" i="3"/>
  <c r="L200" i="3"/>
  <c r="K34" i="3"/>
  <c r="M89" i="3"/>
  <c r="N115" i="3"/>
  <c r="S141" i="3"/>
  <c r="N163" i="3"/>
  <c r="L173" i="3"/>
  <c r="J183" i="3"/>
  <c r="U192" i="3"/>
  <c r="V81" i="3"/>
  <c r="K109" i="3"/>
  <c r="O135" i="3"/>
  <c r="S158" i="3"/>
  <c r="T170" i="3"/>
  <c r="S69" i="3"/>
  <c r="K101" i="3"/>
  <c r="O127" i="3"/>
  <c r="Y127" i="3" s="1"/>
  <c r="R152" i="3"/>
  <c r="T167" i="3"/>
  <c r="R177" i="3"/>
  <c r="P187" i="3"/>
  <c r="N197" i="3"/>
  <c r="L207" i="3"/>
  <c r="P145" i="3"/>
  <c r="S179" i="3"/>
  <c r="O198" i="3"/>
  <c r="Y198" i="3" s="1"/>
  <c r="Q212" i="3"/>
  <c r="L223" i="3"/>
  <c r="J233" i="3"/>
  <c r="U242" i="3"/>
  <c r="S252" i="3"/>
  <c r="Q262" i="3"/>
  <c r="O272" i="3"/>
  <c r="Y272" i="3" s="1"/>
  <c r="M282" i="3"/>
  <c r="K292" i="3"/>
  <c r="V301" i="3"/>
  <c r="T311" i="3"/>
  <c r="R321" i="3"/>
  <c r="Q119" i="3"/>
  <c r="K175" i="3"/>
  <c r="P194" i="3"/>
  <c r="T209" i="3"/>
  <c r="T220" i="3"/>
  <c r="R230" i="3"/>
  <c r="P240" i="3"/>
  <c r="R246" i="3"/>
  <c r="Q251" i="3"/>
  <c r="P256" i="3"/>
  <c r="O261" i="3"/>
  <c r="Y261" i="3" s="1"/>
  <c r="N266" i="3"/>
  <c r="M271" i="3"/>
  <c r="L276" i="3"/>
  <c r="K281" i="3"/>
  <c r="J286" i="3"/>
  <c r="V290" i="3"/>
  <c r="U295" i="3"/>
  <c r="T300" i="3"/>
  <c r="S305" i="3"/>
  <c r="R310" i="3"/>
  <c r="Q315" i="3"/>
  <c r="P320" i="3"/>
  <c r="O325" i="3"/>
  <c r="V27" i="3"/>
  <c r="P114" i="3"/>
  <c r="T157" i="3"/>
  <c r="Q173" i="3"/>
  <c r="U183" i="3"/>
  <c r="S193" i="3"/>
  <c r="Q201" i="3"/>
  <c r="L209" i="3"/>
  <c r="T214" i="3"/>
  <c r="M220" i="3"/>
  <c r="L225" i="3"/>
  <c r="K230" i="3"/>
  <c r="J235" i="3"/>
  <c r="V239" i="3"/>
  <c r="U244" i="3"/>
  <c r="T249" i="3"/>
  <c r="S254" i="3"/>
  <c r="R259" i="3"/>
  <c r="Q264" i="3"/>
  <c r="P269" i="3"/>
  <c r="O274" i="3"/>
  <c r="N279" i="3"/>
  <c r="M284" i="3"/>
  <c r="L289" i="3"/>
  <c r="K294" i="3"/>
  <c r="J299" i="3"/>
  <c r="V303" i="3"/>
  <c r="U308" i="3"/>
  <c r="T313" i="3"/>
  <c r="S318" i="3"/>
  <c r="R323" i="3"/>
  <c r="Q328" i="3"/>
  <c r="Q101" i="3"/>
  <c r="R151" i="3"/>
  <c r="P170" i="3"/>
  <c r="P181" i="3"/>
  <c r="N191" i="3"/>
  <c r="S199" i="3"/>
  <c r="R207" i="3"/>
  <c r="P213" i="3"/>
  <c r="K219" i="3"/>
  <c r="J224" i="3"/>
  <c r="V228" i="3"/>
  <c r="U233" i="3"/>
  <c r="T238" i="3"/>
  <c r="S243" i="3"/>
  <c r="R248" i="3"/>
  <c r="Q253" i="3"/>
  <c r="P258" i="3"/>
  <c r="O50" i="3"/>
  <c r="Y50" i="3" s="1"/>
  <c r="L26" i="3"/>
  <c r="J45" i="3"/>
  <c r="I45" i="3" s="1" a="1"/>
  <c r="I45" i="3" s="1"/>
  <c r="M117" i="3"/>
  <c r="M40" i="3"/>
  <c r="J97" i="3"/>
  <c r="V125" i="3"/>
  <c r="Q150" i="3"/>
  <c r="O60" i="3"/>
  <c r="N90" i="3"/>
  <c r="R110" i="3"/>
  <c r="T57" i="3"/>
  <c r="Q38" i="3"/>
  <c r="U73" i="3"/>
  <c r="Q129" i="3"/>
  <c r="L65" i="3"/>
  <c r="T103" i="3"/>
  <c r="O128" i="3"/>
  <c r="P155" i="3"/>
  <c r="N65" i="3"/>
  <c r="R94" i="3"/>
  <c r="Q115" i="3"/>
  <c r="M135" i="3"/>
  <c r="T156" i="3"/>
  <c r="K69" i="3"/>
  <c r="K94" i="3"/>
  <c r="R115" i="3"/>
  <c r="T137" i="3"/>
  <c r="U48" i="3"/>
  <c r="P87" i="3"/>
  <c r="J109" i="3"/>
  <c r="S128" i="3"/>
  <c r="O148" i="3"/>
  <c r="Y148" i="3" s="1"/>
  <c r="O44" i="3"/>
  <c r="Y44" i="3" s="1"/>
  <c r="T109" i="3"/>
  <c r="T51" i="3"/>
  <c r="Q116" i="3"/>
  <c r="J152" i="3"/>
  <c r="L171" i="3"/>
  <c r="J181" i="3"/>
  <c r="U190" i="3"/>
  <c r="S200" i="3"/>
  <c r="Q210" i="3"/>
  <c r="J33" i="3"/>
  <c r="U88" i="3"/>
  <c r="M115" i="3"/>
  <c r="Q141" i="3"/>
  <c r="M163" i="3"/>
  <c r="K173" i="3"/>
  <c r="V182" i="3"/>
  <c r="T192" i="3"/>
  <c r="R202" i="3"/>
  <c r="Q59" i="3"/>
  <c r="R95" i="3"/>
  <c r="J122" i="3"/>
  <c r="N148" i="3"/>
  <c r="T165" i="3"/>
  <c r="R175" i="3"/>
  <c r="P185" i="3"/>
  <c r="M34" i="3"/>
  <c r="O89" i="3"/>
  <c r="S115" i="3"/>
  <c r="T141" i="3"/>
  <c r="O163" i="3"/>
  <c r="M173" i="3"/>
  <c r="L80" i="3"/>
  <c r="S107" i="3"/>
  <c r="T133" i="3"/>
  <c r="Q157" i="3"/>
  <c r="M170" i="3"/>
  <c r="K180" i="3"/>
  <c r="V189" i="3"/>
  <c r="T199" i="3"/>
  <c r="N49" i="3"/>
  <c r="M160" i="3"/>
  <c r="R184" i="3"/>
  <c r="N202" i="3"/>
  <c r="N215" i="3"/>
  <c r="R225" i="3"/>
  <c r="P235" i="3"/>
  <c r="N245" i="3"/>
  <c r="L255" i="3"/>
  <c r="J265" i="3"/>
  <c r="U274" i="3"/>
  <c r="S284" i="3"/>
  <c r="Q294" i="3"/>
  <c r="O304" i="3"/>
  <c r="M314" i="3"/>
  <c r="K324" i="3"/>
  <c r="U145" i="3"/>
  <c r="J180" i="3"/>
  <c r="P198" i="3"/>
  <c r="R212" i="3"/>
  <c r="M223" i="3"/>
  <c r="K233" i="3"/>
  <c r="N242" i="3"/>
  <c r="L40" i="3"/>
  <c r="J41" i="3"/>
  <c r="S87" i="3"/>
  <c r="M141" i="3"/>
  <c r="V76" i="3"/>
  <c r="Q110" i="3"/>
  <c r="L135" i="3"/>
  <c r="T159" i="3"/>
  <c r="J74" i="3"/>
  <c r="S97" i="3"/>
  <c r="M119" i="3"/>
  <c r="L140" i="3"/>
  <c r="K161" i="3"/>
  <c r="M73" i="3"/>
  <c r="J99" i="3"/>
  <c r="N119" i="3"/>
  <c r="M140" i="3"/>
  <c r="N63" i="3"/>
  <c r="T91" i="3"/>
  <c r="K112" i="3"/>
  <c r="R133" i="3"/>
  <c r="P151" i="3"/>
  <c r="L68" i="3"/>
  <c r="O121" i="3"/>
  <c r="T73" i="3"/>
  <c r="M123" i="3"/>
  <c r="L158" i="3"/>
  <c r="J173" i="3"/>
  <c r="U182" i="3"/>
  <c r="S192" i="3"/>
  <c r="Q202" i="3"/>
  <c r="O212" i="3"/>
  <c r="R53" i="3"/>
  <c r="T93" i="3"/>
  <c r="L120" i="3"/>
  <c r="P146" i="3"/>
  <c r="K165" i="3"/>
  <c r="V174" i="3"/>
  <c r="T184" i="3"/>
  <c r="R194" i="3"/>
  <c r="P204" i="3"/>
  <c r="O69" i="3"/>
  <c r="Y69" i="3" s="1"/>
  <c r="Q100" i="3"/>
  <c r="V126" i="3"/>
  <c r="M152" i="3"/>
  <c r="R167" i="3"/>
  <c r="P177" i="3"/>
  <c r="N187" i="3"/>
  <c r="M54" i="3"/>
  <c r="N94" i="3"/>
  <c r="R120" i="3"/>
  <c r="S146" i="3"/>
  <c r="M165" i="3"/>
  <c r="K15" i="3"/>
  <c r="M86" i="3"/>
  <c r="R112" i="3"/>
  <c r="S138" i="3"/>
  <c r="M161" i="3"/>
  <c r="K172" i="3"/>
  <c r="V181" i="3"/>
  <c r="T191" i="3"/>
  <c r="R201" i="3"/>
  <c r="N86" i="3"/>
  <c r="S166" i="3"/>
  <c r="N188" i="3"/>
  <c r="M205" i="3"/>
  <c r="P217" i="3"/>
  <c r="P227" i="3"/>
  <c r="N237" i="3"/>
  <c r="L247" i="3"/>
  <c r="J257" i="3"/>
  <c r="U266" i="3"/>
  <c r="S276" i="3"/>
  <c r="Q286" i="3"/>
  <c r="O296" i="3"/>
  <c r="Y296" i="3" s="1"/>
  <c r="M306" i="3"/>
  <c r="K316" i="3"/>
  <c r="T18" i="3"/>
  <c r="S157" i="3"/>
  <c r="S183" i="3"/>
  <c r="P201" i="3"/>
  <c r="S214" i="3"/>
  <c r="K225" i="3"/>
  <c r="V234" i="3"/>
  <c r="V242" i="3"/>
  <c r="P248" i="3"/>
  <c r="O253" i="3"/>
  <c r="N258" i="3"/>
  <c r="V46" i="3"/>
  <c r="Q10" i="3"/>
  <c r="L90" i="3"/>
  <c r="U141" i="3"/>
  <c r="T79" i="3"/>
  <c r="L111" i="3"/>
  <c r="T135" i="3"/>
  <c r="O160" i="3"/>
  <c r="K75" i="3"/>
  <c r="L100" i="3"/>
  <c r="U119" i="3"/>
  <c r="O141" i="3"/>
  <c r="S8" i="3"/>
  <c r="M76" i="3"/>
  <c r="R99" i="3"/>
  <c r="L121" i="3"/>
  <c r="U140" i="3"/>
  <c r="Q64" i="3"/>
  <c r="R93" i="3"/>
  <c r="N113" i="3"/>
  <c r="P135" i="3"/>
  <c r="N153" i="3"/>
  <c r="T70" i="3"/>
  <c r="K123" i="3"/>
  <c r="M79" i="3"/>
  <c r="V124" i="3"/>
  <c r="O159" i="3"/>
  <c r="R173" i="3"/>
  <c r="P183" i="3"/>
  <c r="N193" i="3"/>
  <c r="L203" i="3"/>
  <c r="J213" i="3"/>
  <c r="R58" i="3"/>
  <c r="Q95" i="3"/>
  <c r="U121" i="3"/>
  <c r="V147" i="3"/>
  <c r="S165" i="3"/>
  <c r="Q175" i="3"/>
  <c r="O185" i="3"/>
  <c r="M195" i="3"/>
  <c r="K205" i="3"/>
  <c r="U71" i="3"/>
  <c r="N102" i="3"/>
  <c r="R128" i="3"/>
  <c r="P153" i="3"/>
  <c r="M168" i="3"/>
  <c r="K178" i="3"/>
  <c r="V187" i="3"/>
  <c r="T59" i="3"/>
  <c r="J96" i="3"/>
  <c r="K122" i="3"/>
  <c r="P148" i="3"/>
  <c r="U165" i="3"/>
  <c r="L27" i="3"/>
  <c r="J88" i="3"/>
  <c r="K114" i="3"/>
  <c r="P140" i="3"/>
  <c r="P162" i="3"/>
  <c r="S172" i="3"/>
  <c r="Q182" i="3"/>
  <c r="O192" i="3"/>
  <c r="M202" i="3"/>
  <c r="K93" i="3"/>
  <c r="P168" i="3"/>
  <c r="Q189" i="3"/>
  <c r="L206" i="3"/>
  <c r="L218" i="3"/>
  <c r="K228" i="3"/>
  <c r="V237" i="3"/>
  <c r="T247" i="3"/>
  <c r="R257" i="3"/>
  <c r="P267" i="3"/>
  <c r="N277" i="3"/>
  <c r="L287" i="3"/>
  <c r="J297" i="3"/>
  <c r="U306" i="3"/>
  <c r="S316" i="3"/>
  <c r="L51" i="3"/>
  <c r="Q160" i="3"/>
  <c r="V184" i="3"/>
  <c r="O202" i="3"/>
  <c r="Y202" i="3" s="1"/>
  <c r="O215" i="3"/>
  <c r="Y215" i="3" s="1"/>
  <c r="S225" i="3"/>
  <c r="Q235" i="3"/>
  <c r="L244" i="3"/>
  <c r="K249" i="3"/>
  <c r="J254" i="3"/>
  <c r="V258" i="3"/>
  <c r="U263" i="3"/>
  <c r="T268" i="3"/>
  <c r="S273" i="3"/>
  <c r="R278" i="3"/>
  <c r="Q283" i="3"/>
  <c r="P288" i="3"/>
  <c r="O293" i="3"/>
  <c r="N298" i="3"/>
  <c r="M303" i="3"/>
  <c r="L308" i="3"/>
  <c r="K313" i="3"/>
  <c r="J318" i="3"/>
  <c r="V322" i="3"/>
  <c r="U327" i="3"/>
  <c r="L88" i="3"/>
  <c r="Q140" i="3"/>
  <c r="M167" i="3"/>
  <c r="V178" i="3"/>
  <c r="T188" i="3"/>
  <c r="Q197" i="3"/>
  <c r="P205" i="3"/>
  <c r="J212" i="3"/>
  <c r="R217" i="3"/>
  <c r="S222" i="3"/>
  <c r="R227" i="3"/>
  <c r="Q232" i="3"/>
  <c r="P237" i="3"/>
  <c r="O242" i="3"/>
  <c r="N247" i="3"/>
  <c r="M252" i="3"/>
  <c r="L257" i="3"/>
  <c r="K262" i="3"/>
  <c r="J267" i="3"/>
  <c r="T48" i="3"/>
  <c r="T114" i="3"/>
  <c r="V117" i="3"/>
  <c r="K78" i="3"/>
  <c r="S129" i="3"/>
  <c r="Q50" i="3"/>
  <c r="U108" i="3"/>
  <c r="U13" i="3"/>
  <c r="M102" i="3"/>
  <c r="U142" i="3"/>
  <c r="T96" i="3"/>
  <c r="T101" i="3"/>
  <c r="U166" i="3"/>
  <c r="T187" i="3"/>
  <c r="P207" i="3"/>
  <c r="O79" i="3"/>
  <c r="Y79" i="3" s="1"/>
  <c r="L133" i="3"/>
  <c r="J170" i="3"/>
  <c r="S189" i="3"/>
  <c r="S23" i="3"/>
  <c r="U113" i="3"/>
  <c r="K162" i="3"/>
  <c r="O182" i="3"/>
  <c r="J80" i="3"/>
  <c r="S133" i="3"/>
  <c r="L170" i="3"/>
  <c r="N99" i="3"/>
  <c r="O151" i="3"/>
  <c r="J177" i="3"/>
  <c r="S196" i="3"/>
  <c r="K139" i="3"/>
  <c r="O197" i="3"/>
  <c r="Q222" i="3"/>
  <c r="M242" i="3"/>
  <c r="V261" i="3"/>
  <c r="R281" i="3"/>
  <c r="N301" i="3"/>
  <c r="J321" i="3"/>
  <c r="P173" i="3"/>
  <c r="K209" i="3"/>
  <c r="J230" i="3"/>
  <c r="J246" i="3"/>
  <c r="R254" i="3"/>
  <c r="J262" i="3"/>
  <c r="L268" i="3"/>
  <c r="V274" i="3"/>
  <c r="S281" i="3"/>
  <c r="U287" i="3"/>
  <c r="R294" i="3"/>
  <c r="O301" i="3"/>
  <c r="Y301" i="3" s="1"/>
  <c r="Q307" i="3"/>
  <c r="N314" i="3"/>
  <c r="K321" i="3"/>
  <c r="M327" i="3"/>
  <c r="L101" i="3"/>
  <c r="O161" i="3"/>
  <c r="S177" i="3"/>
  <c r="M191" i="3"/>
  <c r="P202" i="3"/>
  <c r="N211" i="3"/>
  <c r="J219" i="3"/>
  <c r="T225" i="3"/>
  <c r="V231" i="3"/>
  <c r="S238" i="3"/>
  <c r="P245" i="3"/>
  <c r="R251" i="3"/>
  <c r="O258" i="3"/>
  <c r="L265" i="3"/>
  <c r="N271" i="3"/>
  <c r="U276" i="3"/>
  <c r="O282" i="3"/>
  <c r="V287" i="3"/>
  <c r="P293" i="3"/>
  <c r="R299" i="3"/>
  <c r="L305" i="3"/>
  <c r="S310" i="3"/>
  <c r="M316" i="3"/>
  <c r="T321" i="3"/>
  <c r="N327" i="3"/>
  <c r="V94" i="3"/>
  <c r="M155" i="3"/>
  <c r="J174" i="3"/>
  <c r="L185" i="3"/>
  <c r="S195" i="3"/>
  <c r="R204" i="3"/>
  <c r="K212" i="3"/>
  <c r="O218" i="3"/>
  <c r="R224" i="3"/>
  <c r="L230" i="3"/>
  <c r="S235" i="3"/>
  <c r="M241" i="3"/>
  <c r="T246" i="3"/>
  <c r="N252" i="3"/>
  <c r="U257" i="3"/>
  <c r="O263" i="3"/>
  <c r="N268" i="3"/>
  <c r="M273" i="3"/>
  <c r="L278" i="3"/>
  <c r="J90" i="3"/>
  <c r="O142" i="3"/>
  <c r="U167" i="3"/>
  <c r="O179" i="3"/>
  <c r="M189" i="3"/>
  <c r="J198" i="3"/>
  <c r="U205" i="3"/>
  <c r="M212" i="3"/>
  <c r="U217" i="3"/>
  <c r="V222" i="3"/>
  <c r="U227" i="3"/>
  <c r="T232" i="3"/>
  <c r="S237" i="3"/>
  <c r="R242" i="3"/>
  <c r="Q247" i="3"/>
  <c r="P252" i="3"/>
  <c r="O257" i="3"/>
  <c r="N262" i="3"/>
  <c r="M267" i="3"/>
  <c r="L272" i="3"/>
  <c r="K277" i="3"/>
  <c r="J282" i="3"/>
  <c r="V286" i="3"/>
  <c r="U291" i="3"/>
  <c r="T296" i="3"/>
  <c r="S301" i="3"/>
  <c r="R306" i="3"/>
  <c r="Q311" i="3"/>
  <c r="P316" i="3"/>
  <c r="O321" i="3"/>
  <c r="N326" i="3"/>
  <c r="J98" i="3"/>
  <c r="L177" i="3"/>
  <c r="T201" i="3"/>
  <c r="S218" i="3"/>
  <c r="S231" i="3"/>
  <c r="J245" i="3"/>
  <c r="K258" i="3"/>
  <c r="K271" i="3"/>
  <c r="N283" i="3"/>
  <c r="L293" i="3"/>
  <c r="J303" i="3"/>
  <c r="U312" i="3"/>
  <c r="S322" i="3"/>
  <c r="R330" i="3"/>
  <c r="Q335" i="3"/>
  <c r="P340" i="3"/>
  <c r="O345" i="3"/>
  <c r="Y345" i="3" s="1"/>
  <c r="N350" i="3"/>
  <c r="M355" i="3"/>
  <c r="L360" i="3"/>
  <c r="K365" i="3"/>
  <c r="J370" i="3"/>
  <c r="V374" i="3"/>
  <c r="U379" i="3"/>
  <c r="T384" i="3"/>
  <c r="S389" i="3"/>
  <c r="R394" i="3"/>
  <c r="Q399" i="3"/>
  <c r="P404" i="3"/>
  <c r="O409" i="3"/>
  <c r="N414" i="3"/>
  <c r="M419" i="3"/>
  <c r="L424" i="3"/>
  <c r="K429" i="3"/>
  <c r="J434" i="3"/>
  <c r="V438" i="3"/>
  <c r="U443" i="3"/>
  <c r="T448" i="3"/>
  <c r="S453" i="3"/>
  <c r="R458" i="3"/>
  <c r="Q463" i="3"/>
  <c r="P468" i="3"/>
  <c r="O473" i="3"/>
  <c r="N150" i="3"/>
  <c r="S187" i="3"/>
  <c r="Q209" i="3"/>
  <c r="S223" i="3"/>
  <c r="J237" i="3"/>
  <c r="K250" i="3"/>
  <c r="K263" i="3"/>
  <c r="O276" i="3"/>
  <c r="K287" i="3"/>
  <c r="V296" i="3"/>
  <c r="T306" i="3"/>
  <c r="R316" i="3"/>
  <c r="O326" i="3"/>
  <c r="Y326" i="3" s="1"/>
  <c r="Q332" i="3"/>
  <c r="P337" i="3"/>
  <c r="O342" i="3"/>
  <c r="N347" i="3"/>
  <c r="M352" i="3"/>
  <c r="L357" i="3"/>
  <c r="K362" i="3"/>
  <c r="J367" i="3"/>
  <c r="V371" i="3"/>
  <c r="U376" i="3"/>
  <c r="T381" i="3"/>
  <c r="S386" i="3"/>
  <c r="R391" i="3"/>
  <c r="Q396" i="3"/>
  <c r="P401" i="3"/>
  <c r="O406" i="3"/>
  <c r="Y406" i="3" s="1"/>
  <c r="N411" i="3"/>
  <c r="M416" i="3"/>
  <c r="L421" i="3"/>
  <c r="K426" i="3"/>
  <c r="J431" i="3"/>
  <c r="V435" i="3"/>
  <c r="U440" i="3"/>
  <c r="T445" i="3"/>
  <c r="S450" i="3"/>
  <c r="R455" i="3"/>
  <c r="Q460" i="3"/>
  <c r="P465" i="3"/>
  <c r="T117" i="3"/>
  <c r="Q181" i="3"/>
  <c r="V204" i="3"/>
  <c r="R220" i="3"/>
  <c r="V233" i="3"/>
  <c r="J247" i="3"/>
  <c r="J260" i="3"/>
  <c r="N273" i="3"/>
  <c r="V284" i="3"/>
  <c r="T294" i="3"/>
  <c r="R304" i="3"/>
  <c r="P314" i="3"/>
  <c r="N324" i="3"/>
  <c r="O331" i="3"/>
  <c r="Y331" i="3" s="1"/>
  <c r="N336" i="3"/>
  <c r="M341" i="3"/>
  <c r="L346" i="3"/>
  <c r="K351" i="3"/>
  <c r="J356" i="3"/>
  <c r="V360" i="3"/>
  <c r="U365" i="3"/>
  <c r="T370" i="3"/>
  <c r="S375" i="3"/>
  <c r="R380" i="3"/>
  <c r="Q385" i="3"/>
  <c r="P390" i="3"/>
  <c r="O395" i="3"/>
  <c r="Y395" i="3" s="1"/>
  <c r="N400" i="3"/>
  <c r="M405" i="3"/>
  <c r="L410" i="3"/>
  <c r="K415" i="3"/>
  <c r="J420" i="3"/>
  <c r="V424" i="3"/>
  <c r="U429" i="3"/>
  <c r="T434" i="3"/>
  <c r="S439" i="3"/>
  <c r="R444" i="3"/>
  <c r="U84" i="3"/>
  <c r="O175" i="3"/>
  <c r="J200" i="3"/>
  <c r="O217" i="3"/>
  <c r="U230" i="3"/>
  <c r="V243" i="3"/>
  <c r="V256" i="3"/>
  <c r="M270" i="3"/>
  <c r="Q282" i="3"/>
  <c r="O292" i="3"/>
  <c r="M302" i="3"/>
  <c r="K312" i="3"/>
  <c r="V321" i="3"/>
  <c r="M330" i="3"/>
  <c r="L335" i="3"/>
  <c r="K340" i="3"/>
  <c r="J345" i="3"/>
  <c r="V349" i="3"/>
  <c r="U354" i="3"/>
  <c r="T359" i="3"/>
  <c r="S364" i="3"/>
  <c r="R369" i="3"/>
  <c r="P64" i="3"/>
  <c r="N172" i="3"/>
  <c r="K198" i="3"/>
  <c r="V215" i="3"/>
  <c r="R229" i="3"/>
  <c r="S242" i="3"/>
  <c r="S255" i="3"/>
  <c r="J269" i="3"/>
  <c r="Q281" i="3"/>
  <c r="O291" i="3"/>
  <c r="Y291" i="3" s="1"/>
  <c r="M301" i="3"/>
  <c r="K311" i="3"/>
  <c r="V320" i="3"/>
  <c r="T329" i="3"/>
  <c r="S334" i="3"/>
  <c r="R339" i="3"/>
  <c r="Q344" i="3"/>
  <c r="P349" i="3"/>
  <c r="O354" i="3"/>
  <c r="R79" i="3"/>
  <c r="N144" i="3"/>
  <c r="J121" i="3"/>
  <c r="P84" i="3"/>
  <c r="L132" i="3"/>
  <c r="M59" i="3"/>
  <c r="N111" i="3"/>
  <c r="N33" i="3"/>
  <c r="K104" i="3"/>
  <c r="N145" i="3"/>
  <c r="O103" i="3"/>
  <c r="M105" i="3"/>
  <c r="S168" i="3"/>
  <c r="J189" i="3"/>
  <c r="S208" i="3"/>
  <c r="Q83" i="3"/>
  <c r="R136" i="3"/>
  <c r="M171" i="3"/>
  <c r="V190" i="3"/>
  <c r="N41" i="3"/>
  <c r="K117" i="3"/>
  <c r="V163" i="3"/>
  <c r="R183" i="3"/>
  <c r="L84" i="3"/>
  <c r="U136" i="3"/>
  <c r="O171" i="3"/>
  <c r="T102" i="3"/>
  <c r="U153" i="3"/>
  <c r="M178" i="3"/>
  <c r="V197" i="3"/>
  <c r="O150" i="3"/>
  <c r="Y150" i="3" s="1"/>
  <c r="N199" i="3"/>
  <c r="T223" i="3"/>
  <c r="P243" i="3"/>
  <c r="L263" i="3"/>
  <c r="U282" i="3"/>
  <c r="Q302" i="3"/>
  <c r="M322" i="3"/>
  <c r="N176" i="3"/>
  <c r="P210" i="3"/>
  <c r="M231" i="3"/>
  <c r="M247" i="3"/>
  <c r="M255" i="3"/>
  <c r="R262" i="3"/>
  <c r="O269" i="3"/>
  <c r="Y269" i="3" s="1"/>
  <c r="Q275" i="3"/>
  <c r="N282" i="3"/>
  <c r="K289" i="3"/>
  <c r="M295" i="3"/>
  <c r="J302" i="3"/>
  <c r="T308" i="3"/>
  <c r="V314" i="3"/>
  <c r="S321" i="3"/>
  <c r="P328" i="3"/>
  <c r="U107" i="3"/>
  <c r="S163" i="3"/>
  <c r="L180" i="3"/>
  <c r="P192" i="3"/>
  <c r="Q203" i="3"/>
  <c r="S212" i="3"/>
  <c r="R219" i="3"/>
  <c r="O226" i="3"/>
  <c r="Y226" i="3" s="1"/>
  <c r="L233" i="3"/>
  <c r="N239" i="3"/>
  <c r="K246" i="3"/>
  <c r="U252" i="3"/>
  <c r="J259" i="3"/>
  <c r="T265" i="3"/>
  <c r="V271" i="3"/>
  <c r="P277" i="3"/>
  <c r="J283" i="3"/>
  <c r="Q288" i="3"/>
  <c r="S294" i="3"/>
  <c r="M300" i="3"/>
  <c r="T305" i="3"/>
  <c r="N311" i="3"/>
  <c r="U316" i="3"/>
  <c r="O322" i="3"/>
  <c r="Y322" i="3" s="1"/>
  <c r="V327" i="3"/>
  <c r="V107" i="3"/>
  <c r="K158" i="3"/>
  <c r="N175" i="3"/>
  <c r="O186" i="3"/>
  <c r="T196" i="3"/>
  <c r="Q205" i="3"/>
  <c r="T212" i="3"/>
  <c r="S219" i="3"/>
  <c r="M225" i="3"/>
  <c r="T230" i="3"/>
  <c r="N236" i="3"/>
  <c r="U241" i="3"/>
  <c r="O247" i="3"/>
  <c r="V252" i="3"/>
  <c r="K259" i="3"/>
  <c r="J264" i="3"/>
  <c r="V268" i="3"/>
  <c r="U273" i="3"/>
  <c r="T278" i="3"/>
  <c r="R96" i="3"/>
  <c r="K149" i="3"/>
  <c r="M169" i="3"/>
  <c r="R180" i="3"/>
  <c r="P190" i="3"/>
  <c r="J199" i="3"/>
  <c r="T206" i="3"/>
  <c r="V212" i="3"/>
  <c r="R218" i="3"/>
  <c r="Q223" i="3"/>
  <c r="P228" i="3"/>
  <c r="O233" i="3"/>
  <c r="Y233" i="3" s="1"/>
  <c r="N238" i="3"/>
  <c r="M243" i="3"/>
  <c r="L248" i="3"/>
  <c r="K253" i="3"/>
  <c r="J258" i="3"/>
  <c r="V262" i="3"/>
  <c r="U267" i="3"/>
  <c r="T272" i="3"/>
  <c r="S277" i="3"/>
  <c r="R282" i="3"/>
  <c r="Q287" i="3"/>
  <c r="P292" i="3"/>
  <c r="O297" i="3"/>
  <c r="N302" i="3"/>
  <c r="M307" i="3"/>
  <c r="L312" i="3"/>
  <c r="K317" i="3"/>
  <c r="J322" i="3"/>
  <c r="V326" i="3"/>
  <c r="V115" i="3"/>
  <c r="T180" i="3"/>
  <c r="L204" i="3"/>
  <c r="O220" i="3"/>
  <c r="P233" i="3"/>
  <c r="P246" i="3"/>
  <c r="T259" i="3"/>
  <c r="U272" i="3"/>
  <c r="Q284" i="3"/>
  <c r="O294" i="3"/>
  <c r="M304" i="3"/>
  <c r="K314" i="3"/>
  <c r="V323" i="3"/>
  <c r="M331" i="3"/>
  <c r="L336" i="3"/>
  <c r="K341" i="3"/>
  <c r="J346" i="3"/>
  <c r="V350" i="3"/>
  <c r="U355" i="3"/>
  <c r="T360" i="3"/>
  <c r="S365" i="3"/>
  <c r="R370" i="3"/>
  <c r="Q375" i="3"/>
  <c r="P380" i="3"/>
  <c r="O385" i="3"/>
  <c r="N390" i="3"/>
  <c r="M395" i="3"/>
  <c r="L400" i="3"/>
  <c r="K405" i="3"/>
  <c r="J410" i="3"/>
  <c r="V414" i="3"/>
  <c r="U419" i="3"/>
  <c r="T424" i="3"/>
  <c r="S429" i="3"/>
  <c r="R434" i="3"/>
  <c r="Q439" i="3"/>
  <c r="P444" i="3"/>
  <c r="O449" i="3"/>
  <c r="Y449" i="3" s="1"/>
  <c r="N454" i="3"/>
  <c r="M459" i="3"/>
  <c r="L464" i="3"/>
  <c r="O86" i="3"/>
  <c r="J156" i="3"/>
  <c r="O136" i="3"/>
  <c r="M87" i="3"/>
  <c r="J142" i="3"/>
  <c r="L78" i="3"/>
  <c r="J123" i="3"/>
  <c r="T65" i="3"/>
  <c r="T115" i="3"/>
  <c r="Q154" i="3"/>
  <c r="N126" i="3"/>
  <c r="U129" i="3"/>
  <c r="M174" i="3"/>
  <c r="V193" i="3"/>
  <c r="R213" i="3"/>
  <c r="M97" i="3"/>
  <c r="S149" i="3"/>
  <c r="L176" i="3"/>
  <c r="U195" i="3"/>
  <c r="Q74" i="3"/>
  <c r="K130" i="3"/>
  <c r="U168" i="3"/>
  <c r="Q188" i="3"/>
  <c r="P97" i="3"/>
  <c r="K150" i="3"/>
  <c r="O36" i="3"/>
  <c r="U115" i="3"/>
  <c r="P163" i="3"/>
  <c r="L183" i="3"/>
  <c r="U202" i="3"/>
  <c r="U169" i="3"/>
  <c r="M207" i="3"/>
  <c r="S228" i="3"/>
  <c r="O248" i="3"/>
  <c r="K268" i="3"/>
  <c r="T287" i="3"/>
  <c r="P307" i="3"/>
  <c r="M67" i="3"/>
  <c r="L186" i="3"/>
  <c r="L216" i="3"/>
  <c r="L236" i="3"/>
  <c r="U247" i="3"/>
  <c r="U255" i="3"/>
  <c r="M263" i="3"/>
  <c r="J270" i="3"/>
  <c r="T276" i="3"/>
  <c r="V282" i="3"/>
  <c r="S289" i="3"/>
  <c r="P296" i="3"/>
  <c r="O20" i="3"/>
  <c r="O28" i="3"/>
  <c r="Q142" i="3"/>
  <c r="T100" i="3"/>
  <c r="V146" i="3"/>
  <c r="U83" i="3"/>
  <c r="P125" i="3"/>
  <c r="P74" i="3"/>
  <c r="U118" i="3"/>
  <c r="O156" i="3"/>
  <c r="Y156" i="3" s="1"/>
  <c r="L136" i="3"/>
  <c r="M136" i="3"/>
  <c r="K176" i="3"/>
  <c r="T195" i="3"/>
  <c r="P215" i="3"/>
  <c r="L102" i="3"/>
  <c r="O153" i="3"/>
  <c r="J178" i="3"/>
  <c r="S197" i="3"/>
  <c r="U81" i="3"/>
  <c r="J135" i="3"/>
  <c r="S170" i="3"/>
  <c r="O190" i="3"/>
  <c r="O102" i="3"/>
  <c r="T153" i="3"/>
  <c r="K56" i="3"/>
  <c r="T120" i="3"/>
  <c r="N165" i="3"/>
  <c r="J185" i="3"/>
  <c r="S204" i="3"/>
  <c r="T174" i="3"/>
  <c r="S209" i="3"/>
  <c r="Q230" i="3"/>
  <c r="M250" i="3"/>
  <c r="V269" i="3"/>
  <c r="R289" i="3"/>
  <c r="N309" i="3"/>
  <c r="L93" i="3"/>
  <c r="U189" i="3"/>
  <c r="M218" i="3"/>
  <c r="J238" i="3"/>
  <c r="S249" i="3"/>
  <c r="K257" i="3"/>
  <c r="P264" i="3"/>
  <c r="R270" i="3"/>
  <c r="O277" i="3"/>
  <c r="L284" i="3"/>
  <c r="N290" i="3"/>
  <c r="K297" i="3"/>
  <c r="U303" i="3"/>
  <c r="J310" i="3"/>
  <c r="T316" i="3"/>
  <c r="Q323" i="3"/>
  <c r="S329" i="3"/>
  <c r="Q127" i="3"/>
  <c r="R168" i="3"/>
  <c r="R182" i="3"/>
  <c r="R195" i="3"/>
  <c r="P206" i="3"/>
  <c r="K214" i="3"/>
  <c r="P221" i="3"/>
  <c r="M228" i="3"/>
  <c r="O234" i="3"/>
  <c r="L241" i="3"/>
  <c r="V247" i="3"/>
  <c r="K254" i="3"/>
  <c r="U260" i="3"/>
  <c r="R267" i="3"/>
  <c r="L273" i="3"/>
  <c r="S278" i="3"/>
  <c r="U284" i="3"/>
  <c r="O290" i="3"/>
  <c r="V295" i="3"/>
  <c r="P301" i="3"/>
  <c r="J307" i="3"/>
  <c r="Q312" i="3"/>
  <c r="K318" i="3"/>
  <c r="M324" i="3"/>
  <c r="R29" i="3"/>
  <c r="M121" i="3"/>
  <c r="L164" i="3"/>
  <c r="T177" i="3"/>
  <c r="U188" i="3"/>
  <c r="S198" i="3"/>
  <c r="Q208" i="3"/>
  <c r="V214" i="3"/>
  <c r="V220" i="3"/>
  <c r="P226" i="3"/>
  <c r="J232" i="3"/>
  <c r="Q237" i="3"/>
  <c r="K243" i="3"/>
  <c r="M249" i="3"/>
  <c r="T254" i="3"/>
  <c r="N260" i="3"/>
  <c r="M265" i="3"/>
  <c r="L270" i="3"/>
  <c r="K275" i="3"/>
  <c r="J280" i="3"/>
  <c r="S109" i="3"/>
  <c r="R155" i="3"/>
  <c r="T172" i="3"/>
  <c r="K183" i="3"/>
  <c r="V192" i="3"/>
  <c r="V200" i="3"/>
  <c r="T208" i="3"/>
  <c r="O214" i="3"/>
  <c r="Y214" i="3" s="1"/>
  <c r="U219" i="3"/>
  <c r="T224" i="3"/>
  <c r="S229" i="3"/>
  <c r="R234" i="3"/>
  <c r="Q239" i="3"/>
  <c r="P244" i="3"/>
  <c r="O249" i="3"/>
  <c r="N254" i="3"/>
  <c r="M259" i="3"/>
  <c r="L264" i="3"/>
  <c r="K269" i="3"/>
  <c r="J274" i="3"/>
  <c r="V278" i="3"/>
  <c r="U283" i="3"/>
  <c r="T288" i="3"/>
  <c r="S293" i="3"/>
  <c r="R298" i="3"/>
  <c r="Q303" i="3"/>
  <c r="P308" i="3"/>
  <c r="O313" i="3"/>
  <c r="N318" i="3"/>
  <c r="M323" i="3"/>
  <c r="L328" i="3"/>
  <c r="L149" i="3"/>
  <c r="J187" i="3"/>
  <c r="O209" i="3"/>
  <c r="Y209" i="3" s="1"/>
  <c r="R223" i="3"/>
  <c r="R236" i="3"/>
  <c r="V249" i="3"/>
  <c r="J263" i="3"/>
  <c r="J276" i="3"/>
  <c r="J287" i="3"/>
  <c r="U296" i="3"/>
  <c r="S306" i="3"/>
  <c r="Q316" i="3"/>
  <c r="M326" i="3"/>
  <c r="P332" i="3"/>
  <c r="O337" i="3"/>
  <c r="N342" i="3"/>
  <c r="M347" i="3"/>
  <c r="L352" i="3"/>
  <c r="K357" i="3"/>
  <c r="J362" i="3"/>
  <c r="V366" i="3"/>
  <c r="U371" i="3"/>
  <c r="T376" i="3"/>
  <c r="S381" i="3"/>
  <c r="R386" i="3"/>
  <c r="Q391" i="3"/>
  <c r="P396" i="3"/>
  <c r="O401" i="3"/>
  <c r="N406" i="3"/>
  <c r="M411" i="3"/>
  <c r="L416" i="3"/>
  <c r="K421" i="3"/>
  <c r="J426" i="3"/>
  <c r="V430" i="3"/>
  <c r="U435" i="3"/>
  <c r="T440" i="3"/>
  <c r="S445" i="3"/>
  <c r="R450" i="3"/>
  <c r="Q455" i="3"/>
  <c r="P460" i="3"/>
  <c r="O465" i="3"/>
  <c r="Y465" i="3" s="1"/>
  <c r="N470" i="3"/>
  <c r="T43" i="3"/>
  <c r="T169" i="3"/>
  <c r="U196" i="3"/>
  <c r="L215" i="3"/>
  <c r="R228" i="3"/>
  <c r="V241" i="3"/>
  <c r="J255" i="3"/>
  <c r="J268" i="3"/>
  <c r="V280" i="3"/>
  <c r="T290" i="3"/>
  <c r="R300" i="3"/>
  <c r="P310" i="3"/>
  <c r="N320" i="3"/>
  <c r="N329" i="3"/>
  <c r="O334" i="3"/>
  <c r="Y334" i="3" s="1"/>
  <c r="N339" i="3"/>
  <c r="M344" i="3"/>
  <c r="L349" i="3"/>
  <c r="K354" i="3"/>
  <c r="J359" i="3"/>
  <c r="V363" i="3"/>
  <c r="U368" i="3"/>
  <c r="T373" i="3"/>
  <c r="S378" i="3"/>
  <c r="R383" i="3"/>
  <c r="Q388" i="3"/>
  <c r="P393" i="3"/>
  <c r="O398" i="3"/>
  <c r="N403" i="3"/>
  <c r="M408" i="3"/>
  <c r="L413" i="3"/>
  <c r="K418" i="3"/>
  <c r="J423" i="3"/>
  <c r="V427" i="3"/>
  <c r="U432" i="3"/>
  <c r="T437" i="3"/>
  <c r="S442" i="3"/>
  <c r="R447" i="3"/>
  <c r="Q452" i="3"/>
  <c r="P457" i="3"/>
  <c r="O462" i="3"/>
  <c r="Y462" i="3" s="1"/>
  <c r="N467" i="3"/>
  <c r="L160" i="3"/>
  <c r="O191" i="3"/>
  <c r="R211" i="3"/>
  <c r="Q225" i="3"/>
  <c r="U238" i="3"/>
  <c r="V251" i="3"/>
  <c r="V264" i="3"/>
  <c r="M278" i="3"/>
  <c r="R288" i="3"/>
  <c r="P298" i="3"/>
  <c r="N308" i="3"/>
  <c r="L318" i="3"/>
  <c r="P327" i="3"/>
  <c r="M333" i="3"/>
  <c r="L338" i="3"/>
  <c r="K343" i="3"/>
  <c r="J348" i="3"/>
  <c r="V352" i="3"/>
  <c r="U357" i="3"/>
  <c r="T362" i="3"/>
  <c r="S367" i="3"/>
  <c r="R372" i="3"/>
  <c r="Q377" i="3"/>
  <c r="P382" i="3"/>
  <c r="O387" i="3"/>
  <c r="N392" i="3"/>
  <c r="M397" i="3"/>
  <c r="L402" i="3"/>
  <c r="K407" i="3"/>
  <c r="J412" i="3"/>
  <c r="V416" i="3"/>
  <c r="U421" i="3"/>
  <c r="T426" i="3"/>
  <c r="S431" i="3"/>
  <c r="R436" i="3"/>
  <c r="Q441" i="3"/>
  <c r="P446" i="3"/>
  <c r="P137" i="3"/>
  <c r="M185" i="3"/>
  <c r="V207" i="3"/>
  <c r="P222" i="3"/>
  <c r="T235" i="3"/>
  <c r="U248" i="3"/>
  <c r="U261" i="3"/>
  <c r="L275" i="3"/>
  <c r="M286" i="3"/>
  <c r="K296" i="3"/>
  <c r="V305" i="3"/>
  <c r="T315" i="3"/>
  <c r="R325" i="3"/>
  <c r="K332" i="3"/>
  <c r="J337" i="3"/>
  <c r="V341" i="3"/>
  <c r="U346" i="3"/>
  <c r="T351" i="3"/>
  <c r="S356" i="3"/>
  <c r="R361" i="3"/>
  <c r="Q366" i="3"/>
  <c r="P371" i="3"/>
  <c r="P124" i="3"/>
  <c r="T182" i="3"/>
  <c r="J206" i="3"/>
  <c r="M221" i="3"/>
  <c r="Q234" i="3"/>
  <c r="R247" i="3"/>
  <c r="R260" i="3"/>
  <c r="V273" i="3"/>
  <c r="M285" i="3"/>
  <c r="K295" i="3"/>
  <c r="V304" i="3"/>
  <c r="T314" i="3"/>
  <c r="R324" i="3"/>
  <c r="R331" i="3"/>
  <c r="Q336" i="3"/>
  <c r="P341" i="3"/>
  <c r="O346" i="3"/>
  <c r="N351" i="3"/>
  <c r="U21" i="3"/>
  <c r="Q80" i="3"/>
  <c r="P147" i="3"/>
  <c r="P104" i="3"/>
  <c r="J150" i="3"/>
  <c r="Q88" i="3"/>
  <c r="O130" i="3"/>
  <c r="K80" i="3"/>
  <c r="L123" i="3"/>
  <c r="S160" i="3"/>
  <c r="T142" i="3"/>
  <c r="V142" i="3"/>
  <c r="V177" i="3"/>
  <c r="R197" i="3"/>
  <c r="N217" i="3"/>
  <c r="K107" i="3"/>
  <c r="K157" i="3"/>
  <c r="U179" i="3"/>
  <c r="Q199" i="3"/>
  <c r="Q87" i="3"/>
  <c r="V139" i="3"/>
  <c r="Q172" i="3"/>
  <c r="M192" i="3"/>
  <c r="N107" i="3"/>
  <c r="P157" i="3"/>
  <c r="V66" i="3"/>
  <c r="S125" i="3"/>
  <c r="L167" i="3"/>
  <c r="U186" i="3"/>
  <c r="Q206" i="3"/>
  <c r="P178" i="3"/>
  <c r="U211" i="3"/>
  <c r="O232" i="3"/>
  <c r="Y232" i="3" s="1"/>
  <c r="K252" i="3"/>
  <c r="T271" i="3"/>
  <c r="P291" i="3"/>
  <c r="L311" i="3"/>
  <c r="U112" i="3"/>
  <c r="Q193" i="3"/>
  <c r="L220" i="3"/>
  <c r="U239" i="3"/>
  <c r="N250" i="3"/>
  <c r="S257" i="3"/>
  <c r="K265" i="3"/>
  <c r="U271" i="3"/>
  <c r="J278" i="3"/>
  <c r="T284" i="3"/>
  <c r="Q291" i="3"/>
  <c r="S297" i="3"/>
  <c r="P304" i="3"/>
  <c r="M311" i="3"/>
  <c r="O317" i="3"/>
  <c r="L324" i="3"/>
  <c r="O56" i="3"/>
  <c r="L134" i="3"/>
  <c r="O170" i="3"/>
  <c r="Y170" i="3" s="1"/>
  <c r="K185" i="3"/>
  <c r="R196" i="3"/>
  <c r="O207" i="3"/>
  <c r="Q215" i="3"/>
  <c r="K222" i="3"/>
  <c r="U228" i="3"/>
  <c r="R235" i="3"/>
  <c r="T241" i="3"/>
  <c r="Q248" i="3"/>
  <c r="N255" i="3"/>
  <c r="P261" i="3"/>
  <c r="M268" i="3"/>
  <c r="T273" i="3"/>
  <c r="V279" i="3"/>
  <c r="P285" i="3"/>
  <c r="J291" i="3"/>
  <c r="Q296" i="3"/>
  <c r="K302" i="3"/>
  <c r="R307" i="3"/>
  <c r="L313" i="3"/>
  <c r="N319" i="3"/>
  <c r="U324" i="3"/>
  <c r="S56" i="3"/>
  <c r="R127" i="3"/>
  <c r="Q165" i="3"/>
  <c r="J179" i="3"/>
  <c r="K190" i="3"/>
  <c r="R200" i="3"/>
  <c r="M209" i="3"/>
  <c r="R215" i="3"/>
  <c r="Q221" i="3"/>
  <c r="K227" i="3"/>
  <c r="R232" i="3"/>
  <c r="L238" i="3"/>
  <c r="N244" i="3"/>
  <c r="U249" i="3"/>
  <c r="O255" i="3"/>
  <c r="V260" i="3"/>
  <c r="U265" i="3"/>
  <c r="T270" i="3"/>
  <c r="S275" i="3"/>
  <c r="J37" i="3"/>
  <c r="N116" i="3"/>
  <c r="J159" i="3"/>
  <c r="L174" i="3"/>
  <c r="N184" i="3"/>
  <c r="K194" i="3"/>
  <c r="U201" i="3"/>
  <c r="P209" i="3"/>
  <c r="K215" i="3"/>
  <c r="P220" i="3"/>
  <c r="O225" i="3"/>
  <c r="N230" i="3"/>
  <c r="M235" i="3"/>
  <c r="L240" i="3"/>
  <c r="K245" i="3"/>
  <c r="J250" i="3"/>
  <c r="V254" i="3"/>
  <c r="U259" i="3"/>
  <c r="T264" i="3"/>
  <c r="S269" i="3"/>
  <c r="R274" i="3"/>
  <c r="Q279" i="3"/>
  <c r="P284" i="3"/>
  <c r="O289" i="3"/>
  <c r="Y289" i="3" s="1"/>
  <c r="N294" i="3"/>
  <c r="M299" i="3"/>
  <c r="L304" i="3"/>
  <c r="K309" i="3"/>
  <c r="J314" i="3"/>
  <c r="V318" i="3"/>
  <c r="U323" i="3"/>
  <c r="T328" i="3"/>
  <c r="V158" i="3"/>
  <c r="R190" i="3"/>
  <c r="J211" i="3"/>
  <c r="N225" i="3"/>
  <c r="O238" i="3"/>
  <c r="O251" i="3"/>
  <c r="S264" i="3"/>
  <c r="T277" i="3"/>
  <c r="M288" i="3"/>
  <c r="K298" i="3"/>
  <c r="V307" i="3"/>
  <c r="T317" i="3"/>
  <c r="L327" i="3"/>
  <c r="K333" i="3"/>
  <c r="J338" i="3"/>
  <c r="V342" i="3"/>
  <c r="U347" i="3"/>
  <c r="T352" i="3"/>
  <c r="S357" i="3"/>
  <c r="R362" i="3"/>
  <c r="Q367" i="3"/>
  <c r="P372" i="3"/>
  <c r="O377" i="3"/>
  <c r="Y377" i="3" s="1"/>
  <c r="N382" i="3"/>
  <c r="M387" i="3"/>
  <c r="L392" i="3"/>
  <c r="K397" i="3"/>
  <c r="J402" i="3"/>
  <c r="V406" i="3"/>
  <c r="U411" i="3"/>
  <c r="T416" i="3"/>
  <c r="S421" i="3"/>
  <c r="R426" i="3"/>
  <c r="Q431" i="3"/>
  <c r="P436" i="3"/>
  <c r="O441" i="3"/>
  <c r="N446" i="3"/>
  <c r="M451" i="3"/>
  <c r="L456" i="3"/>
  <c r="K461" i="3"/>
  <c r="J466" i="3"/>
  <c r="V470" i="3"/>
  <c r="R82" i="3"/>
  <c r="R174" i="3"/>
  <c r="M199" i="3"/>
  <c r="K217" i="3"/>
  <c r="O230" i="3"/>
  <c r="O243" i="3"/>
  <c r="Y243" i="3" s="1"/>
  <c r="S256" i="3"/>
  <c r="T269" i="3"/>
  <c r="L282" i="3"/>
  <c r="J292" i="3"/>
  <c r="U301" i="3"/>
  <c r="S311" i="3"/>
  <c r="Q321" i="3"/>
  <c r="K330" i="3"/>
  <c r="J335" i="3"/>
  <c r="V339" i="3"/>
  <c r="U344" i="3"/>
  <c r="T349" i="3"/>
  <c r="S354" i="3"/>
  <c r="R359" i="3"/>
  <c r="Q364" i="3"/>
  <c r="P369" i="3"/>
  <c r="O374" i="3"/>
  <c r="Y374" i="3" s="1"/>
  <c r="N379" i="3"/>
  <c r="M384" i="3"/>
  <c r="L389" i="3"/>
  <c r="K394" i="3"/>
  <c r="J399" i="3"/>
  <c r="V403" i="3"/>
  <c r="U408" i="3"/>
  <c r="T413" i="3"/>
  <c r="S418" i="3"/>
  <c r="R423" i="3"/>
  <c r="Q428" i="3"/>
  <c r="P433" i="3"/>
  <c r="O438" i="3"/>
  <c r="N443" i="3"/>
  <c r="M448" i="3"/>
  <c r="L453" i="3"/>
  <c r="K458" i="3"/>
  <c r="J463" i="3"/>
  <c r="V467" i="3"/>
  <c r="L166" i="3"/>
  <c r="N194" i="3"/>
  <c r="Q213" i="3"/>
  <c r="N227" i="3"/>
  <c r="N240" i="3"/>
  <c r="R253" i="3"/>
  <c r="S266" i="3"/>
  <c r="S279" i="3"/>
  <c r="U289" i="3"/>
  <c r="S299" i="3"/>
  <c r="Q309" i="3"/>
  <c r="O319" i="3"/>
  <c r="Y319" i="3" s="1"/>
  <c r="O328" i="3"/>
  <c r="U333" i="3"/>
  <c r="T338" i="3"/>
  <c r="S343" i="3"/>
  <c r="R348" i="3"/>
  <c r="Q353" i="3"/>
  <c r="P358" i="3"/>
  <c r="R31" i="3"/>
  <c r="O88" i="3"/>
  <c r="U162" i="3"/>
  <c r="O109" i="3"/>
  <c r="S153" i="3"/>
  <c r="J91" i="3"/>
  <c r="U132" i="3"/>
  <c r="O83" i="3"/>
  <c r="Y83" i="3" s="1"/>
  <c r="M126" i="3"/>
  <c r="Q162" i="3"/>
  <c r="L10" i="3"/>
  <c r="U147" i="3"/>
  <c r="L179" i="3"/>
  <c r="U198" i="3"/>
  <c r="Q218" i="3"/>
  <c r="N110" i="3"/>
  <c r="Q159" i="3"/>
  <c r="K181" i="3"/>
  <c r="T200" i="3"/>
  <c r="S90" i="3"/>
  <c r="O143" i="3"/>
  <c r="T173" i="3"/>
  <c r="P193" i="3"/>
  <c r="T110" i="3"/>
  <c r="V159" i="3"/>
  <c r="R72" i="3"/>
  <c r="U128" i="3"/>
  <c r="O168" i="3"/>
  <c r="K188" i="3"/>
  <c r="T207" i="3"/>
  <c r="V180" i="3"/>
  <c r="M213" i="3"/>
  <c r="R233" i="3"/>
  <c r="N253" i="3"/>
  <c r="J273" i="3"/>
  <c r="S292" i="3"/>
  <c r="O312" i="3"/>
  <c r="L126" i="3"/>
  <c r="Q195" i="3"/>
  <c r="O221" i="3"/>
  <c r="Y221" i="3" s="1"/>
  <c r="K241" i="3"/>
  <c r="V250" i="3"/>
  <c r="Q259" i="3"/>
  <c r="S265" i="3"/>
  <c r="P272" i="3"/>
  <c r="M279" i="3"/>
  <c r="O285" i="3"/>
  <c r="L292" i="3"/>
  <c r="V298" i="3"/>
  <c r="K305" i="3"/>
  <c r="U311" i="3"/>
  <c r="R318" i="3"/>
  <c r="T324" i="3"/>
  <c r="N70" i="3"/>
  <c r="M147" i="3"/>
  <c r="L172" i="3"/>
  <c r="N186" i="3"/>
  <c r="R198" i="3"/>
  <c r="P208" i="3"/>
  <c r="M216" i="3"/>
  <c r="N223" i="3"/>
  <c r="P229" i="3"/>
  <c r="M236" i="3"/>
  <c r="J243" i="3"/>
  <c r="L249" i="3"/>
  <c r="V255" i="3"/>
  <c r="S262" i="3"/>
  <c r="U268" i="3"/>
  <c r="J275" i="3"/>
  <c r="Q280" i="3"/>
  <c r="K286" i="3"/>
  <c r="R291" i="3"/>
  <c r="L297" i="3"/>
  <c r="S302" i="3"/>
  <c r="M308" i="3"/>
  <c r="O314" i="3"/>
  <c r="V319" i="3"/>
  <c r="P325" i="3"/>
  <c r="S70" i="3"/>
  <c r="N134" i="3"/>
  <c r="N167" i="3"/>
  <c r="M180" i="3"/>
  <c r="Q192" i="3"/>
  <c r="S201" i="3"/>
  <c r="J210" i="3"/>
  <c r="J92" i="3"/>
  <c r="Q12" i="3"/>
  <c r="K136" i="3"/>
  <c r="K184" i="3"/>
  <c r="N166" i="3"/>
  <c r="S154" i="3"/>
  <c r="P166" i="3"/>
  <c r="J193" i="3"/>
  <c r="Q238" i="3"/>
  <c r="N317" i="3"/>
  <c r="T244" i="3"/>
  <c r="K273" i="3"/>
  <c r="Q299" i="3"/>
  <c r="L316" i="3"/>
  <c r="T94" i="3"/>
  <c r="Q187" i="3"/>
  <c r="O213" i="3"/>
  <c r="N231" i="3"/>
  <c r="O250" i="3"/>
  <c r="O266" i="3"/>
  <c r="Y266" i="3" s="1"/>
  <c r="T281" i="3"/>
  <c r="T297" i="3"/>
  <c r="V311" i="3"/>
  <c r="S326" i="3"/>
  <c r="K169" i="3"/>
  <c r="T197" i="3"/>
  <c r="J217" i="3"/>
  <c r="N228" i="3"/>
  <c r="J240" i="3"/>
  <c r="K251" i="3"/>
  <c r="L262" i="3"/>
  <c r="J272" i="3"/>
  <c r="N73" i="3"/>
  <c r="N164" i="3"/>
  <c r="T186" i="3"/>
  <c r="V203" i="3"/>
  <c r="P216" i="3"/>
  <c r="R226" i="3"/>
  <c r="P236" i="3"/>
  <c r="N246" i="3"/>
  <c r="L256" i="3"/>
  <c r="J266" i="3"/>
  <c r="U275" i="3"/>
  <c r="S285" i="3"/>
  <c r="Q295" i="3"/>
  <c r="O305" i="3"/>
  <c r="Y305" i="3" s="1"/>
  <c r="M315" i="3"/>
  <c r="K325" i="3"/>
  <c r="S169" i="3"/>
  <c r="J215" i="3"/>
  <c r="Q241" i="3"/>
  <c r="V267" i="3"/>
  <c r="S290" i="3"/>
  <c r="O310" i="3"/>
  <c r="M329" i="3"/>
  <c r="M339" i="3"/>
  <c r="K349" i="3"/>
  <c r="V358" i="3"/>
  <c r="T368" i="3"/>
  <c r="R378" i="3"/>
  <c r="P388" i="3"/>
  <c r="N398" i="3"/>
  <c r="L408" i="3"/>
  <c r="J418" i="3"/>
  <c r="U427" i="3"/>
  <c r="S437" i="3"/>
  <c r="Q447" i="3"/>
  <c r="O457" i="3"/>
  <c r="Y457" i="3" s="1"/>
  <c r="M467" i="3"/>
  <c r="R474" i="3"/>
  <c r="P184" i="3"/>
  <c r="T218" i="3"/>
  <c r="P238" i="3"/>
  <c r="V259" i="3"/>
  <c r="R279" i="3"/>
  <c r="S295" i="3"/>
  <c r="V312" i="3"/>
  <c r="O327" i="3"/>
  <c r="M336" i="3"/>
  <c r="R343" i="3"/>
  <c r="R351" i="3"/>
  <c r="M360" i="3"/>
  <c r="R367" i="3"/>
  <c r="R375" i="3"/>
  <c r="J383" i="3"/>
  <c r="J391" i="3"/>
  <c r="R399" i="3"/>
  <c r="J407" i="3"/>
  <c r="J415" i="3"/>
  <c r="O422" i="3"/>
  <c r="O430" i="3"/>
  <c r="Y430" i="3" s="1"/>
  <c r="J439" i="3"/>
  <c r="O446" i="3"/>
  <c r="Y446" i="3" s="1"/>
  <c r="O454" i="3"/>
  <c r="T461" i="3"/>
  <c r="V102" i="3"/>
  <c r="L197" i="3"/>
  <c r="O222" i="3"/>
  <c r="T243" i="3"/>
  <c r="P263" i="3"/>
  <c r="S283" i="3"/>
  <c r="V300" i="3"/>
  <c r="S315" i="3"/>
  <c r="L330" i="3"/>
  <c r="Q337" i="3"/>
  <c r="Q345" i="3"/>
  <c r="L354" i="3"/>
  <c r="Q361" i="3"/>
  <c r="N368" i="3"/>
  <c r="P374" i="3"/>
  <c r="M381" i="3"/>
  <c r="J388" i="3"/>
  <c r="L394" i="3"/>
  <c r="V400" i="3"/>
  <c r="S407" i="3"/>
  <c r="U413" i="3"/>
  <c r="R420" i="3"/>
  <c r="O427" i="3"/>
  <c r="Q433" i="3"/>
  <c r="N440" i="3"/>
  <c r="K447" i="3"/>
  <c r="R166" i="3"/>
  <c r="T202" i="3"/>
  <c r="M224" i="3"/>
  <c r="S240" i="3"/>
  <c r="S258" i="3"/>
  <c r="R276" i="3"/>
  <c r="V289" i="3"/>
  <c r="P303" i="3"/>
  <c r="J317" i="3"/>
  <c r="R328" i="3"/>
  <c r="T335" i="3"/>
  <c r="Q342" i="3"/>
  <c r="S348" i="3"/>
  <c r="P355" i="3"/>
  <c r="M362" i="3"/>
  <c r="O368" i="3"/>
  <c r="N91" i="3"/>
  <c r="T185" i="3"/>
  <c r="N212" i="3"/>
  <c r="K231" i="3"/>
  <c r="N249" i="3"/>
  <c r="Q265" i="3"/>
  <c r="T282" i="3"/>
  <c r="N296" i="3"/>
  <c r="R308" i="3"/>
  <c r="L322" i="3"/>
  <c r="M332" i="3"/>
  <c r="O338" i="3"/>
  <c r="Y338" i="3" s="1"/>
  <c r="L345" i="3"/>
  <c r="V351" i="3"/>
  <c r="P357" i="3"/>
  <c r="O362" i="3"/>
  <c r="P102" i="3"/>
  <c r="N29" i="3"/>
  <c r="O140" i="3"/>
  <c r="Y140" i="3" s="1"/>
  <c r="V185" i="3"/>
  <c r="L168" i="3"/>
  <c r="O158" i="3"/>
  <c r="N168" i="3"/>
  <c r="U194" i="3"/>
  <c r="O240" i="3"/>
  <c r="L319" i="3"/>
  <c r="O245" i="3"/>
  <c r="Y245" i="3" s="1"/>
  <c r="N274" i="3"/>
  <c r="L300" i="3"/>
  <c r="M319" i="3"/>
  <c r="U120" i="3"/>
  <c r="J190" i="3"/>
  <c r="V216" i="3"/>
  <c r="T233" i="3"/>
  <c r="J251" i="3"/>
  <c r="K270" i="3"/>
  <c r="R283" i="3"/>
  <c r="O298" i="3"/>
  <c r="J315" i="3"/>
  <c r="L329" i="3"/>
  <c r="M172" i="3"/>
  <c r="S202" i="3"/>
  <c r="S217" i="3"/>
  <c r="T95" i="3"/>
  <c r="U100" i="3"/>
  <c r="N76" i="3"/>
  <c r="T203" i="3"/>
  <c r="J186" i="3"/>
  <c r="S178" i="3"/>
  <c r="P89" i="3"/>
  <c r="S99" i="3"/>
  <c r="M258" i="3"/>
  <c r="R163" i="3"/>
  <c r="L252" i="3"/>
  <c r="U279" i="3"/>
  <c r="R302" i="3"/>
  <c r="U319" i="3"/>
  <c r="Q151" i="3"/>
  <c r="S194" i="3"/>
  <c r="N218" i="3"/>
  <c r="U236" i="3"/>
  <c r="P253" i="3"/>
  <c r="S270" i="3"/>
  <c r="S286" i="3"/>
  <c r="U300" i="3"/>
  <c r="R315" i="3"/>
  <c r="T80" i="3"/>
  <c r="Q176" i="3"/>
  <c r="R203" i="3"/>
  <c r="N220" i="3"/>
  <c r="O231" i="3"/>
  <c r="P242" i="3"/>
  <c r="L254" i="3"/>
  <c r="R264" i="3"/>
  <c r="P274" i="3"/>
  <c r="J103" i="3"/>
  <c r="J171" i="3"/>
  <c r="S191" i="3"/>
  <c r="U207" i="3"/>
  <c r="M219" i="3"/>
  <c r="K229" i="3"/>
  <c r="V238" i="3"/>
  <c r="T248" i="3"/>
  <c r="R258" i="3"/>
  <c r="P268" i="3"/>
  <c r="N278" i="3"/>
  <c r="L288" i="3"/>
  <c r="J298" i="3"/>
  <c r="U307" i="3"/>
  <c r="S317" i="3"/>
  <c r="Q327" i="3"/>
  <c r="J184" i="3"/>
  <c r="U221" i="3"/>
  <c r="M248" i="3"/>
  <c r="Q274" i="3"/>
  <c r="R295" i="3"/>
  <c r="N315" i="3"/>
  <c r="U331" i="3"/>
  <c r="S341" i="3"/>
  <c r="Q351" i="3"/>
  <c r="O361" i="3"/>
  <c r="M371" i="3"/>
  <c r="K381" i="3"/>
  <c r="V390" i="3"/>
  <c r="T400" i="3"/>
  <c r="R410" i="3"/>
  <c r="P420" i="3"/>
  <c r="N430" i="3"/>
  <c r="L440" i="3"/>
  <c r="J450" i="3"/>
  <c r="U459" i="3"/>
  <c r="K469" i="3"/>
  <c r="S117" i="3"/>
  <c r="L194" i="3"/>
  <c r="M222" i="3"/>
  <c r="L245" i="3"/>
  <c r="U264" i="3"/>
  <c r="R284" i="3"/>
  <c r="O299" i="3"/>
  <c r="O315" i="3"/>
  <c r="S330" i="3"/>
  <c r="K338" i="3"/>
  <c r="K346" i="3"/>
  <c r="P353" i="3"/>
  <c r="P361" i="3"/>
  <c r="K370" i="3"/>
  <c r="P377" i="3"/>
  <c r="P385" i="3"/>
  <c r="U392" i="3"/>
  <c r="U400" i="3"/>
  <c r="P409" i="3"/>
  <c r="U416" i="3"/>
  <c r="U424" i="3"/>
  <c r="M432" i="3"/>
  <c r="M440" i="3"/>
  <c r="U448" i="3"/>
  <c r="M456" i="3"/>
  <c r="M464" i="3"/>
  <c r="V151" i="3"/>
  <c r="L202" i="3"/>
  <c r="J229" i="3"/>
  <c r="S248" i="3"/>
  <c r="U269" i="3"/>
  <c r="O287" i="3"/>
  <c r="O303" i="3"/>
  <c r="R320" i="3"/>
  <c r="J332" i="3"/>
  <c r="J340" i="3"/>
  <c r="O347" i="3"/>
  <c r="O355" i="3"/>
  <c r="O363" i="3"/>
  <c r="Q369" i="3"/>
  <c r="N376" i="3"/>
  <c r="K383" i="3"/>
  <c r="M389" i="3"/>
  <c r="J396" i="3"/>
  <c r="T402" i="3"/>
  <c r="V408" i="3"/>
  <c r="T111" i="3"/>
  <c r="T105" i="3"/>
  <c r="R88" i="3"/>
  <c r="R205" i="3"/>
  <c r="U187" i="3"/>
  <c r="Q180" i="3"/>
  <c r="O94" i="3"/>
  <c r="O119" i="3"/>
  <c r="K260" i="3"/>
  <c r="Q168" i="3"/>
  <c r="T252" i="3"/>
  <c r="P280" i="3"/>
  <c r="N306" i="3"/>
  <c r="N322" i="3"/>
  <c r="O154" i="3"/>
  <c r="R199" i="3"/>
  <c r="U220" i="3"/>
  <c r="K238" i="3"/>
  <c r="Q256" i="3"/>
  <c r="Q272" i="3"/>
  <c r="N287" i="3"/>
  <c r="N303" i="3"/>
  <c r="P317" i="3"/>
  <c r="M88" i="3"/>
  <c r="S182" i="3"/>
  <c r="R206" i="3"/>
  <c r="L222" i="3"/>
  <c r="M233" i="3"/>
  <c r="V244" i="3"/>
  <c r="J256" i="3"/>
  <c r="P266" i="3"/>
  <c r="N276" i="3"/>
  <c r="S122" i="3"/>
  <c r="S175" i="3"/>
  <c r="J195" i="3"/>
  <c r="L210" i="3"/>
  <c r="K221" i="3"/>
  <c r="V230" i="3"/>
  <c r="T240" i="3"/>
  <c r="R250" i="3"/>
  <c r="P260" i="3"/>
  <c r="N270" i="3"/>
  <c r="L280" i="3"/>
  <c r="J290" i="3"/>
  <c r="U299" i="3"/>
  <c r="S309" i="3"/>
  <c r="Q319" i="3"/>
  <c r="O329" i="3"/>
  <c r="U193" i="3"/>
  <c r="T226" i="3"/>
  <c r="L253" i="3"/>
  <c r="P279" i="3"/>
  <c r="N299" i="3"/>
  <c r="J319" i="3"/>
  <c r="S333" i="3"/>
  <c r="Q343" i="3"/>
  <c r="O353" i="3"/>
  <c r="M363" i="3"/>
  <c r="K373" i="3"/>
  <c r="V382" i="3"/>
  <c r="T392" i="3"/>
  <c r="R402" i="3"/>
  <c r="P412" i="3"/>
  <c r="N422" i="3"/>
  <c r="L432" i="3"/>
  <c r="J442" i="3"/>
  <c r="U451" i="3"/>
  <c r="S461" i="3"/>
  <c r="S469" i="3"/>
  <c r="R135" i="3"/>
  <c r="K202" i="3"/>
  <c r="P225" i="3"/>
  <c r="U246" i="3"/>
  <c r="Q266" i="3"/>
  <c r="U285" i="3"/>
  <c r="K303" i="3"/>
  <c r="U317" i="3"/>
  <c r="N331" i="3"/>
  <c r="S338" i="3"/>
  <c r="S346" i="3"/>
  <c r="N355" i="3"/>
  <c r="S362" i="3"/>
  <c r="S370" i="3"/>
  <c r="K378" i="3"/>
  <c r="K386" i="3"/>
  <c r="S394" i="3"/>
  <c r="K402" i="3"/>
  <c r="K410" i="3"/>
  <c r="P417" i="3"/>
  <c r="P425" i="3"/>
  <c r="K434" i="3"/>
  <c r="P441" i="3"/>
  <c r="P449" i="3"/>
  <c r="U456" i="3"/>
  <c r="U464" i="3"/>
  <c r="V170" i="3"/>
  <c r="S207" i="3"/>
  <c r="P230" i="3"/>
  <c r="L250" i="3"/>
  <c r="R271" i="3"/>
  <c r="K291" i="3"/>
  <c r="U305" i="3"/>
  <c r="U321" i="3"/>
  <c r="R332" i="3"/>
  <c r="R340" i="3"/>
  <c r="M349" i="3"/>
  <c r="R356" i="3"/>
  <c r="J364" i="3"/>
  <c r="L370" i="3"/>
  <c r="V376" i="3"/>
  <c r="S383" i="3"/>
  <c r="U389" i="3"/>
  <c r="R396" i="3"/>
  <c r="O403" i="3"/>
  <c r="Q409" i="3"/>
  <c r="N416" i="3"/>
  <c r="K423" i="3"/>
  <c r="M429" i="3"/>
  <c r="J436" i="3"/>
  <c r="T442" i="3"/>
  <c r="T60" i="3"/>
  <c r="J182" i="3"/>
  <c r="S211" i="3"/>
  <c r="L229" i="3"/>
  <c r="K247" i="3"/>
  <c r="N265" i="3"/>
  <c r="N281" i="3"/>
  <c r="U294" i="3"/>
  <c r="O308" i="3"/>
  <c r="S320" i="3"/>
  <c r="P331" i="3"/>
  <c r="M338" i="3"/>
  <c r="O344" i="3"/>
  <c r="Y344" i="3" s="1"/>
  <c r="L351" i="3"/>
  <c r="V357" i="3"/>
  <c r="K364" i="3"/>
  <c r="U370" i="3"/>
  <c r="N155" i="3"/>
  <c r="N195" i="3"/>
  <c r="T219" i="3"/>
  <c r="T237" i="3"/>
  <c r="M254" i="3"/>
  <c r="M272" i="3"/>
  <c r="S287" i="3"/>
  <c r="J300" i="3"/>
  <c r="Q313" i="3"/>
  <c r="U326" i="3"/>
  <c r="K334" i="3"/>
  <c r="U340" i="3"/>
  <c r="R347" i="3"/>
  <c r="T353" i="3"/>
  <c r="N359" i="3"/>
  <c r="M364" i="3"/>
  <c r="K32" i="3"/>
  <c r="N143" i="3"/>
  <c r="P83" i="3"/>
  <c r="M62" i="3"/>
  <c r="S205" i="3"/>
  <c r="M63" i="3"/>
  <c r="L142" i="3"/>
  <c r="T190" i="3"/>
  <c r="V277" i="3"/>
  <c r="O203" i="3"/>
  <c r="L260" i="3"/>
  <c r="R286" i="3"/>
  <c r="V306" i="3"/>
  <c r="J326" i="3"/>
  <c r="P165" i="3"/>
  <c r="Q200" i="3"/>
  <c r="V223" i="3"/>
  <c r="Q240" i="3"/>
  <c r="T257" i="3"/>
  <c r="R275" i="3"/>
  <c r="T289" i="3"/>
  <c r="Q304" i="3"/>
  <c r="Q320" i="3"/>
  <c r="R114" i="3"/>
  <c r="V183" i="3"/>
  <c r="S210" i="3"/>
  <c r="T222" i="3"/>
  <c r="P234" i="3"/>
  <c r="Q245" i="3"/>
  <c r="R256" i="3"/>
  <c r="K267" i="3"/>
  <c r="V276" i="3"/>
  <c r="O129" i="3"/>
  <c r="V176" i="3"/>
  <c r="J196" i="3"/>
  <c r="U210" i="3"/>
  <c r="S221" i="3"/>
  <c r="T47" i="3"/>
  <c r="R147" i="3"/>
  <c r="P90" i="3"/>
  <c r="Q71" i="3"/>
  <c r="Q207" i="3"/>
  <c r="P72" i="3"/>
  <c r="K147" i="3"/>
  <c r="O194" i="3"/>
  <c r="Y194" i="3" s="1"/>
  <c r="T279" i="3"/>
  <c r="O206" i="3"/>
  <c r="T260" i="3"/>
  <c r="M287" i="3"/>
  <c r="O309" i="3"/>
  <c r="R326" i="3"/>
  <c r="M175" i="3"/>
  <c r="Q204" i="3"/>
  <c r="Q224" i="3"/>
  <c r="R243" i="3"/>
  <c r="M260" i="3"/>
  <c r="M276" i="3"/>
  <c r="M292" i="3"/>
  <c r="O306" i="3"/>
  <c r="L321" i="3"/>
  <c r="V140" i="3"/>
  <c r="R187" i="3"/>
  <c r="O211" i="3"/>
  <c r="O223" i="3"/>
  <c r="K235" i="3"/>
  <c r="L246" i="3"/>
  <c r="M257" i="3"/>
  <c r="S267" i="3"/>
  <c r="Q277" i="3"/>
  <c r="J136" i="3"/>
  <c r="L178" i="3"/>
  <c r="V196" i="3"/>
  <c r="Q211" i="3"/>
  <c r="N222" i="3"/>
  <c r="L232" i="3"/>
  <c r="J242" i="3"/>
  <c r="U251" i="3"/>
  <c r="S261" i="3"/>
  <c r="Q271" i="3"/>
  <c r="O281" i="3"/>
  <c r="M291" i="3"/>
  <c r="K301" i="3"/>
  <c r="V310" i="3"/>
  <c r="T320" i="3"/>
  <c r="S75" i="3"/>
  <c r="K199" i="3"/>
  <c r="M230" i="3"/>
  <c r="N256" i="3"/>
  <c r="K282" i="3"/>
  <c r="T301" i="3"/>
  <c r="P321" i="3"/>
  <c r="V334" i="3"/>
  <c r="T344" i="3"/>
  <c r="R354" i="3"/>
  <c r="P364" i="3"/>
  <c r="N374" i="3"/>
  <c r="L384" i="3"/>
  <c r="J394" i="3"/>
  <c r="U403" i="3"/>
  <c r="S413" i="3"/>
  <c r="Q423" i="3"/>
  <c r="O433" i="3"/>
  <c r="M443" i="3"/>
  <c r="K453" i="3"/>
  <c r="V462" i="3"/>
  <c r="L472" i="3"/>
  <c r="J166" i="3"/>
  <c r="K207" i="3"/>
  <c r="K232" i="3"/>
  <c r="T251" i="3"/>
  <c r="V272" i="3"/>
  <c r="Q289" i="3"/>
  <c r="Q305" i="3"/>
  <c r="T322" i="3"/>
  <c r="L333" i="3"/>
  <c r="L341" i="3"/>
  <c r="Q348" i="3"/>
  <c r="Q356" i="3"/>
  <c r="L365" i="3"/>
  <c r="Q372" i="3"/>
  <c r="Q380" i="3"/>
  <c r="V387" i="3"/>
  <c r="V395" i="3"/>
  <c r="Q404" i="3"/>
  <c r="V411" i="3"/>
  <c r="V419" i="3"/>
  <c r="N427" i="3"/>
  <c r="N435" i="3"/>
  <c r="V443" i="3"/>
  <c r="N451" i="3"/>
  <c r="N459" i="3"/>
  <c r="S466" i="3"/>
  <c r="N178" i="3"/>
  <c r="M215" i="3"/>
  <c r="O235" i="3"/>
  <c r="U256" i="3"/>
  <c r="Q276" i="3"/>
  <c r="Q293" i="3"/>
  <c r="T310" i="3"/>
  <c r="Q325" i="3"/>
  <c r="K335" i="3"/>
  <c r="P342" i="3"/>
  <c r="P350" i="3"/>
  <c r="K359" i="3"/>
  <c r="M365" i="3"/>
  <c r="J372" i="3"/>
  <c r="T378" i="3"/>
  <c r="V384" i="3"/>
  <c r="S391" i="3"/>
  <c r="P398" i="3"/>
  <c r="R404" i="3"/>
  <c r="O411" i="3"/>
  <c r="L418" i="3"/>
  <c r="N424" i="3"/>
  <c r="K431" i="3"/>
  <c r="U437" i="3"/>
  <c r="J444" i="3"/>
  <c r="R122" i="3"/>
  <c r="U191" i="3"/>
  <c r="S215" i="3"/>
  <c r="K234" i="3"/>
  <c r="J252" i="3"/>
  <c r="Q268" i="3"/>
  <c r="J285" i="3"/>
  <c r="Q298" i="3"/>
  <c r="U310" i="3"/>
  <c r="O324" i="3"/>
  <c r="N333" i="3"/>
  <c r="P339" i="3"/>
  <c r="M346" i="3"/>
  <c r="J353" i="3"/>
  <c r="L359" i="3"/>
  <c r="V365" i="3"/>
  <c r="S372" i="3"/>
  <c r="V167" i="3"/>
  <c r="K203" i="3"/>
  <c r="S224" i="3"/>
  <c r="V240" i="3"/>
  <c r="L259" i="3"/>
  <c r="L277" i="3"/>
  <c r="L290" i="3"/>
  <c r="S303" i="3"/>
  <c r="M317" i="3"/>
  <c r="U328" i="3"/>
  <c r="V335" i="3"/>
  <c r="S342" i="3"/>
  <c r="U348" i="3"/>
  <c r="R355" i="3"/>
  <c r="Q360" i="3"/>
  <c r="P365" i="3"/>
  <c r="O370" i="3"/>
  <c r="N375" i="3"/>
  <c r="M380" i="3"/>
  <c r="L385" i="3"/>
  <c r="K390" i="3"/>
  <c r="J395" i="3"/>
  <c r="V399" i="3"/>
  <c r="U404" i="3"/>
  <c r="T409" i="3"/>
  <c r="S414" i="3"/>
  <c r="R419" i="3"/>
  <c r="Q424" i="3"/>
  <c r="P429" i="3"/>
  <c r="O434" i="3"/>
  <c r="Y434" i="3" s="1"/>
  <c r="N439" i="3"/>
  <c r="M444" i="3"/>
  <c r="L449" i="3"/>
  <c r="O125" i="3"/>
  <c r="N97" i="3"/>
  <c r="J165" i="3"/>
  <c r="M128" i="3"/>
  <c r="V108" i="3"/>
  <c r="T128" i="3"/>
  <c r="L175" i="3"/>
  <c r="S220" i="3"/>
  <c r="P299" i="3"/>
  <c r="L228" i="3"/>
  <c r="Q267" i="3"/>
  <c r="J294" i="3"/>
  <c r="S313" i="3"/>
  <c r="O80" i="3"/>
  <c r="Y80" i="3" s="1"/>
  <c r="O181" i="3"/>
  <c r="R210" i="3"/>
  <c r="S230" i="3"/>
  <c r="S246" i="3"/>
  <c r="V263" i="3"/>
  <c r="L281" i="3"/>
  <c r="N295" i="3"/>
  <c r="K310" i="3"/>
  <c r="K326" i="3"/>
  <c r="P161" i="3"/>
  <c r="T194" i="3"/>
  <c r="N216" i="3"/>
  <c r="S227" i="3"/>
  <c r="O239" i="3"/>
  <c r="Y239" i="3" s="1"/>
  <c r="P250" i="3"/>
  <c r="Q261" i="3"/>
  <c r="O271" i="3"/>
  <c r="J61" i="3"/>
  <c r="R162" i="3"/>
  <c r="Q185" i="3"/>
  <c r="V202" i="3"/>
  <c r="T215" i="3"/>
  <c r="J226" i="3"/>
  <c r="S121" i="3"/>
  <c r="R297" i="3"/>
  <c r="J227" i="3"/>
  <c r="T193" i="3"/>
  <c r="S259" i="3"/>
  <c r="U181" i="3"/>
  <c r="Q231" i="3"/>
  <c r="M251" i="3"/>
  <c r="V270" i="3"/>
  <c r="R290" i="3"/>
  <c r="N310" i="3"/>
  <c r="S36" i="3"/>
  <c r="Q228" i="3"/>
  <c r="U280" i="3"/>
  <c r="M320" i="3"/>
  <c r="L344" i="3"/>
  <c r="U363" i="3"/>
  <c r="Q383" i="3"/>
  <c r="M403" i="3"/>
  <c r="V422" i="3"/>
  <c r="R442" i="3"/>
  <c r="N462" i="3"/>
  <c r="N159" i="3"/>
  <c r="L227" i="3"/>
  <c r="P271" i="3"/>
  <c r="N304" i="3"/>
  <c r="V331" i="3"/>
  <c r="V347" i="3"/>
  <c r="N363" i="3"/>
  <c r="V379" i="3"/>
  <c r="N395" i="3"/>
  <c r="S410" i="3"/>
  <c r="S426" i="3"/>
  <c r="K442" i="3"/>
  <c r="S458" i="3"/>
  <c r="S174" i="3"/>
  <c r="M232" i="3"/>
  <c r="T274" i="3"/>
  <c r="K307" i="3"/>
  <c r="P334" i="3"/>
  <c r="U349" i="3"/>
  <c r="R364" i="3"/>
  <c r="L378" i="3"/>
  <c r="K391" i="3"/>
  <c r="J404" i="3"/>
  <c r="S415" i="3"/>
  <c r="L426" i="3"/>
  <c r="M437" i="3"/>
  <c r="S447" i="3"/>
  <c r="V194" i="3"/>
  <c r="O227" i="3"/>
  <c r="P255" i="3"/>
  <c r="T283" i="3"/>
  <c r="S304" i="3"/>
  <c r="Q326" i="3"/>
  <c r="R337" i="3"/>
  <c r="K348" i="3"/>
  <c r="Q358" i="3"/>
  <c r="J369" i="3"/>
  <c r="V175" i="3"/>
  <c r="J218" i="3"/>
  <c r="U245" i="3"/>
  <c r="O275" i="3"/>
  <c r="Q297" i="3"/>
  <c r="P318" i="3"/>
  <c r="P333" i="3"/>
  <c r="V343" i="3"/>
  <c r="J355" i="3"/>
  <c r="J363" i="3"/>
  <c r="L369" i="3"/>
  <c r="S374" i="3"/>
  <c r="U380" i="3"/>
  <c r="O386" i="3"/>
  <c r="Y386" i="3" s="1"/>
  <c r="V391" i="3"/>
  <c r="P397" i="3"/>
  <c r="J403" i="3"/>
  <c r="Q408" i="3"/>
  <c r="K414" i="3"/>
  <c r="M420" i="3"/>
  <c r="T425" i="3"/>
  <c r="N431" i="3"/>
  <c r="U436" i="3"/>
  <c r="O442" i="3"/>
  <c r="V447" i="3"/>
  <c r="P453" i="3"/>
  <c r="O458" i="3"/>
  <c r="N463" i="3"/>
  <c r="M468" i="3"/>
  <c r="N124" i="3"/>
  <c r="O216" i="3"/>
  <c r="N251" i="3"/>
  <c r="L285" i="3"/>
  <c r="O311" i="3"/>
  <c r="J333" i="3"/>
  <c r="N346" i="3"/>
  <c r="O359" i="3"/>
  <c r="Y359" i="3" s="1"/>
  <c r="O372" i="3"/>
  <c r="Y372" i="3" s="1"/>
  <c r="T382" i="3"/>
  <c r="R392" i="3"/>
  <c r="P402" i="3"/>
  <c r="N412" i="3"/>
  <c r="L422" i="3"/>
  <c r="J432" i="3"/>
  <c r="U441" i="3"/>
  <c r="K451" i="3"/>
  <c r="V458" i="3"/>
  <c r="U466" i="3"/>
  <c r="P473" i="3"/>
  <c r="Q478" i="3"/>
  <c r="P483" i="3"/>
  <c r="O488" i="3"/>
  <c r="N493" i="3"/>
  <c r="M498" i="3"/>
  <c r="R75" i="3"/>
  <c r="L212" i="3"/>
  <c r="S247" i="3"/>
  <c r="V281" i="3"/>
  <c r="Q308" i="3"/>
  <c r="S331" i="3"/>
  <c r="S344" i="3"/>
  <c r="J358" i="3"/>
  <c r="K371" i="3"/>
  <c r="R381" i="3"/>
  <c r="P391" i="3"/>
  <c r="N401" i="3"/>
  <c r="L411" i="3"/>
  <c r="J421" i="3"/>
  <c r="U430" i="3"/>
  <c r="S440" i="3"/>
  <c r="M450" i="3"/>
  <c r="L458" i="3"/>
  <c r="V465" i="3"/>
  <c r="U472" i="3"/>
  <c r="J478" i="3"/>
  <c r="V482" i="3"/>
  <c r="U487" i="3"/>
  <c r="T492" i="3"/>
  <c r="S497" i="3"/>
  <c r="R502" i="3"/>
  <c r="Q507" i="3"/>
  <c r="P512" i="3"/>
  <c r="N183" i="3"/>
  <c r="J231" i="3"/>
  <c r="V265" i="3"/>
  <c r="P295" i="3"/>
  <c r="K322" i="3"/>
  <c r="P338" i="3"/>
  <c r="P351" i="3"/>
  <c r="T364" i="3"/>
  <c r="J377" i="3"/>
  <c r="U386" i="3"/>
  <c r="S396" i="3"/>
  <c r="Q406" i="3"/>
  <c r="O416" i="3"/>
  <c r="M426" i="3"/>
  <c r="K436" i="3"/>
  <c r="V445" i="3"/>
  <c r="M454" i="3"/>
  <c r="L462" i="3"/>
  <c r="T469" i="3"/>
  <c r="R475" i="3"/>
  <c r="Q480" i="3"/>
  <c r="P485" i="3"/>
  <c r="N142" i="3"/>
  <c r="K218" i="3"/>
  <c r="J253" i="3"/>
  <c r="O286" i="3"/>
  <c r="Y286" i="3" s="1"/>
  <c r="R312" i="3"/>
  <c r="R333" i="3"/>
  <c r="V346" i="3"/>
  <c r="J360" i="3"/>
  <c r="J373" i="3"/>
  <c r="M94" i="3"/>
  <c r="N226" i="3"/>
  <c r="M244" i="3"/>
  <c r="L214" i="3"/>
  <c r="T262" i="3"/>
  <c r="J188" i="3"/>
  <c r="J234" i="3"/>
  <c r="S253" i="3"/>
  <c r="O273" i="3"/>
  <c r="K293" i="3"/>
  <c r="T312" i="3"/>
  <c r="K131" i="3"/>
  <c r="L235" i="3"/>
  <c r="T285" i="3"/>
  <c r="L325" i="3"/>
  <c r="R346" i="3"/>
  <c r="N366" i="3"/>
  <c r="J386" i="3"/>
  <c r="S405" i="3"/>
  <c r="O425" i="3"/>
  <c r="Y425" i="3" s="1"/>
  <c r="K445" i="3"/>
  <c r="T464" i="3"/>
  <c r="U177" i="3"/>
  <c r="Q233" i="3"/>
  <c r="S274" i="3"/>
  <c r="J308" i="3"/>
  <c r="T333" i="3"/>
  <c r="O350" i="3"/>
  <c r="Y350" i="3" s="1"/>
  <c r="T365" i="3"/>
  <c r="L381" i="3"/>
  <c r="L397" i="3"/>
  <c r="Q412" i="3"/>
  <c r="L429" i="3"/>
  <c r="Q444" i="3"/>
  <c r="V459" i="3"/>
  <c r="Q184" i="3"/>
  <c r="L237" i="3"/>
  <c r="M281" i="3"/>
  <c r="J312" i="3"/>
  <c r="S335" i="3"/>
  <c r="S351" i="3"/>
  <c r="P366" i="3"/>
  <c r="O379" i="3"/>
  <c r="V392" i="3"/>
  <c r="U405" i="3"/>
  <c r="Q417" i="3"/>
  <c r="J428" i="3"/>
  <c r="P438" i="3"/>
  <c r="N448" i="3"/>
  <c r="M197" i="3"/>
  <c r="N232" i="3"/>
  <c r="O260" i="3"/>
  <c r="Y260" i="3" s="1"/>
  <c r="P287" i="3"/>
  <c r="L307" i="3"/>
  <c r="R327" i="3"/>
  <c r="U338" i="3"/>
  <c r="N349" i="3"/>
  <c r="O360" i="3"/>
  <c r="M370" i="3"/>
  <c r="Q179" i="3"/>
  <c r="J223" i="3"/>
  <c r="T250" i="3"/>
  <c r="U278" i="3"/>
  <c r="T298" i="3"/>
  <c r="S319" i="3"/>
  <c r="N335" i="3"/>
  <c r="T345" i="3"/>
  <c r="M356" i="3"/>
  <c r="R363" i="3"/>
  <c r="T369" i="3"/>
  <c r="V375" i="3"/>
  <c r="P381" i="3"/>
  <c r="J387" i="3"/>
  <c r="Q392" i="3"/>
  <c r="K398" i="3"/>
  <c r="R403" i="3"/>
  <c r="L409" i="3"/>
  <c r="N415" i="3"/>
  <c r="U420" i="3"/>
  <c r="O426" i="3"/>
  <c r="V431" i="3"/>
  <c r="P437" i="3"/>
  <c r="J443" i="3"/>
  <c r="Q448" i="3"/>
  <c r="K454" i="3"/>
  <c r="J459" i="3"/>
  <c r="V463" i="3"/>
  <c r="U468" i="3"/>
  <c r="Q156" i="3"/>
  <c r="L221" i="3"/>
  <c r="K256" i="3"/>
  <c r="K288" i="3"/>
  <c r="S314" i="3"/>
  <c r="T334" i="3"/>
  <c r="T347" i="3"/>
  <c r="K361" i="3"/>
  <c r="L374" i="3"/>
  <c r="J384" i="3"/>
  <c r="U393" i="3"/>
  <c r="S403" i="3"/>
  <c r="Q413" i="3"/>
  <c r="O423" i="3"/>
  <c r="M433" i="3"/>
  <c r="K443" i="3"/>
  <c r="K452" i="3"/>
  <c r="J460" i="3"/>
  <c r="T467" i="3"/>
  <c r="L474" i="3"/>
  <c r="L479" i="3"/>
  <c r="K484" i="3"/>
  <c r="J489" i="3"/>
  <c r="V493" i="3"/>
  <c r="U498" i="3"/>
  <c r="M129" i="3"/>
  <c r="Q216" i="3"/>
  <c r="O252" i="3"/>
  <c r="Y252" i="3" s="1"/>
  <c r="Q285" i="3"/>
  <c r="P311" i="3"/>
  <c r="O333" i="3"/>
  <c r="P346" i="3"/>
  <c r="P359" i="3"/>
  <c r="T372" i="3"/>
  <c r="U382" i="3"/>
  <c r="S392" i="3"/>
  <c r="Q402" i="3"/>
  <c r="O412" i="3"/>
  <c r="M422" i="3"/>
  <c r="K432" i="3"/>
  <c r="V441" i="3"/>
  <c r="L451" i="3"/>
  <c r="K459" i="3"/>
  <c r="V466" i="3"/>
  <c r="Q473" i="3"/>
  <c r="R478" i="3"/>
  <c r="Q483" i="3"/>
  <c r="P488" i="3"/>
  <c r="O493" i="3"/>
  <c r="N498" i="3"/>
  <c r="M503" i="3"/>
  <c r="L508" i="3"/>
  <c r="K513" i="3"/>
  <c r="K193" i="3"/>
  <c r="T234" i="3"/>
  <c r="O270" i="3"/>
  <c r="K299" i="3"/>
  <c r="J325" i="3"/>
  <c r="L340" i="3"/>
  <c r="M353" i="3"/>
  <c r="M366" i="3"/>
  <c r="M378" i="3"/>
  <c r="K388" i="3"/>
  <c r="V397" i="3"/>
  <c r="T407" i="3"/>
  <c r="R417" i="3"/>
  <c r="P427" i="3"/>
  <c r="N437" i="3"/>
  <c r="L447" i="3"/>
  <c r="M455" i="3"/>
  <c r="L463" i="3"/>
  <c r="Q470" i="3"/>
  <c r="M476" i="3"/>
  <c r="L481" i="3"/>
  <c r="K486" i="3"/>
  <c r="T164" i="3"/>
  <c r="U222" i="3"/>
  <c r="Q257" i="3"/>
  <c r="N289" i="3"/>
  <c r="V315" i="3"/>
  <c r="O335" i="3"/>
  <c r="O348" i="3"/>
  <c r="S361" i="3"/>
  <c r="R374" i="3"/>
  <c r="R160" i="3"/>
  <c r="V266" i="3"/>
  <c r="N263" i="3"/>
  <c r="U225" i="3"/>
  <c r="Q269" i="3"/>
  <c r="V199" i="3"/>
  <c r="U235" i="3"/>
  <c r="Q255" i="3"/>
  <c r="M275" i="3"/>
  <c r="V294" i="3"/>
  <c r="R314" i="3"/>
  <c r="U164" i="3"/>
  <c r="K240" i="3"/>
  <c r="P289" i="3"/>
  <c r="M328" i="3"/>
  <c r="P348" i="3"/>
  <c r="L368" i="3"/>
  <c r="U387" i="3"/>
  <c r="Q407" i="3"/>
  <c r="M427" i="3"/>
  <c r="V446" i="3"/>
  <c r="R466" i="3"/>
  <c r="U180" i="3"/>
  <c r="N235" i="3"/>
  <c r="U277" i="3"/>
  <c r="M309" i="3"/>
  <c r="R335" i="3"/>
  <c r="J351" i="3"/>
  <c r="O366" i="3"/>
  <c r="O382" i="3"/>
  <c r="T397" i="3"/>
  <c r="O414" i="3"/>
  <c r="Y414" i="3" s="1"/>
  <c r="T429" i="3"/>
  <c r="L445" i="3"/>
  <c r="L461" i="3"/>
  <c r="L188" i="3"/>
  <c r="K242" i="3"/>
  <c r="P282" i="3"/>
  <c r="M313" i="3"/>
  <c r="V336" i="3"/>
  <c r="N352" i="3"/>
  <c r="K367" i="3"/>
  <c r="J380" i="3"/>
  <c r="Q393" i="3"/>
  <c r="P406" i="3"/>
  <c r="T418" i="3"/>
  <c r="R428" i="3"/>
  <c r="K439" i="3"/>
  <c r="R104" i="3"/>
  <c r="L205" i="3"/>
  <c r="M237" i="3"/>
  <c r="R263" i="3"/>
  <c r="S288" i="3"/>
  <c r="R309" i="3"/>
  <c r="Q329" i="3"/>
  <c r="S340" i="3"/>
  <c r="Q350" i="3"/>
  <c r="J361" i="3"/>
  <c r="K372" i="3"/>
  <c r="O189" i="3"/>
  <c r="L226" i="3"/>
  <c r="Q252" i="3"/>
  <c r="N280" i="3"/>
  <c r="P302" i="3"/>
  <c r="O323" i="3"/>
  <c r="L337" i="3"/>
  <c r="J347" i="3"/>
  <c r="U356" i="3"/>
  <c r="U364" i="3"/>
  <c r="J371" i="3"/>
  <c r="Q376" i="3"/>
  <c r="K382" i="3"/>
  <c r="R387" i="3"/>
  <c r="L393" i="3"/>
  <c r="S398" i="3"/>
  <c r="M404" i="3"/>
  <c r="O410" i="3"/>
  <c r="V415" i="3"/>
  <c r="P421" i="3"/>
  <c r="J427" i="3"/>
  <c r="Q432" i="3"/>
  <c r="K438" i="3"/>
  <c r="R443" i="3"/>
  <c r="T449" i="3"/>
  <c r="S454" i="3"/>
  <c r="R459" i="3"/>
  <c r="Q464" i="3"/>
  <c r="P469" i="3"/>
  <c r="U172" i="3"/>
  <c r="V224" i="3"/>
  <c r="Q260" i="3"/>
  <c r="S291" i="3"/>
  <c r="R317" i="3"/>
  <c r="P336" i="3"/>
  <c r="Q349" i="3"/>
  <c r="Q362" i="3"/>
  <c r="O375" i="3"/>
  <c r="Y375" i="3" s="1"/>
  <c r="M385" i="3"/>
  <c r="K395" i="3"/>
  <c r="V404" i="3"/>
  <c r="T414" i="3"/>
  <c r="R424" i="3"/>
  <c r="P434" i="3"/>
  <c r="N444" i="3"/>
  <c r="N123" i="3"/>
  <c r="T292" i="3"/>
  <c r="K278" i="3"/>
  <c r="Q229" i="3"/>
  <c r="R272" i="3"/>
  <c r="U204" i="3"/>
  <c r="K237" i="3"/>
  <c r="T256" i="3"/>
  <c r="P276" i="3"/>
  <c r="L296" i="3"/>
  <c r="U315" i="3"/>
  <c r="K174" i="3"/>
  <c r="N243" i="3"/>
  <c r="V291" i="3"/>
  <c r="J330" i="3"/>
  <c r="S349" i="3"/>
  <c r="O369" i="3"/>
  <c r="Y369" i="3" s="1"/>
  <c r="K389" i="3"/>
  <c r="T408" i="3"/>
  <c r="P428" i="3"/>
  <c r="L448" i="3"/>
  <c r="U467" i="3"/>
  <c r="S190" i="3"/>
  <c r="M240" i="3"/>
  <c r="O283" i="3"/>
  <c r="Y283" i="3" s="1"/>
  <c r="L314" i="3"/>
  <c r="U336" i="3"/>
  <c r="U352" i="3"/>
  <c r="M368" i="3"/>
  <c r="U384" i="3"/>
  <c r="M400" i="3"/>
  <c r="R415" i="3"/>
  <c r="R431" i="3"/>
  <c r="J447" i="3"/>
  <c r="R463" i="3"/>
  <c r="U199" i="3"/>
  <c r="M245" i="3"/>
  <c r="L286" i="3"/>
  <c r="V316" i="3"/>
  <c r="O339" i="3"/>
  <c r="Y339" i="3" s="1"/>
  <c r="T354" i="3"/>
  <c r="V368" i="3"/>
  <c r="U381" i="3"/>
  <c r="T394" i="3"/>
  <c r="N408" i="3"/>
  <c r="O419" i="3"/>
  <c r="P430" i="3"/>
  <c r="V440" i="3"/>
  <c r="U152" i="3"/>
  <c r="K210" i="3"/>
  <c r="J239" i="3"/>
  <c r="T266" i="3"/>
  <c r="L291" i="3"/>
  <c r="N313" i="3"/>
  <c r="U330" i="3"/>
  <c r="N341" i="3"/>
  <c r="O352" i="3"/>
  <c r="Y352" i="3" s="1"/>
  <c r="U362" i="3"/>
  <c r="N373" i="3"/>
  <c r="R192" i="3"/>
  <c r="V227" i="3"/>
  <c r="P257" i="3"/>
  <c r="J284" i="3"/>
  <c r="L306" i="3"/>
  <c r="U325" i="3"/>
  <c r="T337" i="3"/>
  <c r="M348" i="3"/>
  <c r="K358" i="3"/>
  <c r="K366" i="3"/>
  <c r="R371" i="3"/>
  <c r="L377" i="3"/>
  <c r="S382" i="3"/>
  <c r="M388" i="3"/>
  <c r="T393" i="3"/>
  <c r="N399" i="3"/>
  <c r="P405" i="3"/>
  <c r="J411" i="3"/>
  <c r="Q416" i="3"/>
  <c r="K422" i="3"/>
  <c r="R427" i="3"/>
  <c r="L433" i="3"/>
  <c r="S438" i="3"/>
  <c r="U444" i="3"/>
  <c r="O450" i="3"/>
  <c r="N455" i="3"/>
  <c r="M460" i="3"/>
  <c r="L465" i="3"/>
  <c r="K470" i="3"/>
  <c r="K182" i="3"/>
  <c r="T229" i="3"/>
  <c r="N264" i="3"/>
  <c r="J295" i="3"/>
  <c r="M321" i="3"/>
  <c r="V337" i="3"/>
  <c r="M351" i="3"/>
  <c r="N364" i="3"/>
  <c r="R376" i="3"/>
  <c r="P386" i="3"/>
  <c r="N396" i="3"/>
  <c r="L406" i="3"/>
  <c r="J416" i="3"/>
  <c r="U425" i="3"/>
  <c r="S435" i="3"/>
  <c r="Q445" i="3"/>
  <c r="J454" i="3"/>
  <c r="V461" i="3"/>
  <c r="Q469" i="3"/>
  <c r="P475" i="3"/>
  <c r="O480" i="3"/>
  <c r="N485" i="3"/>
  <c r="M490" i="3"/>
  <c r="L495" i="3"/>
  <c r="K500" i="3"/>
  <c r="V172" i="3"/>
  <c r="K226" i="3"/>
  <c r="J261" i="3"/>
  <c r="T291" i="3"/>
  <c r="O318" i="3"/>
  <c r="R336" i="3"/>
  <c r="R349" i="3"/>
  <c r="V362" i="3"/>
  <c r="P375" i="3"/>
  <c r="N385" i="3"/>
  <c r="L395" i="3"/>
  <c r="J405" i="3"/>
  <c r="U414" i="3"/>
  <c r="S424" i="3"/>
  <c r="Q434" i="3"/>
  <c r="O444" i="3"/>
  <c r="Y444" i="3" s="1"/>
  <c r="M453" i="3"/>
  <c r="J461" i="3"/>
  <c r="T468" i="3"/>
  <c r="V474" i="3"/>
  <c r="U479" i="3"/>
  <c r="T484" i="3"/>
  <c r="S489" i="3"/>
  <c r="R494" i="3"/>
  <c r="Q499" i="3"/>
  <c r="P504" i="3"/>
  <c r="O509" i="3"/>
  <c r="N514" i="3"/>
  <c r="S206" i="3"/>
  <c r="J244" i="3"/>
  <c r="J279" i="3"/>
  <c r="N305" i="3"/>
  <c r="N330" i="3"/>
  <c r="O343" i="3"/>
  <c r="O356" i="3"/>
  <c r="S369" i="3"/>
  <c r="S380" i="3"/>
  <c r="Q390" i="3"/>
  <c r="O400" i="3"/>
  <c r="Y400" i="3" s="1"/>
  <c r="U123" i="3"/>
  <c r="K329" i="3"/>
  <c r="P309" i="3"/>
  <c r="R240" i="3"/>
  <c r="U82" i="3"/>
  <c r="L217" i="3"/>
  <c r="U243" i="3"/>
  <c r="Q263" i="3"/>
  <c r="M283" i="3"/>
  <c r="V302" i="3"/>
  <c r="R322" i="3"/>
  <c r="J207" i="3"/>
  <c r="M261" i="3"/>
  <c r="P305" i="3"/>
  <c r="T336" i="3"/>
  <c r="P356" i="3"/>
  <c r="L376" i="3"/>
  <c r="U395" i="3"/>
  <c r="Q415" i="3"/>
  <c r="M435" i="3"/>
  <c r="V454" i="3"/>
  <c r="T472" i="3"/>
  <c r="P211" i="3"/>
  <c r="M253" i="3"/>
  <c r="M293" i="3"/>
  <c r="J324" i="3"/>
  <c r="T341" i="3"/>
  <c r="T357" i="3"/>
  <c r="L373" i="3"/>
  <c r="T389" i="3"/>
  <c r="L405" i="3"/>
  <c r="Q420" i="3"/>
  <c r="Q436" i="3"/>
  <c r="V451" i="3"/>
  <c r="K44" i="3"/>
  <c r="M217" i="3"/>
  <c r="Q258" i="3"/>
  <c r="J296" i="3"/>
  <c r="P326" i="3"/>
  <c r="N344" i="3"/>
  <c r="S359" i="3"/>
  <c r="M373" i="3"/>
  <c r="L386" i="3"/>
  <c r="K399" i="3"/>
  <c r="R412" i="3"/>
  <c r="P422" i="3"/>
  <c r="V432" i="3"/>
  <c r="O443" i="3"/>
  <c r="Y443" i="3" s="1"/>
  <c r="K171" i="3"/>
  <c r="N219" i="3"/>
  <c r="R245" i="3"/>
  <c r="P273" i="3"/>
  <c r="N297" i="3"/>
  <c r="M318" i="3"/>
  <c r="V333" i="3"/>
  <c r="T343" i="3"/>
  <c r="M354" i="3"/>
  <c r="N365" i="3"/>
  <c r="Q109" i="3"/>
  <c r="R208" i="3"/>
  <c r="J236" i="3"/>
  <c r="K264" i="3"/>
  <c r="V288" i="3"/>
  <c r="U309" i="3"/>
  <c r="O330" i="3"/>
  <c r="Y330" i="3" s="1"/>
  <c r="M340" i="3"/>
  <c r="S350" i="3"/>
  <c r="V359" i="3"/>
  <c r="N367" i="3"/>
  <c r="U372" i="3"/>
  <c r="O378" i="3"/>
  <c r="V383" i="3"/>
  <c r="P389" i="3"/>
  <c r="R395" i="3"/>
  <c r="L401" i="3"/>
  <c r="S406" i="3"/>
  <c r="M412" i="3"/>
  <c r="T417" i="3"/>
  <c r="N423" i="3"/>
  <c r="U428" i="3"/>
  <c r="J435" i="3"/>
  <c r="Q440" i="3"/>
  <c r="K446" i="3"/>
  <c r="R451" i="3"/>
  <c r="Q456" i="3"/>
  <c r="P461" i="3"/>
  <c r="O466" i="3"/>
  <c r="Y466" i="3" s="1"/>
  <c r="N471" i="3"/>
  <c r="L198" i="3"/>
  <c r="M238" i="3"/>
  <c r="Q273" i="3"/>
  <c r="Q301" i="3"/>
  <c r="K327" i="3"/>
  <c r="O341" i="3"/>
  <c r="P354" i="3"/>
  <c r="P367" i="3"/>
  <c r="K379" i="3"/>
  <c r="V388" i="3"/>
  <c r="T398" i="3"/>
  <c r="R408" i="3"/>
  <c r="P418" i="3"/>
  <c r="N428" i="3"/>
  <c r="L438" i="3"/>
  <c r="J448" i="3"/>
  <c r="J456" i="3"/>
  <c r="U463" i="3"/>
  <c r="L471" i="3"/>
  <c r="S476" i="3"/>
  <c r="R481" i="3"/>
  <c r="Q486" i="3"/>
  <c r="P491" i="3"/>
  <c r="O496" i="3"/>
  <c r="Y496" i="3" s="1"/>
  <c r="N501" i="3"/>
  <c r="V191" i="3"/>
  <c r="S234" i="3"/>
  <c r="M269" i="3"/>
  <c r="S298" i="3"/>
  <c r="V324" i="3"/>
  <c r="T339" i="3"/>
  <c r="K353" i="3"/>
  <c r="L366" i="3"/>
  <c r="V377" i="3"/>
  <c r="T387" i="3"/>
  <c r="R397" i="3"/>
  <c r="P407" i="3"/>
  <c r="N417" i="3"/>
  <c r="L427" i="3"/>
  <c r="J437" i="3"/>
  <c r="U446" i="3"/>
  <c r="L455" i="3"/>
  <c r="K463" i="3"/>
  <c r="P470" i="3"/>
  <c r="L476" i="3"/>
  <c r="K481" i="3"/>
  <c r="J486" i="3"/>
  <c r="V490" i="3"/>
  <c r="U495" i="3"/>
  <c r="T500" i="3"/>
  <c r="S505" i="3"/>
  <c r="R510" i="3"/>
  <c r="S130" i="3"/>
  <c r="T217" i="3"/>
  <c r="R252" i="3"/>
  <c r="R285" i="3"/>
  <c r="M312" i="3"/>
  <c r="Q333" i="3"/>
  <c r="Q346" i="3"/>
  <c r="U359" i="3"/>
  <c r="V372" i="3"/>
  <c r="L383" i="3"/>
  <c r="J393" i="3"/>
  <c r="U402" i="3"/>
  <c r="S412" i="3"/>
  <c r="Q422" i="3"/>
  <c r="O432" i="3"/>
  <c r="M442" i="3"/>
  <c r="O451" i="3"/>
  <c r="L459" i="3"/>
  <c r="K467" i="3"/>
  <c r="R473" i="3"/>
  <c r="S478" i="3"/>
  <c r="R483" i="3"/>
  <c r="Q488" i="3"/>
  <c r="K201" i="3"/>
  <c r="S239" i="3"/>
  <c r="N275" i="3"/>
  <c r="T302" i="3"/>
  <c r="K328" i="3"/>
  <c r="J342" i="3"/>
  <c r="K355" i="3"/>
  <c r="K368" i="3"/>
  <c r="Q379" i="3"/>
  <c r="N173" i="3"/>
  <c r="P176" i="3"/>
  <c r="J323" i="3"/>
  <c r="J248" i="3"/>
  <c r="T152" i="3"/>
  <c r="L224" i="3"/>
  <c r="S245" i="3"/>
  <c r="O265" i="3"/>
  <c r="K285" i="3"/>
  <c r="T304" i="3"/>
  <c r="P324" i="3"/>
  <c r="K213" i="3"/>
  <c r="L266" i="3"/>
  <c r="L309" i="3"/>
  <c r="R338" i="3"/>
  <c r="N358" i="3"/>
  <c r="J378" i="3"/>
  <c r="S397" i="3"/>
  <c r="O417" i="3"/>
  <c r="K437" i="3"/>
  <c r="T456" i="3"/>
  <c r="J474" i="3"/>
  <c r="L213" i="3"/>
  <c r="L258" i="3"/>
  <c r="P294" i="3"/>
  <c r="M325" i="3"/>
  <c r="J343" i="3"/>
  <c r="O358" i="3"/>
  <c r="Y358" i="3" s="1"/>
  <c r="J375" i="3"/>
  <c r="O390" i="3"/>
  <c r="T405" i="3"/>
  <c r="T421" i="3"/>
  <c r="L437" i="3"/>
  <c r="T453" i="3"/>
  <c r="S84" i="3"/>
  <c r="L219" i="3"/>
  <c r="T261" i="3"/>
  <c r="M297" i="3"/>
  <c r="P329" i="3"/>
  <c r="V344" i="3"/>
  <c r="N360" i="3"/>
  <c r="U373" i="3"/>
  <c r="T386" i="3"/>
  <c r="S399" i="3"/>
  <c r="M413" i="3"/>
  <c r="S423" i="3"/>
  <c r="L434" i="3"/>
  <c r="M445" i="3"/>
  <c r="O178" i="3"/>
  <c r="J221" i="3"/>
  <c r="Q250" i="3"/>
  <c r="O278" i="3"/>
  <c r="Y278" i="3" s="1"/>
  <c r="T299" i="3"/>
  <c r="P319" i="3"/>
  <c r="Q334" i="3"/>
  <c r="R345" i="3"/>
  <c r="K356" i="3"/>
  <c r="L367" i="3"/>
  <c r="J144" i="3"/>
  <c r="N210" i="3"/>
  <c r="P239" i="3"/>
  <c r="N267" i="3"/>
  <c r="R292" i="3"/>
  <c r="N312" i="3"/>
  <c r="J331" i="3"/>
  <c r="K342" i="3"/>
  <c r="Q352" i="3"/>
  <c r="L361" i="3"/>
  <c r="V367" i="3"/>
  <c r="P373" i="3"/>
  <c r="J379" i="3"/>
  <c r="Q384" i="3"/>
  <c r="S390" i="3"/>
  <c r="M396" i="3"/>
  <c r="T401" i="3"/>
  <c r="N407" i="3"/>
  <c r="U412" i="3"/>
  <c r="O418" i="3"/>
  <c r="V423" i="3"/>
  <c r="K430" i="3"/>
  <c r="R435" i="3"/>
  <c r="L441" i="3"/>
  <c r="S446" i="3"/>
  <c r="M452" i="3"/>
  <c r="L457" i="3"/>
  <c r="J104" i="3"/>
  <c r="O279" i="3"/>
  <c r="T280" i="3"/>
  <c r="U254" i="3"/>
  <c r="S373" i="3"/>
  <c r="P452" i="3"/>
  <c r="N288" i="3"/>
  <c r="N371" i="3"/>
  <c r="S434" i="3"/>
  <c r="K255" i="3"/>
  <c r="M357" i="3"/>
  <c r="T410" i="3"/>
  <c r="T161" i="3"/>
  <c r="R293" i="3"/>
  <c r="R353" i="3"/>
  <c r="U232" i="3"/>
  <c r="T327" i="3"/>
  <c r="S366" i="3"/>
  <c r="U388" i="3"/>
  <c r="R411" i="3"/>
  <c r="T433" i="3"/>
  <c r="V455" i="3"/>
  <c r="S470" i="3"/>
  <c r="P247" i="3"/>
  <c r="U329" i="3"/>
  <c r="J366" i="3"/>
  <c r="O391" i="3"/>
  <c r="S419" i="3"/>
  <c r="T446" i="3"/>
  <c r="U462" i="3"/>
  <c r="K476" i="3"/>
  <c r="V485" i="3"/>
  <c r="T495" i="3"/>
  <c r="M183" i="3"/>
  <c r="P265" i="3"/>
  <c r="N321" i="3"/>
  <c r="O351" i="3"/>
  <c r="S376" i="3"/>
  <c r="O396" i="3"/>
  <c r="Y396" i="3" s="1"/>
  <c r="K416" i="3"/>
  <c r="T435" i="3"/>
  <c r="L454" i="3"/>
  <c r="R469" i="3"/>
  <c r="P480" i="3"/>
  <c r="N490" i="3"/>
  <c r="L500" i="3"/>
  <c r="J510" i="3"/>
  <c r="P212" i="3"/>
  <c r="S282" i="3"/>
  <c r="T331" i="3"/>
  <c r="L358" i="3"/>
  <c r="V381" i="3"/>
  <c r="R401" i="3"/>
  <c r="U418" i="3"/>
  <c r="R433" i="3"/>
  <c r="N449" i="3"/>
  <c r="M461" i="3"/>
  <c r="V472" i="3"/>
  <c r="T481" i="3"/>
  <c r="L489" i="3"/>
  <c r="P231" i="3"/>
  <c r="K283" i="3"/>
  <c r="T325" i="3"/>
  <c r="L350" i="3"/>
  <c r="U369" i="3"/>
  <c r="P384" i="3"/>
  <c r="N394" i="3"/>
  <c r="L404" i="3"/>
  <c r="J414" i="3"/>
  <c r="U423" i="3"/>
  <c r="S433" i="3"/>
  <c r="Q443" i="3"/>
  <c r="O452" i="3"/>
  <c r="Y452" i="3" s="1"/>
  <c r="N460" i="3"/>
  <c r="L468" i="3"/>
  <c r="O474" i="3"/>
  <c r="O479" i="3"/>
  <c r="M96" i="3"/>
  <c r="U213" i="3"/>
  <c r="P249" i="3"/>
  <c r="L283" i="3"/>
  <c r="T309" i="3"/>
  <c r="N332" i="3"/>
  <c r="N345" i="3"/>
  <c r="R358" i="3"/>
  <c r="S371" i="3"/>
  <c r="L382" i="3"/>
  <c r="J392" i="3"/>
  <c r="U401" i="3"/>
  <c r="S411" i="3"/>
  <c r="Q421" i="3"/>
  <c r="O431" i="3"/>
  <c r="M441" i="3"/>
  <c r="Q450" i="3"/>
  <c r="P458" i="3"/>
  <c r="N466" i="3"/>
  <c r="K473" i="3"/>
  <c r="M478" i="3"/>
  <c r="L483" i="3"/>
  <c r="K488" i="3"/>
  <c r="J493" i="3"/>
  <c r="V497" i="3"/>
  <c r="U502" i="3"/>
  <c r="T507" i="3"/>
  <c r="V195" i="3"/>
  <c r="Q290" i="3"/>
  <c r="P344" i="3"/>
  <c r="Q378" i="3"/>
  <c r="S404" i="3"/>
  <c r="R430" i="3"/>
  <c r="S455" i="3"/>
  <c r="S474" i="3"/>
  <c r="V486" i="3"/>
  <c r="N495" i="3"/>
  <c r="K503" i="3"/>
  <c r="S509" i="3"/>
  <c r="O515" i="3"/>
  <c r="N520" i="3"/>
  <c r="M525" i="3"/>
  <c r="L530" i="3"/>
  <c r="K535" i="3"/>
  <c r="J540" i="3"/>
  <c r="V544" i="3"/>
  <c r="U549" i="3"/>
  <c r="T554" i="3"/>
  <c r="S559" i="3"/>
  <c r="R564" i="3"/>
  <c r="Q569" i="3"/>
  <c r="P574" i="3"/>
  <c r="O579" i="3"/>
  <c r="N584" i="3"/>
  <c r="M589" i="3"/>
  <c r="L594" i="3"/>
  <c r="K599" i="3"/>
  <c r="J604" i="3"/>
  <c r="V608" i="3"/>
  <c r="L196" i="3"/>
  <c r="N291" i="3"/>
  <c r="S345" i="3"/>
  <c r="U378" i="3"/>
  <c r="T404" i="3"/>
  <c r="P431" i="3"/>
  <c r="T455" i="3"/>
  <c r="T474" i="3"/>
  <c r="J487" i="3"/>
  <c r="O495" i="3"/>
  <c r="L503" i="3"/>
  <c r="T509" i="3"/>
  <c r="P515" i="3"/>
  <c r="O520" i="3"/>
  <c r="Y520" i="3" s="1"/>
  <c r="N525" i="3"/>
  <c r="M530" i="3"/>
  <c r="L535" i="3"/>
  <c r="K540" i="3"/>
  <c r="J545" i="3"/>
  <c r="V549" i="3"/>
  <c r="U554" i="3"/>
  <c r="T559" i="3"/>
  <c r="S564" i="3"/>
  <c r="R569" i="3"/>
  <c r="Q574" i="3"/>
  <c r="P579" i="3"/>
  <c r="O584" i="3"/>
  <c r="N589" i="3"/>
  <c r="M594" i="3"/>
  <c r="L599" i="3"/>
  <c r="K604" i="3"/>
  <c r="J609" i="3"/>
  <c r="V613" i="3"/>
  <c r="U618" i="3"/>
  <c r="T623" i="3"/>
  <c r="U218" i="3"/>
  <c r="K166" i="3"/>
  <c r="N286" i="3"/>
  <c r="R269" i="3"/>
  <c r="M379" i="3"/>
  <c r="J458" i="3"/>
  <c r="L298" i="3"/>
  <c r="M376" i="3"/>
  <c r="R439" i="3"/>
  <c r="O268" i="3"/>
  <c r="L362" i="3"/>
  <c r="P414" i="3"/>
  <c r="M188" i="3"/>
  <c r="J301" i="3"/>
  <c r="N357" i="3"/>
  <c r="O244" i="3"/>
  <c r="U332" i="3"/>
  <c r="Q368" i="3"/>
  <c r="N391" i="3"/>
  <c r="P413" i="3"/>
  <c r="M436" i="3"/>
  <c r="T457" i="3"/>
  <c r="V471" i="3"/>
  <c r="L269" i="3"/>
  <c r="Q331" i="3"/>
  <c r="M369" i="3"/>
  <c r="Q397" i="3"/>
  <c r="V420" i="3"/>
  <c r="K449" i="3"/>
  <c r="V464" i="3"/>
  <c r="N477" i="3"/>
  <c r="L487" i="3"/>
  <c r="J497" i="3"/>
  <c r="T198" i="3"/>
  <c r="K274" i="3"/>
  <c r="S327" i="3"/>
  <c r="Q354" i="3"/>
  <c r="L379" i="3"/>
  <c r="U398" i="3"/>
  <c r="Q418" i="3"/>
  <c r="M438" i="3"/>
  <c r="K456" i="3"/>
  <c r="M471" i="3"/>
  <c r="S481" i="3"/>
  <c r="Q491" i="3"/>
  <c r="O501" i="3"/>
  <c r="Y501" i="3" s="1"/>
  <c r="M511" i="3"/>
  <c r="T221" i="3"/>
  <c r="M289" i="3"/>
  <c r="M335" i="3"/>
  <c r="N361" i="3"/>
  <c r="O384" i="3"/>
  <c r="Y384" i="3" s="1"/>
  <c r="K404" i="3"/>
  <c r="K420" i="3"/>
  <c r="U434" i="3"/>
  <c r="N450" i="3"/>
  <c r="K464" i="3"/>
  <c r="N474" i="3"/>
  <c r="O482" i="3"/>
  <c r="S91" i="3"/>
  <c r="V235" i="3"/>
  <c r="V292" i="3"/>
  <c r="P330" i="3"/>
  <c r="U351" i="3"/>
  <c r="Q371" i="3"/>
  <c r="S385" i="3"/>
  <c r="Q395" i="3"/>
  <c r="O405" i="3"/>
  <c r="Y405" i="3" s="1"/>
  <c r="M415" i="3"/>
  <c r="K425" i="3"/>
  <c r="V434" i="3"/>
  <c r="T444" i="3"/>
  <c r="O453" i="3"/>
  <c r="N461" i="3"/>
  <c r="J469" i="3"/>
  <c r="K475" i="3"/>
  <c r="J480" i="3"/>
  <c r="L144" i="3"/>
  <c r="P218" i="3"/>
  <c r="U253" i="3"/>
  <c r="T286" i="3"/>
  <c r="S312" i="3"/>
  <c r="J334" i="3"/>
  <c r="K347" i="3"/>
  <c r="K360" i="3"/>
  <c r="O373" i="3"/>
  <c r="O383" i="3"/>
  <c r="M393" i="3"/>
  <c r="K403" i="3"/>
  <c r="V412" i="3"/>
  <c r="T422" i="3"/>
  <c r="R432" i="3"/>
  <c r="P442" i="3"/>
  <c r="Q451" i="3"/>
  <c r="P459" i="3"/>
  <c r="O467" i="3"/>
  <c r="T473" i="3"/>
  <c r="U478" i="3"/>
  <c r="T483" i="3"/>
  <c r="S488" i="3"/>
  <c r="R493" i="3"/>
  <c r="Q498" i="3"/>
  <c r="P503" i="3"/>
  <c r="O508" i="3"/>
  <c r="T210" i="3"/>
  <c r="N300" i="3"/>
  <c r="J349" i="3"/>
  <c r="O381" i="3"/>
  <c r="Y381" i="3" s="1"/>
  <c r="K408" i="3"/>
  <c r="M434" i="3"/>
  <c r="P312" i="3"/>
  <c r="S213" i="3"/>
  <c r="P300" i="3"/>
  <c r="Q300" i="3"/>
  <c r="O393" i="3"/>
  <c r="Y393" i="3" s="1"/>
  <c r="Q471" i="3"/>
  <c r="K319" i="3"/>
  <c r="N387" i="3"/>
  <c r="K450" i="3"/>
  <c r="N292" i="3"/>
  <c r="O371" i="3"/>
  <c r="M421" i="3"/>
  <c r="T213" i="3"/>
  <c r="Q314" i="3"/>
  <c r="P363" i="3"/>
  <c r="O262" i="3"/>
  <c r="J339" i="3"/>
  <c r="M372" i="3"/>
  <c r="O394" i="3"/>
  <c r="L417" i="3"/>
  <c r="V439" i="3"/>
  <c r="U460" i="3"/>
  <c r="S72" i="3"/>
  <c r="R277" i="3"/>
  <c r="S339" i="3"/>
  <c r="V370" i="3"/>
  <c r="J400" i="3"/>
  <c r="K427" i="3"/>
  <c r="L450" i="3"/>
  <c r="U465" i="3"/>
  <c r="V477" i="3"/>
  <c r="T487" i="3"/>
  <c r="R497" i="3"/>
  <c r="K206" i="3"/>
  <c r="P278" i="3"/>
  <c r="V329" i="3"/>
  <c r="N356" i="3"/>
  <c r="O380" i="3"/>
  <c r="Y380" i="3" s="1"/>
  <c r="K400" i="3"/>
  <c r="T419" i="3"/>
  <c r="P439" i="3"/>
  <c r="K457" i="3"/>
  <c r="K472" i="3"/>
  <c r="N482" i="3"/>
  <c r="L492" i="3"/>
  <c r="J502" i="3"/>
  <c r="U511" i="3"/>
  <c r="Q226" i="3"/>
  <c r="Q292" i="3"/>
  <c r="S336" i="3"/>
  <c r="K363" i="3"/>
  <c r="R385" i="3"/>
  <c r="N405" i="3"/>
  <c r="N421" i="3"/>
  <c r="Q438" i="3"/>
  <c r="N452" i="3"/>
  <c r="K465" i="3"/>
  <c r="J475" i="3"/>
  <c r="J483" i="3"/>
  <c r="R176" i="3"/>
  <c r="Q244" i="3"/>
  <c r="M296" i="3"/>
  <c r="L332" i="3"/>
  <c r="N353" i="3"/>
  <c r="U375" i="3"/>
  <c r="V386" i="3"/>
  <c r="T396" i="3"/>
  <c r="R406" i="3"/>
  <c r="P416" i="3"/>
  <c r="N426" i="3"/>
  <c r="L436" i="3"/>
  <c r="J446" i="3"/>
  <c r="P454" i="3"/>
  <c r="M462" i="3"/>
  <c r="U469" i="3"/>
  <c r="S475" i="3"/>
  <c r="R480" i="3"/>
  <c r="O167" i="3"/>
  <c r="Y167" i="3" s="1"/>
  <c r="K223" i="3"/>
  <c r="V257" i="3"/>
  <c r="K290" i="3"/>
  <c r="N316" i="3"/>
  <c r="P335" i="3"/>
  <c r="T348" i="3"/>
  <c r="U361" i="3"/>
  <c r="T374" i="3"/>
  <c r="R384" i="3"/>
  <c r="P394" i="3"/>
  <c r="N404" i="3"/>
  <c r="L414" i="3"/>
  <c r="J424" i="3"/>
  <c r="U433" i="3"/>
  <c r="S443" i="3"/>
  <c r="R452" i="3"/>
  <c r="O460" i="3"/>
  <c r="Y460" i="3" s="1"/>
  <c r="N468" i="3"/>
  <c r="P474" i="3"/>
  <c r="P479" i="3"/>
  <c r="O484" i="3"/>
  <c r="N489" i="3"/>
  <c r="M494" i="3"/>
  <c r="L499" i="3"/>
  <c r="K504" i="3"/>
  <c r="J509" i="3"/>
  <c r="N224" i="3"/>
  <c r="S307" i="3"/>
  <c r="U353" i="3"/>
  <c r="J385" i="3"/>
  <c r="V410" i="3"/>
  <c r="R437" i="3"/>
  <c r="S460" i="3"/>
  <c r="U477" i="3"/>
  <c r="O489" i="3"/>
  <c r="M497" i="3"/>
  <c r="T504" i="3"/>
  <c r="N511" i="3"/>
  <c r="R516" i="3"/>
  <c r="Q521" i="3"/>
  <c r="P526" i="3"/>
  <c r="O531" i="3"/>
  <c r="N536" i="3"/>
  <c r="M541" i="3"/>
  <c r="L546" i="3"/>
  <c r="K551" i="3"/>
  <c r="J556" i="3"/>
  <c r="V560" i="3"/>
  <c r="U565" i="3"/>
  <c r="T570" i="3"/>
  <c r="S575" i="3"/>
  <c r="U209" i="3"/>
  <c r="M227" i="3"/>
  <c r="J306" i="3"/>
  <c r="R311" i="3"/>
  <c r="V398" i="3"/>
  <c r="K98" i="3"/>
  <c r="N328" i="3"/>
  <c r="M392" i="3"/>
  <c r="J455" i="3"/>
  <c r="L302" i="3"/>
  <c r="K375" i="3"/>
  <c r="Q425" i="3"/>
  <c r="V225" i="3"/>
  <c r="L323" i="3"/>
  <c r="T367" i="3"/>
  <c r="P270" i="3"/>
  <c r="N343" i="3"/>
  <c r="K374" i="3"/>
  <c r="U396" i="3"/>
  <c r="J419" i="3"/>
  <c r="T441" i="3"/>
  <c r="K462" i="3"/>
  <c r="L190" i="3"/>
  <c r="U281" i="3"/>
  <c r="U342" i="3"/>
  <c r="U377" i="3"/>
  <c r="M401" i="3"/>
  <c r="Q429" i="3"/>
  <c r="J453" i="3"/>
  <c r="S468" i="3"/>
  <c r="T479" i="3"/>
  <c r="R489" i="3"/>
  <c r="P499" i="3"/>
  <c r="R221" i="3"/>
  <c r="U288" i="3"/>
  <c r="U334" i="3"/>
  <c r="M361" i="3"/>
  <c r="K384" i="3"/>
  <c r="T403" i="3"/>
  <c r="P423" i="3"/>
  <c r="L443" i="3"/>
  <c r="K460" i="3"/>
  <c r="M474" i="3"/>
  <c r="L484" i="3"/>
  <c r="J494" i="3"/>
  <c r="U503" i="3"/>
  <c r="S513" i="3"/>
  <c r="R239" i="3"/>
  <c r="O302" i="3"/>
  <c r="R341" i="3"/>
  <c r="J368" i="3"/>
  <c r="N389" i="3"/>
  <c r="J409" i="3"/>
  <c r="T423" i="3"/>
  <c r="T439" i="3"/>
  <c r="N453" i="3"/>
  <c r="L466" i="3"/>
  <c r="U476" i="3"/>
  <c r="M484" i="3"/>
  <c r="S185" i="3"/>
  <c r="V248" i="3"/>
  <c r="L299" i="3"/>
  <c r="K337" i="3"/>
  <c r="T356" i="3"/>
  <c r="K377" i="3"/>
  <c r="L388" i="3"/>
  <c r="J398" i="3"/>
  <c r="U407" i="3"/>
  <c r="S417" i="3"/>
  <c r="Q427" i="3"/>
  <c r="O437" i="3"/>
  <c r="M447" i="3"/>
  <c r="O455" i="3"/>
  <c r="M463" i="3"/>
  <c r="R470" i="3"/>
  <c r="N476" i="3"/>
  <c r="M481" i="3"/>
  <c r="K177" i="3"/>
  <c r="T227" i="3"/>
  <c r="P262" i="3"/>
  <c r="J293" i="3"/>
  <c r="R319" i="3"/>
  <c r="M337" i="3"/>
  <c r="M350" i="3"/>
  <c r="Q363" i="3"/>
  <c r="J376" i="3"/>
  <c r="U385" i="3"/>
  <c r="S395" i="3"/>
  <c r="Q405" i="3"/>
  <c r="O415" i="3"/>
  <c r="M425" i="3"/>
  <c r="K435" i="3"/>
  <c r="V444" i="3"/>
  <c r="Q453" i="3"/>
  <c r="O461" i="3"/>
  <c r="Y461" i="3" s="1"/>
  <c r="L469" i="3"/>
  <c r="L475" i="3"/>
  <c r="K480" i="3"/>
  <c r="J485" i="3"/>
  <c r="V489" i="3"/>
  <c r="U494" i="3"/>
  <c r="T499" i="3"/>
  <c r="S504" i="3"/>
  <c r="R509" i="3"/>
  <c r="Q236" i="3"/>
  <c r="L317" i="3"/>
  <c r="Q357" i="3"/>
  <c r="O388" i="3"/>
  <c r="Q414" i="3"/>
  <c r="P440" i="3"/>
  <c r="P463" i="3"/>
  <c r="R479" i="3"/>
  <c r="O490" i="3"/>
  <c r="L498" i="3"/>
  <c r="U292" i="3"/>
  <c r="O241" i="3"/>
  <c r="L320" i="3"/>
  <c r="N334" i="3"/>
  <c r="K413" i="3"/>
  <c r="T204" i="3"/>
  <c r="Q340" i="3"/>
  <c r="S402" i="3"/>
  <c r="K466" i="3"/>
  <c r="K323" i="3"/>
  <c r="N384" i="3"/>
  <c r="N432" i="3"/>
  <c r="L242" i="3"/>
  <c r="S332" i="3"/>
  <c r="V373" i="3"/>
  <c r="P286" i="3"/>
  <c r="K350" i="3"/>
  <c r="T377" i="3"/>
  <c r="Q400" i="3"/>
  <c r="S422" i="3"/>
  <c r="P445" i="3"/>
  <c r="S462" i="3"/>
  <c r="T205" i="3"/>
  <c r="V297" i="3"/>
  <c r="R344" i="3"/>
  <c r="N380" i="3"/>
  <c r="O407" i="3"/>
  <c r="Y407" i="3" s="1"/>
  <c r="T430" i="3"/>
  <c r="K455" i="3"/>
  <c r="O470" i="3"/>
  <c r="J481" i="3"/>
  <c r="U490" i="3"/>
  <c r="S500" i="3"/>
  <c r="U229" i="3"/>
  <c r="O295" i="3"/>
  <c r="Y295" i="3" s="1"/>
  <c r="N338" i="3"/>
  <c r="O364" i="3"/>
  <c r="Y364" i="3" s="1"/>
  <c r="Q386" i="3"/>
  <c r="M406" i="3"/>
  <c r="V425" i="3"/>
  <c r="R445" i="3"/>
  <c r="J462" i="3"/>
  <c r="Q475" i="3"/>
  <c r="O485" i="3"/>
  <c r="Y485" i="3" s="1"/>
  <c r="M495" i="3"/>
  <c r="K505" i="3"/>
  <c r="U89" i="3"/>
  <c r="K248" i="3"/>
  <c r="V308" i="3"/>
  <c r="K345" i="3"/>
  <c r="N147" i="3"/>
  <c r="V246" i="3"/>
  <c r="S325" i="3"/>
  <c r="U339" i="3"/>
  <c r="R418" i="3"/>
  <c r="Q220" i="3"/>
  <c r="P345" i="3"/>
  <c r="R407" i="3"/>
  <c r="O137" i="3"/>
  <c r="Y137" i="3" s="1"/>
  <c r="T330" i="3"/>
  <c r="R388" i="3"/>
  <c r="O435" i="3"/>
  <c r="T253" i="3"/>
  <c r="O336" i="3"/>
  <c r="J163" i="3"/>
  <c r="U293" i="3"/>
  <c r="L353" i="3"/>
  <c r="R379" i="3"/>
  <c r="O402" i="3"/>
  <c r="L425" i="3"/>
  <c r="N447" i="3"/>
  <c r="T465" i="3"/>
  <c r="V210" i="3"/>
  <c r="U304" i="3"/>
  <c r="S352" i="3"/>
  <c r="Q381" i="3"/>
  <c r="U409" i="3"/>
  <c r="V436" i="3"/>
  <c r="J457" i="3"/>
  <c r="J472" i="3"/>
  <c r="M482" i="3"/>
  <c r="K492" i="3"/>
  <c r="V501" i="3"/>
  <c r="K239" i="3"/>
  <c r="R301" i="3"/>
  <c r="Q341" i="3"/>
  <c r="U367" i="3"/>
  <c r="J389" i="3"/>
  <c r="S408" i="3"/>
  <c r="O428" i="3"/>
  <c r="Y428" i="3" s="1"/>
  <c r="K448" i="3"/>
  <c r="J464" i="3"/>
  <c r="T476" i="3"/>
  <c r="R486" i="3"/>
  <c r="P496" i="3"/>
  <c r="N506" i="3"/>
  <c r="M164" i="3"/>
  <c r="N257" i="3"/>
  <c r="L315" i="3"/>
  <c r="N348" i="3"/>
  <c r="Q374" i="3"/>
  <c r="M394" i="3"/>
  <c r="P411" i="3"/>
  <c r="S428" i="3"/>
  <c r="P443" i="3"/>
  <c r="M457" i="3"/>
  <c r="V468" i="3"/>
  <c r="K478" i="3"/>
  <c r="S486" i="3"/>
  <c r="J208" i="3"/>
  <c r="K266" i="3"/>
  <c r="J309" i="3"/>
  <c r="N340" i="3"/>
  <c r="L363" i="3"/>
  <c r="T380" i="3"/>
  <c r="R390" i="3"/>
  <c r="P400" i="3"/>
  <c r="N410" i="3"/>
  <c r="L420" i="3"/>
  <c r="J430" i="3"/>
  <c r="U439" i="3"/>
  <c r="Q449" i="3"/>
  <c r="N457" i="3"/>
  <c r="M465" i="3"/>
  <c r="N472" i="3"/>
  <c r="Q477" i="3"/>
  <c r="P482" i="3"/>
  <c r="K195" i="3"/>
  <c r="O236" i="3"/>
  <c r="J271" i="3"/>
  <c r="V299" i="3"/>
  <c r="V325" i="3"/>
  <c r="O340" i="3"/>
  <c r="Y340" i="3" s="1"/>
  <c r="S353" i="3"/>
  <c r="T366" i="3"/>
  <c r="P378" i="3"/>
  <c r="N388" i="3"/>
  <c r="L398" i="3"/>
  <c r="J408" i="3"/>
  <c r="U417" i="3"/>
  <c r="S427" i="3"/>
  <c r="Q437" i="3"/>
  <c r="O447" i="3"/>
  <c r="P455" i="3"/>
  <c r="O463" i="3"/>
  <c r="T470" i="3"/>
  <c r="O476" i="3"/>
  <c r="Y476" i="3" s="1"/>
  <c r="N481" i="3"/>
  <c r="M486" i="3"/>
  <c r="L491" i="3"/>
  <c r="K496" i="3"/>
  <c r="J501" i="3"/>
  <c r="V505" i="3"/>
  <c r="U510" i="3"/>
  <c r="N259" i="3"/>
  <c r="L331" i="3"/>
  <c r="U366" i="3"/>
  <c r="U394" i="3"/>
  <c r="T420" i="3"/>
  <c r="P447" i="3"/>
  <c r="Q468" i="3"/>
  <c r="T482" i="3"/>
  <c r="N492" i="3"/>
  <c r="M500" i="3"/>
  <c r="M507" i="3"/>
  <c r="O513" i="3"/>
  <c r="P518" i="3"/>
  <c r="O523" i="3"/>
  <c r="N528" i="3"/>
  <c r="M533" i="3"/>
  <c r="L538" i="3"/>
  <c r="K543" i="3"/>
  <c r="J548" i="3"/>
  <c r="V552" i="3"/>
  <c r="U557" i="3"/>
  <c r="T562" i="3"/>
  <c r="S567" i="3"/>
  <c r="R572" i="3"/>
  <c r="Q577" i="3"/>
  <c r="P582" i="3"/>
  <c r="O587" i="3"/>
  <c r="N592" i="3"/>
  <c r="M597" i="3"/>
  <c r="L602" i="3"/>
  <c r="K607" i="3"/>
  <c r="J612" i="3"/>
  <c r="O259" i="3"/>
  <c r="Y259" i="3" s="1"/>
  <c r="O332" i="3"/>
  <c r="Y332" i="3" s="1"/>
  <c r="M367" i="3"/>
  <c r="V394" i="3"/>
  <c r="R421" i="3"/>
  <c r="T447" i="3"/>
  <c r="R468" i="3"/>
  <c r="M483" i="3"/>
  <c r="P492" i="3"/>
  <c r="N500" i="3"/>
  <c r="N507" i="3"/>
  <c r="P513" i="3"/>
  <c r="Q518" i="3"/>
  <c r="P523" i="3"/>
  <c r="O528" i="3"/>
  <c r="N533" i="3"/>
  <c r="M538" i="3"/>
  <c r="L543" i="3"/>
  <c r="K548" i="3"/>
  <c r="J553" i="3"/>
  <c r="V557" i="3"/>
  <c r="U562" i="3"/>
  <c r="T567" i="3"/>
  <c r="S572" i="3"/>
  <c r="R577" i="3"/>
  <c r="Q582" i="3"/>
  <c r="P587" i="3"/>
  <c r="O592" i="3"/>
  <c r="N597" i="3"/>
  <c r="M602" i="3"/>
  <c r="L607" i="3"/>
  <c r="K612" i="3"/>
  <c r="J617" i="3"/>
  <c r="V621" i="3"/>
  <c r="U626" i="3"/>
  <c r="V236" i="3"/>
  <c r="K261" i="3"/>
  <c r="M196" i="3"/>
  <c r="J354" i="3"/>
  <c r="T432" i="3"/>
  <c r="N248" i="3"/>
  <c r="V355" i="3"/>
  <c r="N419" i="3"/>
  <c r="R209" i="3"/>
  <c r="U341" i="3"/>
  <c r="U397" i="3"/>
  <c r="L442" i="3"/>
  <c r="S271" i="3"/>
  <c r="L343" i="3"/>
  <c r="U200" i="3"/>
  <c r="O307" i="3"/>
  <c r="Y307" i="3" s="1"/>
  <c r="S358" i="3"/>
  <c r="N383" i="3"/>
  <c r="K406" i="3"/>
  <c r="M428" i="3"/>
  <c r="J451" i="3"/>
  <c r="J467" i="3"/>
  <c r="L234" i="3"/>
  <c r="T307" i="3"/>
  <c r="L356" i="3"/>
  <c r="S387" i="3"/>
  <c r="K411" i="3"/>
  <c r="O439" i="3"/>
  <c r="V457" i="3"/>
  <c r="S472" i="3"/>
  <c r="U482" i="3"/>
  <c r="S492" i="3"/>
  <c r="Q502" i="3"/>
  <c r="L243" i="3"/>
  <c r="M305" i="3"/>
  <c r="M343" i="3"/>
  <c r="N369" i="3"/>
  <c r="M390" i="3"/>
  <c r="V409" i="3"/>
  <c r="R429" i="3"/>
  <c r="M449" i="3"/>
  <c r="J465" i="3"/>
  <c r="O477" i="3"/>
  <c r="M487" i="3"/>
  <c r="K497" i="3"/>
  <c r="V506" i="3"/>
  <c r="U175" i="3"/>
  <c r="L261" i="3"/>
  <c r="T318" i="3"/>
  <c r="J350" i="3"/>
  <c r="T375" i="3"/>
  <c r="P395" i="3"/>
  <c r="V413" i="3"/>
  <c r="V429" i="3"/>
  <c r="S444" i="3"/>
  <c r="M458" i="3"/>
  <c r="O471" i="3"/>
  <c r="N479" i="3"/>
  <c r="N487" i="3"/>
  <c r="U212" i="3"/>
  <c r="U270" i="3"/>
  <c r="U318" i="3"/>
  <c r="P343" i="3"/>
  <c r="V364" i="3"/>
  <c r="J382" i="3"/>
  <c r="U391" i="3"/>
  <c r="S401" i="3"/>
  <c r="Q411" i="3"/>
  <c r="O421" i="3"/>
  <c r="M431" i="3"/>
  <c r="K441" i="3"/>
  <c r="P450" i="3"/>
  <c r="N458" i="3"/>
  <c r="M466" i="3"/>
  <c r="J473" i="3"/>
  <c r="L478" i="3"/>
  <c r="K483" i="3"/>
  <c r="L201" i="3"/>
  <c r="U240" i="3"/>
  <c r="T275" i="3"/>
  <c r="U302" i="3"/>
  <c r="S328" i="3"/>
  <c r="L342" i="3"/>
  <c r="L355" i="3"/>
  <c r="P368" i="3"/>
  <c r="S379" i="3"/>
  <c r="Q389" i="3"/>
  <c r="O399" i="3"/>
  <c r="M409" i="3"/>
  <c r="K419" i="3"/>
  <c r="V428" i="3"/>
  <c r="T438" i="3"/>
  <c r="R448" i="3"/>
  <c r="P456" i="3"/>
  <c r="O464" i="3"/>
  <c r="R471" i="3"/>
  <c r="J477" i="3"/>
  <c r="V481" i="3"/>
  <c r="U486" i="3"/>
  <c r="T491" i="3"/>
  <c r="S496" i="3"/>
  <c r="R501" i="3"/>
  <c r="Q506" i="3"/>
  <c r="Q63" i="3"/>
  <c r="K272" i="3"/>
  <c r="J336" i="3"/>
  <c r="Q370" i="3"/>
  <c r="M398" i="3"/>
  <c r="O424" i="3"/>
  <c r="Y424" i="3" s="1"/>
  <c r="V449" i="3"/>
  <c r="U470" i="3"/>
  <c r="P484" i="3"/>
  <c r="M493" i="3"/>
  <c r="L501" i="3"/>
  <c r="J508" i="3"/>
  <c r="K514" i="3"/>
  <c r="K519" i="3"/>
  <c r="J524" i="3"/>
  <c r="V528" i="3"/>
  <c r="U533" i="3"/>
  <c r="T538" i="3"/>
  <c r="S543" i="3"/>
  <c r="R548" i="3"/>
  <c r="Q553" i="3"/>
  <c r="P558" i="3"/>
  <c r="O563" i="3"/>
  <c r="Y563" i="3" s="1"/>
  <c r="N568" i="3"/>
  <c r="M573" i="3"/>
  <c r="L578" i="3"/>
  <c r="K583" i="3"/>
  <c r="J588" i="3"/>
  <c r="V592" i="3"/>
  <c r="U597" i="3"/>
  <c r="T602" i="3"/>
  <c r="S607" i="3"/>
  <c r="T104" i="3"/>
  <c r="N272" i="3"/>
  <c r="K336" i="3"/>
  <c r="T371" i="3"/>
  <c r="Q398" i="3"/>
  <c r="P424" i="3"/>
  <c r="T450" i="3"/>
  <c r="J471" i="3"/>
  <c r="Q484" i="3"/>
  <c r="P493" i="3"/>
  <c r="M501" i="3"/>
  <c r="K508" i="3"/>
  <c r="L514" i="3"/>
  <c r="L519" i="3"/>
  <c r="K524" i="3"/>
  <c r="J529" i="3"/>
  <c r="V533" i="3"/>
  <c r="U538" i="3"/>
  <c r="T543" i="3"/>
  <c r="S548" i="3"/>
  <c r="R553" i="3"/>
  <c r="Q558" i="3"/>
  <c r="P563" i="3"/>
  <c r="O568" i="3"/>
  <c r="Y568" i="3" s="1"/>
  <c r="N573" i="3"/>
  <c r="M578" i="3"/>
  <c r="L583" i="3"/>
  <c r="K588" i="3"/>
  <c r="J593" i="3"/>
  <c r="V597" i="3"/>
  <c r="U602" i="3"/>
  <c r="T607" i="3"/>
  <c r="S612" i="3"/>
  <c r="R617" i="3"/>
  <c r="Q622" i="3"/>
  <c r="S251" i="3"/>
  <c r="K224" i="3"/>
  <c r="T361" i="3"/>
  <c r="R357" i="3"/>
  <c r="S162" i="3"/>
  <c r="L452" i="3"/>
  <c r="J328" i="3"/>
  <c r="J425" i="3"/>
  <c r="P477" i="3"/>
  <c r="K306" i="3"/>
  <c r="O389" i="3"/>
  <c r="Y389" i="3" s="1"/>
  <c r="T428" i="3"/>
  <c r="N464" i="3"/>
  <c r="P186" i="3"/>
  <c r="Q322" i="3"/>
  <c r="M377" i="3"/>
  <c r="R416" i="3"/>
  <c r="Q454" i="3"/>
  <c r="S480" i="3"/>
  <c r="O500" i="3"/>
  <c r="Y500" i="3" s="1"/>
  <c r="L326" i="3"/>
  <c r="K444" i="3"/>
  <c r="L488" i="3"/>
  <c r="O506" i="3"/>
  <c r="U517" i="3"/>
  <c r="S527" i="3"/>
  <c r="Q537" i="3"/>
  <c r="O547" i="3"/>
  <c r="Y547" i="3" s="1"/>
  <c r="M557" i="3"/>
  <c r="K567" i="3"/>
  <c r="V576" i="3"/>
  <c r="Q585" i="3"/>
  <c r="Q593" i="3"/>
  <c r="V600" i="3"/>
  <c r="Q609" i="3"/>
  <c r="Q249" i="3"/>
  <c r="V353" i="3"/>
  <c r="V401" i="3"/>
  <c r="N441" i="3"/>
  <c r="Q476" i="3"/>
  <c r="O491" i="3"/>
  <c r="U504" i="3"/>
  <c r="U514" i="3"/>
  <c r="M522" i="3"/>
  <c r="U530" i="3"/>
  <c r="R537" i="3"/>
  <c r="M546" i="3"/>
  <c r="M554" i="3"/>
  <c r="R561" i="3"/>
  <c r="M570" i="3"/>
  <c r="J577" i="3"/>
  <c r="R585" i="3"/>
  <c r="R593" i="3"/>
  <c r="J601" i="3"/>
  <c r="R609" i="3"/>
  <c r="O616" i="3"/>
  <c r="J625" i="3"/>
  <c r="Q630" i="3"/>
  <c r="P635" i="3"/>
  <c r="O640" i="3"/>
  <c r="Y640" i="3" s="1"/>
  <c r="N645" i="3"/>
  <c r="M650" i="3"/>
  <c r="L655" i="3"/>
  <c r="K660" i="3"/>
  <c r="J111" i="3"/>
  <c r="S272" i="3"/>
  <c r="N337" i="3"/>
  <c r="L372" i="3"/>
  <c r="R398" i="3"/>
  <c r="N425" i="3"/>
  <c r="U450" i="3"/>
  <c r="K471" i="3"/>
  <c r="R484" i="3"/>
  <c r="Q493" i="3"/>
  <c r="P501" i="3"/>
  <c r="M508" i="3"/>
  <c r="M514" i="3"/>
  <c r="M519" i="3"/>
  <c r="L524" i="3"/>
  <c r="K529" i="3"/>
  <c r="J534" i="3"/>
  <c r="V538" i="3"/>
  <c r="U543" i="3"/>
  <c r="T548" i="3"/>
  <c r="S553" i="3"/>
  <c r="R558" i="3"/>
  <c r="Q563" i="3"/>
  <c r="P568" i="3"/>
  <c r="O573" i="3"/>
  <c r="N578" i="3"/>
  <c r="M583" i="3"/>
  <c r="L588" i="3"/>
  <c r="K593" i="3"/>
  <c r="J598" i="3"/>
  <c r="V602" i="3"/>
  <c r="U607" i="3"/>
  <c r="T612" i="3"/>
  <c r="S617" i="3"/>
  <c r="R622" i="3"/>
  <c r="Q627" i="3"/>
  <c r="P632" i="3"/>
  <c r="O637" i="3"/>
  <c r="N642" i="3"/>
  <c r="J203" i="3"/>
  <c r="L294" i="3"/>
  <c r="V345" i="3"/>
  <c r="T379" i="3"/>
  <c r="V405" i="3"/>
  <c r="U431" i="3"/>
  <c r="R456" i="3"/>
  <c r="N475" i="3"/>
  <c r="O487" i="3"/>
  <c r="R495" i="3"/>
  <c r="O503" i="3"/>
  <c r="V509" i="3"/>
  <c r="R515" i="3"/>
  <c r="Q520" i="3"/>
  <c r="P525" i="3"/>
  <c r="O530" i="3"/>
  <c r="N535" i="3"/>
  <c r="M540" i="3"/>
  <c r="L545" i="3"/>
  <c r="K550" i="3"/>
  <c r="J555" i="3"/>
  <c r="V559" i="3"/>
  <c r="U564" i="3"/>
  <c r="T569" i="3"/>
  <c r="J204" i="3"/>
  <c r="S296" i="3"/>
  <c r="Q347" i="3"/>
  <c r="L380" i="3"/>
  <c r="U406" i="3"/>
  <c r="J433" i="3"/>
  <c r="V456" i="3"/>
  <c r="U475" i="3"/>
  <c r="R487" i="3"/>
  <c r="V495" i="3"/>
  <c r="R503" i="3"/>
  <c r="L510" i="3"/>
  <c r="T515" i="3"/>
  <c r="S520" i="3"/>
  <c r="R525" i="3"/>
  <c r="Q530" i="3"/>
  <c r="P535" i="3"/>
  <c r="O540" i="3"/>
  <c r="N545" i="3"/>
  <c r="M550" i="3"/>
  <c r="L555" i="3"/>
  <c r="K560" i="3"/>
  <c r="J565" i="3"/>
  <c r="V569" i="3"/>
  <c r="U574" i="3"/>
  <c r="T579" i="3"/>
  <c r="S584" i="3"/>
  <c r="R589" i="3"/>
  <c r="Q594" i="3"/>
  <c r="P599" i="3"/>
  <c r="O604" i="3"/>
  <c r="N609" i="3"/>
  <c r="M614" i="3"/>
  <c r="L619" i="3"/>
  <c r="K624" i="3"/>
  <c r="J629" i="3"/>
  <c r="V633" i="3"/>
  <c r="U638" i="3"/>
  <c r="T643" i="3"/>
  <c r="S648" i="3"/>
  <c r="R653" i="3"/>
  <c r="Q658" i="3"/>
  <c r="P663" i="3"/>
  <c r="T245" i="3"/>
  <c r="M229" i="3"/>
  <c r="N386" i="3"/>
  <c r="T454" i="3"/>
  <c r="M492" i="3"/>
  <c r="R511" i="3"/>
  <c r="K525" i="3"/>
  <c r="K538" i="3"/>
  <c r="O551" i="3"/>
  <c r="Y551" i="3" s="1"/>
  <c r="P564" i="3"/>
  <c r="Q576" i="3"/>
  <c r="O586" i="3"/>
  <c r="M596" i="3"/>
  <c r="K606" i="3"/>
  <c r="K615" i="3"/>
  <c r="J623" i="3"/>
  <c r="V630" i="3"/>
  <c r="T638" i="3"/>
  <c r="P646" i="3"/>
  <c r="K653" i="3"/>
  <c r="R659" i="3"/>
  <c r="L334" i="3"/>
  <c r="O413" i="3"/>
  <c r="Q474" i="3"/>
  <c r="R500" i="3"/>
  <c r="K517" i="3"/>
  <c r="K530" i="3"/>
  <c r="O543" i="3"/>
  <c r="Y543" i="3" s="1"/>
  <c r="P556" i="3"/>
  <c r="P569" i="3"/>
  <c r="N580" i="3"/>
  <c r="L590" i="3"/>
  <c r="J600" i="3"/>
  <c r="U609" i="3"/>
  <c r="L618" i="3"/>
  <c r="K626" i="3"/>
  <c r="J634" i="3"/>
  <c r="U641" i="3"/>
  <c r="K649" i="3"/>
  <c r="R655" i="3"/>
  <c r="L662" i="3"/>
  <c r="R334" i="3"/>
  <c r="M414" i="3"/>
  <c r="O475" i="3"/>
  <c r="Y475" i="3" s="1"/>
  <c r="V500" i="3"/>
  <c r="L517" i="3"/>
  <c r="P530" i="3"/>
  <c r="Q543" i="3"/>
  <c r="Q556" i="3"/>
  <c r="U569" i="3"/>
  <c r="P580" i="3"/>
  <c r="N590" i="3"/>
  <c r="L600" i="3"/>
  <c r="J610" i="3"/>
  <c r="O618" i="3"/>
  <c r="L626" i="3"/>
  <c r="K634" i="3"/>
  <c r="J642" i="3"/>
  <c r="L649" i="3"/>
  <c r="S655" i="3"/>
  <c r="N662" i="3"/>
  <c r="U667" i="3"/>
  <c r="T672" i="3"/>
  <c r="P290" i="3"/>
  <c r="O397" i="3"/>
  <c r="Y397" i="3" s="1"/>
  <c r="R464" i="3"/>
  <c r="J496" i="3"/>
  <c r="J514" i="3"/>
  <c r="O527" i="3"/>
  <c r="P540" i="3"/>
  <c r="P553" i="3"/>
  <c r="T566" i="3"/>
  <c r="K578" i="3"/>
  <c r="V587" i="3"/>
  <c r="T597" i="3"/>
  <c r="R607" i="3"/>
  <c r="Q616" i="3"/>
  <c r="N624" i="3"/>
  <c r="M632" i="3"/>
  <c r="L640" i="3"/>
  <c r="R647" i="3"/>
  <c r="V361" i="3"/>
  <c r="Q435" i="3"/>
  <c r="M485" i="3"/>
  <c r="M506" i="3"/>
  <c r="M521" i="3"/>
  <c r="N534" i="3"/>
  <c r="N547" i="3"/>
  <c r="R560" i="3"/>
  <c r="Q573" i="3"/>
  <c r="O583" i="3"/>
  <c r="Y583" i="3" s="1"/>
  <c r="M593" i="3"/>
  <c r="K603" i="3"/>
  <c r="U612" i="3"/>
  <c r="R620" i="3"/>
  <c r="Q628" i="3"/>
  <c r="P636" i="3"/>
  <c r="N644" i="3"/>
  <c r="K651" i="3"/>
  <c r="S657" i="3"/>
  <c r="M664" i="3"/>
  <c r="O219" i="3"/>
  <c r="U383" i="3"/>
  <c r="S452" i="3"/>
  <c r="U491" i="3"/>
  <c r="K511" i="3"/>
  <c r="Q524" i="3"/>
  <c r="U537" i="3"/>
  <c r="V550" i="3"/>
  <c r="V563" i="3"/>
  <c r="L576" i="3"/>
  <c r="J586" i="3"/>
  <c r="J417" i="3"/>
  <c r="S530" i="3"/>
  <c r="U580" i="3"/>
  <c r="R610" i="3"/>
  <c r="S631" i="3"/>
  <c r="J651" i="3"/>
  <c r="S663" i="3"/>
  <c r="Q670" i="3"/>
  <c r="L676" i="3"/>
  <c r="K681" i="3"/>
  <c r="J686" i="3"/>
  <c r="V690" i="3"/>
  <c r="U695" i="3"/>
  <c r="T700" i="3"/>
  <c r="S705" i="3"/>
  <c r="R710" i="3"/>
  <c r="Q715" i="3"/>
  <c r="P720" i="3"/>
  <c r="O725" i="3"/>
  <c r="Y725" i="3" s="1"/>
  <c r="N730" i="3"/>
  <c r="M735" i="3"/>
  <c r="L740" i="3"/>
  <c r="K745" i="3"/>
  <c r="J750" i="3"/>
  <c r="V754" i="3"/>
  <c r="U759" i="3"/>
  <c r="T764" i="3"/>
  <c r="S769" i="3"/>
  <c r="R774" i="3"/>
  <c r="Q779" i="3"/>
  <c r="P784" i="3"/>
  <c r="O789" i="3"/>
  <c r="N794" i="3"/>
  <c r="M799" i="3"/>
  <c r="L804" i="3"/>
  <c r="K809" i="3"/>
  <c r="O420" i="3"/>
  <c r="N531" i="3"/>
  <c r="L581" i="3"/>
  <c r="S610" i="3"/>
  <c r="N632" i="3"/>
  <c r="M651" i="3"/>
  <c r="J664" i="3"/>
  <c r="R670" i="3"/>
  <c r="M676" i="3"/>
  <c r="L681" i="3"/>
  <c r="K686" i="3"/>
  <c r="J691" i="3"/>
  <c r="V695" i="3"/>
  <c r="U700" i="3"/>
  <c r="T705" i="3"/>
  <c r="S710" i="3"/>
  <c r="R715" i="3"/>
  <c r="Q720" i="3"/>
  <c r="P725" i="3"/>
  <c r="O730" i="3"/>
  <c r="N735" i="3"/>
  <c r="M740" i="3"/>
  <c r="L745" i="3"/>
  <c r="R266" i="3"/>
  <c r="T346" i="3"/>
  <c r="T385" i="3"/>
  <c r="L390" i="3"/>
  <c r="M256" i="3"/>
  <c r="J468" i="3"/>
  <c r="V354" i="3"/>
  <c r="L431" i="3"/>
  <c r="V479" i="3"/>
  <c r="P322" i="3"/>
  <c r="K393" i="3"/>
  <c r="P432" i="3"/>
  <c r="L467" i="3"/>
  <c r="U208" i="3"/>
  <c r="Q330" i="3"/>
  <c r="V380" i="3"/>
  <c r="N420" i="3"/>
  <c r="Q457" i="3"/>
  <c r="Q482" i="3"/>
  <c r="M502" i="3"/>
  <c r="T340" i="3"/>
  <c r="T452" i="3"/>
  <c r="N491" i="3"/>
  <c r="U508" i="3"/>
  <c r="S519" i="3"/>
  <c r="Q529" i="3"/>
  <c r="O539" i="3"/>
  <c r="M549" i="3"/>
  <c r="K559" i="3"/>
  <c r="V568" i="3"/>
  <c r="T578" i="3"/>
  <c r="L586" i="3"/>
  <c r="T594" i="3"/>
  <c r="Q601" i="3"/>
  <c r="L610" i="3"/>
  <c r="V283" i="3"/>
  <c r="T358" i="3"/>
  <c r="O408" i="3"/>
  <c r="Y408" i="3" s="1"/>
  <c r="L444" i="3"/>
  <c r="N478" i="3"/>
  <c r="O494" i="3"/>
  <c r="R505" i="3"/>
  <c r="K516" i="3"/>
  <c r="U522" i="3"/>
  <c r="P531" i="3"/>
  <c r="P539" i="3"/>
  <c r="U546" i="3"/>
  <c r="P555" i="3"/>
  <c r="M562" i="3"/>
  <c r="U570" i="3"/>
  <c r="U578" i="3"/>
  <c r="M586" i="3"/>
  <c r="U594" i="3"/>
  <c r="R601" i="3"/>
  <c r="M610" i="3"/>
  <c r="M618" i="3"/>
  <c r="R625" i="3"/>
  <c r="L631" i="3"/>
  <c r="K636" i="3"/>
  <c r="J641" i="3"/>
  <c r="V645" i="3"/>
  <c r="U650" i="3"/>
  <c r="T655" i="3"/>
  <c r="S660" i="3"/>
  <c r="K179" i="3"/>
  <c r="N284" i="3"/>
  <c r="J341" i="3"/>
  <c r="K376" i="3"/>
  <c r="M402" i="3"/>
  <c r="L428" i="3"/>
  <c r="R453" i="3"/>
  <c r="M473" i="3"/>
  <c r="U485" i="3"/>
  <c r="P494" i="3"/>
  <c r="O502" i="3"/>
  <c r="K509" i="3"/>
  <c r="V514" i="3"/>
  <c r="U519" i="3"/>
  <c r="T524" i="3"/>
  <c r="S529" i="3"/>
  <c r="R534" i="3"/>
  <c r="Q539" i="3"/>
  <c r="P544" i="3"/>
  <c r="O549" i="3"/>
  <c r="N554" i="3"/>
  <c r="M559" i="3"/>
  <c r="L564" i="3"/>
  <c r="K569" i="3"/>
  <c r="J574" i="3"/>
  <c r="V578" i="3"/>
  <c r="U583" i="3"/>
  <c r="T588" i="3"/>
  <c r="S593" i="3"/>
  <c r="R598" i="3"/>
  <c r="Q603" i="3"/>
  <c r="P608" i="3"/>
  <c r="O613" i="3"/>
  <c r="N618" i="3"/>
  <c r="M623" i="3"/>
  <c r="L628" i="3"/>
  <c r="K633" i="3"/>
  <c r="J638" i="3"/>
  <c r="V642" i="3"/>
  <c r="U215" i="3"/>
  <c r="R303" i="3"/>
  <c r="T350" i="3"/>
  <c r="R382" i="3"/>
  <c r="N409" i="3"/>
  <c r="P435" i="3"/>
  <c r="U458" i="3"/>
  <c r="K477" i="3"/>
  <c r="R488" i="3"/>
  <c r="R496" i="3"/>
  <c r="M504" i="3"/>
  <c r="T510" i="3"/>
  <c r="M516" i="3"/>
  <c r="L521" i="3"/>
  <c r="K526" i="3"/>
  <c r="J531" i="3"/>
  <c r="V535" i="3"/>
  <c r="U540" i="3"/>
  <c r="T545" i="3"/>
  <c r="S550" i="3"/>
  <c r="R555" i="3"/>
  <c r="Q560" i="3"/>
  <c r="P565" i="3"/>
  <c r="O570" i="3"/>
  <c r="Y570" i="3" s="1"/>
  <c r="V219" i="3"/>
  <c r="K304" i="3"/>
  <c r="K352" i="3"/>
  <c r="T383" i="3"/>
  <c r="S409" i="3"/>
  <c r="O436" i="3"/>
  <c r="S459" i="3"/>
  <c r="M477" i="3"/>
  <c r="U488" i="3"/>
  <c r="U496" i="3"/>
  <c r="O504" i="3"/>
  <c r="J511" i="3"/>
  <c r="O516" i="3"/>
  <c r="N521" i="3"/>
  <c r="M526" i="3"/>
  <c r="L531" i="3"/>
  <c r="K536" i="3"/>
  <c r="J541" i="3"/>
  <c r="V545" i="3"/>
  <c r="U550" i="3"/>
  <c r="T555" i="3"/>
  <c r="S560" i="3"/>
  <c r="R565" i="3"/>
  <c r="Q570" i="3"/>
  <c r="P575" i="3"/>
  <c r="O580" i="3"/>
  <c r="Y580" i="3" s="1"/>
  <c r="N585" i="3"/>
  <c r="M590" i="3"/>
  <c r="L595" i="3"/>
  <c r="K600" i="3"/>
  <c r="J605" i="3"/>
  <c r="V609" i="3"/>
  <c r="U614" i="3"/>
  <c r="T619" i="3"/>
  <c r="S624" i="3"/>
  <c r="R629" i="3"/>
  <c r="Q634" i="3"/>
  <c r="P639" i="3"/>
  <c r="O644" i="3"/>
  <c r="Y644" i="3" s="1"/>
  <c r="N649" i="3"/>
  <c r="M654" i="3"/>
  <c r="L659" i="3"/>
  <c r="K664" i="3"/>
  <c r="R255" i="3"/>
  <c r="J277" i="3"/>
  <c r="Q394" i="3"/>
  <c r="U461" i="3"/>
  <c r="J495" i="3"/>
  <c r="N513" i="3"/>
  <c r="T526" i="3"/>
  <c r="U539" i="3"/>
  <c r="U552" i="3"/>
  <c r="L566" i="3"/>
  <c r="T577" i="3"/>
  <c r="R587" i="3"/>
  <c r="P597" i="3"/>
  <c r="N607" i="3"/>
  <c r="L616" i="3"/>
  <c r="J624" i="3"/>
  <c r="V631" i="3"/>
  <c r="S639" i="3"/>
  <c r="N647" i="3"/>
  <c r="U653" i="3"/>
  <c r="P660" i="3"/>
  <c r="K344" i="3"/>
  <c r="U422" i="3"/>
  <c r="K479" i="3"/>
  <c r="J503" i="3"/>
  <c r="T518" i="3"/>
  <c r="U531" i="3"/>
  <c r="U544" i="3"/>
  <c r="L558" i="3"/>
  <c r="M571" i="3"/>
  <c r="Q581" i="3"/>
  <c r="O591" i="3"/>
  <c r="M601" i="3"/>
  <c r="K611" i="3"/>
  <c r="M619" i="3"/>
  <c r="K627" i="3"/>
  <c r="J635" i="3"/>
  <c r="T642" i="3"/>
  <c r="U649" i="3"/>
  <c r="P656" i="3"/>
  <c r="J663" i="3"/>
  <c r="L347" i="3"/>
  <c r="M423" i="3"/>
  <c r="Q479" i="3"/>
  <c r="Q503" i="3"/>
  <c r="V518" i="3"/>
  <c r="V531" i="3"/>
  <c r="M545" i="3"/>
  <c r="N558" i="3"/>
  <c r="N571" i="3"/>
  <c r="S581" i="3"/>
  <c r="Q591" i="3"/>
  <c r="O601" i="3"/>
  <c r="Y601" i="3" s="1"/>
  <c r="M611" i="3"/>
  <c r="N619" i="3"/>
  <c r="M627" i="3"/>
  <c r="K635" i="3"/>
  <c r="J643" i="3"/>
  <c r="J650" i="3"/>
  <c r="Q656" i="3"/>
  <c r="K663" i="3"/>
  <c r="P668" i="3"/>
  <c r="O673" i="3"/>
  <c r="U320" i="3"/>
  <c r="L407" i="3"/>
  <c r="M470" i="3"/>
  <c r="S498" i="3"/>
  <c r="U515" i="3"/>
  <c r="U528" i="3"/>
  <c r="L542" i="3"/>
  <c r="M555" i="3"/>
  <c r="M568" i="3"/>
  <c r="N579" i="3"/>
  <c r="L589" i="3"/>
  <c r="J599" i="3"/>
  <c r="U608" i="3"/>
  <c r="P617" i="3"/>
  <c r="O625" i="3"/>
  <c r="Y625" i="3" s="1"/>
  <c r="M633" i="3"/>
  <c r="L641" i="3"/>
  <c r="P648" i="3"/>
  <c r="J374" i="3"/>
  <c r="T443" i="3"/>
  <c r="T488" i="3"/>
  <c r="R508" i="3"/>
  <c r="S522" i="3"/>
  <c r="J536" i="3"/>
  <c r="K549" i="3"/>
  <c r="K562" i="3"/>
  <c r="T574" i="3"/>
  <c r="R584" i="3"/>
  <c r="P594" i="3"/>
  <c r="N604" i="3"/>
  <c r="T613" i="3"/>
  <c r="S621" i="3"/>
  <c r="Q629" i="3"/>
  <c r="P637" i="3"/>
  <c r="M645" i="3"/>
  <c r="V651" i="3"/>
  <c r="P658" i="3"/>
  <c r="J665" i="3"/>
  <c r="M264" i="3"/>
  <c r="N393" i="3"/>
  <c r="T459" i="3"/>
  <c r="L494" i="3"/>
  <c r="J513" i="3"/>
  <c r="N526" i="3"/>
  <c r="N539" i="3"/>
  <c r="R552" i="3"/>
  <c r="S565" i="3"/>
  <c r="O577" i="3"/>
  <c r="M587" i="3"/>
  <c r="S451" i="3"/>
  <c r="O537" i="3"/>
  <c r="T585" i="3"/>
  <c r="S613" i="3"/>
  <c r="R634" i="3"/>
  <c r="R652" i="3"/>
  <c r="K665" i="3"/>
  <c r="M671" i="3"/>
  <c r="T676" i="3"/>
  <c r="S681" i="3"/>
  <c r="R686" i="3"/>
  <c r="Q691" i="3"/>
  <c r="P696" i="3"/>
  <c r="O701" i="3"/>
  <c r="Y701" i="3" s="1"/>
  <c r="N706" i="3"/>
  <c r="M711" i="3"/>
  <c r="L716" i="3"/>
  <c r="K721" i="3"/>
  <c r="J726" i="3"/>
  <c r="V730" i="3"/>
  <c r="U735" i="3"/>
  <c r="T740" i="3"/>
  <c r="S745" i="3"/>
  <c r="R750" i="3"/>
  <c r="Q755" i="3"/>
  <c r="P760" i="3"/>
  <c r="O765" i="3"/>
  <c r="N770" i="3"/>
  <c r="M775" i="3"/>
  <c r="L780" i="3"/>
  <c r="K785" i="3"/>
  <c r="J790" i="3"/>
  <c r="V794" i="3"/>
  <c r="U799" i="3"/>
  <c r="T804" i="3"/>
  <c r="S809" i="3"/>
  <c r="V453" i="3"/>
  <c r="J538" i="3"/>
  <c r="K586" i="3"/>
  <c r="U613" i="3"/>
  <c r="S634" i="3"/>
  <c r="U652" i="3"/>
  <c r="L665" i="3"/>
  <c r="N671" i="3"/>
  <c r="U676" i="3"/>
  <c r="T681" i="3"/>
  <c r="S686" i="3"/>
  <c r="R691" i="3"/>
  <c r="Q696" i="3"/>
  <c r="P701" i="3"/>
  <c r="O706" i="3"/>
  <c r="N711" i="3"/>
  <c r="M716" i="3"/>
  <c r="L721" i="3"/>
  <c r="K726" i="3"/>
  <c r="J731" i="3"/>
  <c r="V735" i="3"/>
  <c r="U740" i="3"/>
  <c r="T745" i="3"/>
  <c r="R216" i="3"/>
  <c r="Q401" i="3"/>
  <c r="V407" i="3"/>
  <c r="M417" i="3"/>
  <c r="K315" i="3"/>
  <c r="M479" i="3"/>
  <c r="L371" i="3"/>
  <c r="J441" i="3"/>
  <c r="U484" i="3"/>
  <c r="Q338" i="3"/>
  <c r="M399" i="3"/>
  <c r="R438" i="3"/>
  <c r="P471" i="3"/>
  <c r="R231" i="3"/>
  <c r="V338" i="3"/>
  <c r="K387" i="3"/>
  <c r="P426" i="3"/>
  <c r="P462" i="3"/>
  <c r="R485" i="3"/>
  <c r="N505" i="3"/>
  <c r="N362" i="3"/>
  <c r="U457" i="3"/>
  <c r="N494" i="3"/>
  <c r="P510" i="3"/>
  <c r="V520" i="3"/>
  <c r="T530" i="3"/>
  <c r="R540" i="3"/>
  <c r="P550" i="3"/>
  <c r="N560" i="3"/>
  <c r="L570" i="3"/>
  <c r="J580" i="3"/>
  <c r="T586" i="3"/>
  <c r="O595" i="3"/>
  <c r="O603" i="3"/>
  <c r="Y603" i="3" s="1"/>
  <c r="T610" i="3"/>
  <c r="O300" i="3"/>
  <c r="P362" i="3"/>
  <c r="T411" i="3"/>
  <c r="V452" i="3"/>
  <c r="S479" i="3"/>
  <c r="N496" i="3"/>
  <c r="P506" i="3"/>
  <c r="S516" i="3"/>
  <c r="S524" i="3"/>
  <c r="K532" i="3"/>
  <c r="S540" i="3"/>
  <c r="Q359" i="3"/>
  <c r="U445" i="3"/>
  <c r="S430" i="3"/>
  <c r="R440" i="3"/>
  <c r="L348" i="3"/>
  <c r="K489" i="3"/>
  <c r="P379" i="3"/>
  <c r="O448" i="3"/>
  <c r="V487" i="3"/>
  <c r="M345" i="3"/>
  <c r="V402" i="3"/>
  <c r="N442" i="3"/>
  <c r="S473" i="3"/>
  <c r="R244" i="3"/>
  <c r="U343" i="3"/>
  <c r="T390" i="3"/>
  <c r="L430" i="3"/>
  <c r="N465" i="3"/>
  <c r="P487" i="3"/>
  <c r="L507" i="3"/>
  <c r="L375" i="3"/>
  <c r="S465" i="3"/>
  <c r="M496" i="3"/>
  <c r="J512" i="3"/>
  <c r="L522" i="3"/>
  <c r="J532" i="3"/>
  <c r="U541" i="3"/>
  <c r="S551" i="3"/>
  <c r="Q561" i="3"/>
  <c r="O571" i="3"/>
  <c r="Y571" i="3" s="1"/>
  <c r="R580" i="3"/>
  <c r="R588" i="3"/>
  <c r="J596" i="3"/>
  <c r="R604" i="3"/>
  <c r="O611" i="3"/>
  <c r="Y611" i="3" s="1"/>
  <c r="L310" i="3"/>
  <c r="M375" i="3"/>
  <c r="R414" i="3"/>
  <c r="Q458" i="3"/>
  <c r="P481" i="3"/>
  <c r="O497" i="3"/>
  <c r="V508" i="3"/>
  <c r="N517" i="3"/>
  <c r="V525" i="3"/>
  <c r="S532" i="3"/>
  <c r="N541" i="3"/>
  <c r="N549" i="3"/>
  <c r="S556" i="3"/>
  <c r="N565" i="3"/>
  <c r="K572" i="3"/>
  <c r="S580" i="3"/>
  <c r="S588" i="3"/>
  <c r="K596" i="3"/>
  <c r="S604" i="3"/>
  <c r="P611" i="3"/>
  <c r="K620" i="3"/>
  <c r="P627" i="3"/>
  <c r="O632" i="3"/>
  <c r="N637" i="3"/>
  <c r="M642" i="3"/>
  <c r="L647" i="3"/>
  <c r="K652" i="3"/>
  <c r="J657" i="3"/>
  <c r="V661" i="3"/>
  <c r="Q214" i="3"/>
  <c r="L301" i="3"/>
  <c r="R350" i="3"/>
  <c r="Q382" i="3"/>
  <c r="P408" i="3"/>
  <c r="L435" i="3"/>
  <c r="T458" i="3"/>
  <c r="R476" i="3"/>
  <c r="N488" i="3"/>
  <c r="Q496" i="3"/>
  <c r="L504" i="3"/>
  <c r="S510" i="3"/>
  <c r="L516" i="3"/>
  <c r="K521" i="3"/>
  <c r="J526" i="3"/>
  <c r="V530" i="3"/>
  <c r="U535" i="3"/>
  <c r="T540" i="3"/>
  <c r="S545" i="3"/>
  <c r="R550" i="3"/>
  <c r="Q555" i="3"/>
  <c r="P560" i="3"/>
  <c r="O565" i="3"/>
  <c r="N570" i="3"/>
  <c r="M575" i="3"/>
  <c r="L580" i="3"/>
  <c r="K585" i="3"/>
  <c r="J590" i="3"/>
  <c r="V594" i="3"/>
  <c r="U599" i="3"/>
  <c r="T604" i="3"/>
  <c r="S609" i="3"/>
  <c r="R614" i="3"/>
  <c r="Q619" i="3"/>
  <c r="P624" i="3"/>
  <c r="O629" i="3"/>
  <c r="Y629" i="3" s="1"/>
  <c r="N634" i="3"/>
  <c r="M639" i="3"/>
  <c r="L644" i="3"/>
  <c r="N241" i="3"/>
  <c r="K320" i="3"/>
  <c r="M359" i="3"/>
  <c r="R389" i="3"/>
  <c r="T415" i="3"/>
  <c r="S441" i="3"/>
  <c r="P464" i="3"/>
  <c r="M480" i="3"/>
  <c r="S490" i="3"/>
  <c r="R498" i="3"/>
  <c r="U505" i="3"/>
  <c r="M512" i="3"/>
  <c r="P517" i="3"/>
  <c r="O522" i="3"/>
  <c r="N527" i="3"/>
  <c r="M532" i="3"/>
  <c r="L537" i="3"/>
  <c r="K542" i="3"/>
  <c r="J547" i="3"/>
  <c r="V551" i="3"/>
  <c r="U556" i="3"/>
  <c r="T561" i="3"/>
  <c r="S566" i="3"/>
  <c r="R571" i="3"/>
  <c r="Q242" i="3"/>
  <c r="N323" i="3"/>
  <c r="R360" i="3"/>
  <c r="J390" i="3"/>
  <c r="S416" i="3"/>
  <c r="U442" i="3"/>
  <c r="S464" i="3"/>
  <c r="T480" i="3"/>
  <c r="J491" i="3"/>
  <c r="T498" i="3"/>
  <c r="K506" i="3"/>
  <c r="O512" i="3"/>
  <c r="Y512" i="3" s="1"/>
  <c r="R517" i="3"/>
  <c r="Q522" i="3"/>
  <c r="P527" i="3"/>
  <c r="O532" i="3"/>
  <c r="N537" i="3"/>
  <c r="M542" i="3"/>
  <c r="L547" i="3"/>
  <c r="K552" i="3"/>
  <c r="J557" i="3"/>
  <c r="V561" i="3"/>
  <c r="U566" i="3"/>
  <c r="T571" i="3"/>
  <c r="S576" i="3"/>
  <c r="R581" i="3"/>
  <c r="Q586" i="3"/>
  <c r="P591" i="3"/>
  <c r="O596" i="3"/>
  <c r="Y596" i="3" s="1"/>
  <c r="N601" i="3"/>
  <c r="M606" i="3"/>
  <c r="L611" i="3"/>
  <c r="K616" i="3"/>
  <c r="J621" i="3"/>
  <c r="V625" i="3"/>
  <c r="U630" i="3"/>
  <c r="T635" i="3"/>
  <c r="S640" i="3"/>
  <c r="R645" i="3"/>
  <c r="Q650" i="3"/>
  <c r="P655" i="3"/>
  <c r="O660" i="3"/>
  <c r="P156" i="3"/>
  <c r="R280" i="3"/>
  <c r="K331" i="3"/>
  <c r="J413" i="3"/>
  <c r="K474" i="3"/>
  <c r="J500" i="3"/>
  <c r="V516" i="3"/>
  <c r="J530" i="3"/>
  <c r="J543" i="3"/>
  <c r="N556" i="3"/>
  <c r="O569" i="3"/>
  <c r="Y569" i="3" s="1"/>
  <c r="M580" i="3"/>
  <c r="K590" i="3"/>
  <c r="V599" i="3"/>
  <c r="T609" i="3"/>
  <c r="K618" i="3"/>
  <c r="J626" i="3"/>
  <c r="U633" i="3"/>
  <c r="T641" i="3"/>
  <c r="V648" i="3"/>
  <c r="Q655" i="3"/>
  <c r="K662" i="3"/>
  <c r="S368" i="3"/>
  <c r="K440" i="3"/>
  <c r="T486" i="3"/>
  <c r="R507" i="3"/>
  <c r="J522" i="3"/>
  <c r="J535" i="3"/>
  <c r="N548" i="3"/>
  <c r="O561" i="3"/>
  <c r="L574" i="3"/>
  <c r="J584" i="3"/>
  <c r="U593" i="3"/>
  <c r="S603" i="3"/>
  <c r="M613" i="3"/>
  <c r="L621" i="3"/>
  <c r="K629" i="3"/>
  <c r="V636" i="3"/>
  <c r="U644" i="3"/>
  <c r="Q651" i="3"/>
  <c r="K658" i="3"/>
  <c r="R664" i="3"/>
  <c r="N370" i="3"/>
  <c r="O440" i="3"/>
  <c r="Y440" i="3" s="1"/>
  <c r="Q487" i="3"/>
  <c r="U507" i="3"/>
  <c r="K522" i="3"/>
  <c r="O535" i="3"/>
  <c r="P548" i="3"/>
  <c r="P561" i="3"/>
  <c r="N574" i="3"/>
  <c r="L584" i="3"/>
  <c r="J594" i="3"/>
  <c r="U603" i="3"/>
  <c r="P613" i="3"/>
  <c r="M621" i="3"/>
  <c r="L629" i="3"/>
  <c r="K637" i="3"/>
  <c r="V644" i="3"/>
  <c r="R651" i="3"/>
  <c r="L658" i="3"/>
  <c r="T664" i="3"/>
  <c r="S669" i="3"/>
  <c r="R674" i="3"/>
  <c r="S347" i="3"/>
  <c r="K424" i="3"/>
  <c r="N480" i="3"/>
  <c r="S503" i="3"/>
  <c r="J519" i="3"/>
  <c r="N532" i="3"/>
  <c r="O545" i="3"/>
  <c r="O558" i="3"/>
  <c r="S571" i="3"/>
  <c r="T581" i="3"/>
  <c r="R591" i="3"/>
  <c r="P601" i="3"/>
  <c r="N611" i="3"/>
  <c r="O619" i="3"/>
  <c r="N627" i="3"/>
  <c r="M635" i="3"/>
  <c r="K643" i="3"/>
  <c r="T258" i="3"/>
  <c r="L391" i="3"/>
  <c r="Q459" i="3"/>
  <c r="K494" i="3"/>
  <c r="R512" i="3"/>
  <c r="L526" i="3"/>
  <c r="M539" i="3"/>
  <c r="M552" i="3"/>
  <c r="Q565" i="3"/>
  <c r="M577" i="3"/>
  <c r="K587" i="3"/>
  <c r="V596" i="3"/>
  <c r="T606" i="3"/>
  <c r="S615" i="3"/>
  <c r="R623" i="3"/>
  <c r="Q631" i="3"/>
  <c r="O639" i="3"/>
  <c r="Y639" i="3" s="1"/>
  <c r="J647" i="3"/>
  <c r="Q653" i="3"/>
  <c r="L660" i="3"/>
  <c r="M666" i="3"/>
  <c r="J329" i="3"/>
  <c r="Q410" i="3"/>
  <c r="Q472" i="3"/>
  <c r="S499" i="3"/>
  <c r="P516" i="3"/>
  <c r="P529" i="3"/>
  <c r="T542" i="3"/>
  <c r="U555" i="3"/>
  <c r="U568" i="3"/>
  <c r="U579" i="3"/>
  <c r="S589" i="3"/>
  <c r="K491" i="3"/>
  <c r="O550" i="3"/>
  <c r="Y550" i="3" s="1"/>
  <c r="O594" i="3"/>
  <c r="Y594" i="3" s="1"/>
  <c r="T618" i="3"/>
  <c r="R639" i="3"/>
  <c r="V655" i="3"/>
  <c r="S666" i="3"/>
  <c r="R672" i="3"/>
  <c r="J678" i="3"/>
  <c r="V682" i="3"/>
  <c r="U687" i="3"/>
  <c r="T692" i="3"/>
  <c r="S697" i="3"/>
  <c r="R702" i="3"/>
  <c r="Q707" i="3"/>
  <c r="P712" i="3"/>
  <c r="O717" i="3"/>
  <c r="Y717" i="3" s="1"/>
  <c r="N722" i="3"/>
  <c r="M727" i="3"/>
  <c r="L732" i="3"/>
  <c r="K737" i="3"/>
  <c r="J742" i="3"/>
  <c r="V746" i="3"/>
  <c r="U751" i="3"/>
  <c r="T756" i="3"/>
  <c r="S761" i="3"/>
  <c r="R766" i="3"/>
  <c r="Q771" i="3"/>
  <c r="P776" i="3"/>
  <c r="O781" i="3"/>
  <c r="N786" i="3"/>
  <c r="M791" i="3"/>
  <c r="L796" i="3"/>
  <c r="K801" i="3"/>
  <c r="J806" i="3"/>
  <c r="V810" i="3"/>
  <c r="J492" i="3"/>
  <c r="J551" i="3"/>
  <c r="R594" i="3"/>
  <c r="J619" i="3"/>
  <c r="M640" i="3"/>
  <c r="L656" i="3"/>
  <c r="T666" i="3"/>
  <c r="N438" i="3"/>
  <c r="K280" i="3"/>
  <c r="U452" i="3"/>
  <c r="V460" i="3"/>
  <c r="M374" i="3"/>
  <c r="V498" i="3"/>
  <c r="T391" i="3"/>
  <c r="N456" i="3"/>
  <c r="L193" i="3"/>
  <c r="M358" i="3"/>
  <c r="K409" i="3"/>
  <c r="P448" i="3"/>
  <c r="V476" i="3"/>
  <c r="L267" i="3"/>
  <c r="J352" i="3"/>
  <c r="V396" i="3"/>
  <c r="N436" i="3"/>
  <c r="V469" i="3"/>
  <c r="Q490" i="3"/>
  <c r="M510" i="3"/>
  <c r="M391" i="3"/>
  <c r="R472" i="3"/>
  <c r="M499" i="3"/>
  <c r="S512" i="3"/>
  <c r="T522" i="3"/>
  <c r="R532" i="3"/>
  <c r="P542" i="3"/>
  <c r="N552" i="3"/>
  <c r="L562" i="3"/>
  <c r="J572" i="3"/>
  <c r="M581" i="3"/>
  <c r="U589" i="3"/>
  <c r="R596" i="3"/>
  <c r="M605" i="3"/>
  <c r="Q171" i="3"/>
  <c r="Q317" i="3"/>
  <c r="M382" i="3"/>
  <c r="M418" i="3"/>
  <c r="T460" i="3"/>
  <c r="T485" i="3"/>
  <c r="O498" i="3"/>
  <c r="Y498" i="3" s="1"/>
  <c r="Q510" i="3"/>
  <c r="V517" i="3"/>
  <c r="Q526" i="3"/>
  <c r="Q534" i="3"/>
  <c r="V541" i="3"/>
  <c r="Q550" i="3"/>
  <c r="N557" i="3"/>
  <c r="V565" i="3"/>
  <c r="V573" i="3"/>
  <c r="N581" i="3"/>
  <c r="V589" i="3"/>
  <c r="S596" i="3"/>
  <c r="N605" i="3"/>
  <c r="N613" i="3"/>
  <c r="S620" i="3"/>
  <c r="K628" i="3"/>
  <c r="J633" i="3"/>
  <c r="V637" i="3"/>
  <c r="U642" i="3"/>
  <c r="T647" i="3"/>
  <c r="S652" i="3"/>
  <c r="R657" i="3"/>
  <c r="Q662" i="3"/>
  <c r="J228" i="3"/>
  <c r="M310" i="3"/>
  <c r="N354" i="3"/>
  <c r="V385" i="3"/>
  <c r="K412" i="3"/>
  <c r="J438" i="3"/>
  <c r="Q461" i="3"/>
  <c r="O478" i="3"/>
  <c r="Y478" i="3" s="1"/>
  <c r="Q489" i="3"/>
  <c r="P497" i="3"/>
  <c r="V504" i="3"/>
  <c r="P511" i="3"/>
  <c r="T516" i="3"/>
  <c r="S521" i="3"/>
  <c r="R526" i="3"/>
  <c r="Q531" i="3"/>
  <c r="P536" i="3"/>
  <c r="O541" i="3"/>
  <c r="N546" i="3"/>
  <c r="M551" i="3"/>
  <c r="L556" i="3"/>
  <c r="K561" i="3"/>
  <c r="J566" i="3"/>
  <c r="V570" i="3"/>
  <c r="U575" i="3"/>
  <c r="T580" i="3"/>
  <c r="S585" i="3"/>
  <c r="R590" i="3"/>
  <c r="Q595" i="3"/>
  <c r="P600" i="3"/>
  <c r="O605" i="3"/>
  <c r="Y605" i="3" s="1"/>
  <c r="N610" i="3"/>
  <c r="M615" i="3"/>
  <c r="L620" i="3"/>
  <c r="K625" i="3"/>
  <c r="J630" i="3"/>
  <c r="V634" i="3"/>
  <c r="U639" i="3"/>
  <c r="T644" i="3"/>
  <c r="L251" i="3"/>
  <c r="V328" i="3"/>
  <c r="T363" i="3"/>
  <c r="P392" i="3"/>
  <c r="L419" i="3"/>
  <c r="N445" i="3"/>
  <c r="T466" i="3"/>
  <c r="J482" i="3"/>
  <c r="S491" i="3"/>
  <c r="R499" i="3"/>
  <c r="S506" i="3"/>
  <c r="V512" i="3"/>
  <c r="K518" i="3"/>
  <c r="J523" i="3"/>
  <c r="V527" i="3"/>
  <c r="U532" i="3"/>
  <c r="T537" i="3"/>
  <c r="S542" i="3"/>
  <c r="R547" i="3"/>
  <c r="Q552" i="3"/>
  <c r="P557" i="3"/>
  <c r="O562" i="3"/>
  <c r="N567" i="3"/>
  <c r="M572" i="3"/>
  <c r="P254" i="3"/>
  <c r="R329" i="3"/>
  <c r="O365" i="3"/>
  <c r="R393" i="3"/>
  <c r="Q419" i="3"/>
  <c r="M446" i="3"/>
  <c r="Q467" i="3"/>
  <c r="L482" i="3"/>
  <c r="V491" i="3"/>
  <c r="U499" i="3"/>
  <c r="U506" i="3"/>
  <c r="L513" i="3"/>
  <c r="M518" i="3"/>
  <c r="L523" i="3"/>
  <c r="K528" i="3"/>
  <c r="J533" i="3"/>
  <c r="V537" i="3"/>
  <c r="U542" i="3"/>
  <c r="T547" i="3"/>
  <c r="S552" i="3"/>
  <c r="R557" i="3"/>
  <c r="Q562" i="3"/>
  <c r="P567" i="3"/>
  <c r="O572" i="3"/>
  <c r="Y572" i="3" s="1"/>
  <c r="N577" i="3"/>
  <c r="M582" i="3"/>
  <c r="L587" i="3"/>
  <c r="K592" i="3"/>
  <c r="J597" i="3"/>
  <c r="V601" i="3"/>
  <c r="U606" i="3"/>
  <c r="T611" i="3"/>
  <c r="S616" i="3"/>
  <c r="R621" i="3"/>
  <c r="Q626" i="3"/>
  <c r="P631" i="3"/>
  <c r="O636" i="3"/>
  <c r="N641" i="3"/>
  <c r="M646" i="3"/>
  <c r="L651" i="3"/>
  <c r="K656" i="3"/>
  <c r="J661" i="3"/>
  <c r="V188" i="3"/>
  <c r="J288" i="3"/>
  <c r="J344" i="3"/>
  <c r="S420" i="3"/>
  <c r="V478" i="3"/>
  <c r="V502" i="3"/>
  <c r="O518" i="3"/>
  <c r="Y518" i="3" s="1"/>
  <c r="S531" i="3"/>
  <c r="T544" i="3"/>
  <c r="T557" i="3"/>
  <c r="K571" i="3"/>
  <c r="P581" i="3"/>
  <c r="N591" i="3"/>
  <c r="L601" i="3"/>
  <c r="J611" i="3"/>
  <c r="K619" i="3"/>
  <c r="J627" i="3"/>
  <c r="T634" i="3"/>
  <c r="S642" i="3"/>
  <c r="T649" i="3"/>
  <c r="N656" i="3"/>
  <c r="J168" i="3"/>
  <c r="S377" i="3"/>
  <c r="V448" i="3"/>
  <c r="K490" i="3"/>
  <c r="Q509" i="3"/>
  <c r="S523" i="3"/>
  <c r="T536" i="3"/>
  <c r="T549" i="3"/>
  <c r="K563" i="3"/>
  <c r="O575" i="3"/>
  <c r="Y575" i="3" s="1"/>
  <c r="M585" i="3"/>
  <c r="K595" i="3"/>
  <c r="V604" i="3"/>
  <c r="N614" i="3"/>
  <c r="L622" i="3"/>
  <c r="K630" i="3"/>
  <c r="U637" i="3"/>
  <c r="T645" i="3"/>
  <c r="N652" i="3"/>
  <c r="V658" i="3"/>
  <c r="N180" i="3"/>
  <c r="K380" i="3"/>
  <c r="S449" i="3"/>
  <c r="L490" i="3"/>
  <c r="K510" i="3"/>
  <c r="U523" i="3"/>
  <c r="U536" i="3"/>
  <c r="L550" i="3"/>
  <c r="M563" i="3"/>
  <c r="Q575" i="3"/>
  <c r="O585" i="3"/>
  <c r="M595" i="3"/>
  <c r="K605" i="3"/>
  <c r="O614" i="3"/>
  <c r="Y614" i="3" s="1"/>
  <c r="N622" i="3"/>
  <c r="L630" i="3"/>
  <c r="K638" i="3"/>
  <c r="U645" i="3"/>
  <c r="P652" i="3"/>
  <c r="J659" i="3"/>
  <c r="O665" i="3"/>
  <c r="Y665" i="3" s="1"/>
  <c r="N670" i="3"/>
  <c r="M675" i="3"/>
  <c r="P360" i="3"/>
  <c r="K433" i="3"/>
  <c r="N484" i="3"/>
  <c r="J506" i="3"/>
  <c r="T520" i="3"/>
  <c r="T533" i="3"/>
  <c r="K547" i="3"/>
  <c r="L560" i="3"/>
  <c r="L573" i="3"/>
  <c r="J583" i="3"/>
  <c r="U592" i="3"/>
  <c r="S602" i="3"/>
  <c r="Q612" i="3"/>
  <c r="P620" i="3"/>
  <c r="N628" i="3"/>
  <c r="M636" i="3"/>
  <c r="J644" i="3"/>
  <c r="U297" i="3"/>
  <c r="S400" i="3"/>
  <c r="R465" i="3"/>
  <c r="T496" i="3"/>
  <c r="R514" i="3"/>
  <c r="R527" i="3"/>
  <c r="V540" i="3"/>
  <c r="J554" i="3"/>
  <c r="J567" i="3"/>
  <c r="P578" i="3"/>
  <c r="N588" i="3"/>
  <c r="L598" i="3"/>
  <c r="J608" i="3"/>
  <c r="T616" i="3"/>
  <c r="R624" i="3"/>
  <c r="Q632" i="3"/>
  <c r="N640" i="3"/>
  <c r="U647" i="3"/>
  <c r="O654" i="3"/>
  <c r="V660" i="3"/>
  <c r="U666" i="3"/>
  <c r="Q339" i="3"/>
  <c r="P419" i="3"/>
  <c r="S477" i="3"/>
  <c r="K502" i="3"/>
  <c r="L518" i="3"/>
  <c r="M531" i="3"/>
  <c r="M544" i="3"/>
  <c r="Q557" i="3"/>
  <c r="R570" i="3"/>
  <c r="K581" i="3"/>
  <c r="V590" i="3"/>
  <c r="S501" i="3"/>
  <c r="K557" i="3"/>
  <c r="L597" i="3"/>
  <c r="Q621" i="3"/>
  <c r="P642" i="3"/>
  <c r="Q657" i="3"/>
  <c r="Q667" i="3"/>
  <c r="N673" i="3"/>
  <c r="R678" i="3"/>
  <c r="Q683" i="3"/>
  <c r="P688" i="3"/>
  <c r="O693" i="3"/>
  <c r="Y693" i="3" s="1"/>
  <c r="N698" i="3"/>
  <c r="M703" i="3"/>
  <c r="L708" i="3"/>
  <c r="K713" i="3"/>
  <c r="J718" i="3"/>
  <c r="V722" i="3"/>
  <c r="U727" i="3"/>
  <c r="T732" i="3"/>
  <c r="S737" i="3"/>
  <c r="R742" i="3"/>
  <c r="Q747" i="3"/>
  <c r="P752" i="3"/>
  <c r="O757" i="3"/>
  <c r="N762" i="3"/>
  <c r="M767" i="3"/>
  <c r="L772" i="3"/>
  <c r="K777" i="3"/>
  <c r="J782" i="3"/>
  <c r="V786" i="3"/>
  <c r="U791" i="3"/>
  <c r="T796" i="3"/>
  <c r="S801" i="3"/>
  <c r="R806" i="3"/>
  <c r="Q811" i="3"/>
  <c r="S502" i="3"/>
  <c r="S557" i="3"/>
  <c r="K598" i="3"/>
  <c r="T621" i="3"/>
  <c r="R642" i="3"/>
  <c r="T657" i="3"/>
  <c r="R667" i="3"/>
  <c r="P673" i="3"/>
  <c r="S678" i="3"/>
  <c r="R683" i="3"/>
  <c r="Q688" i="3"/>
  <c r="P693" i="3"/>
  <c r="O698" i="3"/>
  <c r="N703" i="3"/>
  <c r="M708" i="3"/>
  <c r="L713" i="3"/>
  <c r="K718" i="3"/>
  <c r="J723" i="3"/>
  <c r="V727" i="3"/>
  <c r="U732" i="3"/>
  <c r="T737" i="3"/>
  <c r="S742" i="3"/>
  <c r="R747" i="3"/>
  <c r="R261" i="3"/>
  <c r="P347" i="3"/>
  <c r="R467" i="3"/>
  <c r="U474" i="3"/>
  <c r="V393" i="3"/>
  <c r="T508" i="3"/>
  <c r="L399" i="3"/>
  <c r="L460" i="3"/>
  <c r="S226" i="3"/>
  <c r="R366" i="3"/>
  <c r="T412" i="3"/>
  <c r="P451" i="3"/>
  <c r="T478" i="3"/>
  <c r="M280" i="3"/>
  <c r="V356" i="3"/>
  <c r="R400" i="3"/>
  <c r="J440" i="3"/>
  <c r="O472" i="3"/>
  <c r="Y472" i="3" s="1"/>
  <c r="O492" i="3"/>
  <c r="Y492" i="3" s="1"/>
  <c r="L169" i="3"/>
  <c r="K401" i="3"/>
  <c r="P476" i="3"/>
  <c r="L502" i="3"/>
  <c r="T514" i="3"/>
  <c r="R524" i="3"/>
  <c r="P534" i="3"/>
  <c r="N544" i="3"/>
  <c r="L554" i="3"/>
  <c r="J564" i="3"/>
  <c r="U573" i="3"/>
  <c r="U581" i="3"/>
  <c r="P590" i="3"/>
  <c r="P598" i="3"/>
  <c r="U605" i="3"/>
  <c r="P214" i="3"/>
  <c r="T326" i="3"/>
  <c r="K385" i="3"/>
  <c r="K428" i="3"/>
  <c r="S463" i="3"/>
  <c r="M488" i="3"/>
  <c r="N499" i="3"/>
  <c r="O511" i="3"/>
  <c r="Y511" i="3" s="1"/>
  <c r="T519" i="3"/>
  <c r="L527" i="3"/>
  <c r="T535" i="3"/>
  <c r="Q542" i="3"/>
  <c r="L551" i="3"/>
  <c r="L559" i="3"/>
  <c r="Q566" i="3"/>
  <c r="L575" i="3"/>
  <c r="V581" i="3"/>
  <c r="Q590" i="3"/>
  <c r="Q598" i="3"/>
  <c r="V605" i="3"/>
  <c r="Q614" i="3"/>
  <c r="N621" i="3"/>
  <c r="S628" i="3"/>
  <c r="R633" i="3"/>
  <c r="Q638" i="3"/>
  <c r="P643" i="3"/>
  <c r="O648" i="3"/>
  <c r="N653" i="3"/>
  <c r="M658" i="3"/>
  <c r="L663" i="3"/>
  <c r="U237" i="3"/>
  <c r="J320" i="3"/>
  <c r="U358" i="3"/>
  <c r="T388" i="3"/>
  <c r="P415" i="3"/>
  <c r="R441" i="3"/>
  <c r="T463" i="3"/>
  <c r="L480" i="3"/>
  <c r="R490" i="3"/>
  <c r="P498" i="3"/>
  <c r="T505" i="3"/>
  <c r="L512" i="3"/>
  <c r="O517" i="3"/>
  <c r="N522" i="3"/>
  <c r="M527" i="3"/>
  <c r="L532" i="3"/>
  <c r="K537" i="3"/>
  <c r="J542" i="3"/>
  <c r="V546" i="3"/>
  <c r="U551" i="3"/>
  <c r="T556" i="3"/>
  <c r="S561" i="3"/>
  <c r="R566" i="3"/>
  <c r="Q571" i="3"/>
  <c r="P576" i="3"/>
  <c r="O581" i="3"/>
  <c r="Y581" i="3" s="1"/>
  <c r="N586" i="3"/>
  <c r="M591" i="3"/>
  <c r="L596" i="3"/>
  <c r="K601" i="3"/>
  <c r="J606" i="3"/>
  <c r="V610" i="3"/>
  <c r="U615" i="3"/>
  <c r="T620" i="3"/>
  <c r="S625" i="3"/>
  <c r="R630" i="3"/>
  <c r="Q635" i="3"/>
  <c r="P640" i="3"/>
  <c r="O645" i="3"/>
  <c r="S263" i="3"/>
  <c r="V332" i="3"/>
  <c r="R368" i="3"/>
  <c r="K396" i="3"/>
  <c r="J422" i="3"/>
  <c r="S448" i="3"/>
  <c r="N469" i="3"/>
  <c r="O483" i="3"/>
  <c r="R492" i="3"/>
  <c r="Q500" i="3"/>
  <c r="P507" i="3"/>
  <c r="R513" i="3"/>
  <c r="S518" i="3"/>
  <c r="R523" i="3"/>
  <c r="Q528" i="3"/>
  <c r="P533" i="3"/>
  <c r="O538" i="3"/>
  <c r="N543" i="3"/>
  <c r="M548" i="3"/>
  <c r="L553" i="3"/>
  <c r="K558" i="3"/>
  <c r="J563" i="3"/>
  <c r="V567" i="3"/>
  <c r="U572" i="3"/>
  <c r="O267" i="3"/>
  <c r="M334" i="3"/>
  <c r="K369" i="3"/>
  <c r="J397" i="3"/>
  <c r="L423" i="3"/>
  <c r="J449" i="3"/>
  <c r="J470" i="3"/>
  <c r="V483" i="3"/>
  <c r="V492" i="3"/>
  <c r="U500" i="3"/>
  <c r="S507" i="3"/>
  <c r="U513" i="3"/>
  <c r="U518" i="3"/>
  <c r="T523" i="3"/>
  <c r="S528" i="3"/>
  <c r="R533" i="3"/>
  <c r="Q538" i="3"/>
  <c r="P543" i="3"/>
  <c r="O548" i="3"/>
  <c r="Y548" i="3" s="1"/>
  <c r="N553" i="3"/>
  <c r="M558" i="3"/>
  <c r="L563" i="3"/>
  <c r="K568" i="3"/>
  <c r="J573" i="3"/>
  <c r="V577" i="3"/>
  <c r="U582" i="3"/>
  <c r="T587" i="3"/>
  <c r="S592" i="3"/>
  <c r="R597" i="3"/>
  <c r="Q602" i="3"/>
  <c r="P607" i="3"/>
  <c r="O612" i="3"/>
  <c r="N617" i="3"/>
  <c r="M622" i="3"/>
  <c r="L627" i="3"/>
  <c r="K632" i="3"/>
  <c r="J637" i="3"/>
  <c r="V641" i="3"/>
  <c r="U646" i="3"/>
  <c r="T651" i="3"/>
  <c r="S656" i="3"/>
  <c r="R661" i="3"/>
  <c r="V208" i="3"/>
  <c r="P297" i="3"/>
  <c r="S355" i="3"/>
  <c r="M430" i="3"/>
  <c r="S482" i="3"/>
  <c r="L505" i="3"/>
  <c r="L520" i="3"/>
  <c r="L533" i="3"/>
  <c r="P546" i="3"/>
  <c r="Q559" i="3"/>
  <c r="Q572" i="3"/>
  <c r="S582" i="3"/>
  <c r="Q592" i="3"/>
  <c r="O602" i="3"/>
  <c r="M612" i="3"/>
  <c r="J620" i="3"/>
  <c r="V627" i="3"/>
  <c r="U635" i="3"/>
  <c r="S643" i="3"/>
  <c r="R650" i="3"/>
  <c r="L657" i="3"/>
  <c r="N233" i="3"/>
  <c r="P387" i="3"/>
  <c r="U454" i="3"/>
  <c r="U492" i="3"/>
  <c r="T511" i="3"/>
  <c r="L525" i="3"/>
  <c r="P538" i="3"/>
  <c r="Q551" i="3"/>
  <c r="Q564" i="3"/>
  <c r="R576" i="3"/>
  <c r="P586" i="3"/>
  <c r="N596" i="3"/>
  <c r="L606" i="3"/>
  <c r="N615" i="3"/>
  <c r="K623" i="3"/>
  <c r="J631" i="3"/>
  <c r="V638" i="3"/>
  <c r="R646" i="3"/>
  <c r="L653" i="3"/>
  <c r="S659" i="3"/>
  <c r="P241" i="3"/>
  <c r="Q387" i="3"/>
  <c r="S456" i="3"/>
  <c r="K493" i="3"/>
  <c r="V511" i="3"/>
  <c r="Q525" i="3"/>
  <c r="R538" i="3"/>
  <c r="R551" i="3"/>
  <c r="V564" i="3"/>
  <c r="T576" i="3"/>
  <c r="R586" i="3"/>
  <c r="P596" i="3"/>
  <c r="N606" i="3"/>
  <c r="O615" i="3"/>
  <c r="N623" i="3"/>
  <c r="K631" i="3"/>
  <c r="J639" i="3"/>
  <c r="S646" i="3"/>
  <c r="M653" i="3"/>
  <c r="U659" i="3"/>
  <c r="J666" i="3"/>
  <c r="V670" i="3"/>
  <c r="U675" i="3"/>
  <c r="P370" i="3"/>
  <c r="Q442" i="3"/>
  <c r="S487" i="3"/>
  <c r="V507" i="3"/>
  <c r="P522" i="3"/>
  <c r="Q535" i="3"/>
  <c r="Q548" i="3"/>
  <c r="U561" i="3"/>
  <c r="O574" i="3"/>
  <c r="Y574" i="3" s="1"/>
  <c r="M584" i="3"/>
  <c r="K594" i="3"/>
  <c r="V603" i="3"/>
  <c r="Q613" i="3"/>
  <c r="P621" i="3"/>
  <c r="M629" i="3"/>
  <c r="L637" i="3"/>
  <c r="K645" i="3"/>
  <c r="T323" i="3"/>
  <c r="R409" i="3"/>
  <c r="P472" i="3"/>
  <c r="K499" i="3"/>
  <c r="N516" i="3"/>
  <c r="O529" i="3"/>
  <c r="O542" i="3"/>
  <c r="Y542" i="3" s="1"/>
  <c r="S555" i="3"/>
  <c r="T568" i="3"/>
  <c r="S579" i="3"/>
  <c r="Q589" i="3"/>
  <c r="O599" i="3"/>
  <c r="M609" i="3"/>
  <c r="T617" i="3"/>
  <c r="Q625" i="3"/>
  <c r="P633" i="3"/>
  <c r="O641" i="3"/>
  <c r="Y641" i="3" s="1"/>
  <c r="R648" i="3"/>
  <c r="M655" i="3"/>
  <c r="T661" i="3"/>
  <c r="P667" i="3"/>
  <c r="P352" i="3"/>
  <c r="V426" i="3"/>
  <c r="U360" i="3"/>
  <c r="N214" i="3"/>
  <c r="T242" i="3"/>
  <c r="S484" i="3"/>
  <c r="R413" i="3"/>
  <c r="M200" i="3"/>
  <c r="M410" i="3"/>
  <c r="K468" i="3"/>
  <c r="M262" i="3"/>
  <c r="N378" i="3"/>
  <c r="V418" i="3"/>
  <c r="O456" i="3"/>
  <c r="U481" i="3"/>
  <c r="R296" i="3"/>
  <c r="J365" i="3"/>
  <c r="T406" i="3"/>
  <c r="L446" i="3"/>
  <c r="T475" i="3"/>
  <c r="P495" i="3"/>
  <c r="O246" i="3"/>
  <c r="V417" i="3"/>
  <c r="O481" i="3"/>
  <c r="V503" i="3"/>
  <c r="J516" i="3"/>
  <c r="U525" i="3"/>
  <c r="S535" i="3"/>
  <c r="Q545" i="3"/>
  <c r="O555" i="3"/>
  <c r="M565" i="3"/>
  <c r="K575" i="3"/>
  <c r="S583" i="3"/>
  <c r="K591" i="3"/>
  <c r="S599" i="3"/>
  <c r="P606" i="3"/>
  <c r="U224" i="3"/>
  <c r="V340" i="3"/>
  <c r="S388" i="3"/>
  <c r="N434" i="3"/>
  <c r="P466" i="3"/>
  <c r="P489" i="3"/>
  <c r="N502" i="3"/>
  <c r="K512" i="3"/>
  <c r="J521" i="3"/>
  <c r="T527" i="3"/>
  <c r="O536" i="3"/>
  <c r="O544" i="3"/>
  <c r="T551" i="3"/>
  <c r="O560" i="3"/>
  <c r="L567" i="3"/>
  <c r="T575" i="3"/>
  <c r="T583" i="3"/>
  <c r="L591" i="3"/>
  <c r="T599" i="3"/>
  <c r="Q606" i="3"/>
  <c r="L615" i="3"/>
  <c r="L623" i="3"/>
  <c r="N629" i="3"/>
  <c r="M634" i="3"/>
  <c r="L639" i="3"/>
  <c r="K644" i="3"/>
  <c r="J649" i="3"/>
  <c r="V653" i="3"/>
  <c r="U658" i="3"/>
  <c r="T663" i="3"/>
  <c r="S250" i="3"/>
  <c r="J327" i="3"/>
  <c r="S363" i="3"/>
  <c r="O392" i="3"/>
  <c r="N418" i="3"/>
  <c r="J445" i="3"/>
  <c r="Q466" i="3"/>
  <c r="Q481" i="3"/>
  <c r="R491" i="3"/>
  <c r="O499" i="3"/>
  <c r="Y499" i="3" s="1"/>
  <c r="R506" i="3"/>
  <c r="U512" i="3"/>
  <c r="J518" i="3"/>
  <c r="V522" i="3"/>
  <c r="U527" i="3"/>
  <c r="T532" i="3"/>
  <c r="S537" i="3"/>
  <c r="R542" i="3"/>
  <c r="Q547" i="3"/>
  <c r="P552" i="3"/>
  <c r="O557" i="3"/>
  <c r="N562" i="3"/>
  <c r="M567" i="3"/>
  <c r="L572" i="3"/>
  <c r="K577" i="3"/>
  <c r="J582" i="3"/>
  <c r="V586" i="3"/>
  <c r="U591" i="3"/>
  <c r="T596" i="3"/>
  <c r="S601" i="3"/>
  <c r="R606" i="3"/>
  <c r="Q611" i="3"/>
  <c r="P616" i="3"/>
  <c r="O621" i="3"/>
  <c r="Y621" i="3" s="1"/>
  <c r="N626" i="3"/>
  <c r="M631" i="3"/>
  <c r="L636" i="3"/>
  <c r="K641" i="3"/>
  <c r="O111" i="3"/>
  <c r="V275" i="3"/>
  <c r="S337" i="3"/>
  <c r="N372" i="3"/>
  <c r="P399" i="3"/>
  <c r="R425" i="3"/>
  <c r="V450" i="3"/>
  <c r="S471" i="3"/>
  <c r="V484" i="3"/>
  <c r="S493" i="3"/>
  <c r="Q501" i="3"/>
  <c r="N508" i="3"/>
  <c r="O514" i="3"/>
  <c r="Y514" i="3" s="1"/>
  <c r="N519" i="3"/>
  <c r="M524" i="3"/>
  <c r="L529" i="3"/>
  <c r="K534" i="3"/>
  <c r="J539" i="3"/>
  <c r="V543" i="3"/>
  <c r="U548" i="3"/>
  <c r="T553" i="3"/>
  <c r="S558" i="3"/>
  <c r="R563" i="3"/>
  <c r="Q568" i="3"/>
  <c r="L153" i="3"/>
  <c r="M277" i="3"/>
  <c r="K339" i="3"/>
  <c r="R373" i="3"/>
  <c r="U399" i="3"/>
  <c r="Q426" i="3"/>
  <c r="T451" i="3"/>
  <c r="U471" i="3"/>
  <c r="L485" i="3"/>
  <c r="U493" i="3"/>
  <c r="T501" i="3"/>
  <c r="Q508" i="3"/>
  <c r="Q514" i="3"/>
  <c r="P519" i="3"/>
  <c r="O524" i="3"/>
  <c r="N529" i="3"/>
  <c r="M534" i="3"/>
  <c r="L539" i="3"/>
  <c r="K544" i="3"/>
  <c r="J549" i="3"/>
  <c r="V553" i="3"/>
  <c r="U558" i="3"/>
  <c r="T563" i="3"/>
  <c r="S568" i="3"/>
  <c r="R573" i="3"/>
  <c r="Q578" i="3"/>
  <c r="P583" i="3"/>
  <c r="O588" i="3"/>
  <c r="Y588" i="3" s="1"/>
  <c r="N593" i="3"/>
  <c r="M598" i="3"/>
  <c r="L603" i="3"/>
  <c r="K608" i="3"/>
  <c r="J613" i="3"/>
  <c r="V617" i="3"/>
  <c r="U622" i="3"/>
  <c r="T627" i="3"/>
  <c r="S632" i="3"/>
  <c r="R637" i="3"/>
  <c r="Q642" i="3"/>
  <c r="P647" i="3"/>
  <c r="O652" i="3"/>
  <c r="N657" i="3"/>
  <c r="M662" i="3"/>
  <c r="J220" i="3"/>
  <c r="Q306" i="3"/>
  <c r="R365" i="3"/>
  <c r="L439" i="3"/>
  <c r="P486" i="3"/>
  <c r="K507" i="3"/>
  <c r="U521" i="3"/>
  <c r="V534" i="3"/>
  <c r="V547" i="3"/>
  <c r="M561" i="3"/>
  <c r="K574" i="3"/>
  <c r="V583" i="3"/>
  <c r="T593" i="3"/>
  <c r="R603" i="3"/>
  <c r="L613" i="3"/>
  <c r="K621" i="3"/>
  <c r="V628" i="3"/>
  <c r="U636" i="3"/>
  <c r="R644" i="3"/>
  <c r="O651" i="3"/>
  <c r="J658" i="3"/>
  <c r="S280" i="3"/>
  <c r="L396" i="3"/>
  <c r="R462" i="3"/>
  <c r="K495" i="3"/>
  <c r="T513" i="3"/>
  <c r="V526" i="3"/>
  <c r="V539" i="3"/>
  <c r="M553" i="3"/>
  <c r="N566" i="3"/>
  <c r="U577" i="3"/>
  <c r="S587" i="3"/>
  <c r="Q597" i="3"/>
  <c r="O607" i="3"/>
  <c r="Y607" i="3" s="1"/>
  <c r="M616" i="3"/>
  <c r="L624" i="3"/>
  <c r="J632" i="3"/>
  <c r="V639" i="3"/>
  <c r="O647" i="3"/>
  <c r="J654" i="3"/>
  <c r="Q660" i="3"/>
  <c r="U286" i="3"/>
  <c r="N397" i="3"/>
  <c r="T462" i="3"/>
  <c r="S495" i="3"/>
  <c r="V513" i="3"/>
  <c r="J527" i="3"/>
  <c r="N540" i="3"/>
  <c r="O553" i="3"/>
  <c r="Y553" i="3" s="1"/>
  <c r="O566" i="3"/>
  <c r="J578" i="3"/>
  <c r="U587" i="3"/>
  <c r="S597" i="3"/>
  <c r="Q607" i="3"/>
  <c r="N616" i="3"/>
  <c r="M624" i="3"/>
  <c r="L632" i="3"/>
  <c r="J640" i="3"/>
  <c r="Q647" i="3"/>
  <c r="K654" i="3"/>
  <c r="R660" i="3"/>
  <c r="R666" i="3"/>
  <c r="Q671" i="3"/>
  <c r="P189" i="3"/>
  <c r="J381" i="3"/>
  <c r="U449" i="3"/>
  <c r="T490" i="3"/>
  <c r="N510" i="3"/>
  <c r="V523" i="3"/>
  <c r="M537" i="3"/>
  <c r="N550" i="3"/>
  <c r="N563" i="3"/>
  <c r="R575" i="3"/>
  <c r="P585" i="3"/>
  <c r="N595" i="3"/>
  <c r="L605" i="3"/>
  <c r="P614" i="3"/>
  <c r="O622" i="3"/>
  <c r="N630" i="3"/>
  <c r="L638" i="3"/>
  <c r="J646" i="3"/>
  <c r="L339" i="3"/>
  <c r="K417" i="3"/>
  <c r="L477" i="3"/>
  <c r="U501" i="3"/>
  <c r="T517" i="3"/>
  <c r="M424" i="3"/>
  <c r="K279" i="3"/>
  <c r="R449" i="3"/>
  <c r="K527" i="3"/>
  <c r="N600" i="3"/>
  <c r="J504" i="3"/>
  <c r="K556" i="3"/>
  <c r="U586" i="3"/>
  <c r="P619" i="3"/>
  <c r="R641" i="3"/>
  <c r="N661" i="3"/>
  <c r="V378" i="3"/>
  <c r="M475" i="3"/>
  <c r="U509" i="3"/>
  <c r="N530" i="3"/>
  <c r="J550" i="3"/>
  <c r="S569" i="3"/>
  <c r="O589" i="3"/>
  <c r="Y589" i="3" s="1"/>
  <c r="K609" i="3"/>
  <c r="T628" i="3"/>
  <c r="O228" i="3"/>
  <c r="L412" i="3"/>
  <c r="T489" i="3"/>
  <c r="U516" i="3"/>
  <c r="Q536" i="3"/>
  <c r="M556" i="3"/>
  <c r="S232" i="3"/>
  <c r="N413" i="3"/>
  <c r="J490" i="3"/>
  <c r="J517" i="3"/>
  <c r="S536" i="3"/>
  <c r="O556" i="3"/>
  <c r="K576" i="3"/>
  <c r="T595" i="3"/>
  <c r="P615" i="3"/>
  <c r="L635" i="3"/>
  <c r="U654" i="3"/>
  <c r="P313" i="3"/>
  <c r="M515" i="3"/>
  <c r="R567" i="3"/>
  <c r="Q608" i="3"/>
  <c r="T640" i="3"/>
  <c r="J357" i="3"/>
  <c r="M520" i="3"/>
  <c r="V572" i="3"/>
  <c r="N612" i="3"/>
  <c r="U643" i="3"/>
  <c r="O357" i="3"/>
  <c r="R520" i="3"/>
  <c r="K573" i="3"/>
  <c r="P612" i="3"/>
  <c r="V643" i="3"/>
  <c r="K669" i="3"/>
  <c r="V475" i="3"/>
  <c r="R543" i="3"/>
  <c r="O590" i="3"/>
  <c r="O626" i="3"/>
  <c r="Y626" i="3" s="1"/>
  <c r="P383" i="3"/>
  <c r="P524" i="3"/>
  <c r="V558" i="3"/>
  <c r="T590" i="3"/>
  <c r="T614" i="3"/>
  <c r="O635" i="3"/>
  <c r="J656" i="3"/>
  <c r="J304" i="3"/>
  <c r="Q485" i="3"/>
  <c r="O521" i="3"/>
  <c r="S547" i="3"/>
  <c r="S573" i="3"/>
  <c r="U337" i="3"/>
  <c r="K570" i="3"/>
  <c r="S626" i="3"/>
  <c r="U660" i="3"/>
  <c r="T674" i="3"/>
  <c r="T684" i="3"/>
  <c r="R694" i="3"/>
  <c r="P704" i="3"/>
  <c r="N714" i="3"/>
  <c r="L724" i="3"/>
  <c r="J734" i="3"/>
  <c r="U743" i="3"/>
  <c r="S753" i="3"/>
  <c r="Q763" i="3"/>
  <c r="O773" i="3"/>
  <c r="Y773" i="3" s="1"/>
  <c r="M783" i="3"/>
  <c r="K793" i="3"/>
  <c r="V802" i="3"/>
  <c r="R342" i="3"/>
  <c r="S570" i="3"/>
  <c r="T626" i="3"/>
  <c r="K661" i="3"/>
  <c r="L674" i="3"/>
  <c r="O682" i="3"/>
  <c r="T689" i="3"/>
  <c r="T697" i="3"/>
  <c r="L705" i="3"/>
  <c r="T713" i="3"/>
  <c r="T721" i="3"/>
  <c r="L729" i="3"/>
  <c r="L737" i="3"/>
  <c r="Q744" i="3"/>
  <c r="N751" i="3"/>
  <c r="M756" i="3"/>
  <c r="L761" i="3"/>
  <c r="K766" i="3"/>
  <c r="J771" i="3"/>
  <c r="V775" i="3"/>
  <c r="U780" i="3"/>
  <c r="T785" i="3"/>
  <c r="S790" i="3"/>
  <c r="R795" i="3"/>
  <c r="Q800" i="3"/>
  <c r="P805" i="3"/>
  <c r="O810" i="3"/>
  <c r="Y810" i="3" s="1"/>
  <c r="N815" i="3"/>
  <c r="U480" i="3"/>
  <c r="P545" i="3"/>
  <c r="V591" i="3"/>
  <c r="U616" i="3"/>
  <c r="S637" i="3"/>
  <c r="R654" i="3"/>
  <c r="K666" i="3"/>
  <c r="K672" i="3"/>
  <c r="Q677" i="3"/>
  <c r="P682" i="3"/>
  <c r="O687" i="3"/>
  <c r="N692" i="3"/>
  <c r="M697" i="3"/>
  <c r="L702" i="3"/>
  <c r="K707" i="3"/>
  <c r="J712" i="3"/>
  <c r="V716" i="3"/>
  <c r="U721" i="3"/>
  <c r="T726" i="3"/>
  <c r="S731" i="3"/>
  <c r="R736" i="3"/>
  <c r="Q741" i="3"/>
  <c r="P746" i="3"/>
  <c r="O751" i="3"/>
  <c r="Y751" i="3" s="1"/>
  <c r="N756" i="3"/>
  <c r="M761" i="3"/>
  <c r="L766" i="3"/>
  <c r="J316" i="3"/>
  <c r="M383" i="3"/>
  <c r="R477" i="3"/>
  <c r="V536" i="3"/>
  <c r="N608" i="3"/>
  <c r="T512" i="3"/>
  <c r="J561" i="3"/>
  <c r="T591" i="3"/>
  <c r="O624" i="3"/>
  <c r="S644" i="3"/>
  <c r="O664" i="3"/>
  <c r="Y664" i="3" s="1"/>
  <c r="T395" i="3"/>
  <c r="N483" i="3"/>
  <c r="Q513" i="3"/>
  <c r="O533" i="3"/>
  <c r="K553" i="3"/>
  <c r="T572" i="3"/>
  <c r="P592" i="3"/>
  <c r="L612" i="3"/>
  <c r="U631" i="3"/>
  <c r="O284" i="3"/>
  <c r="Y284" i="3" s="1"/>
  <c r="J429" i="3"/>
  <c r="S494" i="3"/>
  <c r="V519" i="3"/>
  <c r="R539" i="3"/>
  <c r="N559" i="3"/>
  <c r="R287" i="3"/>
  <c r="O429" i="3"/>
  <c r="Y429" i="3" s="1"/>
  <c r="V494" i="3"/>
  <c r="K520" i="3"/>
  <c r="T539" i="3"/>
  <c r="P559" i="3"/>
  <c r="L579" i="3"/>
  <c r="U598" i="3"/>
  <c r="Q618" i="3"/>
  <c r="M638" i="3"/>
  <c r="V657" i="3"/>
  <c r="R377" i="3"/>
  <c r="N523" i="3"/>
  <c r="N575" i="3"/>
  <c r="L614" i="3"/>
  <c r="S645" i="3"/>
  <c r="O404" i="3"/>
  <c r="Y404" i="3" s="1"/>
  <c r="R528" i="3"/>
  <c r="K579" i="3"/>
  <c r="M617" i="3"/>
  <c r="M648" i="3"/>
  <c r="J406" i="3"/>
  <c r="T528" i="3"/>
  <c r="M579" i="3"/>
  <c r="O617" i="3"/>
  <c r="Y617" i="3" s="1"/>
  <c r="N648" i="3"/>
  <c r="L672" i="3"/>
  <c r="L493" i="3"/>
  <c r="J552" i="3"/>
  <c r="Q596" i="3"/>
  <c r="N631" i="3"/>
  <c r="U426" i="3"/>
  <c r="K531" i="3"/>
  <c r="U563" i="3"/>
  <c r="J592" i="3"/>
  <c r="S618" i="3"/>
  <c r="O638" i="3"/>
  <c r="U656" i="3"/>
  <c r="L364" i="3"/>
  <c r="V488" i="3"/>
  <c r="K523" i="3"/>
  <c r="L549" i="3"/>
  <c r="V574" i="3"/>
  <c r="N381" i="3"/>
  <c r="V575" i="3"/>
  <c r="P629" i="3"/>
  <c r="P662" i="3"/>
  <c r="P675" i="3"/>
  <c r="O685" i="3"/>
  <c r="Y685" i="3" s="1"/>
  <c r="Q324" i="3"/>
  <c r="R422" i="3"/>
  <c r="N497" i="3"/>
  <c r="T546" i="3"/>
  <c r="R237" i="3"/>
  <c r="R521" i="3"/>
  <c r="K564" i="3"/>
  <c r="P595" i="3"/>
  <c r="M626" i="3"/>
  <c r="Q646" i="3"/>
  <c r="U197" i="3"/>
  <c r="R405" i="3"/>
  <c r="K487" i="3"/>
  <c r="Q515" i="3"/>
  <c r="M535" i="3"/>
  <c r="V554" i="3"/>
  <c r="R574" i="3"/>
  <c r="N594" i="3"/>
  <c r="J614" i="3"/>
  <c r="S633" i="3"/>
  <c r="J311" i="3"/>
  <c r="U438" i="3"/>
  <c r="Q497" i="3"/>
  <c r="T521" i="3"/>
  <c r="P541" i="3"/>
  <c r="L561" i="3"/>
  <c r="U313" i="3"/>
  <c r="M439" i="3"/>
  <c r="U497" i="3"/>
  <c r="V521" i="3"/>
  <c r="R541" i="3"/>
  <c r="N561" i="3"/>
  <c r="J581" i="3"/>
  <c r="S600" i="3"/>
  <c r="O620" i="3"/>
  <c r="K640" i="3"/>
  <c r="T659" i="3"/>
  <c r="Q403" i="3"/>
  <c r="M528" i="3"/>
  <c r="J579" i="3"/>
  <c r="L617" i="3"/>
  <c r="L648" i="3"/>
  <c r="Q430" i="3"/>
  <c r="Q533" i="3"/>
  <c r="T582" i="3"/>
  <c r="M620" i="3"/>
  <c r="S650" i="3"/>
  <c r="S432" i="3"/>
  <c r="S533" i="3"/>
  <c r="V582" i="3"/>
  <c r="N620" i="3"/>
  <c r="T650" i="3"/>
  <c r="J674" i="3"/>
  <c r="K501" i="3"/>
  <c r="V556" i="3"/>
  <c r="M600" i="3"/>
  <c r="L634" i="3"/>
  <c r="J452" i="3"/>
  <c r="Q532" i="3"/>
  <c r="P570" i="3"/>
  <c r="S595" i="3"/>
  <c r="S619" i="3"/>
  <c r="O642" i="3"/>
  <c r="N659" i="3"/>
  <c r="U374" i="3"/>
  <c r="V496" i="3"/>
  <c r="J528" i="3"/>
  <c r="K554" i="3"/>
  <c r="R578" i="3"/>
  <c r="J476" i="3"/>
  <c r="S590" i="3"/>
  <c r="M637" i="3"/>
  <c r="U665" i="3"/>
  <c r="O677" i="3"/>
  <c r="Y677" i="3" s="1"/>
  <c r="M687" i="3"/>
  <c r="K697" i="3"/>
  <c r="V706" i="3"/>
  <c r="T716" i="3"/>
  <c r="R726" i="3"/>
  <c r="P736" i="3"/>
  <c r="N746" i="3"/>
  <c r="L756" i="3"/>
  <c r="J766" i="3"/>
  <c r="U775" i="3"/>
  <c r="S785" i="3"/>
  <c r="Q795" i="3"/>
  <c r="O805" i="3"/>
  <c r="T477" i="3"/>
  <c r="J591" i="3"/>
  <c r="Q637" i="3"/>
  <c r="V665" i="3"/>
  <c r="Q675" i="3"/>
  <c r="M684" i="3"/>
  <c r="M692" i="3"/>
  <c r="R699" i="3"/>
  <c r="R707" i="3"/>
  <c r="J715" i="3"/>
  <c r="R723" i="3"/>
  <c r="R731" i="3"/>
  <c r="J739" i="3"/>
  <c r="J747" i="3"/>
  <c r="Q752" i="3"/>
  <c r="P757" i="3"/>
  <c r="O762" i="3"/>
  <c r="N767" i="3"/>
  <c r="M772" i="3"/>
  <c r="L777" i="3"/>
  <c r="K782" i="3"/>
  <c r="J787" i="3"/>
  <c r="V791" i="3"/>
  <c r="U796" i="3"/>
  <c r="T801" i="3"/>
  <c r="S806" i="3"/>
  <c r="R811" i="3"/>
  <c r="Q816" i="3"/>
  <c r="T503" i="3"/>
  <c r="T558" i="3"/>
  <c r="N598" i="3"/>
  <c r="U621" i="3"/>
  <c r="M643" i="3"/>
  <c r="U657" i="3"/>
  <c r="S667" i="3"/>
  <c r="Q673" i="3"/>
  <c r="T678" i="3"/>
  <c r="S683" i="3"/>
  <c r="R688" i="3"/>
  <c r="Q693" i="3"/>
  <c r="P698" i="3"/>
  <c r="O703" i="3"/>
  <c r="Y703" i="3" s="1"/>
  <c r="N708" i="3"/>
  <c r="M713" i="3"/>
  <c r="L718" i="3"/>
  <c r="K723" i="3"/>
  <c r="J728" i="3"/>
  <c r="V732" i="3"/>
  <c r="U737" i="3"/>
  <c r="T742" i="3"/>
  <c r="S747" i="3"/>
  <c r="R752" i="3"/>
  <c r="Q757" i="3"/>
  <c r="P762" i="3"/>
  <c r="O767" i="3"/>
  <c r="N772" i="3"/>
  <c r="M777" i="3"/>
  <c r="L782" i="3"/>
  <c r="K787" i="3"/>
  <c r="J792" i="3"/>
  <c r="V796" i="3"/>
  <c r="U801" i="3"/>
  <c r="T806" i="3"/>
  <c r="S811" i="3"/>
  <c r="R816" i="3"/>
  <c r="R460" i="3"/>
  <c r="S539" i="3"/>
  <c r="N587" i="3"/>
  <c r="S614" i="3"/>
  <c r="R635" i="3"/>
  <c r="O653" i="3"/>
  <c r="N665" i="3"/>
  <c r="P671" i="3"/>
  <c r="J677" i="3"/>
  <c r="V681" i="3"/>
  <c r="U686" i="3"/>
  <c r="T691" i="3"/>
  <c r="S696" i="3"/>
  <c r="R701" i="3"/>
  <c r="Q706" i="3"/>
  <c r="P711" i="3"/>
  <c r="O716" i="3"/>
  <c r="Y716" i="3" s="1"/>
  <c r="N721" i="3"/>
  <c r="Q494" i="3"/>
  <c r="O459" i="3"/>
  <c r="P281" i="3"/>
  <c r="R556" i="3"/>
  <c r="O349" i="3"/>
  <c r="R529" i="3"/>
  <c r="J569" i="3"/>
  <c r="O600" i="3"/>
  <c r="Y600" i="3" s="1"/>
  <c r="V629" i="3"/>
  <c r="R649" i="3"/>
  <c r="U262" i="3"/>
  <c r="V421" i="3"/>
  <c r="Q492" i="3"/>
  <c r="R518" i="3"/>
  <c r="N538" i="3"/>
  <c r="J558" i="3"/>
  <c r="S577" i="3"/>
  <c r="O597" i="3"/>
  <c r="K617" i="3"/>
  <c r="T636" i="3"/>
  <c r="M342" i="3"/>
  <c r="U453" i="3"/>
  <c r="P502" i="3"/>
  <c r="U524" i="3"/>
  <c r="Q544" i="3"/>
  <c r="M564" i="3"/>
  <c r="T342" i="3"/>
  <c r="R454" i="3"/>
  <c r="T502" i="3"/>
  <c r="J525" i="3"/>
  <c r="S544" i="3"/>
  <c r="O564" i="3"/>
  <c r="Y564" i="3" s="1"/>
  <c r="K584" i="3"/>
  <c r="T603" i="3"/>
  <c r="P623" i="3"/>
  <c r="L643" i="3"/>
  <c r="U662" i="3"/>
  <c r="R446" i="3"/>
  <c r="R536" i="3"/>
  <c r="L585" i="3"/>
  <c r="K622" i="3"/>
  <c r="M652" i="3"/>
  <c r="O469" i="3"/>
  <c r="S541" i="3"/>
  <c r="V588" i="3"/>
  <c r="L625" i="3"/>
  <c r="T654" i="3"/>
  <c r="L470" i="3"/>
  <c r="T541" i="3"/>
  <c r="K589" i="3"/>
  <c r="M625" i="3"/>
  <c r="V654" i="3"/>
  <c r="M246" i="3"/>
  <c r="N512" i="3"/>
  <c r="K565" i="3"/>
  <c r="O606" i="3"/>
  <c r="Y606" i="3" s="1"/>
  <c r="K639" i="3"/>
  <c r="V480" i="3"/>
  <c r="P537" i="3"/>
  <c r="V571" i="3"/>
  <c r="R600" i="3"/>
  <c r="S622" i="3"/>
  <c r="N643" i="3"/>
  <c r="R662" i="3"/>
  <c r="J401" i="3"/>
  <c r="Q504" i="3"/>
  <c r="V532" i="3"/>
  <c r="J559" i="3"/>
  <c r="N582" i="3"/>
  <c r="O510" i="3"/>
  <c r="Y510" i="3" s="1"/>
  <c r="T600" i="3"/>
  <c r="L645" i="3"/>
  <c r="N668" i="3"/>
  <c r="M679" i="3"/>
  <c r="K689" i="3"/>
  <c r="V698" i="3"/>
  <c r="T708" i="3"/>
  <c r="R718" i="3"/>
  <c r="P728" i="3"/>
  <c r="N738" i="3"/>
  <c r="L748" i="3"/>
  <c r="J758" i="3"/>
  <c r="U767" i="3"/>
  <c r="S777" i="3"/>
  <c r="Q787" i="3"/>
  <c r="O797" i="3"/>
  <c r="Y797" i="3" s="1"/>
  <c r="M807" i="3"/>
  <c r="L511" i="3"/>
  <c r="U600" i="3"/>
  <c r="P645" i="3"/>
  <c r="O668" i="3"/>
  <c r="P677" i="3"/>
  <c r="U684" i="3"/>
  <c r="U692" i="3"/>
  <c r="M700" i="3"/>
  <c r="U708" i="3"/>
  <c r="U716" i="3"/>
  <c r="M724" i="3"/>
  <c r="M732" i="3"/>
  <c r="R739" i="3"/>
  <c r="M748" i="3"/>
  <c r="L753" i="3"/>
  <c r="K758" i="3"/>
  <c r="J763" i="3"/>
  <c r="V767" i="3"/>
  <c r="U772" i="3"/>
  <c r="T777" i="3"/>
  <c r="S782" i="3"/>
  <c r="R787" i="3"/>
  <c r="Q792" i="3"/>
  <c r="P797" i="3"/>
  <c r="O802" i="3"/>
  <c r="Y802" i="3" s="1"/>
  <c r="N807" i="3"/>
  <c r="M812" i="3"/>
  <c r="O254" i="3"/>
  <c r="Q512" i="3"/>
  <c r="L565" i="3"/>
  <c r="T601" i="3"/>
  <c r="T624" i="3"/>
  <c r="Q645" i="3"/>
  <c r="Q659" i="3"/>
  <c r="Q668" i="3"/>
  <c r="M674" i="3"/>
  <c r="O679" i="3"/>
  <c r="N684" i="3"/>
  <c r="M689" i="3"/>
  <c r="L694" i="3"/>
  <c r="K699" i="3"/>
  <c r="J704" i="3"/>
  <c r="V708" i="3"/>
  <c r="U713" i="3"/>
  <c r="T718" i="3"/>
  <c r="S723" i="3"/>
  <c r="R728" i="3"/>
  <c r="Q733" i="3"/>
  <c r="P738" i="3"/>
  <c r="O743" i="3"/>
  <c r="Y743" i="3" s="1"/>
  <c r="N748" i="3"/>
  <c r="M753" i="3"/>
  <c r="N433" i="3"/>
  <c r="S483" i="3"/>
  <c r="T427" i="3"/>
  <c r="P566" i="3"/>
  <c r="K392" i="3"/>
  <c r="J537" i="3"/>
  <c r="P571" i="3"/>
  <c r="P603" i="3"/>
  <c r="T631" i="3"/>
  <c r="P651" i="3"/>
  <c r="T293" i="3"/>
  <c r="T431" i="3"/>
  <c r="Q495" i="3"/>
  <c r="P520" i="3"/>
  <c r="L540" i="3"/>
  <c r="U559" i="3"/>
  <c r="Q579" i="3"/>
  <c r="M599" i="3"/>
  <c r="V618" i="3"/>
  <c r="R638" i="3"/>
  <c r="Q355" i="3"/>
  <c r="R461" i="3"/>
  <c r="J505" i="3"/>
  <c r="S526" i="3"/>
  <c r="O546" i="3"/>
  <c r="K566" i="3"/>
  <c r="T355" i="3"/>
  <c r="Q462" i="3"/>
  <c r="M505" i="3"/>
  <c r="U526" i="3"/>
  <c r="Q546" i="3"/>
  <c r="M566" i="3"/>
  <c r="V585" i="3"/>
  <c r="R605" i="3"/>
  <c r="N625" i="3"/>
  <c r="J645" i="3"/>
  <c r="S664" i="3"/>
  <c r="O468" i="3"/>
  <c r="Q541" i="3"/>
  <c r="U588" i="3"/>
  <c r="V624" i="3"/>
  <c r="S654" i="3"/>
  <c r="U483" i="3"/>
  <c r="R546" i="3"/>
  <c r="R592" i="3"/>
  <c r="J628" i="3"/>
  <c r="M657" i="3"/>
  <c r="J484" i="3"/>
  <c r="S546" i="3"/>
  <c r="T592" i="3"/>
  <c r="M628" i="3"/>
  <c r="O657" i="3"/>
  <c r="Y657" i="3" s="1"/>
  <c r="U335" i="3"/>
  <c r="Q517" i="3"/>
  <c r="J570" i="3"/>
  <c r="K610" i="3"/>
  <c r="K642" i="3"/>
  <c r="M491" i="3"/>
  <c r="L544" i="3"/>
  <c r="J576" i="3"/>
  <c r="U601" i="3"/>
  <c r="R626" i="3"/>
  <c r="L646" i="3"/>
  <c r="O663" i="3"/>
  <c r="S436" i="3"/>
  <c r="T506" i="3"/>
  <c r="O534" i="3"/>
  <c r="Y534" i="3" s="1"/>
  <c r="T560" i="3"/>
  <c r="Q583" i="3"/>
  <c r="S517" i="3"/>
  <c r="M604" i="3"/>
  <c r="M647" i="3"/>
  <c r="L669" i="3"/>
  <c r="U679" i="3"/>
  <c r="S689" i="3"/>
  <c r="Q699" i="3"/>
  <c r="O709" i="3"/>
  <c r="Y709" i="3" s="1"/>
  <c r="M719" i="3"/>
  <c r="K729" i="3"/>
  <c r="V738" i="3"/>
  <c r="T748" i="3"/>
  <c r="R758" i="3"/>
  <c r="P768" i="3"/>
  <c r="N778" i="3"/>
  <c r="L788" i="3"/>
  <c r="J798" i="3"/>
  <c r="U807" i="3"/>
  <c r="N518" i="3"/>
  <c r="P604" i="3"/>
  <c r="S647" i="3"/>
  <c r="M669" i="3"/>
  <c r="K678" i="3"/>
  <c r="P685" i="3"/>
  <c r="K694" i="3"/>
  <c r="K702" i="3"/>
  <c r="P709" i="3"/>
  <c r="P717" i="3"/>
  <c r="U724" i="3"/>
  <c r="P733" i="3"/>
  <c r="P741" i="3"/>
  <c r="U748" i="3"/>
  <c r="T753" i="3"/>
  <c r="S758" i="3"/>
  <c r="R763" i="3"/>
  <c r="Q768" i="3"/>
  <c r="P773" i="3"/>
  <c r="O778" i="3"/>
  <c r="N783" i="3"/>
  <c r="M788" i="3"/>
  <c r="L793" i="3"/>
  <c r="K798" i="3"/>
  <c r="J803" i="3"/>
  <c r="V807" i="3"/>
  <c r="U812" i="3"/>
  <c r="V348" i="3"/>
  <c r="O519" i="3"/>
  <c r="Y519" i="3" s="1"/>
  <c r="U571" i="3"/>
  <c r="Q604" i="3"/>
  <c r="O627" i="3"/>
  <c r="V647" i="3"/>
  <c r="L661" i="3"/>
  <c r="N669" i="3"/>
  <c r="V674" i="3"/>
  <c r="J680" i="3"/>
  <c r="V684" i="3"/>
  <c r="U689" i="3"/>
  <c r="T694" i="3"/>
  <c r="S699" i="3"/>
  <c r="R704" i="3"/>
  <c r="Q709" i="3"/>
  <c r="P714" i="3"/>
  <c r="O719" i="3"/>
  <c r="Y719" i="3" s="1"/>
  <c r="N724" i="3"/>
  <c r="M729" i="3"/>
  <c r="L734" i="3"/>
  <c r="K739" i="3"/>
  <c r="J744" i="3"/>
  <c r="V748" i="3"/>
  <c r="U753" i="3"/>
  <c r="T758" i="3"/>
  <c r="S763" i="3"/>
  <c r="M472" i="3"/>
  <c r="P410" i="3"/>
  <c r="M517" i="3"/>
  <c r="S591" i="3"/>
  <c r="P490" i="3"/>
  <c r="O552" i="3"/>
  <c r="J585" i="3"/>
  <c r="T615" i="3"/>
  <c r="T639" i="3"/>
  <c r="P659" i="3"/>
  <c r="O367" i="3"/>
  <c r="M469" i="3"/>
  <c r="O507" i="3"/>
  <c r="P528" i="3"/>
  <c r="L548" i="3"/>
  <c r="U567" i="3"/>
  <c r="Q587" i="3"/>
  <c r="M607" i="3"/>
  <c r="V626" i="3"/>
  <c r="R179" i="3"/>
  <c r="N402" i="3"/>
  <c r="L486" i="3"/>
  <c r="J515" i="3"/>
  <c r="S534" i="3"/>
  <c r="O554" i="3"/>
  <c r="V186" i="3"/>
  <c r="P403" i="3"/>
  <c r="O486" i="3"/>
  <c r="L515" i="3"/>
  <c r="U534" i="3"/>
  <c r="Q554" i="3"/>
  <c r="M574" i="3"/>
  <c r="V593" i="3"/>
  <c r="R613" i="3"/>
  <c r="N633" i="3"/>
  <c r="J653" i="3"/>
  <c r="V148" i="3"/>
  <c r="P509" i="3"/>
  <c r="S562" i="3"/>
  <c r="U604" i="3"/>
  <c r="T637" i="3"/>
  <c r="V313" i="3"/>
  <c r="N515" i="3"/>
  <c r="J568" i="3"/>
  <c r="R608" i="3"/>
  <c r="U640" i="3"/>
  <c r="O316" i="3"/>
  <c r="Y316" i="3" s="1"/>
  <c r="S515" i="3"/>
  <c r="L568" i="3"/>
  <c r="T608" i="3"/>
  <c r="V640" i="3"/>
  <c r="M667" i="3"/>
  <c r="R457" i="3"/>
  <c r="S538" i="3"/>
  <c r="S586" i="3"/>
  <c r="O623" i="3"/>
  <c r="Y623" i="3" s="1"/>
  <c r="U350" i="3"/>
  <c r="Q519" i="3"/>
  <c r="L557" i="3"/>
  <c r="U585" i="3"/>
  <c r="S611" i="3"/>
  <c r="P634" i="3"/>
  <c r="T652" i="3"/>
  <c r="S668" i="3"/>
  <c r="K482" i="3"/>
  <c r="R519" i="3"/>
  <c r="J546" i="3"/>
  <c r="N572" i="3"/>
  <c r="S203" i="3"/>
  <c r="S563" i="3"/>
  <c r="V623" i="3"/>
  <c r="M659" i="3"/>
  <c r="K674" i="3"/>
  <c r="L684" i="3"/>
  <c r="J694" i="3"/>
  <c r="U703" i="3"/>
  <c r="S713" i="3"/>
  <c r="Q723" i="3"/>
  <c r="O733" i="3"/>
  <c r="Y733" i="3" s="1"/>
  <c r="M743" i="3"/>
  <c r="K753" i="3"/>
  <c r="V762" i="3"/>
  <c r="T772" i="3"/>
  <c r="L274" i="3"/>
  <c r="V437" i="3"/>
  <c r="U634" i="3"/>
  <c r="P500" i="3"/>
  <c r="R582" i="3"/>
  <c r="O376" i="3"/>
  <c r="P549" i="3"/>
  <c r="N509" i="3"/>
  <c r="J589" i="3"/>
  <c r="V232" i="3"/>
  <c r="U629" i="3"/>
  <c r="T598" i="3"/>
  <c r="K555" i="3"/>
  <c r="V389" i="3"/>
  <c r="T646" i="3"/>
  <c r="Q605" i="3"/>
  <c r="O445" i="3"/>
  <c r="T584" i="3"/>
  <c r="U669" i="3"/>
  <c r="J702" i="3"/>
  <c r="S729" i="3"/>
  <c r="N754" i="3"/>
  <c r="T780" i="3"/>
  <c r="P800" i="3"/>
  <c r="R544" i="3"/>
  <c r="P654" i="3"/>
  <c r="V679" i="3"/>
  <c r="N695" i="3"/>
  <c r="V711" i="3"/>
  <c r="N727" i="3"/>
  <c r="N743" i="3"/>
  <c r="J755" i="3"/>
  <c r="U764" i="3"/>
  <c r="S774" i="3"/>
  <c r="Q784" i="3"/>
  <c r="O794" i="3"/>
  <c r="Y794" i="3" s="1"/>
  <c r="M804" i="3"/>
  <c r="K814" i="3"/>
  <c r="P532" i="3"/>
  <c r="R611" i="3"/>
  <c r="N651" i="3"/>
  <c r="S670" i="3"/>
  <c r="M681" i="3"/>
  <c r="K691" i="3"/>
  <c r="V700" i="3"/>
  <c r="T710" i="3"/>
  <c r="R720" i="3"/>
  <c r="P730" i="3"/>
  <c r="N740" i="3"/>
  <c r="L750" i="3"/>
  <c r="O759" i="3"/>
  <c r="Y759" i="3" s="1"/>
  <c r="T766" i="3"/>
  <c r="V772" i="3"/>
  <c r="P778" i="3"/>
  <c r="J784" i="3"/>
  <c r="Q789" i="3"/>
  <c r="K795" i="3"/>
  <c r="R800" i="3"/>
  <c r="L806" i="3"/>
  <c r="N812" i="3"/>
  <c r="U817" i="3"/>
  <c r="R504" i="3"/>
  <c r="T565" i="3"/>
  <c r="P605" i="3"/>
  <c r="O630" i="3"/>
  <c r="S651" i="3"/>
  <c r="L666" i="3"/>
  <c r="V672" i="3"/>
  <c r="U678" i="3"/>
  <c r="O684" i="3"/>
  <c r="Y684" i="3" s="1"/>
  <c r="V689" i="3"/>
  <c r="P695" i="3"/>
  <c r="J701" i="3"/>
  <c r="L707" i="3"/>
  <c r="S712" i="3"/>
  <c r="M718" i="3"/>
  <c r="T723" i="3"/>
  <c r="S728" i="3"/>
  <c r="R733" i="3"/>
  <c r="Q738" i="3"/>
  <c r="P743" i="3"/>
  <c r="O748" i="3"/>
  <c r="N753" i="3"/>
  <c r="M758" i="3"/>
  <c r="L763" i="3"/>
  <c r="K768" i="3"/>
  <c r="J773" i="3"/>
  <c r="V777" i="3"/>
  <c r="U782" i="3"/>
  <c r="T787" i="3"/>
  <c r="S792" i="3"/>
  <c r="R797" i="3"/>
  <c r="Q802" i="3"/>
  <c r="P807" i="3"/>
  <c r="J507" i="3"/>
  <c r="U560" i="3"/>
  <c r="Q599" i="3"/>
  <c r="V622" i="3"/>
  <c r="M644" i="3"/>
  <c r="R658" i="3"/>
  <c r="J668" i="3"/>
  <c r="T673" i="3"/>
  <c r="J679" i="3"/>
  <c r="V683" i="3"/>
  <c r="U688" i="3"/>
  <c r="T693" i="3"/>
  <c r="S698" i="3"/>
  <c r="R703" i="3"/>
  <c r="Q708" i="3"/>
  <c r="P713" i="3"/>
  <c r="O718" i="3"/>
  <c r="N723" i="3"/>
  <c r="M728" i="3"/>
  <c r="L733" i="3"/>
  <c r="K738" i="3"/>
  <c r="J743" i="3"/>
  <c r="V747" i="3"/>
  <c r="U752" i="3"/>
  <c r="T757" i="3"/>
  <c r="S762" i="3"/>
  <c r="R767" i="3"/>
  <c r="Q772" i="3"/>
  <c r="P777" i="3"/>
  <c r="O782" i="3"/>
  <c r="Y782" i="3" s="1"/>
  <c r="N787" i="3"/>
  <c r="M792" i="3"/>
  <c r="L797" i="3"/>
  <c r="K802" i="3"/>
  <c r="J807" i="3"/>
  <c r="V811" i="3"/>
  <c r="U816" i="3"/>
  <c r="T471" i="3"/>
  <c r="N542" i="3"/>
  <c r="P589" i="3"/>
  <c r="R615" i="3"/>
  <c r="Q636" i="3"/>
  <c r="T653" i="3"/>
  <c r="S665" i="3"/>
  <c r="T671" i="3"/>
  <c r="M677" i="3"/>
  <c r="L682" i="3"/>
  <c r="K687" i="3"/>
  <c r="J692" i="3"/>
  <c r="V696" i="3"/>
  <c r="U701" i="3"/>
  <c r="T706" i="3"/>
  <c r="S711" i="3"/>
  <c r="R716" i="3"/>
  <c r="Q721" i="3"/>
  <c r="P726" i="3"/>
  <c r="O731" i="3"/>
  <c r="N736" i="3"/>
  <c r="P514" i="3"/>
  <c r="N646" i="3"/>
  <c r="Q679" i="3"/>
  <c r="M699" i="3"/>
  <c r="V718" i="3"/>
  <c r="R738" i="3"/>
  <c r="L752" i="3"/>
  <c r="M765" i="3"/>
  <c r="M778" i="3"/>
  <c r="Q791" i="3"/>
  <c r="R804" i="3"/>
  <c r="Q814" i="3"/>
  <c r="U820" i="3"/>
  <c r="T825" i="3"/>
  <c r="S830" i="3"/>
  <c r="R835" i="3"/>
  <c r="Q840" i="3"/>
  <c r="P845" i="3"/>
  <c r="O850" i="3"/>
  <c r="Y850" i="3" s="1"/>
  <c r="N855" i="3"/>
  <c r="M860" i="3"/>
  <c r="L865" i="3"/>
  <c r="K870" i="3"/>
  <c r="J875" i="3"/>
  <c r="V879" i="3"/>
  <c r="U884" i="3"/>
  <c r="T889" i="3"/>
  <c r="S894" i="3"/>
  <c r="R899" i="3"/>
  <c r="Q904" i="3"/>
  <c r="P909" i="3"/>
  <c r="O914" i="3"/>
  <c r="N919" i="3"/>
  <c r="M924" i="3"/>
  <c r="L929" i="3"/>
  <c r="K934" i="3"/>
  <c r="J939" i="3"/>
  <c r="V943" i="3"/>
  <c r="M569" i="3"/>
  <c r="T660" i="3"/>
  <c r="S684" i="3"/>
  <c r="O704" i="3"/>
  <c r="K724" i="3"/>
  <c r="P742" i="3"/>
  <c r="P755" i="3"/>
  <c r="T768" i="3"/>
  <c r="U781" i="3"/>
  <c r="U794" i="3"/>
  <c r="K808" i="3"/>
  <c r="S816" i="3"/>
  <c r="L822" i="3"/>
  <c r="K827" i="3"/>
  <c r="J832" i="3"/>
  <c r="V836" i="3"/>
  <c r="U841" i="3"/>
  <c r="T846" i="3"/>
  <c r="S851" i="3"/>
  <c r="R856" i="3"/>
  <c r="Q861" i="3"/>
  <c r="P866" i="3"/>
  <c r="O871" i="3"/>
  <c r="Y871" i="3" s="1"/>
  <c r="N876" i="3"/>
  <c r="M881" i="3"/>
  <c r="L886" i="3"/>
  <c r="K891" i="3"/>
  <c r="J896" i="3"/>
  <c r="V900" i="3"/>
  <c r="U905" i="3"/>
  <c r="T910" i="3"/>
  <c r="S915" i="3"/>
  <c r="R920" i="3"/>
  <c r="Q925" i="3"/>
  <c r="P930" i="3"/>
  <c r="O935" i="3"/>
  <c r="N940" i="3"/>
  <c r="M945" i="3"/>
  <c r="L950" i="3"/>
  <c r="K955" i="3"/>
  <c r="J960" i="3"/>
  <c r="S360" i="3"/>
  <c r="U627" i="3"/>
  <c r="K675" i="3"/>
  <c r="V694" i="3"/>
  <c r="R714" i="3"/>
  <c r="N734" i="3"/>
  <c r="M749" i="3"/>
  <c r="M762" i="3"/>
  <c r="Q775" i="3"/>
  <c r="R788" i="3"/>
  <c r="R801" i="3"/>
  <c r="T812" i="3"/>
  <c r="T819" i="3"/>
  <c r="S824" i="3"/>
  <c r="R829" i="3"/>
  <c r="Q834" i="3"/>
  <c r="P839" i="3"/>
  <c r="O844" i="3"/>
  <c r="N849" i="3"/>
  <c r="M854" i="3"/>
  <c r="L859" i="3"/>
  <c r="K864" i="3"/>
  <c r="J869" i="3"/>
  <c r="V873" i="3"/>
  <c r="U878" i="3"/>
  <c r="T883" i="3"/>
  <c r="S888" i="3"/>
  <c r="R893" i="3"/>
  <c r="Q898" i="3"/>
  <c r="J575" i="3"/>
  <c r="O662" i="3"/>
  <c r="Y662" i="3" s="1"/>
  <c r="N685" i="3"/>
  <c r="J705" i="3"/>
  <c r="S724" i="3"/>
  <c r="V742" i="3"/>
  <c r="J756" i="3"/>
  <c r="J769" i="3"/>
  <c r="N782" i="3"/>
  <c r="O795" i="3"/>
  <c r="Y795" i="3" s="1"/>
  <c r="N808" i="3"/>
  <c r="V620" i="3"/>
  <c r="M673" i="3"/>
  <c r="N693" i="3"/>
  <c r="J713" i="3"/>
  <c r="S732" i="3"/>
  <c r="K748" i="3"/>
  <c r="O761" i="3"/>
  <c r="Y761" i="3" s="1"/>
  <c r="P774" i="3"/>
  <c r="P787" i="3"/>
  <c r="T800" i="3"/>
  <c r="L812" i="3"/>
  <c r="O819" i="3"/>
  <c r="N824" i="3"/>
  <c r="M829" i="3"/>
  <c r="L834" i="3"/>
  <c r="K839" i="3"/>
  <c r="J844" i="3"/>
  <c r="V848" i="3"/>
  <c r="U853" i="3"/>
  <c r="T858" i="3"/>
  <c r="S863" i="3"/>
  <c r="R868" i="3"/>
  <c r="Q873" i="3"/>
  <c r="P878" i="3"/>
  <c r="O883" i="3"/>
  <c r="N888" i="3"/>
  <c r="M893" i="3"/>
  <c r="L898" i="3"/>
  <c r="K903" i="3"/>
  <c r="J908" i="3"/>
  <c r="V912" i="3"/>
  <c r="U917" i="3"/>
  <c r="T922" i="3"/>
  <c r="S927" i="3"/>
  <c r="R932" i="3"/>
  <c r="Q937" i="3"/>
  <c r="P942" i="3"/>
  <c r="O947" i="3"/>
  <c r="Y947" i="3" s="1"/>
  <c r="N952" i="3"/>
  <c r="M957" i="3"/>
  <c r="L962" i="3"/>
  <c r="K967" i="3"/>
  <c r="V611" i="3"/>
  <c r="U670" i="3"/>
  <c r="M691" i="3"/>
  <c r="V710" i="3"/>
  <c r="R730" i="3"/>
  <c r="T746" i="3"/>
  <c r="T759" i="3"/>
  <c r="K773" i="3"/>
  <c r="L786" i="3"/>
  <c r="L799" i="3"/>
  <c r="M811" i="3"/>
  <c r="U818" i="3"/>
  <c r="T823" i="3"/>
  <c r="S828" i="3"/>
  <c r="R833" i="3"/>
  <c r="Q838" i="3"/>
  <c r="P843" i="3"/>
  <c r="O848" i="3"/>
  <c r="N853" i="3"/>
  <c r="M858" i="3"/>
  <c r="L863" i="3"/>
  <c r="K868" i="3"/>
  <c r="L415" i="3"/>
  <c r="L473" i="3"/>
  <c r="S636" i="3"/>
  <c r="N503" i="3"/>
  <c r="P584" i="3"/>
  <c r="M386" i="3"/>
  <c r="N551" i="3"/>
  <c r="S511" i="3"/>
  <c r="U590" i="3"/>
  <c r="T267" i="3"/>
  <c r="U632" i="3"/>
  <c r="P602" i="3"/>
  <c r="J560" i="3"/>
  <c r="U415" i="3"/>
  <c r="M210" i="3"/>
  <c r="P610" i="3"/>
  <c r="P467" i="3"/>
  <c r="P588" i="3"/>
  <c r="V671" i="3"/>
  <c r="K705" i="3"/>
  <c r="Q731" i="3"/>
  <c r="M759" i="3"/>
  <c r="R782" i="3"/>
  <c r="N802" i="3"/>
  <c r="N564" i="3"/>
  <c r="O659" i="3"/>
  <c r="Q680" i="3"/>
  <c r="L697" i="3"/>
  <c r="Q712" i="3"/>
  <c r="Q728" i="3"/>
  <c r="V743" i="3"/>
  <c r="R755" i="3"/>
  <c r="P765" i="3"/>
  <c r="N775" i="3"/>
  <c r="L785" i="3"/>
  <c r="J795" i="3"/>
  <c r="U804" i="3"/>
  <c r="S814" i="3"/>
  <c r="K539" i="3"/>
  <c r="K614" i="3"/>
  <c r="V652" i="3"/>
  <c r="O671" i="3"/>
  <c r="U681" i="3"/>
  <c r="S691" i="3"/>
  <c r="Q701" i="3"/>
  <c r="O711" i="3"/>
  <c r="Y711" i="3" s="1"/>
  <c r="M721" i="3"/>
  <c r="K731" i="3"/>
  <c r="V740" i="3"/>
  <c r="T750" i="3"/>
  <c r="J760" i="3"/>
  <c r="J768" i="3"/>
  <c r="Q773" i="3"/>
  <c r="K779" i="3"/>
  <c r="R784" i="3"/>
  <c r="L790" i="3"/>
  <c r="S795" i="3"/>
  <c r="M801" i="3"/>
  <c r="O807" i="3"/>
  <c r="V812" i="3"/>
  <c r="P818" i="3"/>
  <c r="M513" i="3"/>
  <c r="P572" i="3"/>
  <c r="M608" i="3"/>
  <c r="T632" i="3"/>
  <c r="J655" i="3"/>
  <c r="J667" i="3"/>
  <c r="R673" i="3"/>
  <c r="P679" i="3"/>
  <c r="J685" i="3"/>
  <c r="Q690" i="3"/>
  <c r="K696" i="3"/>
  <c r="M702" i="3"/>
  <c r="T707" i="3"/>
  <c r="N713" i="3"/>
  <c r="U718" i="3"/>
  <c r="O724" i="3"/>
  <c r="Y724" i="3" s="1"/>
  <c r="N729" i="3"/>
  <c r="M734" i="3"/>
  <c r="L739" i="3"/>
  <c r="K744" i="3"/>
  <c r="J749" i="3"/>
  <c r="V753" i="3"/>
  <c r="U758" i="3"/>
  <c r="T763" i="3"/>
  <c r="S768" i="3"/>
  <c r="R773" i="3"/>
  <c r="Q778" i="3"/>
  <c r="P783" i="3"/>
  <c r="O788" i="3"/>
  <c r="N793" i="3"/>
  <c r="M798" i="3"/>
  <c r="L803" i="3"/>
  <c r="N307" i="3"/>
  <c r="K515" i="3"/>
  <c r="Q567" i="3"/>
  <c r="J603" i="3"/>
  <c r="T625" i="3"/>
  <c r="O646" i="3"/>
  <c r="M660" i="3"/>
  <c r="U668" i="3"/>
  <c r="P674" i="3"/>
  <c r="R679" i="3"/>
  <c r="Q684" i="3"/>
  <c r="P689" i="3"/>
  <c r="O694" i="3"/>
  <c r="N699" i="3"/>
  <c r="M704" i="3"/>
  <c r="L709" i="3"/>
  <c r="K714" i="3"/>
  <c r="J719" i="3"/>
  <c r="V723" i="3"/>
  <c r="U728" i="3"/>
  <c r="T733" i="3"/>
  <c r="S738" i="3"/>
  <c r="R743" i="3"/>
  <c r="Q748" i="3"/>
  <c r="P753" i="3"/>
  <c r="O758" i="3"/>
  <c r="Y758" i="3" s="1"/>
  <c r="N763" i="3"/>
  <c r="M768" i="3"/>
  <c r="L773" i="3"/>
  <c r="K778" i="3"/>
  <c r="J783" i="3"/>
  <c r="V787" i="3"/>
  <c r="U792" i="3"/>
  <c r="T797" i="3"/>
  <c r="S802" i="3"/>
  <c r="R807" i="3"/>
  <c r="Q812" i="3"/>
  <c r="P817" i="3"/>
  <c r="J488" i="3"/>
  <c r="V548" i="3"/>
  <c r="O593" i="3"/>
  <c r="Y593" i="3" s="1"/>
  <c r="J618" i="3"/>
  <c r="N639" i="3"/>
  <c r="O655" i="3"/>
  <c r="P666" i="3"/>
  <c r="P672" i="3"/>
  <c r="U677" i="3"/>
  <c r="T682" i="3"/>
  <c r="S687" i="3"/>
  <c r="R692" i="3"/>
  <c r="Q697" i="3"/>
  <c r="P702" i="3"/>
  <c r="O707" i="3"/>
  <c r="N712" i="3"/>
  <c r="M717" i="3"/>
  <c r="L722" i="3"/>
  <c r="K727" i="3"/>
  <c r="J732" i="3"/>
  <c r="V736" i="3"/>
  <c r="Q540" i="3"/>
  <c r="P653" i="3"/>
  <c r="J682" i="3"/>
  <c r="S701" i="3"/>
  <c r="O721" i="3"/>
  <c r="Y721" i="3" s="1"/>
  <c r="R740" i="3"/>
  <c r="R753" i="3"/>
  <c r="V766" i="3"/>
  <c r="J780" i="3"/>
  <c r="J793" i="3"/>
  <c r="N806" i="3"/>
  <c r="Q815" i="3"/>
  <c r="P821" i="3"/>
  <c r="O826" i="3"/>
  <c r="Y826" i="3" s="1"/>
  <c r="N831" i="3"/>
  <c r="M836" i="3"/>
  <c r="L841" i="3"/>
  <c r="K846" i="3"/>
  <c r="J851" i="3"/>
  <c r="V855" i="3"/>
  <c r="U860" i="3"/>
  <c r="T865" i="3"/>
  <c r="S870" i="3"/>
  <c r="R875" i="3"/>
  <c r="Q880" i="3"/>
  <c r="P885" i="3"/>
  <c r="O890" i="3"/>
  <c r="N895" i="3"/>
  <c r="M900" i="3"/>
  <c r="L905" i="3"/>
  <c r="K910" i="3"/>
  <c r="J915" i="3"/>
  <c r="V919" i="3"/>
  <c r="U924" i="3"/>
  <c r="T929" i="3"/>
  <c r="S934" i="3"/>
  <c r="R939" i="3"/>
  <c r="Q944" i="3"/>
  <c r="T589" i="3"/>
  <c r="T665" i="3"/>
  <c r="L687" i="3"/>
  <c r="U706" i="3"/>
  <c r="Q726" i="3"/>
  <c r="L744" i="3"/>
  <c r="M757" i="3"/>
  <c r="M770" i="3"/>
  <c r="Q783" i="3"/>
  <c r="R796" i="3"/>
  <c r="N809" i="3"/>
  <c r="Q817" i="3"/>
  <c r="T822" i="3"/>
  <c r="S827" i="3"/>
  <c r="R832" i="3"/>
  <c r="Q837" i="3"/>
  <c r="P842" i="3"/>
  <c r="O847" i="3"/>
  <c r="N852" i="3"/>
  <c r="M857" i="3"/>
  <c r="L862" i="3"/>
  <c r="K867" i="3"/>
  <c r="J872" i="3"/>
  <c r="V876" i="3"/>
  <c r="U881" i="3"/>
  <c r="T886" i="3"/>
  <c r="S891" i="3"/>
  <c r="R896" i="3"/>
  <c r="Q901" i="3"/>
  <c r="P906" i="3"/>
  <c r="O911" i="3"/>
  <c r="Y911" i="3" s="1"/>
  <c r="N916" i="3"/>
  <c r="M921" i="3"/>
  <c r="L926" i="3"/>
  <c r="K931" i="3"/>
  <c r="J936" i="3"/>
  <c r="V940" i="3"/>
  <c r="U945" i="3"/>
  <c r="T950" i="3"/>
  <c r="S955" i="3"/>
  <c r="R960" i="3"/>
  <c r="K485" i="3"/>
  <c r="P638" i="3"/>
  <c r="S677" i="3"/>
  <c r="O697" i="3"/>
  <c r="K717" i="3"/>
  <c r="T736" i="3"/>
  <c r="V750" i="3"/>
  <c r="J764" i="3"/>
  <c r="J777" i="3"/>
  <c r="N790" i="3"/>
  <c r="O803" i="3"/>
  <c r="U813" i="3"/>
  <c r="O820" i="3"/>
  <c r="N825" i="3"/>
  <c r="M830" i="3"/>
  <c r="L835" i="3"/>
  <c r="K840" i="3"/>
  <c r="J845" i="3"/>
  <c r="V849" i="3"/>
  <c r="U854" i="3"/>
  <c r="T859" i="3"/>
  <c r="S864" i="3"/>
  <c r="R869" i="3"/>
  <c r="Q874" i="3"/>
  <c r="P879" i="3"/>
  <c r="O884" i="3"/>
  <c r="N889" i="3"/>
  <c r="M894" i="3"/>
  <c r="L899" i="3"/>
  <c r="P593" i="3"/>
  <c r="Q666" i="3"/>
  <c r="T687" i="3"/>
  <c r="P707" i="3"/>
  <c r="L727" i="3"/>
  <c r="O744" i="3"/>
  <c r="S757" i="3"/>
  <c r="T770" i="3"/>
  <c r="T783" i="3"/>
  <c r="K797" i="3"/>
  <c r="U410" i="3"/>
  <c r="R631" i="3"/>
  <c r="K676" i="3"/>
  <c r="T695" i="3"/>
  <c r="P715" i="3"/>
  <c r="L735" i="3"/>
  <c r="U749" i="3"/>
  <c r="U762" i="3"/>
  <c r="L776" i="3"/>
  <c r="M789" i="3"/>
  <c r="M802" i="3"/>
  <c r="M813" i="3"/>
  <c r="J820" i="3"/>
  <c r="V824" i="3"/>
  <c r="U829" i="3"/>
  <c r="T834" i="3"/>
  <c r="S839" i="3"/>
  <c r="R844" i="3"/>
  <c r="Q849" i="3"/>
  <c r="P854" i="3"/>
  <c r="O859" i="3"/>
  <c r="N864" i="3"/>
  <c r="M869" i="3"/>
  <c r="L874" i="3"/>
  <c r="K879" i="3"/>
  <c r="J884" i="3"/>
  <c r="V888" i="3"/>
  <c r="U893" i="3"/>
  <c r="T898" i="3"/>
  <c r="S903" i="3"/>
  <c r="R908" i="3"/>
  <c r="Q913" i="3"/>
  <c r="P918" i="3"/>
  <c r="O923" i="3"/>
  <c r="N928" i="3"/>
  <c r="M933" i="3"/>
  <c r="L938" i="3"/>
  <c r="K943" i="3"/>
  <c r="J948" i="3"/>
  <c r="V952" i="3"/>
  <c r="U957" i="3"/>
  <c r="T962" i="3"/>
  <c r="S967" i="3"/>
  <c r="T622" i="3"/>
  <c r="S673" i="3"/>
  <c r="S693" i="3"/>
  <c r="O713" i="3"/>
  <c r="Y713" i="3" s="1"/>
  <c r="K733" i="3"/>
  <c r="P748" i="3"/>
  <c r="Q761" i="3"/>
  <c r="Q774" i="3"/>
  <c r="U787" i="3"/>
  <c r="V800" i="3"/>
  <c r="O812" i="3"/>
  <c r="Y812" i="3" s="1"/>
  <c r="P819" i="3"/>
  <c r="O824" i="3"/>
  <c r="Y824" i="3" s="1"/>
  <c r="N829" i="3"/>
  <c r="M834" i="3"/>
  <c r="L839" i="3"/>
  <c r="K844" i="3"/>
  <c r="J849" i="3"/>
  <c r="V853" i="3"/>
  <c r="U858" i="3"/>
  <c r="T863" i="3"/>
  <c r="S868" i="3"/>
  <c r="R873" i="3"/>
  <c r="Q878" i="3"/>
  <c r="P883" i="3"/>
  <c r="O888" i="3"/>
  <c r="N893" i="3"/>
  <c r="M898" i="3"/>
  <c r="L903" i="3"/>
  <c r="P306" i="3"/>
  <c r="R545" i="3"/>
  <c r="Q654" i="3"/>
  <c r="Q523" i="3"/>
  <c r="N602" i="3"/>
  <c r="N473" i="3"/>
  <c r="L569" i="3"/>
  <c r="V529" i="3"/>
  <c r="S608" i="3"/>
  <c r="U489" i="3"/>
  <c r="T658" i="3"/>
  <c r="V632" i="3"/>
  <c r="V598" i="3"/>
  <c r="S525" i="3"/>
  <c r="N504" i="3"/>
  <c r="R627" i="3"/>
  <c r="S508" i="3"/>
  <c r="N524" i="3"/>
  <c r="P680" i="3"/>
  <c r="J710" i="3"/>
  <c r="R734" i="3"/>
  <c r="K761" i="3"/>
  <c r="U783" i="3"/>
  <c r="Q803" i="3"/>
  <c r="M576" i="3"/>
  <c r="S662" i="3"/>
  <c r="J683" i="3"/>
  <c r="J699" i="3"/>
  <c r="O714" i="3"/>
  <c r="T729" i="3"/>
  <c r="O746" i="3"/>
  <c r="Y746" i="3" s="1"/>
  <c r="U756" i="3"/>
  <c r="S766" i="3"/>
  <c r="Q776" i="3"/>
  <c r="O786" i="3"/>
  <c r="M796" i="3"/>
  <c r="K806" i="3"/>
  <c r="V815" i="3"/>
  <c r="L552" i="3"/>
  <c r="R619" i="3"/>
  <c r="M656" i="3"/>
  <c r="U672" i="3"/>
  <c r="K683" i="3"/>
  <c r="V692" i="3"/>
  <c r="T702" i="3"/>
  <c r="R712" i="3"/>
  <c r="P722" i="3"/>
  <c r="N732" i="3"/>
  <c r="L742" i="3"/>
  <c r="J752" i="3"/>
  <c r="R760" i="3"/>
  <c r="R768" i="3"/>
  <c r="L774" i="3"/>
  <c r="S779" i="3"/>
  <c r="M785" i="3"/>
  <c r="T790" i="3"/>
  <c r="N796" i="3"/>
  <c r="P802" i="3"/>
  <c r="J808" i="3"/>
  <c r="Q813" i="3"/>
  <c r="R268" i="3"/>
  <c r="J520" i="3"/>
  <c r="P577" i="3"/>
  <c r="U611" i="3"/>
  <c r="N638" i="3"/>
  <c r="R656" i="3"/>
  <c r="T667" i="3"/>
  <c r="N674" i="3"/>
  <c r="K680" i="3"/>
  <c r="R685" i="3"/>
  <c r="L691" i="3"/>
  <c r="N697" i="3"/>
  <c r="U702" i="3"/>
  <c r="O708" i="3"/>
  <c r="V713" i="3"/>
  <c r="P719" i="3"/>
  <c r="J725" i="3"/>
  <c r="V729" i="3"/>
  <c r="U734" i="3"/>
  <c r="T739" i="3"/>
  <c r="S744" i="3"/>
  <c r="R749" i="3"/>
  <c r="Q754" i="3"/>
  <c r="P759" i="3"/>
  <c r="O764" i="3"/>
  <c r="N769" i="3"/>
  <c r="M774" i="3"/>
  <c r="L779" i="3"/>
  <c r="K784" i="3"/>
  <c r="J789" i="3"/>
  <c r="V793" i="3"/>
  <c r="U798" i="3"/>
  <c r="T803" i="3"/>
  <c r="Q365" i="3"/>
  <c r="P521" i="3"/>
  <c r="T573" i="3"/>
  <c r="T605" i="3"/>
  <c r="P628" i="3"/>
  <c r="T648" i="3"/>
  <c r="U661" i="3"/>
  <c r="Q669" i="3"/>
  <c r="L675" i="3"/>
  <c r="M680" i="3"/>
  <c r="L685" i="3"/>
  <c r="K690" i="3"/>
  <c r="J695" i="3"/>
  <c r="V699" i="3"/>
  <c r="U704" i="3"/>
  <c r="T709" i="3"/>
  <c r="S714" i="3"/>
  <c r="R719" i="3"/>
  <c r="Q724" i="3"/>
  <c r="P729" i="3"/>
  <c r="O734" i="3"/>
  <c r="N739" i="3"/>
  <c r="M744" i="3"/>
  <c r="L749" i="3"/>
  <c r="K754" i="3"/>
  <c r="J759" i="3"/>
  <c r="V763" i="3"/>
  <c r="U768" i="3"/>
  <c r="T773" i="3"/>
  <c r="S778" i="3"/>
  <c r="R783" i="3"/>
  <c r="Q788" i="3"/>
  <c r="P793" i="3"/>
  <c r="O798" i="3"/>
  <c r="Y798" i="3" s="1"/>
  <c r="N803" i="3"/>
  <c r="M808" i="3"/>
  <c r="L813" i="3"/>
  <c r="K818" i="3"/>
  <c r="J499" i="3"/>
  <c r="N555" i="3"/>
  <c r="U596" i="3"/>
  <c r="U620" i="3"/>
  <c r="Q641" i="3"/>
  <c r="K657" i="3"/>
  <c r="N667" i="3"/>
  <c r="L673" i="3"/>
  <c r="P678" i="3"/>
  <c r="O683" i="3"/>
  <c r="N688" i="3"/>
  <c r="M693" i="3"/>
  <c r="L698" i="3"/>
  <c r="K703" i="3"/>
  <c r="J708" i="3"/>
  <c r="V712" i="3"/>
  <c r="U717" i="3"/>
  <c r="T722" i="3"/>
  <c r="S727" i="3"/>
  <c r="R732" i="3"/>
  <c r="Q737" i="3"/>
  <c r="V566" i="3"/>
  <c r="J660" i="3"/>
  <c r="P684" i="3"/>
  <c r="L704" i="3"/>
  <c r="U723" i="3"/>
  <c r="N742" i="3"/>
  <c r="O755" i="3"/>
  <c r="Y755" i="3" s="1"/>
  <c r="O768" i="3"/>
  <c r="Y768" i="3" s="1"/>
  <c r="S781" i="3"/>
  <c r="T794" i="3"/>
  <c r="T807" i="3"/>
  <c r="P816" i="3"/>
  <c r="K822" i="3"/>
  <c r="J827" i="3"/>
  <c r="V831" i="3"/>
  <c r="U836" i="3"/>
  <c r="T841" i="3"/>
  <c r="S846" i="3"/>
  <c r="R851" i="3"/>
  <c r="Q856" i="3"/>
  <c r="P861" i="3"/>
  <c r="O866" i="3"/>
  <c r="N871" i="3"/>
  <c r="M876" i="3"/>
  <c r="L881" i="3"/>
  <c r="K886" i="3"/>
  <c r="J891" i="3"/>
  <c r="V895" i="3"/>
  <c r="U900" i="3"/>
  <c r="T905" i="3"/>
  <c r="S910" i="3"/>
  <c r="R915" i="3"/>
  <c r="Q920" i="3"/>
  <c r="P925" i="3"/>
  <c r="O930" i="3"/>
  <c r="N935" i="3"/>
  <c r="M940" i="3"/>
  <c r="L945" i="3"/>
  <c r="N603" i="3"/>
  <c r="J669" i="3"/>
  <c r="R689" i="3"/>
  <c r="N709" i="3"/>
  <c r="J729" i="3"/>
  <c r="R745" i="3"/>
  <c r="V758" i="3"/>
  <c r="J772" i="3"/>
  <c r="J785" i="3"/>
  <c r="N798" i="3"/>
  <c r="Q810" i="3"/>
  <c r="N818" i="3"/>
  <c r="O823" i="3"/>
  <c r="N828" i="3"/>
  <c r="M833" i="3"/>
  <c r="L838" i="3"/>
  <c r="K843" i="3"/>
  <c r="J848" i="3"/>
  <c r="V852" i="3"/>
  <c r="U857" i="3"/>
  <c r="T862" i="3"/>
  <c r="S867" i="3"/>
  <c r="R872" i="3"/>
  <c r="Q877" i="3"/>
  <c r="P882" i="3"/>
  <c r="O887" i="3"/>
  <c r="Y887" i="3" s="1"/>
  <c r="N892" i="3"/>
  <c r="M897" i="3"/>
  <c r="L902" i="3"/>
  <c r="K907" i="3"/>
  <c r="J912" i="3"/>
  <c r="V916" i="3"/>
  <c r="U921" i="3"/>
  <c r="T926" i="3"/>
  <c r="S931" i="3"/>
  <c r="R936" i="3"/>
  <c r="Q941" i="3"/>
  <c r="P946" i="3"/>
  <c r="O951" i="3"/>
  <c r="N956" i="3"/>
  <c r="M961" i="3"/>
  <c r="U520" i="3"/>
  <c r="Q648" i="3"/>
  <c r="L680" i="3"/>
  <c r="U699" i="3"/>
  <c r="Q719" i="3"/>
  <c r="M739" i="3"/>
  <c r="O752" i="3"/>
  <c r="Y752" i="3" s="1"/>
  <c r="S765" i="3"/>
  <c r="T778" i="3"/>
  <c r="T791" i="3"/>
  <c r="K805" i="3"/>
  <c r="U814" i="3"/>
  <c r="J821" i="3"/>
  <c r="V825" i="3"/>
  <c r="U830" i="3"/>
  <c r="T835" i="3"/>
  <c r="S840" i="3"/>
  <c r="R845" i="3"/>
  <c r="Q850" i="3"/>
  <c r="P855" i="3"/>
  <c r="O860" i="3"/>
  <c r="N865" i="3"/>
  <c r="M870" i="3"/>
  <c r="L875" i="3"/>
  <c r="K880" i="3"/>
  <c r="J885" i="3"/>
  <c r="V889" i="3"/>
  <c r="U894" i="3"/>
  <c r="T899" i="3"/>
  <c r="V606" i="3"/>
  <c r="T669" i="3"/>
  <c r="M690" i="3"/>
  <c r="V709" i="3"/>
  <c r="R729" i="3"/>
  <c r="L746" i="3"/>
  <c r="L759" i="3"/>
  <c r="P772" i="3"/>
  <c r="Q785" i="3"/>
  <c r="Q798" i="3"/>
  <c r="V499" i="3"/>
  <c r="L642" i="3"/>
  <c r="Q678" i="3"/>
  <c r="M698" i="3"/>
  <c r="V717" i="3"/>
  <c r="R737" i="3"/>
  <c r="Q751" i="3"/>
  <c r="R764" i="3"/>
  <c r="R777" i="3"/>
  <c r="V790" i="3"/>
  <c r="J804" i="3"/>
  <c r="M814" i="3"/>
  <c r="R820" i="3"/>
  <c r="Q825" i="3"/>
  <c r="P830" i="3"/>
  <c r="O835" i="3"/>
  <c r="Y835" i="3" s="1"/>
  <c r="N840" i="3"/>
  <c r="M845" i="3"/>
  <c r="L850" i="3"/>
  <c r="K855" i="3"/>
  <c r="J860" i="3"/>
  <c r="V864" i="3"/>
  <c r="U869" i="3"/>
  <c r="T874" i="3"/>
  <c r="S879" i="3"/>
  <c r="R884" i="3"/>
  <c r="Q889" i="3"/>
  <c r="P894" i="3"/>
  <c r="O899" i="3"/>
  <c r="N904" i="3"/>
  <c r="M909" i="3"/>
  <c r="L914" i="3"/>
  <c r="K919" i="3"/>
  <c r="J924" i="3"/>
  <c r="V928" i="3"/>
  <c r="U933" i="3"/>
  <c r="T938" i="3"/>
  <c r="S943" i="3"/>
  <c r="R948" i="3"/>
  <c r="Q953" i="3"/>
  <c r="P958" i="3"/>
  <c r="O963" i="3"/>
  <c r="Y963" i="3" s="1"/>
  <c r="V433" i="3"/>
  <c r="O633" i="3"/>
  <c r="P676" i="3"/>
  <c r="L696" i="3"/>
  <c r="U715" i="3"/>
  <c r="Q735" i="3"/>
  <c r="V749" i="3"/>
  <c r="M763" i="3"/>
  <c r="N776" i="3"/>
  <c r="N789" i="3"/>
  <c r="R802" i="3"/>
  <c r="N813" i="3"/>
  <c r="K820" i="3"/>
  <c r="J825" i="3"/>
  <c r="V829" i="3"/>
  <c r="U834" i="3"/>
  <c r="T839" i="3"/>
  <c r="S844" i="3"/>
  <c r="R849" i="3"/>
  <c r="Q854" i="3"/>
  <c r="P859" i="3"/>
  <c r="O864" i="3"/>
  <c r="Y864" i="3" s="1"/>
  <c r="N869" i="3"/>
  <c r="M874" i="3"/>
  <c r="L879" i="3"/>
  <c r="K884" i="3"/>
  <c r="J889" i="3"/>
  <c r="V893" i="3"/>
  <c r="U898" i="3"/>
  <c r="V369" i="3"/>
  <c r="P547" i="3"/>
  <c r="O656" i="3"/>
  <c r="Y656" i="3" s="1"/>
  <c r="O525" i="3"/>
  <c r="Y525" i="3" s="1"/>
  <c r="L604" i="3"/>
  <c r="P478" i="3"/>
  <c r="J571" i="3"/>
  <c r="T531" i="3"/>
  <c r="Q610" i="3"/>
  <c r="T497" i="3"/>
  <c r="M661" i="3"/>
  <c r="V635" i="3"/>
  <c r="R602" i="3"/>
  <c r="R530" i="3"/>
  <c r="V510" i="3"/>
  <c r="P630" i="3"/>
  <c r="S514" i="3"/>
  <c r="J544" i="3"/>
  <c r="N682" i="3"/>
  <c r="U711" i="3"/>
  <c r="Q739" i="3"/>
  <c r="L764" i="3"/>
  <c r="T788" i="3"/>
  <c r="P808" i="3"/>
  <c r="V607" i="3"/>
  <c r="V669" i="3"/>
  <c r="N687" i="3"/>
  <c r="S702" i="3"/>
  <c r="S718" i="3"/>
  <c r="K734" i="3"/>
  <c r="P749" i="3"/>
  <c r="N759" i="3"/>
  <c r="L769" i="3"/>
  <c r="J779" i="3"/>
  <c r="U788" i="3"/>
  <c r="S798" i="3"/>
  <c r="Q808" i="3"/>
  <c r="U390" i="3"/>
  <c r="L577" i="3"/>
  <c r="T629" i="3"/>
  <c r="T662" i="3"/>
  <c r="R675" i="3"/>
  <c r="Q685" i="3"/>
  <c r="O695" i="3"/>
  <c r="Y695" i="3" s="1"/>
  <c r="M705" i="3"/>
  <c r="K715" i="3"/>
  <c r="V724" i="3"/>
  <c r="T734" i="3"/>
  <c r="R744" i="3"/>
  <c r="P754" i="3"/>
  <c r="U761" i="3"/>
  <c r="M769" i="3"/>
  <c r="T774" i="3"/>
  <c r="N780" i="3"/>
  <c r="U785" i="3"/>
  <c r="O791" i="3"/>
  <c r="Q797" i="3"/>
  <c r="K803" i="3"/>
  <c r="R808" i="3"/>
  <c r="L814" i="3"/>
  <c r="R352" i="3"/>
  <c r="O526" i="3"/>
  <c r="O582" i="3"/>
  <c r="V616" i="3"/>
  <c r="R640" i="3"/>
  <c r="N658" i="3"/>
  <c r="R668" i="3"/>
  <c r="J675" i="3"/>
  <c r="S680" i="3"/>
  <c r="M686" i="3"/>
  <c r="O692" i="3"/>
  <c r="V697" i="3"/>
  <c r="P703" i="3"/>
  <c r="J709" i="3"/>
  <c r="Q714" i="3"/>
  <c r="K720" i="3"/>
  <c r="R725" i="3"/>
  <c r="Q730" i="3"/>
  <c r="P735" i="3"/>
  <c r="O740" i="3"/>
  <c r="N745" i="3"/>
  <c r="M750" i="3"/>
  <c r="L755" i="3"/>
  <c r="K760" i="3"/>
  <c r="J765" i="3"/>
  <c r="V769" i="3"/>
  <c r="U774" i="3"/>
  <c r="T779" i="3"/>
  <c r="S784" i="3"/>
  <c r="R789" i="3"/>
  <c r="Q794" i="3"/>
  <c r="P799" i="3"/>
  <c r="O804" i="3"/>
  <c r="L403" i="3"/>
  <c r="L528" i="3"/>
  <c r="S578" i="3"/>
  <c r="O609" i="3"/>
  <c r="Y609" i="3" s="1"/>
  <c r="T630" i="3"/>
  <c r="O650" i="3"/>
  <c r="N663" i="3"/>
  <c r="M670" i="3"/>
  <c r="V675" i="3"/>
  <c r="U680" i="3"/>
  <c r="T685" i="3"/>
  <c r="S690" i="3"/>
  <c r="R695" i="3"/>
  <c r="Q700" i="3"/>
  <c r="P705" i="3"/>
  <c r="O710" i="3"/>
  <c r="N715" i="3"/>
  <c r="M720" i="3"/>
  <c r="L725" i="3"/>
  <c r="K730" i="3"/>
  <c r="J735" i="3"/>
  <c r="V739" i="3"/>
  <c r="U744" i="3"/>
  <c r="T749" i="3"/>
  <c r="S754" i="3"/>
  <c r="R759" i="3"/>
  <c r="Q764" i="3"/>
  <c r="P769" i="3"/>
  <c r="O774" i="3"/>
  <c r="Y774" i="3" s="1"/>
  <c r="N779" i="3"/>
  <c r="M784" i="3"/>
  <c r="L789" i="3"/>
  <c r="K794" i="3"/>
  <c r="J799" i="3"/>
  <c r="V803" i="3"/>
  <c r="U808" i="3"/>
  <c r="T813" i="3"/>
  <c r="S818" i="3"/>
  <c r="P508" i="3"/>
  <c r="J562" i="3"/>
  <c r="R599" i="3"/>
  <c r="Q623" i="3"/>
  <c r="P644" i="3"/>
  <c r="S658" i="3"/>
  <c r="L668" i="3"/>
  <c r="U673" i="3"/>
  <c r="K679" i="3"/>
  <c r="J684" i="3"/>
  <c r="V688" i="3"/>
  <c r="U693" i="3"/>
  <c r="T698" i="3"/>
  <c r="S703" i="3"/>
  <c r="R708" i="3"/>
  <c r="Q713" i="3"/>
  <c r="P718" i="3"/>
  <c r="O723" i="3"/>
  <c r="N728" i="3"/>
  <c r="M733" i="3"/>
  <c r="L738" i="3"/>
  <c r="M588" i="3"/>
  <c r="P665" i="3"/>
  <c r="V686" i="3"/>
  <c r="R706" i="3"/>
  <c r="N726" i="3"/>
  <c r="T743" i="3"/>
  <c r="K757" i="3"/>
  <c r="L770" i="3"/>
  <c r="L783" i="3"/>
  <c r="P796" i="3"/>
  <c r="J809" i="3"/>
  <c r="O817" i="3"/>
  <c r="Y817" i="3" s="1"/>
  <c r="S822" i="3"/>
  <c r="R827" i="3"/>
  <c r="Q832" i="3"/>
  <c r="P837" i="3"/>
  <c r="O842" i="3"/>
  <c r="Y842" i="3" s="1"/>
  <c r="N847" i="3"/>
  <c r="M852" i="3"/>
  <c r="L857" i="3"/>
  <c r="K862" i="3"/>
  <c r="J867" i="3"/>
  <c r="V871" i="3"/>
  <c r="U876" i="3"/>
  <c r="T881" i="3"/>
  <c r="S886" i="3"/>
  <c r="R891" i="3"/>
  <c r="Q896" i="3"/>
  <c r="P901" i="3"/>
  <c r="O906" i="3"/>
  <c r="N911" i="3"/>
  <c r="M916" i="3"/>
  <c r="L921" i="3"/>
  <c r="K926" i="3"/>
  <c r="J931" i="3"/>
  <c r="V935" i="3"/>
  <c r="U940" i="3"/>
  <c r="T945" i="3"/>
  <c r="V615" i="3"/>
  <c r="U671" i="3"/>
  <c r="K692" i="3"/>
  <c r="T711" i="3"/>
  <c r="P731" i="3"/>
  <c r="O747" i="3"/>
  <c r="O760" i="3"/>
  <c r="S773" i="3"/>
  <c r="T786" i="3"/>
  <c r="T799" i="3"/>
  <c r="T811" i="3"/>
  <c r="K819" i="3"/>
  <c r="J824" i="3"/>
  <c r="V828" i="3"/>
  <c r="U833" i="3"/>
  <c r="T838" i="3"/>
  <c r="S843" i="3"/>
  <c r="R848" i="3"/>
  <c r="Q853" i="3"/>
  <c r="P858" i="3"/>
  <c r="O863" i="3"/>
  <c r="Y863" i="3" s="1"/>
  <c r="N868" i="3"/>
  <c r="M873" i="3"/>
  <c r="L878" i="3"/>
  <c r="K883" i="3"/>
  <c r="J888" i="3"/>
  <c r="V892" i="3"/>
  <c r="U897" i="3"/>
  <c r="T902" i="3"/>
  <c r="S907" i="3"/>
  <c r="R912" i="3"/>
  <c r="Q917" i="3"/>
  <c r="P922" i="3"/>
  <c r="O927" i="3"/>
  <c r="N932" i="3"/>
  <c r="M937" i="3"/>
  <c r="L942" i="3"/>
  <c r="K947" i="3"/>
  <c r="J952" i="3"/>
  <c r="V956" i="3"/>
  <c r="U961" i="3"/>
  <c r="M547" i="3"/>
  <c r="K655" i="3"/>
  <c r="R682" i="3"/>
  <c r="N702" i="3"/>
  <c r="J722" i="3"/>
  <c r="K741" i="3"/>
  <c r="L754" i="3"/>
  <c r="L767" i="3"/>
  <c r="P780" i="3"/>
  <c r="Q793" i="3"/>
  <c r="Q806" i="3"/>
  <c r="T815" i="3"/>
  <c r="R821" i="3"/>
  <c r="Q826" i="3"/>
  <c r="P831" i="3"/>
  <c r="O836" i="3"/>
  <c r="N841" i="3"/>
  <c r="M846" i="3"/>
  <c r="L851" i="3"/>
  <c r="K856" i="3"/>
  <c r="J861" i="3"/>
  <c r="V865" i="3"/>
  <c r="U870" i="3"/>
  <c r="T875" i="3"/>
  <c r="S880" i="3"/>
  <c r="R885" i="3"/>
  <c r="Q890" i="3"/>
  <c r="P895" i="3"/>
  <c r="O900" i="3"/>
  <c r="R618" i="3"/>
  <c r="Q672" i="3"/>
  <c r="S692" i="3"/>
  <c r="O712" i="3"/>
  <c r="K732" i="3"/>
  <c r="U747" i="3"/>
  <c r="V760" i="3"/>
  <c r="V773" i="3"/>
  <c r="M787" i="3"/>
  <c r="N800" i="3"/>
  <c r="U529" i="3"/>
  <c r="V650" i="3"/>
  <c r="J681" i="3"/>
  <c r="S700" i="3"/>
  <c r="O720" i="3"/>
  <c r="Y720" i="3" s="1"/>
  <c r="J740" i="3"/>
  <c r="J753" i="3"/>
  <c r="N766" i="3"/>
  <c r="O779" i="3"/>
  <c r="O792" i="3"/>
  <c r="S805" i="3"/>
  <c r="L815" i="3"/>
  <c r="M821" i="3"/>
  <c r="L826" i="3"/>
  <c r="K831" i="3"/>
  <c r="J836" i="3"/>
  <c r="V840" i="3"/>
  <c r="U845" i="3"/>
  <c r="T850" i="3"/>
  <c r="S855" i="3"/>
  <c r="R860" i="3"/>
  <c r="Q865" i="3"/>
  <c r="P870" i="3"/>
  <c r="O875" i="3"/>
  <c r="N880" i="3"/>
  <c r="M885" i="3"/>
  <c r="L890" i="3"/>
  <c r="K895" i="3"/>
  <c r="J900" i="3"/>
  <c r="V904" i="3"/>
  <c r="U909" i="3"/>
  <c r="T914" i="3"/>
  <c r="S919" i="3"/>
  <c r="R924" i="3"/>
  <c r="Q929" i="3"/>
  <c r="P934" i="3"/>
  <c r="O939" i="3"/>
  <c r="Y939" i="3" s="1"/>
  <c r="N944" i="3"/>
  <c r="M949" i="3"/>
  <c r="L954" i="3"/>
  <c r="K959" i="3"/>
  <c r="J964" i="3"/>
  <c r="L506" i="3"/>
  <c r="R643" i="3"/>
  <c r="V678" i="3"/>
  <c r="R698" i="3"/>
  <c r="N718" i="3"/>
  <c r="J738" i="3"/>
  <c r="S751" i="3"/>
  <c r="S764" i="3"/>
  <c r="J778" i="3"/>
  <c r="K791" i="3"/>
  <c r="K804" i="3"/>
  <c r="N814" i="3"/>
  <c r="S820" i="3"/>
  <c r="R825" i="3"/>
  <c r="Q830" i="3"/>
  <c r="P835" i="3"/>
  <c r="O840" i="3"/>
  <c r="Y840" i="3" s="1"/>
  <c r="N845" i="3"/>
  <c r="M850" i="3"/>
  <c r="L855" i="3"/>
  <c r="K860" i="3"/>
  <c r="J865" i="3"/>
  <c r="V869" i="3"/>
  <c r="U874" i="3"/>
  <c r="T879" i="3"/>
  <c r="S884" i="3"/>
  <c r="R889" i="3"/>
  <c r="Q894" i="3"/>
  <c r="P899" i="3"/>
  <c r="S485" i="3"/>
  <c r="O576" i="3"/>
  <c r="T332" i="3"/>
  <c r="M543" i="3"/>
  <c r="J622" i="3"/>
  <c r="L509" i="3"/>
  <c r="N377" i="3"/>
  <c r="R549" i="3"/>
  <c r="O628" i="3"/>
  <c r="S549" i="3"/>
  <c r="J498" i="3"/>
  <c r="O661" i="3"/>
  <c r="Y661" i="3" s="1"/>
  <c r="L633" i="3"/>
  <c r="U576" i="3"/>
  <c r="U545" i="3"/>
  <c r="P649" i="3"/>
  <c r="L536" i="3"/>
  <c r="J607" i="3"/>
  <c r="N690" i="3"/>
  <c r="V714" i="3"/>
  <c r="O741" i="3"/>
  <c r="Y741" i="3" s="1"/>
  <c r="K769" i="3"/>
  <c r="R790" i="3"/>
  <c r="N810" i="3"/>
  <c r="R616" i="3"/>
  <c r="J672" i="3"/>
  <c r="V687" i="3"/>
  <c r="V703" i="3"/>
  <c r="N719" i="3"/>
  <c r="S734" i="3"/>
  <c r="K750" i="3"/>
  <c r="V759" i="3"/>
  <c r="T769" i="3"/>
  <c r="R779" i="3"/>
  <c r="P789" i="3"/>
  <c r="N799" i="3"/>
  <c r="L809" i="3"/>
  <c r="S425" i="3"/>
  <c r="K582" i="3"/>
  <c r="R632" i="3"/>
  <c r="L664" i="3"/>
  <c r="N676" i="3"/>
  <c r="L686" i="3"/>
  <c r="J696" i="3"/>
  <c r="U705" i="3"/>
  <c r="S715" i="3"/>
  <c r="Q725" i="3"/>
  <c r="O735" i="3"/>
  <c r="M745" i="3"/>
  <c r="K755" i="3"/>
  <c r="K763" i="3"/>
  <c r="U769" i="3"/>
  <c r="O775" i="3"/>
  <c r="Y775" i="3" s="1"/>
  <c r="V780" i="3"/>
  <c r="P786" i="3"/>
  <c r="R792" i="3"/>
  <c r="L798" i="3"/>
  <c r="S803" i="3"/>
  <c r="M809" i="3"/>
  <c r="T814" i="3"/>
  <c r="S393" i="3"/>
  <c r="K533" i="3"/>
  <c r="L592" i="3"/>
  <c r="U619" i="3"/>
  <c r="O643" i="3"/>
  <c r="V659" i="3"/>
  <c r="O669" i="3"/>
  <c r="S675" i="3"/>
  <c r="N681" i="3"/>
  <c r="P687" i="3"/>
  <c r="J693" i="3"/>
  <c r="Q698" i="3"/>
  <c r="K704" i="3"/>
  <c r="R709" i="3"/>
  <c r="L715" i="3"/>
  <c r="S720" i="3"/>
  <c r="M726" i="3"/>
  <c r="L731" i="3"/>
  <c r="K736" i="3"/>
  <c r="J741" i="3"/>
  <c r="V745" i="3"/>
  <c r="U750" i="3"/>
  <c r="T755" i="3"/>
  <c r="S760" i="3"/>
  <c r="R765" i="3"/>
  <c r="Q770" i="3"/>
  <c r="P775" i="3"/>
  <c r="O780" i="3"/>
  <c r="N785" i="3"/>
  <c r="M790" i="3"/>
  <c r="L795" i="3"/>
  <c r="K800" i="3"/>
  <c r="J805" i="3"/>
  <c r="T436" i="3"/>
  <c r="T534" i="3"/>
  <c r="R583" i="3"/>
  <c r="R612" i="3"/>
  <c r="Q633" i="3"/>
  <c r="J652" i="3"/>
  <c r="Q664" i="3"/>
  <c r="J671" i="3"/>
  <c r="Q676" i="3"/>
  <c r="P681" i="3"/>
  <c r="O686" i="3"/>
  <c r="N691" i="3"/>
  <c r="M696" i="3"/>
  <c r="L701" i="3"/>
  <c r="K706" i="3"/>
  <c r="J711" i="3"/>
  <c r="V715" i="3"/>
  <c r="U720" i="3"/>
  <c r="T725" i="3"/>
  <c r="S730" i="3"/>
  <c r="R735" i="3"/>
  <c r="Q740" i="3"/>
  <c r="P745" i="3"/>
  <c r="O750" i="3"/>
  <c r="Y750" i="3" s="1"/>
  <c r="N755" i="3"/>
  <c r="M760" i="3"/>
  <c r="L765" i="3"/>
  <c r="K770" i="3"/>
  <c r="J775" i="3"/>
  <c r="V779" i="3"/>
  <c r="U784" i="3"/>
  <c r="T789" i="3"/>
  <c r="S794" i="3"/>
  <c r="R799" i="3"/>
  <c r="Q804" i="3"/>
  <c r="P809" i="3"/>
  <c r="O814" i="3"/>
  <c r="S323" i="3"/>
  <c r="V515" i="3"/>
  <c r="R568" i="3"/>
  <c r="M603" i="3"/>
  <c r="U625" i="3"/>
  <c r="V646" i="3"/>
  <c r="N660" i="3"/>
  <c r="V668" i="3"/>
  <c r="Q674" i="3"/>
  <c r="S679" i="3"/>
  <c r="R684" i="3"/>
  <c r="Q689" i="3"/>
  <c r="P694" i="3"/>
  <c r="O699" i="3"/>
  <c r="N704" i="3"/>
  <c r="M709" i="3"/>
  <c r="L714" i="3"/>
  <c r="K719" i="3"/>
  <c r="J724" i="3"/>
  <c r="V728" i="3"/>
  <c r="U733" i="3"/>
  <c r="T738" i="3"/>
  <c r="K602" i="3"/>
  <c r="T668" i="3"/>
  <c r="O689" i="3"/>
  <c r="K709" i="3"/>
  <c r="T728" i="3"/>
  <c r="Q745" i="3"/>
  <c r="Q758" i="3"/>
  <c r="U771" i="3"/>
  <c r="V784" i="3"/>
  <c r="V797" i="3"/>
  <c r="M810" i="3"/>
  <c r="M818" i="3"/>
  <c r="N823" i="3"/>
  <c r="M828" i="3"/>
  <c r="L833" i="3"/>
  <c r="K838" i="3"/>
  <c r="J843" i="3"/>
  <c r="V847" i="3"/>
  <c r="U852" i="3"/>
  <c r="T857" i="3"/>
  <c r="S862" i="3"/>
  <c r="R867" i="3"/>
  <c r="Q872" i="3"/>
  <c r="P877" i="3"/>
  <c r="O882" i="3"/>
  <c r="N887" i="3"/>
  <c r="M892" i="3"/>
  <c r="L897" i="3"/>
  <c r="K902" i="3"/>
  <c r="J907" i="3"/>
  <c r="V911" i="3"/>
  <c r="U916" i="3"/>
  <c r="T921" i="3"/>
  <c r="S926" i="3"/>
  <c r="R931" i="3"/>
  <c r="Q936" i="3"/>
  <c r="P941" i="3"/>
  <c r="V330" i="3"/>
  <c r="P626" i="3"/>
  <c r="S674" i="3"/>
  <c r="Q694" i="3"/>
  <c r="M714" i="3"/>
  <c r="V733" i="3"/>
  <c r="K749" i="3"/>
  <c r="L762" i="3"/>
  <c r="L775" i="3"/>
  <c r="P788" i="3"/>
  <c r="Q801" i="3"/>
  <c r="S812" i="3"/>
  <c r="S819" i="3"/>
  <c r="R824" i="3"/>
  <c r="Q829" i="3"/>
  <c r="P834" i="3"/>
  <c r="O839" i="3"/>
  <c r="N844" i="3"/>
  <c r="M849" i="3"/>
  <c r="L854" i="3"/>
  <c r="K859" i="3"/>
  <c r="J864" i="3"/>
  <c r="V868" i="3"/>
  <c r="U873" i="3"/>
  <c r="T878" i="3"/>
  <c r="S883" i="3"/>
  <c r="R888" i="3"/>
  <c r="Q893" i="3"/>
  <c r="P898" i="3"/>
  <c r="O903" i="3"/>
  <c r="N908" i="3"/>
  <c r="M913" i="3"/>
  <c r="L918" i="3"/>
  <c r="K923" i="3"/>
  <c r="J928" i="3"/>
  <c r="V932" i="3"/>
  <c r="U937" i="3"/>
  <c r="T942" i="3"/>
  <c r="S947" i="3"/>
  <c r="R952" i="3"/>
  <c r="Q957" i="3"/>
  <c r="P962" i="3"/>
  <c r="P573" i="3"/>
  <c r="S661" i="3"/>
  <c r="K685" i="3"/>
  <c r="T704" i="3"/>
  <c r="P724" i="3"/>
  <c r="Q742" i="3"/>
  <c r="U755" i="3"/>
  <c r="V768" i="3"/>
  <c r="V781" i="3"/>
  <c r="M795" i="3"/>
  <c r="L808" i="3"/>
  <c r="T816" i="3"/>
  <c r="M822" i="3"/>
  <c r="L827" i="3"/>
  <c r="K832" i="3"/>
  <c r="J837" i="3"/>
  <c r="V841" i="3"/>
  <c r="U846" i="3"/>
  <c r="T851" i="3"/>
  <c r="S856" i="3"/>
  <c r="R861" i="3"/>
  <c r="Q866" i="3"/>
  <c r="P871" i="3"/>
  <c r="O876" i="3"/>
  <c r="Y876" i="3" s="1"/>
  <c r="N881" i="3"/>
  <c r="M886" i="3"/>
  <c r="L891" i="3"/>
  <c r="K896" i="3"/>
  <c r="P376" i="3"/>
  <c r="U628" i="3"/>
  <c r="O675" i="3"/>
  <c r="Y675" i="3" s="1"/>
  <c r="L695" i="3"/>
  <c r="U714" i="3"/>
  <c r="Q734" i="3"/>
  <c r="N749" i="3"/>
  <c r="R762" i="3"/>
  <c r="S775" i="3"/>
  <c r="S788" i="3"/>
  <c r="J802" i="3"/>
  <c r="V555" i="3"/>
  <c r="P657" i="3"/>
  <c r="P683" i="3"/>
  <c r="L703" i="3"/>
  <c r="U722" i="3"/>
  <c r="S741" i="3"/>
  <c r="T754" i="3"/>
  <c r="T767" i="3"/>
  <c r="K781" i="3"/>
  <c r="L794" i="3"/>
  <c r="L807" i="3"/>
  <c r="L816" i="3"/>
  <c r="U821" i="3"/>
  <c r="T826" i="3"/>
  <c r="S831" i="3"/>
  <c r="R836" i="3"/>
  <c r="Q841" i="3"/>
  <c r="P846" i="3"/>
  <c r="O851" i="3"/>
  <c r="N856" i="3"/>
  <c r="M861" i="3"/>
  <c r="L866" i="3"/>
  <c r="K871" i="3"/>
  <c r="J876" i="3"/>
  <c r="V880" i="3"/>
  <c r="U885" i="3"/>
  <c r="T890" i="3"/>
  <c r="S895" i="3"/>
  <c r="R900" i="3"/>
  <c r="Q905" i="3"/>
  <c r="P910" i="3"/>
  <c r="O915" i="3"/>
  <c r="Y915" i="3" s="1"/>
  <c r="N920" i="3"/>
  <c r="M925" i="3"/>
  <c r="L930" i="3"/>
  <c r="K935" i="3"/>
  <c r="J940" i="3"/>
  <c r="V944" i="3"/>
  <c r="U949" i="3"/>
  <c r="T954" i="3"/>
  <c r="S959" i="3"/>
  <c r="R964" i="3"/>
  <c r="L534" i="3"/>
  <c r="U651" i="3"/>
  <c r="O681" i="3"/>
  <c r="K701" i="3"/>
  <c r="T720" i="3"/>
  <c r="K740" i="3"/>
  <c r="O753" i="3"/>
  <c r="Y753" i="3" s="1"/>
  <c r="P766" i="3"/>
  <c r="P779" i="3"/>
  <c r="T792" i="3"/>
  <c r="U805" i="3"/>
  <c r="M815" i="3"/>
  <c r="N821" i="3"/>
  <c r="M826" i="3"/>
  <c r="L831" i="3"/>
  <c r="K836" i="3"/>
  <c r="J841" i="3"/>
  <c r="V845" i="3"/>
  <c r="U850" i="3"/>
  <c r="T855" i="3"/>
  <c r="S860" i="3"/>
  <c r="R865" i="3"/>
  <c r="Q870" i="3"/>
  <c r="P875" i="3"/>
  <c r="O880" i="3"/>
  <c r="N885" i="3"/>
  <c r="M890" i="3"/>
  <c r="L895" i="3"/>
  <c r="K900" i="3"/>
  <c r="J905" i="3"/>
  <c r="Q505" i="3"/>
  <c r="K580" i="3"/>
  <c r="U345" i="3"/>
  <c r="K545" i="3"/>
  <c r="U623" i="3"/>
  <c r="Q511" i="3"/>
  <c r="L387" i="3"/>
  <c r="P551" i="3"/>
  <c r="M630" i="3"/>
  <c r="R554" i="3"/>
  <c r="O505" i="3"/>
  <c r="U663" i="3"/>
  <c r="J636" i="3"/>
  <c r="Q580" i="3"/>
  <c r="T550" i="3"/>
  <c r="N650" i="3"/>
  <c r="K541" i="3"/>
  <c r="J616" i="3"/>
  <c r="L692" i="3"/>
  <c r="U719" i="3"/>
  <c r="P744" i="3"/>
  <c r="V770" i="3"/>
  <c r="P792" i="3"/>
  <c r="P223" i="3"/>
  <c r="Q624" i="3"/>
  <c r="S672" i="3"/>
  <c r="L689" i="3"/>
  <c r="Q704" i="3"/>
  <c r="V719" i="3"/>
  <c r="Q736" i="3"/>
  <c r="S750" i="3"/>
  <c r="Q760" i="3"/>
  <c r="O770" i="3"/>
  <c r="Y770" i="3" s="1"/>
  <c r="M780" i="3"/>
  <c r="K790" i="3"/>
  <c r="V799" i="3"/>
  <c r="T809" i="3"/>
  <c r="S457" i="3"/>
  <c r="J587" i="3"/>
  <c r="N635" i="3"/>
  <c r="M665" i="3"/>
  <c r="V676" i="3"/>
  <c r="T686" i="3"/>
  <c r="R696" i="3"/>
  <c r="P706" i="3"/>
  <c r="N716" i="3"/>
  <c r="L726" i="3"/>
  <c r="J736" i="3"/>
  <c r="U745" i="3"/>
  <c r="S755" i="3"/>
  <c r="N764" i="3"/>
  <c r="P770" i="3"/>
  <c r="J776" i="3"/>
  <c r="Q781" i="3"/>
  <c r="S787" i="3"/>
  <c r="M793" i="3"/>
  <c r="T798" i="3"/>
  <c r="N804" i="3"/>
  <c r="U809" i="3"/>
  <c r="O815" i="3"/>
  <c r="N429" i="3"/>
  <c r="K546" i="3"/>
  <c r="R595" i="3"/>
  <c r="P622" i="3"/>
  <c r="K646" i="3"/>
  <c r="Q661" i="3"/>
  <c r="K670" i="3"/>
  <c r="O676" i="3"/>
  <c r="Q682" i="3"/>
  <c r="K688" i="3"/>
  <c r="R693" i="3"/>
  <c r="L699" i="3"/>
  <c r="S704" i="3"/>
  <c r="M710" i="3"/>
  <c r="T715" i="3"/>
  <c r="V721" i="3"/>
  <c r="U726" i="3"/>
  <c r="T731" i="3"/>
  <c r="S736" i="3"/>
  <c r="R741" i="3"/>
  <c r="Q746" i="3"/>
  <c r="P751" i="3"/>
  <c r="O756" i="3"/>
  <c r="N761" i="3"/>
  <c r="M766" i="3"/>
  <c r="L771" i="3"/>
  <c r="K776" i="3"/>
  <c r="J781" i="3"/>
  <c r="V785" i="3"/>
  <c r="U790" i="3"/>
  <c r="T795" i="3"/>
  <c r="S800" i="3"/>
  <c r="R805" i="3"/>
  <c r="S467" i="3"/>
  <c r="L541" i="3"/>
  <c r="Q588" i="3"/>
  <c r="J615" i="3"/>
  <c r="N636" i="3"/>
  <c r="S653" i="3"/>
  <c r="Q665" i="3"/>
  <c r="S671" i="3"/>
  <c r="L677" i="3"/>
  <c r="K682" i="3"/>
  <c r="J687" i="3"/>
  <c r="V691" i="3"/>
  <c r="U696" i="3"/>
  <c r="T701" i="3"/>
  <c r="S706" i="3"/>
  <c r="R711" i="3"/>
  <c r="Q716" i="3"/>
  <c r="P721" i="3"/>
  <c r="O726" i="3"/>
  <c r="Y726" i="3" s="1"/>
  <c r="N731" i="3"/>
  <c r="M736" i="3"/>
  <c r="L741" i="3"/>
  <c r="K746" i="3"/>
  <c r="J751" i="3"/>
  <c r="V755" i="3"/>
  <c r="U760" i="3"/>
  <c r="T765" i="3"/>
  <c r="S770" i="3"/>
  <c r="R775" i="3"/>
  <c r="N576" i="3"/>
  <c r="O608" i="3"/>
  <c r="U447" i="3"/>
  <c r="V562" i="3"/>
  <c r="S641" i="3"/>
  <c r="T529" i="3"/>
  <c r="V473" i="3"/>
  <c r="N569" i="3"/>
  <c r="K648" i="3"/>
  <c r="J595" i="3"/>
  <c r="S554" i="3"/>
  <c r="K498" i="3"/>
  <c r="P661" i="3"/>
  <c r="Q615" i="3"/>
  <c r="V580" i="3"/>
  <c r="V584" i="3"/>
  <c r="V649" i="3"/>
  <c r="K668" i="3"/>
  <c r="T724" i="3"/>
  <c r="V524" i="3"/>
  <c r="K710" i="3"/>
  <c r="M764" i="3"/>
  <c r="R803" i="3"/>
  <c r="S649" i="3"/>
  <c r="N700" i="3"/>
  <c r="S739" i="3"/>
  <c r="S771" i="3"/>
  <c r="P794" i="3"/>
  <c r="M817" i="3"/>
  <c r="S627" i="3"/>
  <c r="M678" i="3"/>
  <c r="O700" i="3"/>
  <c r="L723" i="3"/>
  <c r="U742" i="3"/>
  <c r="Q762" i="3"/>
  <c r="M782" i="3"/>
  <c r="V801" i="3"/>
  <c r="V595" i="3"/>
  <c r="L667" i="3"/>
  <c r="M688" i="3"/>
  <c r="V707" i="3"/>
  <c r="R727" i="3"/>
  <c r="N747" i="3"/>
  <c r="J767" i="3"/>
  <c r="P785" i="3"/>
  <c r="Q796" i="3"/>
  <c r="S810" i="3"/>
  <c r="R522" i="3"/>
  <c r="V612" i="3"/>
  <c r="Q663" i="3"/>
  <c r="N680" i="3"/>
  <c r="O691" i="3"/>
  <c r="Q705" i="3"/>
  <c r="S719" i="3"/>
  <c r="T730" i="3"/>
  <c r="P625" i="3"/>
  <c r="Q711" i="3"/>
  <c r="P750" i="3"/>
  <c r="K788" i="3"/>
  <c r="J819" i="3"/>
  <c r="K830" i="3"/>
  <c r="M844" i="3"/>
  <c r="O858" i="3"/>
  <c r="Y858" i="3" s="1"/>
  <c r="P869" i="3"/>
  <c r="R883" i="3"/>
  <c r="T897" i="3"/>
  <c r="U908" i="3"/>
  <c r="J923" i="3"/>
  <c r="L937" i="3"/>
  <c r="V542" i="3"/>
  <c r="P699" i="3"/>
  <c r="Q750" i="3"/>
  <c r="K780" i="3"/>
  <c r="R814" i="3"/>
  <c r="L830" i="3"/>
  <c r="M841" i="3"/>
  <c r="O855" i="3"/>
  <c r="Y855" i="3" s="1"/>
  <c r="Q869" i="3"/>
  <c r="R880" i="3"/>
  <c r="T894" i="3"/>
  <c r="V908" i="3"/>
  <c r="J920" i="3"/>
  <c r="L934" i="3"/>
  <c r="N948" i="3"/>
  <c r="O959" i="3"/>
  <c r="Y959" i="3" s="1"/>
  <c r="P669" i="3"/>
  <c r="V726" i="3"/>
  <c r="T760" i="3"/>
  <c r="P798" i="3"/>
  <c r="U822" i="3"/>
  <c r="V833" i="3"/>
  <c r="K848" i="3"/>
  <c r="M862" i="3"/>
  <c r="N873" i="3"/>
  <c r="P887" i="3"/>
  <c r="M489" i="3"/>
  <c r="U682" i="3"/>
  <c r="P739" i="3"/>
  <c r="O777" i="3"/>
  <c r="V806" i="3"/>
  <c r="O688" i="3"/>
  <c r="Y688" i="3" s="1"/>
  <c r="L743" i="3"/>
  <c r="S772" i="3"/>
  <c r="V809" i="3"/>
  <c r="O827" i="3"/>
  <c r="P838" i="3"/>
  <c r="R852" i="3"/>
  <c r="T866" i="3"/>
  <c r="U877" i="3"/>
  <c r="J892" i="3"/>
  <c r="L906" i="3"/>
  <c r="M917" i="3"/>
  <c r="O931" i="3"/>
  <c r="Q945" i="3"/>
  <c r="R956" i="3"/>
  <c r="N583" i="3"/>
  <c r="Q703" i="3"/>
  <c r="J745" i="3"/>
  <c r="V782" i="3"/>
  <c r="N816" i="3"/>
  <c r="K828" i="3"/>
  <c r="M842" i="3"/>
  <c r="O856" i="3"/>
  <c r="P867" i="3"/>
  <c r="V877" i="3"/>
  <c r="T887" i="3"/>
  <c r="R897" i="3"/>
  <c r="M906" i="3"/>
  <c r="L911" i="3"/>
  <c r="K916" i="3"/>
  <c r="J921" i="3"/>
  <c r="V925" i="3"/>
  <c r="U930" i="3"/>
  <c r="T935" i="3"/>
  <c r="S940" i="3"/>
  <c r="R945" i="3"/>
  <c r="Q950" i="3"/>
  <c r="P955" i="3"/>
  <c r="O960" i="3"/>
  <c r="N965" i="3"/>
  <c r="M970" i="3"/>
  <c r="O705" i="3"/>
  <c r="Y705" i="3" s="1"/>
  <c r="O769" i="3"/>
  <c r="Y769" i="3" s="1"/>
  <c r="P814" i="3"/>
  <c r="K829" i="3"/>
  <c r="K842" i="3"/>
  <c r="M855" i="3"/>
  <c r="P868" i="3"/>
  <c r="P881" i="3"/>
  <c r="R894" i="3"/>
  <c r="J906" i="3"/>
  <c r="U915" i="3"/>
  <c r="S925" i="3"/>
  <c r="Q935" i="3"/>
  <c r="O945" i="3"/>
  <c r="O953" i="3"/>
  <c r="Y953" i="3" s="1"/>
  <c r="N961" i="3"/>
  <c r="N968" i="3"/>
  <c r="Q973" i="3"/>
  <c r="P978" i="3"/>
  <c r="O983" i="3"/>
  <c r="N988" i="3"/>
  <c r="M993" i="3"/>
  <c r="L998" i="3"/>
  <c r="U998" i="3"/>
  <c r="K970" i="3"/>
  <c r="Q993" i="3"/>
  <c r="P992" i="3"/>
  <c r="U823" i="3"/>
  <c r="N899" i="3"/>
  <c r="N953" i="3"/>
  <c r="M988" i="3"/>
  <c r="S676" i="3"/>
  <c r="N750" i="3"/>
  <c r="T802" i="3"/>
  <c r="M824" i="3"/>
  <c r="O837" i="3"/>
  <c r="R850" i="3"/>
  <c r="R863" i="3"/>
  <c r="T876" i="3"/>
  <c r="J890" i="3"/>
  <c r="O902" i="3"/>
  <c r="Y902" i="3" s="1"/>
  <c r="M912" i="3"/>
  <c r="K922" i="3"/>
  <c r="V931" i="3"/>
  <c r="T941" i="3"/>
  <c r="R950" i="3"/>
  <c r="O958" i="3"/>
  <c r="Y958" i="3" s="1"/>
  <c r="K966" i="3"/>
  <c r="T971" i="3"/>
  <c r="S976" i="3"/>
  <c r="R981" i="3"/>
  <c r="Q986" i="3"/>
  <c r="P991" i="3"/>
  <c r="M998" i="3"/>
  <c r="L810" i="3"/>
  <c r="T852" i="3"/>
  <c r="S885" i="3"/>
  <c r="P916" i="3"/>
  <c r="J947" i="3"/>
  <c r="J972" i="3"/>
  <c r="N992" i="3"/>
  <c r="Q995" i="3"/>
  <c r="V818" i="3"/>
  <c r="O894" i="3"/>
  <c r="Y894" i="3" s="1"/>
  <c r="N950" i="3"/>
  <c r="S982" i="3"/>
  <c r="M641" i="3"/>
  <c r="O737" i="3"/>
  <c r="Q790" i="3"/>
  <c r="L821" i="3"/>
  <c r="N834" i="3"/>
  <c r="Q847" i="3"/>
  <c r="Q860" i="3"/>
  <c r="S873" i="3"/>
  <c r="V886" i="3"/>
  <c r="V899" i="3"/>
  <c r="J910" i="3"/>
  <c r="U919" i="3"/>
  <c r="S929" i="3"/>
  <c r="Q939" i="3"/>
  <c r="T948" i="3"/>
  <c r="Q956" i="3"/>
  <c r="P964" i="3"/>
  <c r="R970" i="3"/>
  <c r="Q975" i="3"/>
  <c r="P980" i="3"/>
  <c r="O985" i="3"/>
  <c r="Y985" i="3" s="1"/>
  <c r="N990" i="3"/>
  <c r="M995" i="3"/>
  <c r="L1000" i="3"/>
  <c r="K813" i="3"/>
  <c r="M851" i="3"/>
  <c r="M887" i="3"/>
  <c r="R922" i="3"/>
  <c r="V951" i="3"/>
  <c r="K975" i="3"/>
  <c r="O995" i="3"/>
  <c r="Y995" i="3" s="1"/>
  <c r="L996" i="3"/>
  <c r="R838" i="3"/>
  <c r="M902" i="3"/>
  <c r="N951" i="3"/>
  <c r="J979" i="3"/>
  <c r="Q600" i="3"/>
  <c r="O728" i="3"/>
  <c r="Y728" i="3" s="1"/>
  <c r="T784" i="3"/>
  <c r="U819" i="3"/>
  <c r="U832" i="3"/>
  <c r="J846" i="3"/>
  <c r="M859" i="3"/>
  <c r="M872" i="3"/>
  <c r="O885" i="3"/>
  <c r="R898" i="3"/>
  <c r="J909" i="3"/>
  <c r="U918" i="3"/>
  <c r="S928" i="3"/>
  <c r="Q938" i="3"/>
  <c r="U947" i="3"/>
  <c r="T955" i="3"/>
  <c r="R963" i="3"/>
  <c r="J970" i="3"/>
  <c r="J975" i="3"/>
  <c r="V979" i="3"/>
  <c r="U984" i="3"/>
  <c r="T989" i="3"/>
  <c r="S994" i="3"/>
  <c r="R999" i="3"/>
  <c r="U824" i="3"/>
  <c r="N882" i="3"/>
  <c r="N926" i="3"/>
  <c r="U956" i="3"/>
  <c r="M981" i="3"/>
  <c r="R982" i="3"/>
  <c r="M863" i="3"/>
  <c r="K962" i="3"/>
  <c r="T680" i="3"/>
  <c r="U955" i="3"/>
  <c r="O853" i="3"/>
  <c r="Y853" i="3" s="1"/>
  <c r="N929" i="3"/>
  <c r="L985" i="3"/>
  <c r="R681" i="3"/>
  <c r="Q753" i="3"/>
  <c r="V805" i="3"/>
  <c r="K825" i="3"/>
  <c r="N838" i="3"/>
  <c r="N851" i="3"/>
  <c r="P864" i="3"/>
  <c r="S877" i="3"/>
  <c r="S890" i="3"/>
  <c r="J903" i="3"/>
  <c r="U912" i="3"/>
  <c r="S922" i="3"/>
  <c r="Q932" i="3"/>
  <c r="O942" i="3"/>
  <c r="Y942" i="3" s="1"/>
  <c r="J951" i="3"/>
  <c r="V958" i="3"/>
  <c r="O966" i="3"/>
  <c r="K972" i="3"/>
  <c r="J977" i="3"/>
  <c r="V981" i="3"/>
  <c r="U986" i="3"/>
  <c r="T991" i="3"/>
  <c r="S996" i="3"/>
  <c r="V619" i="3"/>
  <c r="P732" i="3"/>
  <c r="O787" i="3"/>
  <c r="P820" i="3"/>
  <c r="P833" i="3"/>
  <c r="R846" i="3"/>
  <c r="U859" i="3"/>
  <c r="U872" i="3"/>
  <c r="J886" i="3"/>
  <c r="M899" i="3"/>
  <c r="O909" i="3"/>
  <c r="M919" i="3"/>
  <c r="K929" i="3"/>
  <c r="V938" i="3"/>
  <c r="M948" i="3"/>
  <c r="L956" i="3"/>
  <c r="V963" i="3"/>
  <c r="N970" i="3"/>
  <c r="M975" i="3"/>
  <c r="J982" i="3"/>
  <c r="K684" i="3"/>
  <c r="L845" i="3"/>
  <c r="P903" i="3"/>
  <c r="M959" i="3"/>
  <c r="N991" i="3"/>
  <c r="T1000" i="3"/>
  <c r="V819" i="3"/>
  <c r="O854" i="3"/>
  <c r="L892" i="3"/>
  <c r="K925" i="3"/>
  <c r="V953" i="3"/>
  <c r="Q977" i="3"/>
  <c r="U997" i="3"/>
  <c r="V846" i="3"/>
  <c r="L907" i="3"/>
  <c r="M955" i="3"/>
  <c r="K982" i="3"/>
  <c r="Q644" i="3"/>
  <c r="M738" i="3"/>
  <c r="L791" i="3"/>
  <c r="O821" i="3"/>
  <c r="R834" i="3"/>
  <c r="T860" i="3"/>
  <c r="J874" i="3"/>
  <c r="J887" i="3"/>
  <c r="L900" i="3"/>
  <c r="M910" i="3"/>
  <c r="K920" i="3"/>
  <c r="V929" i="3"/>
  <c r="U948" i="3"/>
  <c r="T956" i="3"/>
  <c r="Q964" i="3"/>
  <c r="R975" i="3"/>
  <c r="Q980" i="3"/>
  <c r="P985" i="3"/>
  <c r="N995" i="3"/>
  <c r="T829" i="3"/>
  <c r="M931" i="3"/>
  <c r="S983" i="3"/>
  <c r="V882" i="3"/>
  <c r="U610" i="3"/>
  <c r="S598" i="3"/>
  <c r="P562" i="3"/>
  <c r="O749" i="3"/>
  <c r="Y749" i="3" s="1"/>
  <c r="S629" i="3"/>
  <c r="O722" i="3"/>
  <c r="R771" i="3"/>
  <c r="J811" i="3"/>
  <c r="V666" i="3"/>
  <c r="S707" i="3"/>
  <c r="K747" i="3"/>
  <c r="R776" i="3"/>
  <c r="O799" i="3"/>
  <c r="R482" i="3"/>
  <c r="J648" i="3"/>
  <c r="L683" i="3"/>
  <c r="N705" i="3"/>
  <c r="P727" i="3"/>
  <c r="L747" i="3"/>
  <c r="U766" i="3"/>
  <c r="Q786" i="3"/>
  <c r="M806" i="3"/>
  <c r="U617" i="3"/>
  <c r="O672" i="3"/>
  <c r="Q692" i="3"/>
  <c r="M712" i="3"/>
  <c r="V731" i="3"/>
  <c r="R751" i="3"/>
  <c r="N771" i="3"/>
  <c r="K786" i="3"/>
  <c r="M800" i="3"/>
  <c r="N811" i="3"/>
  <c r="M529" i="3"/>
  <c r="R628" i="3"/>
  <c r="U664" i="3"/>
  <c r="V680" i="3"/>
  <c r="K695" i="3"/>
  <c r="L706" i="3"/>
  <c r="N720" i="3"/>
  <c r="P734" i="3"/>
  <c r="S635" i="3"/>
  <c r="J714" i="3"/>
  <c r="N760" i="3"/>
  <c r="U789" i="3"/>
  <c r="R819" i="3"/>
  <c r="T833" i="3"/>
  <c r="U844" i="3"/>
  <c r="J859" i="3"/>
  <c r="L873" i="3"/>
  <c r="M884" i="3"/>
  <c r="O898" i="3"/>
  <c r="Y898" i="3" s="1"/>
  <c r="Q912" i="3"/>
  <c r="R923" i="3"/>
  <c r="T937" i="3"/>
  <c r="R636" i="3"/>
  <c r="V701" i="3"/>
  <c r="N752" i="3"/>
  <c r="V789" i="3"/>
  <c r="S815" i="3"/>
  <c r="T830" i="3"/>
  <c r="V844" i="3"/>
  <c r="J856" i="3"/>
  <c r="L870" i="3"/>
  <c r="N884" i="3"/>
  <c r="O895" i="3"/>
  <c r="Y895" i="3" s="1"/>
  <c r="Q909" i="3"/>
  <c r="S923" i="3"/>
  <c r="T934" i="3"/>
  <c r="V948" i="3"/>
  <c r="K963" i="3"/>
  <c r="N672" i="3"/>
  <c r="O729" i="3"/>
  <c r="R770" i="3"/>
  <c r="L800" i="3"/>
  <c r="P823" i="3"/>
  <c r="R837" i="3"/>
  <c r="S848" i="3"/>
  <c r="U862" i="3"/>
  <c r="J877" i="3"/>
  <c r="K888" i="3"/>
  <c r="M523" i="3"/>
  <c r="R697" i="3"/>
  <c r="M741" i="3"/>
  <c r="U778" i="3"/>
  <c r="V579" i="3"/>
  <c r="U690" i="3"/>
  <c r="V744" i="3"/>
  <c r="Q782" i="3"/>
  <c r="L811" i="3"/>
  <c r="J828" i="3"/>
  <c r="L842" i="3"/>
  <c r="M853" i="3"/>
  <c r="O867" i="3"/>
  <c r="Q881" i="3"/>
  <c r="R892" i="3"/>
  <c r="T906" i="3"/>
  <c r="V920" i="3"/>
  <c r="J932" i="3"/>
  <c r="L946" i="3"/>
  <c r="N960" i="3"/>
  <c r="N599" i="3"/>
  <c r="J706" i="3"/>
  <c r="U754" i="3"/>
  <c r="O784" i="3"/>
  <c r="L817" i="3"/>
  <c r="T831" i="3"/>
  <c r="U842" i="3"/>
  <c r="J857" i="3"/>
  <c r="L871" i="3"/>
  <c r="J881" i="3"/>
  <c r="U890" i="3"/>
  <c r="S900" i="3"/>
  <c r="U906" i="3"/>
  <c r="T911" i="3"/>
  <c r="S916" i="3"/>
  <c r="R921" i="3"/>
  <c r="Q926" i="3"/>
  <c r="P931" i="3"/>
  <c r="O936" i="3"/>
  <c r="N941" i="3"/>
  <c r="M946" i="3"/>
  <c r="L951" i="3"/>
  <c r="K956" i="3"/>
  <c r="J961" i="3"/>
  <c r="V965" i="3"/>
  <c r="T399" i="3"/>
  <c r="M715" i="3"/>
  <c r="T775" i="3"/>
  <c r="J817" i="3"/>
  <c r="R830" i="3"/>
  <c r="U843" i="3"/>
  <c r="U856" i="3"/>
  <c r="J870" i="3"/>
  <c r="M883" i="3"/>
  <c r="M896" i="3"/>
  <c r="M907" i="3"/>
  <c r="K917" i="3"/>
  <c r="V926" i="3"/>
  <c r="T936" i="3"/>
  <c r="Q946" i="3"/>
  <c r="O954" i="3"/>
  <c r="N962" i="3"/>
  <c r="K969" i="3"/>
  <c r="L974" i="3"/>
  <c r="K979" i="3"/>
  <c r="J984" i="3"/>
  <c r="V988" i="3"/>
  <c r="U993" i="3"/>
  <c r="T998" i="3"/>
  <c r="K1000" i="3"/>
  <c r="R972" i="3"/>
  <c r="J996" i="3"/>
  <c r="V994" i="3"/>
  <c r="L832" i="3"/>
  <c r="V905" i="3"/>
  <c r="M958" i="3"/>
  <c r="S990" i="3"/>
  <c r="Q686" i="3"/>
  <c r="S756" i="3"/>
  <c r="V808" i="3"/>
  <c r="J826" i="3"/>
  <c r="J839" i="3"/>
  <c r="L852" i="3"/>
  <c r="O865" i="3"/>
  <c r="Y865" i="3" s="1"/>
  <c r="O878" i="3"/>
  <c r="Q891" i="3"/>
  <c r="R903" i="3"/>
  <c r="P913" i="3"/>
  <c r="N923" i="3"/>
  <c r="L933" i="3"/>
  <c r="J943" i="3"/>
  <c r="Q951" i="3"/>
  <c r="P959" i="3"/>
  <c r="U966" i="3"/>
  <c r="O972" i="3"/>
  <c r="N977" i="3"/>
  <c r="M982" i="3"/>
  <c r="L987" i="3"/>
  <c r="K992" i="3"/>
  <c r="P999" i="3"/>
  <c r="L818" i="3"/>
  <c r="L856" i="3"/>
  <c r="T893" i="3"/>
  <c r="O921" i="3"/>
  <c r="V950" i="3"/>
  <c r="P974" i="3"/>
  <c r="T994" i="3"/>
  <c r="O997" i="3"/>
  <c r="Y997" i="3" s="1"/>
  <c r="P825" i="3"/>
  <c r="S904" i="3"/>
  <c r="N954" i="3"/>
  <c r="O986" i="3"/>
  <c r="K667" i="3"/>
  <c r="T744" i="3"/>
  <c r="M797" i="3"/>
  <c r="V822" i="3"/>
  <c r="V835" i="3"/>
  <c r="K849" i="3"/>
  <c r="N862" i="3"/>
  <c r="N875" i="3"/>
  <c r="P888" i="3"/>
  <c r="O901" i="3"/>
  <c r="Y901" i="3" s="1"/>
  <c r="M911" i="3"/>
  <c r="K921" i="3"/>
  <c r="V930" i="3"/>
  <c r="T940" i="3"/>
  <c r="S949" i="3"/>
  <c r="R957" i="3"/>
  <c r="O965" i="3"/>
  <c r="Y965" i="3" s="1"/>
  <c r="M971" i="3"/>
  <c r="L976" i="3"/>
  <c r="K981" i="3"/>
  <c r="J986" i="3"/>
  <c r="V990" i="3"/>
  <c r="U995" i="3"/>
  <c r="R998" i="3"/>
  <c r="R847" i="3"/>
  <c r="T939" i="3"/>
  <c r="S970" i="3"/>
  <c r="O990" i="3"/>
  <c r="M1000" i="3"/>
  <c r="U888" i="3"/>
  <c r="T960" i="3"/>
  <c r="O989" i="3"/>
  <c r="U455" i="3"/>
  <c r="R559" i="3"/>
  <c r="O567" i="3"/>
  <c r="M751" i="3"/>
  <c r="Q649" i="3"/>
  <c r="S726" i="3"/>
  <c r="K774" i="3"/>
  <c r="P813" i="3"/>
  <c r="J670" i="3"/>
  <c r="L710" i="3"/>
  <c r="Q749" i="3"/>
  <c r="U777" i="3"/>
  <c r="J800" i="3"/>
  <c r="T494" i="3"/>
  <c r="K650" i="3"/>
  <c r="T683" i="3"/>
  <c r="V705" i="3"/>
  <c r="K728" i="3"/>
  <c r="T747" i="3"/>
  <c r="P767" i="3"/>
  <c r="L787" i="3"/>
  <c r="U806" i="3"/>
  <c r="Q620" i="3"/>
  <c r="K673" i="3"/>
  <c r="L693" i="3"/>
  <c r="U712" i="3"/>
  <c r="Q732" i="3"/>
  <c r="M752" i="3"/>
  <c r="V771" i="3"/>
  <c r="S786" i="3"/>
  <c r="U800" i="3"/>
  <c r="J815" i="3"/>
  <c r="R535" i="3"/>
  <c r="O631" i="3"/>
  <c r="Y631" i="3" s="1"/>
  <c r="R669" i="3"/>
  <c r="Q681" i="3"/>
  <c r="S695" i="3"/>
  <c r="U709" i="3"/>
  <c r="V720" i="3"/>
  <c r="K735" i="3"/>
  <c r="R671" i="3"/>
  <c r="P716" i="3"/>
  <c r="J762" i="3"/>
  <c r="S799" i="3"/>
  <c r="M820" i="3"/>
  <c r="O834" i="3"/>
  <c r="Q848" i="3"/>
  <c r="R859" i="3"/>
  <c r="T873" i="3"/>
  <c r="V887" i="3"/>
  <c r="J899" i="3"/>
  <c r="L913" i="3"/>
  <c r="N927" i="3"/>
  <c r="O938" i="3"/>
  <c r="K647" i="3"/>
  <c r="S716" i="3"/>
  <c r="J754" i="3"/>
  <c r="S791" i="3"/>
  <c r="N820" i="3"/>
  <c r="O831" i="3"/>
  <c r="Y831" i="3" s="1"/>
  <c r="Q845" i="3"/>
  <c r="S859" i="3"/>
  <c r="T870" i="3"/>
  <c r="V884" i="3"/>
  <c r="K899" i="3"/>
  <c r="L910" i="3"/>
  <c r="N924" i="3"/>
  <c r="P938" i="3"/>
  <c r="Q949" i="3"/>
  <c r="S963" i="3"/>
  <c r="Q687" i="3"/>
  <c r="U731" i="3"/>
  <c r="K772" i="3"/>
  <c r="O809" i="3"/>
  <c r="Y809" i="3" s="1"/>
  <c r="K824" i="3"/>
  <c r="M838" i="3"/>
  <c r="O852" i="3"/>
  <c r="P863" i="3"/>
  <c r="R877" i="3"/>
  <c r="T891" i="3"/>
  <c r="Q549" i="3"/>
  <c r="K700" i="3"/>
  <c r="K751" i="3"/>
  <c r="R780" i="3"/>
  <c r="K597" i="3"/>
  <c r="R705" i="3"/>
  <c r="R746" i="3"/>
  <c r="N784" i="3"/>
  <c r="K817" i="3"/>
  <c r="R828" i="3"/>
  <c r="T842" i="3"/>
  <c r="V856" i="3"/>
  <c r="J868" i="3"/>
  <c r="L882" i="3"/>
  <c r="N896" i="3"/>
  <c r="O907" i="3"/>
  <c r="Q921" i="3"/>
  <c r="S935" i="3"/>
  <c r="T946" i="3"/>
  <c r="V960" i="3"/>
  <c r="O658" i="3"/>
  <c r="P708" i="3"/>
  <c r="R756" i="3"/>
  <c r="M794" i="3"/>
  <c r="J818" i="3"/>
  <c r="O832" i="3"/>
  <c r="Y832" i="3" s="1"/>
  <c r="Q846" i="3"/>
  <c r="R857" i="3"/>
  <c r="T871" i="3"/>
  <c r="R881" i="3"/>
  <c r="P891" i="3"/>
  <c r="N901" i="3"/>
  <c r="P907" i="3"/>
  <c r="O912" i="3"/>
  <c r="Y912" i="3" s="1"/>
  <c r="N917" i="3"/>
  <c r="M922" i="3"/>
  <c r="L927" i="3"/>
  <c r="K932" i="3"/>
  <c r="J937" i="3"/>
  <c r="V941" i="3"/>
  <c r="U946" i="3"/>
  <c r="T951" i="3"/>
  <c r="S956" i="3"/>
  <c r="R961" i="3"/>
  <c r="Q966" i="3"/>
  <c r="O578" i="3"/>
  <c r="K725" i="3"/>
  <c r="P782" i="3"/>
  <c r="M819" i="3"/>
  <c r="M832" i="3"/>
  <c r="O845" i="3"/>
  <c r="Y845" i="3" s="1"/>
  <c r="R858" i="3"/>
  <c r="R871" i="3"/>
  <c r="T884" i="3"/>
  <c r="J898" i="3"/>
  <c r="P908" i="3"/>
  <c r="N918" i="3"/>
  <c r="L928" i="3"/>
  <c r="J938" i="3"/>
  <c r="Q947" i="3"/>
  <c r="N955" i="3"/>
  <c r="M963" i="3"/>
  <c r="T969" i="3"/>
  <c r="T974" i="3"/>
  <c r="S979" i="3"/>
  <c r="R984" i="3"/>
  <c r="Q989" i="3"/>
  <c r="P994" i="3"/>
  <c r="O999" i="3"/>
  <c r="L670" i="3"/>
  <c r="N976" i="3"/>
  <c r="P998" i="3"/>
  <c r="U999" i="3"/>
  <c r="J842" i="3"/>
  <c r="Q914" i="3"/>
  <c r="T965" i="3"/>
  <c r="J995" i="3"/>
  <c r="O696" i="3"/>
  <c r="Y696" i="3" s="1"/>
  <c r="O763" i="3"/>
  <c r="K812" i="3"/>
  <c r="Q827" i="3"/>
  <c r="T840" i="3"/>
  <c r="T853" i="3"/>
  <c r="V866" i="3"/>
  <c r="L880" i="3"/>
  <c r="L893" i="3"/>
  <c r="U904" i="3"/>
  <c r="S914" i="3"/>
  <c r="Q924" i="3"/>
  <c r="O934" i="3"/>
  <c r="Y934" i="3" s="1"/>
  <c r="M944" i="3"/>
  <c r="Q952" i="3"/>
  <c r="P960" i="3"/>
  <c r="R967" i="3"/>
  <c r="J973" i="3"/>
  <c r="V977" i="3"/>
  <c r="U982" i="3"/>
  <c r="T987" i="3"/>
  <c r="S992" i="3"/>
  <c r="S1000" i="3"/>
  <c r="S821" i="3"/>
  <c r="K861" i="3"/>
  <c r="K897" i="3"/>
  <c r="U923" i="3"/>
  <c r="V954" i="3"/>
  <c r="V976" i="3"/>
  <c r="M997" i="3"/>
  <c r="P1000" i="3"/>
  <c r="N835" i="3"/>
  <c r="U910" i="3"/>
  <c r="L960" i="3"/>
  <c r="U988" i="3"/>
  <c r="N678" i="3"/>
  <c r="L751" i="3"/>
  <c r="U803" i="3"/>
  <c r="P824" i="3"/>
  <c r="S837" i="3"/>
  <c r="S850" i="3"/>
  <c r="U863" i="3"/>
  <c r="K877" i="3"/>
  <c r="K890" i="3"/>
  <c r="R902" i="3"/>
  <c r="P912" i="3"/>
  <c r="N922" i="3"/>
  <c r="L932" i="3"/>
  <c r="J942" i="3"/>
  <c r="S950" i="3"/>
  <c r="R958" i="3"/>
  <c r="L966" i="3"/>
  <c r="U971" i="3"/>
  <c r="T976" i="3"/>
  <c r="T564" i="3"/>
  <c r="P505" i="3"/>
  <c r="O649" i="3"/>
  <c r="J774" i="3"/>
  <c r="U674" i="3"/>
  <c r="O738" i="3"/>
  <c r="Y738" i="3" s="1"/>
  <c r="P781" i="3"/>
  <c r="T493" i="3"/>
  <c r="L678" i="3"/>
  <c r="Q717" i="3"/>
  <c r="V756" i="3"/>
  <c r="T782" i="3"/>
  <c r="V804" i="3"/>
  <c r="T552" i="3"/>
  <c r="V662" i="3"/>
  <c r="S688" i="3"/>
  <c r="U710" i="3"/>
  <c r="O732" i="3"/>
  <c r="K752" i="3"/>
  <c r="T771" i="3"/>
  <c r="P791" i="3"/>
  <c r="N486" i="3"/>
  <c r="S638" i="3"/>
  <c r="T677" i="3"/>
  <c r="P697" i="3"/>
  <c r="L717" i="3"/>
  <c r="U736" i="3"/>
  <c r="Q756" i="3"/>
  <c r="M776" i="3"/>
  <c r="O790" i="3"/>
  <c r="Y790" i="3" s="1"/>
  <c r="P801" i="3"/>
  <c r="R815" i="3"/>
  <c r="S574" i="3"/>
  <c r="T633" i="3"/>
  <c r="O670" i="3"/>
  <c r="M685" i="3"/>
  <c r="N696" i="3"/>
  <c r="P710" i="3"/>
  <c r="R724" i="3"/>
  <c r="S735" i="3"/>
  <c r="O674" i="3"/>
  <c r="M731" i="3"/>
  <c r="P763" i="3"/>
  <c r="O801" i="3"/>
  <c r="V823" i="3"/>
  <c r="J835" i="3"/>
  <c r="L849" i="3"/>
  <c r="N863" i="3"/>
  <c r="O874" i="3"/>
  <c r="Q888" i="3"/>
  <c r="S902" i="3"/>
  <c r="T913" i="3"/>
  <c r="V927" i="3"/>
  <c r="K942" i="3"/>
  <c r="L654" i="3"/>
  <c r="L719" i="3"/>
  <c r="U763" i="3"/>
  <c r="O793" i="3"/>
  <c r="V820" i="3"/>
  <c r="K835" i="3"/>
  <c r="L846" i="3"/>
  <c r="N860" i="3"/>
  <c r="P874" i="3"/>
  <c r="Q885" i="3"/>
  <c r="S899" i="3"/>
  <c r="U913" i="3"/>
  <c r="V924" i="3"/>
  <c r="K939" i="3"/>
  <c r="M953" i="3"/>
  <c r="N964" i="3"/>
  <c r="J690" i="3"/>
  <c r="N744" i="3"/>
  <c r="U773" i="3"/>
  <c r="R810" i="3"/>
  <c r="T827" i="3"/>
  <c r="U838" i="3"/>
  <c r="J853" i="3"/>
  <c r="L867" i="3"/>
  <c r="M878" i="3"/>
  <c r="O892" i="3"/>
  <c r="Y892" i="3" s="1"/>
  <c r="Q639" i="3"/>
  <c r="Q702" i="3"/>
  <c r="T752" i="3"/>
  <c r="P790" i="3"/>
  <c r="O610" i="3"/>
  <c r="K708" i="3"/>
  <c r="P756" i="3"/>
  <c r="J786" i="3"/>
  <c r="V817" i="3"/>
  <c r="N832" i="3"/>
  <c r="O843" i="3"/>
  <c r="Q857" i="3"/>
  <c r="S871" i="3"/>
  <c r="T882" i="3"/>
  <c r="V896" i="3"/>
  <c r="K911" i="3"/>
  <c r="L922" i="3"/>
  <c r="N936" i="3"/>
  <c r="P950" i="3"/>
  <c r="Q961" i="3"/>
  <c r="P664" i="3"/>
  <c r="M723" i="3"/>
  <c r="N758" i="3"/>
  <c r="J796" i="3"/>
  <c r="V821" i="3"/>
  <c r="J833" i="3"/>
  <c r="L847" i="3"/>
  <c r="N861" i="3"/>
  <c r="O872" i="3"/>
  <c r="M882" i="3"/>
  <c r="K892" i="3"/>
  <c r="V901" i="3"/>
  <c r="K908" i="3"/>
  <c r="J913" i="3"/>
  <c r="V917" i="3"/>
  <c r="U922" i="3"/>
  <c r="T927" i="3"/>
  <c r="S932" i="3"/>
  <c r="R937" i="3"/>
  <c r="Q942" i="3"/>
  <c r="P947" i="3"/>
  <c r="O952" i="3"/>
  <c r="N957" i="3"/>
  <c r="M962" i="3"/>
  <c r="L967" i="3"/>
  <c r="S630" i="3"/>
  <c r="V734" i="3"/>
  <c r="K789" i="3"/>
  <c r="T820" i="3"/>
  <c r="J834" i="3"/>
  <c r="J847" i="3"/>
  <c r="L860" i="3"/>
  <c r="O873" i="3"/>
  <c r="O886" i="3"/>
  <c r="Y886" i="3" s="1"/>
  <c r="Q899" i="3"/>
  <c r="S909" i="3"/>
  <c r="Q919" i="3"/>
  <c r="O929" i="3"/>
  <c r="M939" i="3"/>
  <c r="P948" i="3"/>
  <c r="O956" i="3"/>
  <c r="M964" i="3"/>
  <c r="P970" i="3"/>
  <c r="O975" i="3"/>
  <c r="Y975" i="3" s="1"/>
  <c r="N980" i="3"/>
  <c r="M985" i="3"/>
  <c r="L990" i="3"/>
  <c r="K995" i="3"/>
  <c r="J1000" i="3"/>
  <c r="R890" i="3"/>
  <c r="J980" i="3"/>
  <c r="V1000" i="3"/>
  <c r="V693" i="3"/>
  <c r="K850" i="3"/>
  <c r="S920" i="3"/>
  <c r="S969" i="3"/>
  <c r="S998" i="3"/>
  <c r="M706" i="3"/>
  <c r="J770" i="3"/>
  <c r="V814" i="3"/>
  <c r="L829" i="3"/>
  <c r="N842" i="3"/>
  <c r="Q855" i="3"/>
  <c r="Q868" i="3"/>
  <c r="S881" i="3"/>
  <c r="V894" i="3"/>
  <c r="K906" i="3"/>
  <c r="V915" i="3"/>
  <c r="T925" i="3"/>
  <c r="R935" i="3"/>
  <c r="P945" i="3"/>
  <c r="P953" i="3"/>
  <c r="O961" i="3"/>
  <c r="P968" i="3"/>
  <c r="R973" i="3"/>
  <c r="Q978" i="3"/>
  <c r="P983" i="3"/>
  <c r="O988" i="3"/>
  <c r="V993" i="3"/>
  <c r="L650" i="3"/>
  <c r="L828" i="3"/>
  <c r="M864" i="3"/>
  <c r="P900" i="3"/>
  <c r="Q927" i="3"/>
  <c r="T957" i="3"/>
  <c r="O979" i="3"/>
  <c r="N1000" i="3"/>
  <c r="K659" i="3"/>
  <c r="Q843" i="3"/>
  <c r="J917" i="3"/>
  <c r="S966" i="3"/>
  <c r="L993" i="3"/>
  <c r="L688" i="3"/>
  <c r="U757" i="3"/>
  <c r="Q809" i="3"/>
  <c r="K826" i="3"/>
  <c r="M839" i="3"/>
  <c r="P852" i="3"/>
  <c r="P865" i="3"/>
  <c r="R878" i="3"/>
  <c r="U891" i="3"/>
  <c r="U903" i="3"/>
  <c r="S913" i="3"/>
  <c r="Q923" i="3"/>
  <c r="O933" i="3"/>
  <c r="M943" i="3"/>
  <c r="R951" i="3"/>
  <c r="Q959" i="3"/>
  <c r="V966" i="3"/>
  <c r="P972" i="3"/>
  <c r="O977" i="3"/>
  <c r="N982" i="3"/>
  <c r="M987" i="3"/>
  <c r="L992" i="3"/>
  <c r="K997" i="3"/>
  <c r="N710" i="3"/>
  <c r="R826" i="3"/>
  <c r="R862" i="3"/>
  <c r="V902" i="3"/>
  <c r="S933" i="3"/>
  <c r="S962" i="3"/>
  <c r="K983" i="3"/>
  <c r="T980" i="3"/>
  <c r="V741" i="3"/>
  <c r="S861" i="3"/>
  <c r="P919" i="3"/>
  <c r="L964" i="3"/>
  <c r="P989" i="3"/>
  <c r="L679" i="3"/>
  <c r="T751" i="3"/>
  <c r="P804" i="3"/>
  <c r="T824" i="3"/>
  <c r="T837" i="3"/>
  <c r="V850" i="3"/>
  <c r="L864" i="3"/>
  <c r="L877" i="3"/>
  <c r="N890" i="3"/>
  <c r="U902" i="3"/>
  <c r="S912" i="3"/>
  <c r="Q922" i="3"/>
  <c r="O932" i="3"/>
  <c r="Y932" i="3" s="1"/>
  <c r="M942" i="3"/>
  <c r="U950" i="3"/>
  <c r="S958" i="3"/>
  <c r="M966" i="3"/>
  <c r="V971" i="3"/>
  <c r="U976" i="3"/>
  <c r="T981" i="3"/>
  <c r="S986" i="3"/>
  <c r="R991" i="3"/>
  <c r="Q996" i="3"/>
  <c r="Q527" i="3"/>
  <c r="Q844" i="3"/>
  <c r="S901" i="3"/>
  <c r="R938" i="3"/>
  <c r="S968" i="3"/>
  <c r="R988" i="3"/>
  <c r="T996" i="3"/>
  <c r="K912" i="3"/>
  <c r="L977" i="3"/>
  <c r="J730" i="3"/>
  <c r="J998" i="3"/>
  <c r="P889" i="3"/>
  <c r="L957" i="3"/>
  <c r="N999" i="3"/>
  <c r="L711" i="3"/>
  <c r="M773" i="3"/>
  <c r="K816" i="3"/>
  <c r="J830" i="3"/>
  <c r="M843" i="3"/>
  <c r="M856" i="3"/>
  <c r="O869" i="3"/>
  <c r="Y869" i="3" s="1"/>
  <c r="R882" i="3"/>
  <c r="R895" i="3"/>
  <c r="S906" i="3"/>
  <c r="Q916" i="3"/>
  <c r="O926" i="3"/>
  <c r="M936" i="3"/>
  <c r="K946" i="3"/>
  <c r="J954" i="3"/>
  <c r="V961" i="3"/>
  <c r="T968" i="3"/>
  <c r="V973" i="3"/>
  <c r="U978" i="3"/>
  <c r="T983" i="3"/>
  <c r="S988" i="3"/>
  <c r="R993" i="3"/>
  <c r="Q998" i="3"/>
  <c r="M683" i="3"/>
  <c r="R754" i="3"/>
  <c r="K807" i="3"/>
  <c r="O825" i="3"/>
  <c r="O838" i="3"/>
  <c r="Q851" i="3"/>
  <c r="T864" i="3"/>
  <c r="T877" i="3"/>
  <c r="V890" i="3"/>
  <c r="M903" i="3"/>
  <c r="K913" i="3"/>
  <c r="V922" i="3"/>
  <c r="T932" i="3"/>
  <c r="R942" i="3"/>
  <c r="M951" i="3"/>
  <c r="J959" i="3"/>
  <c r="R966" i="3"/>
  <c r="L972" i="3"/>
  <c r="K977" i="3"/>
  <c r="N986" i="3"/>
  <c r="V774" i="3"/>
  <c r="U864" i="3"/>
  <c r="R925" i="3"/>
  <c r="N975" i="3"/>
  <c r="P723" i="3"/>
  <c r="R531" i="3"/>
  <c r="P618" i="3"/>
  <c r="M695" i="3"/>
  <c r="S793" i="3"/>
  <c r="O690" i="3"/>
  <c r="Y690" i="3" s="1"/>
  <c r="V751" i="3"/>
  <c r="N791" i="3"/>
  <c r="S594" i="3"/>
  <c r="J688" i="3"/>
  <c r="O727" i="3"/>
  <c r="Y727" i="3" s="1"/>
  <c r="V764" i="3"/>
  <c r="N788" i="3"/>
  <c r="P810" i="3"/>
  <c r="O598" i="3"/>
  <c r="Y598" i="3" s="1"/>
  <c r="T670" i="3"/>
  <c r="M694" i="3"/>
  <c r="J717" i="3"/>
  <c r="N737" i="3"/>
  <c r="J757" i="3"/>
  <c r="S776" i="3"/>
  <c r="O796" i="3"/>
  <c r="Y796" i="3" s="1"/>
  <c r="U547" i="3"/>
  <c r="N655" i="3"/>
  <c r="S682" i="3"/>
  <c r="O702" i="3"/>
  <c r="K722" i="3"/>
  <c r="T741" i="3"/>
  <c r="P761" i="3"/>
  <c r="Q780" i="3"/>
  <c r="R791" i="3"/>
  <c r="T805" i="3"/>
  <c r="Q373" i="3"/>
  <c r="Q584" i="3"/>
  <c r="P650" i="3"/>
  <c r="N675" i="3"/>
  <c r="P686" i="3"/>
  <c r="R700" i="3"/>
  <c r="T714" i="3"/>
  <c r="U725" i="3"/>
  <c r="M294" i="3"/>
  <c r="U691" i="3"/>
  <c r="L736" i="3"/>
  <c r="K775" i="3"/>
  <c r="P811" i="3"/>
  <c r="L825" i="3"/>
  <c r="N839" i="3"/>
  <c r="P853" i="3"/>
  <c r="Q864" i="3"/>
  <c r="S878" i="3"/>
  <c r="U892" i="3"/>
  <c r="V903" i="3"/>
  <c r="K918" i="3"/>
  <c r="M932" i="3"/>
  <c r="N943" i="3"/>
  <c r="T679" i="3"/>
  <c r="O736" i="3"/>
  <c r="K767" i="3"/>
  <c r="S804" i="3"/>
  <c r="M825" i="3"/>
  <c r="N836" i="3"/>
  <c r="P850" i="3"/>
  <c r="R864" i="3"/>
  <c r="S875" i="3"/>
  <c r="U889" i="3"/>
  <c r="J904" i="3"/>
  <c r="K915" i="3"/>
  <c r="M929" i="3"/>
  <c r="O943" i="3"/>
  <c r="P954" i="3"/>
  <c r="S605" i="3"/>
  <c r="M707" i="3"/>
  <c r="P747" i="3"/>
  <c r="O785" i="3"/>
  <c r="R817" i="3"/>
  <c r="J829" i="3"/>
  <c r="L843" i="3"/>
  <c r="N857" i="3"/>
  <c r="O868" i="3"/>
  <c r="Y868" i="3" s="1"/>
  <c r="Q882" i="3"/>
  <c r="S896" i="3"/>
  <c r="U655" i="3"/>
  <c r="T719" i="3"/>
  <c r="K764" i="3"/>
  <c r="R793" i="3"/>
  <c r="O667" i="3"/>
  <c r="Y667" i="3" s="1"/>
  <c r="N725" i="3"/>
  <c r="S759" i="3"/>
  <c r="N797" i="3"/>
  <c r="P822" i="3"/>
  <c r="Q833" i="3"/>
  <c r="S847" i="3"/>
  <c r="U861" i="3"/>
  <c r="V872" i="3"/>
  <c r="K887" i="3"/>
  <c r="M901" i="3"/>
  <c r="N912" i="3"/>
  <c r="P926" i="3"/>
  <c r="R940" i="3"/>
  <c r="S951" i="3"/>
  <c r="U965" i="3"/>
  <c r="U683" i="3"/>
  <c r="L728" i="3"/>
  <c r="R769" i="3"/>
  <c r="Q807" i="3"/>
  <c r="L823" i="3"/>
  <c r="N837" i="3"/>
  <c r="P851" i="3"/>
  <c r="Q862" i="3"/>
  <c r="K876" i="3"/>
  <c r="V885" i="3"/>
  <c r="T895" i="3"/>
  <c r="T903" i="3"/>
  <c r="N909" i="3"/>
  <c r="M914" i="3"/>
  <c r="L919" i="3"/>
  <c r="K924" i="3"/>
  <c r="J929" i="3"/>
  <c r="V933" i="3"/>
  <c r="U938" i="3"/>
  <c r="T943" i="3"/>
  <c r="S948" i="3"/>
  <c r="R953" i="3"/>
  <c r="Q958" i="3"/>
  <c r="P963" i="3"/>
  <c r="O968" i="3"/>
  <c r="T675" i="3"/>
  <c r="S749" i="3"/>
  <c r="L802" i="3"/>
  <c r="L824" i="3"/>
  <c r="L837" i="3"/>
  <c r="N850" i="3"/>
  <c r="Q863" i="3"/>
  <c r="Q876" i="3"/>
  <c r="S889" i="3"/>
  <c r="N902" i="3"/>
  <c r="L912" i="3"/>
  <c r="J922" i="3"/>
  <c r="U931" i="3"/>
  <c r="S941" i="3"/>
  <c r="O950" i="3"/>
  <c r="N958" i="3"/>
  <c r="J966" i="3"/>
  <c r="S971" i="3"/>
  <c r="R976" i="3"/>
  <c r="Q981" i="3"/>
  <c r="P986" i="3"/>
  <c r="O991" i="3"/>
  <c r="N996" i="3"/>
  <c r="N993" i="3"/>
  <c r="J949" i="3"/>
  <c r="Q985" i="3"/>
  <c r="P984" i="3"/>
  <c r="M755" i="3"/>
  <c r="Q871" i="3"/>
  <c r="P935" i="3"/>
  <c r="T977" i="3"/>
  <c r="U584" i="3"/>
  <c r="V725" i="3"/>
  <c r="K783" i="3"/>
  <c r="N819" i="3"/>
  <c r="P832" i="3"/>
  <c r="S845" i="3"/>
  <c r="S858" i="3"/>
  <c r="U871" i="3"/>
  <c r="K885" i="3"/>
  <c r="K898" i="3"/>
  <c r="Q908" i="3"/>
  <c r="O918" i="3"/>
  <c r="Y918" i="3" s="1"/>
  <c r="M928" i="3"/>
  <c r="K938" i="3"/>
  <c r="R947" i="3"/>
  <c r="Q955" i="3"/>
  <c r="N963" i="3"/>
  <c r="U969" i="3"/>
  <c r="U974" i="3"/>
  <c r="T979" i="3"/>
  <c r="S984" i="3"/>
  <c r="R989" i="3"/>
  <c r="L995" i="3"/>
  <c r="V752" i="3"/>
  <c r="R839" i="3"/>
  <c r="P872" i="3"/>
  <c r="U907" i="3"/>
  <c r="O937" i="3"/>
  <c r="Y937" i="3" s="1"/>
  <c r="Q965" i="3"/>
  <c r="N984" i="3"/>
  <c r="S985" i="3"/>
  <c r="R748" i="3"/>
  <c r="L868" i="3"/>
  <c r="Q930" i="3"/>
  <c r="K974" i="3"/>
  <c r="Q1000" i="3"/>
  <c r="U707" i="3"/>
  <c r="U770" i="3"/>
  <c r="K815" i="3"/>
  <c r="O829" i="3"/>
  <c r="R842" i="3"/>
  <c r="R855" i="3"/>
  <c r="T868" i="3"/>
  <c r="J882" i="3"/>
  <c r="J895" i="3"/>
  <c r="N906" i="3"/>
  <c r="L916" i="3"/>
  <c r="J926" i="3"/>
  <c r="U935" i="3"/>
  <c r="S945" i="3"/>
  <c r="S953" i="3"/>
  <c r="P961" i="3"/>
  <c r="Q968" i="3"/>
  <c r="S973" i="3"/>
  <c r="R978" i="3"/>
  <c r="Q983" i="3"/>
  <c r="P988" i="3"/>
  <c r="O993" i="3"/>
  <c r="Y993" i="3" s="1"/>
  <c r="N998" i="3"/>
  <c r="V765" i="3"/>
  <c r="J838" i="3"/>
  <c r="V870" i="3"/>
  <c r="Q911" i="3"/>
  <c r="K941" i="3"/>
  <c r="J968" i="3"/>
  <c r="O987" i="3"/>
  <c r="Y987" i="3" s="1"/>
  <c r="L988" i="3"/>
  <c r="J814" i="3"/>
  <c r="J878" i="3"/>
  <c r="J933" i="3"/>
  <c r="O970" i="3"/>
  <c r="R995" i="3"/>
  <c r="U698" i="3"/>
  <c r="K765" i="3"/>
  <c r="J813" i="3"/>
  <c r="V827" i="3"/>
  <c r="K841" i="3"/>
  <c r="N854" i="3"/>
  <c r="N867" i="3"/>
  <c r="P880" i="3"/>
  <c r="S893" i="3"/>
  <c r="N905" i="3"/>
  <c r="L915" i="3"/>
  <c r="J925" i="3"/>
  <c r="U934" i="3"/>
  <c r="S944" i="3"/>
  <c r="T952" i="3"/>
  <c r="S960" i="3"/>
  <c r="V967" i="3"/>
  <c r="L973" i="3"/>
  <c r="K978" i="3"/>
  <c r="J983" i="3"/>
  <c r="V987" i="3"/>
  <c r="U992" i="3"/>
  <c r="T997" i="3"/>
  <c r="R772" i="3"/>
  <c r="S857" i="3"/>
  <c r="K909" i="3"/>
  <c r="J946" i="3"/>
  <c r="M973" i="3"/>
  <c r="L994" i="3"/>
  <c r="O811" i="3"/>
  <c r="S936" i="3"/>
  <c r="R987" i="3"/>
  <c r="S834" i="3"/>
  <c r="J788" i="3"/>
  <c r="O908" i="3"/>
  <c r="Y908" i="3" s="1"/>
  <c r="V968" i="3"/>
  <c r="K613" i="3"/>
  <c r="U730" i="3"/>
  <c r="M786" i="3"/>
  <c r="L820" i="3"/>
  <c r="O833" i="3"/>
  <c r="O846" i="3"/>
  <c r="Y846" i="3" s="1"/>
  <c r="Q859" i="3"/>
  <c r="T872" i="3"/>
  <c r="T885" i="3"/>
  <c r="V898" i="3"/>
  <c r="L909" i="3"/>
  <c r="J919" i="3"/>
  <c r="U928" i="3"/>
  <c r="S938" i="3"/>
  <c r="L948" i="3"/>
  <c r="V955" i="3"/>
  <c r="U963" i="3"/>
  <c r="L970" i="3"/>
  <c r="L975" i="3"/>
  <c r="K980" i="3"/>
  <c r="J985" i="3"/>
  <c r="V989" i="3"/>
  <c r="U994" i="3"/>
  <c r="T999" i="3"/>
  <c r="V702" i="3"/>
  <c r="S767" i="3"/>
  <c r="V813" i="3"/>
  <c r="Q828" i="3"/>
  <c r="S841" i="3"/>
  <c r="V854" i="3"/>
  <c r="V867" i="3"/>
  <c r="K881" i="3"/>
  <c r="N894" i="3"/>
  <c r="S905" i="3"/>
  <c r="Q915" i="3"/>
  <c r="O925" i="3"/>
  <c r="M935" i="3"/>
  <c r="K945" i="3"/>
  <c r="L953" i="3"/>
  <c r="K961" i="3"/>
  <c r="L968" i="3"/>
  <c r="O973" i="3"/>
  <c r="N978" i="3"/>
  <c r="M991" i="3"/>
  <c r="Q820" i="3"/>
  <c r="R879" i="3"/>
  <c r="O940" i="3"/>
  <c r="Y940" i="3" s="1"/>
  <c r="P981" i="3"/>
  <c r="U996" i="3"/>
  <c r="L571" i="3"/>
  <c r="S721" i="3"/>
  <c r="S384" i="3"/>
  <c r="J707" i="3"/>
  <c r="T761" i="3"/>
  <c r="L801" i="3"/>
  <c r="Q640" i="3"/>
  <c r="U697" i="3"/>
  <c r="M737" i="3"/>
  <c r="K771" i="3"/>
  <c r="U793" i="3"/>
  <c r="J816" i="3"/>
  <c r="U624" i="3"/>
  <c r="R677" i="3"/>
  <c r="T699" i="3"/>
  <c r="Q722" i="3"/>
  <c r="V761" i="3"/>
  <c r="R781" i="3"/>
  <c r="N801" i="3"/>
  <c r="L593" i="3"/>
  <c r="R687" i="3"/>
  <c r="J727" i="3"/>
  <c r="S746" i="3"/>
  <c r="T781" i="3"/>
  <c r="V442" i="3"/>
  <c r="J662" i="3"/>
  <c r="T690" i="3"/>
  <c r="V704" i="3"/>
  <c r="J479" i="3"/>
  <c r="L582" i="3"/>
  <c r="L700" i="3"/>
  <c r="R798" i="3"/>
  <c r="S694" i="3"/>
  <c r="O754" i="3"/>
  <c r="T793" i="3"/>
  <c r="L608" i="3"/>
  <c r="P690" i="3"/>
  <c r="U729" i="3"/>
  <c r="Q765" i="3"/>
  <c r="V788" i="3"/>
  <c r="K811" i="3"/>
  <c r="J602" i="3"/>
  <c r="M672" i="3"/>
  <c r="U694" i="3"/>
  <c r="R717" i="3"/>
  <c r="V737" i="3"/>
  <c r="R757" i="3"/>
  <c r="N777" i="3"/>
  <c r="J797" i="3"/>
  <c r="P554" i="3"/>
  <c r="V656" i="3"/>
  <c r="N683" i="3"/>
  <c r="J703" i="3"/>
  <c r="S722" i="3"/>
  <c r="O742" i="3"/>
  <c r="K762" i="3"/>
  <c r="L781" i="3"/>
  <c r="N795" i="3"/>
  <c r="O806" i="3"/>
  <c r="M407" i="3"/>
  <c r="S606" i="3"/>
  <c r="L652" i="3"/>
  <c r="J676" i="3"/>
  <c r="L690" i="3"/>
  <c r="M701" i="3"/>
  <c r="O715" i="3"/>
  <c r="Q729" i="3"/>
  <c r="Q465" i="3"/>
  <c r="N694" i="3"/>
  <c r="M747" i="3"/>
  <c r="T776" i="3"/>
  <c r="R812" i="3"/>
  <c r="U828" i="3"/>
  <c r="V839" i="3"/>
  <c r="K854" i="3"/>
  <c r="M868" i="3"/>
  <c r="N879" i="3"/>
  <c r="P893" i="3"/>
  <c r="R907" i="3"/>
  <c r="S918" i="3"/>
  <c r="U932" i="3"/>
  <c r="U473" i="3"/>
  <c r="M682" i="3"/>
  <c r="U738" i="3"/>
  <c r="V776" i="3"/>
  <c r="P806" i="3"/>
  <c r="U825" i="3"/>
  <c r="J840" i="3"/>
  <c r="K851" i="3"/>
  <c r="M865" i="3"/>
  <c r="O879" i="3"/>
  <c r="P890" i="3"/>
  <c r="R904" i="3"/>
  <c r="T918" i="3"/>
  <c r="U929" i="3"/>
  <c r="J944" i="3"/>
  <c r="L958" i="3"/>
  <c r="Q617" i="3"/>
  <c r="S709" i="3"/>
  <c r="N757" i="3"/>
  <c r="U786" i="3"/>
  <c r="O818" i="3"/>
  <c r="S832" i="3"/>
  <c r="T843" i="3"/>
  <c r="V857" i="3"/>
  <c r="K872" i="3"/>
  <c r="L883" i="3"/>
  <c r="N897" i="3"/>
  <c r="V677" i="3"/>
  <c r="M722" i="3"/>
  <c r="U765" i="3"/>
  <c r="P803" i="3"/>
  <c r="P670" i="3"/>
  <c r="T727" i="3"/>
  <c r="Q769" i="3"/>
  <c r="K799" i="3"/>
  <c r="K823" i="3"/>
  <c r="M837" i="3"/>
  <c r="N848" i="3"/>
  <c r="P862" i="3"/>
  <c r="R876" i="3"/>
  <c r="S887" i="3"/>
  <c r="U901" i="3"/>
  <c r="J916" i="3"/>
  <c r="K927" i="3"/>
  <c r="M941" i="3"/>
  <c r="O955" i="3"/>
  <c r="Y955" i="3" s="1"/>
  <c r="P966" i="3"/>
  <c r="N686" i="3"/>
  <c r="U741" i="3"/>
  <c r="O771" i="3"/>
  <c r="T808" i="3"/>
  <c r="U826" i="3"/>
  <c r="V837" i="3"/>
  <c r="K852" i="3"/>
  <c r="M866" i="3"/>
  <c r="S876" i="3"/>
  <c r="Q886" i="3"/>
  <c r="O896" i="3"/>
  <c r="O904" i="3"/>
  <c r="Y904" i="3" s="1"/>
  <c r="V909" i="3"/>
  <c r="U914" i="3"/>
  <c r="T919" i="3"/>
  <c r="S924" i="3"/>
  <c r="R929" i="3"/>
  <c r="Q934" i="3"/>
  <c r="P939" i="3"/>
  <c r="O944" i="3"/>
  <c r="Y944" i="3" s="1"/>
  <c r="N949" i="3"/>
  <c r="M954" i="3"/>
  <c r="L959" i="3"/>
  <c r="K964" i="3"/>
  <c r="J969" i="3"/>
  <c r="S685" i="3"/>
  <c r="K756" i="3"/>
  <c r="O808" i="3"/>
  <c r="Y808" i="3" s="1"/>
  <c r="S825" i="3"/>
  <c r="V838" i="3"/>
  <c r="V851" i="3"/>
  <c r="K865" i="3"/>
  <c r="N878" i="3"/>
  <c r="N891" i="3"/>
  <c r="Q903" i="3"/>
  <c r="O913" i="3"/>
  <c r="Y913" i="3" s="1"/>
  <c r="M923" i="3"/>
  <c r="K933" i="3"/>
  <c r="V942" i="3"/>
  <c r="P951" i="3"/>
  <c r="N959" i="3"/>
  <c r="T966" i="3"/>
  <c r="N972" i="3"/>
  <c r="M977" i="3"/>
  <c r="L982" i="3"/>
  <c r="K987" i="3"/>
  <c r="J992" i="3"/>
  <c r="V996" i="3"/>
  <c r="O996" i="3"/>
  <c r="U959" i="3"/>
  <c r="J988" i="3"/>
  <c r="V986" i="3"/>
  <c r="R794" i="3"/>
  <c r="O881" i="3"/>
  <c r="Y881" i="3" s="1"/>
  <c r="U942" i="3"/>
  <c r="U980" i="3"/>
  <c r="O634" i="3"/>
  <c r="T735" i="3"/>
  <c r="S789" i="3"/>
  <c r="K821" i="3"/>
  <c r="K834" i="3"/>
  <c r="M847" i="3"/>
  <c r="P860" i="3"/>
  <c r="P873" i="3"/>
  <c r="R886" i="3"/>
  <c r="U899" i="3"/>
  <c r="T909" i="3"/>
  <c r="R919" i="3"/>
  <c r="P929" i="3"/>
  <c r="N939" i="3"/>
  <c r="Q948" i="3"/>
  <c r="P956" i="3"/>
  <c r="O964" i="3"/>
  <c r="Y964" i="3" s="1"/>
  <c r="Q970" i="3"/>
  <c r="P975" i="3"/>
  <c r="O980" i="3"/>
  <c r="Y980" i="3" s="1"/>
  <c r="N985" i="3"/>
  <c r="M990" i="3"/>
  <c r="T995" i="3"/>
  <c r="Q759" i="3"/>
  <c r="O841" i="3"/>
  <c r="O877" i="3"/>
  <c r="N910" i="3"/>
  <c r="U939" i="3"/>
  <c r="M967" i="3"/>
  <c r="T986" i="3"/>
  <c r="Q987" i="3"/>
  <c r="N768" i="3"/>
  <c r="P876" i="3"/>
  <c r="L939" i="3"/>
  <c r="Q976" i="3"/>
  <c r="L496" i="3"/>
  <c r="S717" i="3"/>
  <c r="Q777" i="3"/>
  <c r="S817" i="3"/>
  <c r="J831" i="3"/>
  <c r="L844" i="3"/>
  <c r="O857" i="3"/>
  <c r="O870" i="3"/>
  <c r="Q883" i="3"/>
  <c r="T896" i="3"/>
  <c r="Q907" i="3"/>
  <c r="O917" i="3"/>
  <c r="Y917" i="3" s="1"/>
  <c r="M927" i="3"/>
  <c r="K937" i="3"/>
  <c r="S946" i="3"/>
  <c r="R954" i="3"/>
  <c r="Q962" i="3"/>
  <c r="M969" i="3"/>
  <c r="N974" i="3"/>
  <c r="M979" i="3"/>
  <c r="L984" i="3"/>
  <c r="K989" i="3"/>
  <c r="J994" i="3"/>
  <c r="V998" i="3"/>
  <c r="R785" i="3"/>
  <c r="V842" i="3"/>
  <c r="U875" i="3"/>
  <c r="T912" i="3"/>
  <c r="Q943" i="3"/>
  <c r="T970" i="3"/>
  <c r="M989" i="3"/>
  <c r="R990" i="3"/>
  <c r="N822" i="3"/>
  <c r="Q884" i="3"/>
  <c r="V937" i="3"/>
  <c r="U972" i="3"/>
  <c r="V999" i="3"/>
  <c r="S708" i="3"/>
  <c r="P771" i="3"/>
  <c r="P815" i="3"/>
  <c r="S829" i="3"/>
  <c r="S842" i="3"/>
  <c r="U855" i="3"/>
  <c r="K869" i="3"/>
  <c r="K882" i="3"/>
  <c r="M895" i="3"/>
  <c r="Q906" i="3"/>
  <c r="O916" i="3"/>
  <c r="M926" i="3"/>
  <c r="K936" i="3"/>
  <c r="V945" i="3"/>
  <c r="T953" i="3"/>
  <c r="S961" i="3"/>
  <c r="R968" i="3"/>
  <c r="T973" i="3"/>
  <c r="S978" i="3"/>
  <c r="R983" i="3"/>
  <c r="Q988" i="3"/>
  <c r="P993" i="3"/>
  <c r="O998" i="3"/>
  <c r="Y998" i="3" s="1"/>
  <c r="N805" i="3"/>
  <c r="J866" i="3"/>
  <c r="M915" i="3"/>
  <c r="J950" i="3"/>
  <c r="S975" i="3"/>
  <c r="R996" i="3"/>
  <c r="S833" i="3"/>
  <c r="O948" i="3"/>
  <c r="Q992" i="3"/>
  <c r="J879" i="3"/>
  <c r="M827" i="3"/>
  <c r="T915" i="3"/>
  <c r="S974" i="3"/>
  <c r="Q652" i="3"/>
  <c r="P740" i="3"/>
  <c r="V792" i="3"/>
  <c r="T821" i="3"/>
  <c r="V834" i="3"/>
  <c r="L848" i="3"/>
  <c r="L861" i="3"/>
  <c r="N874" i="3"/>
  <c r="Q887" i="3"/>
  <c r="Q900" i="3"/>
  <c r="O910" i="3"/>
  <c r="Y910" i="3" s="1"/>
  <c r="M920" i="3"/>
  <c r="K930" i="3"/>
  <c r="V939" i="3"/>
  <c r="K949" i="3"/>
  <c r="J957" i="3"/>
  <c r="U964" i="3"/>
  <c r="U970" i="3"/>
  <c r="T975" i="3"/>
  <c r="S980" i="3"/>
  <c r="R985" i="3"/>
  <c r="Q990" i="3"/>
  <c r="P995" i="3"/>
  <c r="O1000" i="3"/>
  <c r="Y1000" i="3" s="1"/>
  <c r="T712" i="3"/>
  <c r="N774" i="3"/>
  <c r="O816" i="3"/>
  <c r="Y816" i="3" s="1"/>
  <c r="N830" i="3"/>
  <c r="N843" i="3"/>
  <c r="P856" i="3"/>
  <c r="S869" i="3"/>
  <c r="S882" i="3"/>
  <c r="U895" i="3"/>
  <c r="V906" i="3"/>
  <c r="T916" i="3"/>
  <c r="R926" i="3"/>
  <c r="P936" i="3"/>
  <c r="N946" i="3"/>
  <c r="K954" i="3"/>
  <c r="J962" i="3"/>
  <c r="U968" i="3"/>
  <c r="J974" i="3"/>
  <c r="V978" i="3"/>
  <c r="N994" i="3"/>
  <c r="T828" i="3"/>
  <c r="U887" i="3"/>
  <c r="O946" i="3"/>
  <c r="V983" i="3"/>
  <c r="R665" i="3"/>
  <c r="M742" i="3"/>
  <c r="O666" i="3"/>
  <c r="Y666" i="3" s="1"/>
  <c r="N707" i="3"/>
  <c r="O766" i="3"/>
  <c r="V795" i="3"/>
  <c r="K810" i="3"/>
  <c r="P609" i="3"/>
  <c r="R676" i="3"/>
  <c r="J716" i="3"/>
  <c r="V614" i="3"/>
  <c r="Q643" i="3"/>
  <c r="R680" i="3"/>
  <c r="K712" i="3"/>
  <c r="K698" i="3"/>
  <c r="R579" i="3"/>
  <c r="O739" i="3"/>
  <c r="Y739" i="3" s="1"/>
  <c r="R813" i="3"/>
  <c r="U868" i="3"/>
  <c r="O922" i="3"/>
  <c r="S740" i="3"/>
  <c r="R840" i="3"/>
  <c r="L894" i="3"/>
  <c r="R944" i="3"/>
  <c r="K759" i="3"/>
  <c r="P847" i="3"/>
  <c r="V897" i="3"/>
  <c r="M805" i="3"/>
  <c r="S808" i="3"/>
  <c r="K863" i="3"/>
  <c r="R916" i="3"/>
  <c r="M560" i="3"/>
  <c r="J810" i="3"/>
  <c r="U866" i="3"/>
  <c r="R905" i="3"/>
  <c r="N925" i="3"/>
  <c r="J945" i="3"/>
  <c r="S964" i="3"/>
  <c r="J812" i="3"/>
  <c r="S866" i="3"/>
  <c r="R914" i="3"/>
  <c r="P952" i="3"/>
  <c r="U977" i="3"/>
  <c r="Q997" i="3"/>
  <c r="J990" i="3"/>
  <c r="Q984" i="3"/>
  <c r="R822" i="3"/>
  <c r="M875" i="3"/>
  <c r="U920" i="3"/>
  <c r="P957" i="3"/>
  <c r="J981" i="3"/>
  <c r="N792" i="3"/>
  <c r="T944" i="3"/>
  <c r="J801" i="3"/>
  <c r="U595" i="3"/>
  <c r="T832" i="3"/>
  <c r="L885" i="3"/>
  <c r="P928" i="3"/>
  <c r="Q963" i="3"/>
  <c r="V982" i="3"/>
  <c r="P996" i="3"/>
  <c r="U847" i="3"/>
  <c r="L936" i="3"/>
  <c r="S999" i="3"/>
  <c r="T892" i="3"/>
  <c r="V991" i="3"/>
  <c r="U797" i="3"/>
  <c r="P844" i="3"/>
  <c r="V878" i="3"/>
  <c r="P911" i="3"/>
  <c r="N937" i="3"/>
  <c r="R959" i="3"/>
  <c r="M976" i="3"/>
  <c r="L989" i="3"/>
  <c r="U739" i="3"/>
  <c r="V934" i="3"/>
  <c r="K999" i="3"/>
  <c r="M972" i="3"/>
  <c r="S991" i="3"/>
  <c r="O949" i="3"/>
  <c r="N701" i="3"/>
  <c r="O813" i="3"/>
  <c r="Y813" i="3" s="1"/>
  <c r="P841" i="3"/>
  <c r="U867" i="3"/>
  <c r="J894" i="3"/>
  <c r="N915" i="3"/>
  <c r="J935" i="3"/>
  <c r="K953" i="3"/>
  <c r="K968" i="3"/>
  <c r="M978" i="3"/>
  <c r="K988" i="3"/>
  <c r="V997" i="3"/>
  <c r="J748" i="3"/>
  <c r="R823" i="3"/>
  <c r="J850" i="3"/>
  <c r="L876" i="3"/>
  <c r="J902" i="3"/>
  <c r="S921" i="3"/>
  <c r="O941" i="3"/>
  <c r="Y941" i="3" s="1"/>
  <c r="K958" i="3"/>
  <c r="Q971" i="3"/>
  <c r="U983" i="3"/>
  <c r="V859" i="3"/>
  <c r="R971" i="3"/>
  <c r="R1000" i="3"/>
  <c r="R713" i="3"/>
  <c r="Q446" i="3"/>
  <c r="V830" i="3"/>
  <c r="N883" i="3"/>
  <c r="J927" i="3"/>
  <c r="O962" i="3"/>
  <c r="K984" i="3"/>
  <c r="K833" i="3"/>
  <c r="T961" i="3"/>
  <c r="J855" i="3"/>
  <c r="J698" i="3"/>
  <c r="U840" i="3"/>
  <c r="O893" i="3"/>
  <c r="R934" i="3"/>
  <c r="U967" i="3"/>
  <c r="T984" i="3"/>
  <c r="S997" i="3"/>
  <c r="N859" i="3"/>
  <c r="V947" i="3"/>
  <c r="K985" i="3"/>
  <c r="N913" i="3"/>
  <c r="M509" i="3"/>
  <c r="R809" i="3"/>
  <c r="O849" i="3"/>
  <c r="Y849" i="3" s="1"/>
  <c r="U883" i="3"/>
  <c r="V913" i="3"/>
  <c r="J941" i="3"/>
  <c r="R962" i="3"/>
  <c r="P977" i="3"/>
  <c r="J991" i="3"/>
  <c r="U815" i="3"/>
  <c r="N942" i="3"/>
  <c r="K993" i="3"/>
  <c r="N983" i="3"/>
  <c r="S623" i="3"/>
  <c r="L963" i="3"/>
  <c r="J721" i="3"/>
  <c r="Q818" i="3"/>
  <c r="T844" i="3"/>
  <c r="J871" i="3"/>
  <c r="O897" i="3"/>
  <c r="T917" i="3"/>
  <c r="P937" i="3"/>
  <c r="V663" i="3"/>
  <c r="J720" i="3"/>
  <c r="J733" i="3"/>
  <c r="T717" i="3"/>
  <c r="U648" i="3"/>
  <c r="K677" i="3"/>
  <c r="Q824" i="3"/>
  <c r="K878" i="3"/>
  <c r="Q928" i="3"/>
  <c r="N765" i="3"/>
  <c r="U849" i="3"/>
  <c r="N900" i="3"/>
  <c r="U953" i="3"/>
  <c r="S783" i="3"/>
  <c r="R853" i="3"/>
  <c r="M649" i="3"/>
  <c r="R663" i="3"/>
  <c r="T818" i="3"/>
  <c r="N872" i="3"/>
  <c r="U925" i="3"/>
  <c r="V667" i="3"/>
  <c r="Q822" i="3"/>
  <c r="J873" i="3"/>
  <c r="S908" i="3"/>
  <c r="O928" i="3"/>
  <c r="K948" i="3"/>
  <c r="T967" i="3"/>
  <c r="O822" i="3"/>
  <c r="V874" i="3"/>
  <c r="T920" i="3"/>
  <c r="O957" i="3"/>
  <c r="V980" i="3"/>
  <c r="N654" i="3"/>
  <c r="L758" i="3"/>
  <c r="S752" i="3"/>
  <c r="P737" i="3"/>
  <c r="K671" i="3"/>
  <c r="T696" i="3"/>
  <c r="P829" i="3"/>
  <c r="J883" i="3"/>
  <c r="P933" i="3"/>
  <c r="R778" i="3"/>
  <c r="T854" i="3"/>
  <c r="M905" i="3"/>
  <c r="T958" i="3"/>
  <c r="S796" i="3"/>
  <c r="Q858" i="3"/>
  <c r="O680" i="3"/>
  <c r="V685" i="3"/>
  <c r="S823" i="3"/>
  <c r="M877" i="3"/>
  <c r="T930" i="3"/>
  <c r="T688" i="3"/>
  <c r="P827" i="3"/>
  <c r="N877" i="3"/>
  <c r="Q910" i="3"/>
  <c r="M930" i="3"/>
  <c r="V949" i="3"/>
  <c r="R969" i="3"/>
  <c r="N827" i="3"/>
  <c r="U879" i="3"/>
  <c r="P924" i="3"/>
  <c r="M960" i="3"/>
  <c r="T982" i="3"/>
  <c r="R997" i="3"/>
  <c r="V816" i="3"/>
  <c r="V664" i="3"/>
  <c r="U835" i="3"/>
  <c r="M888" i="3"/>
  <c r="S930" i="3"/>
  <c r="L965" i="3"/>
  <c r="V985" i="3"/>
  <c r="N846" i="3"/>
  <c r="O969" i="3"/>
  <c r="N886" i="3"/>
  <c r="Q727" i="3"/>
  <c r="T845" i="3"/>
  <c r="N898" i="3"/>
  <c r="N938" i="3"/>
  <c r="V969" i="3"/>
  <c r="R986" i="3"/>
  <c r="Q999" i="3"/>
  <c r="L869" i="3"/>
  <c r="U958" i="3"/>
  <c r="S993" i="3"/>
  <c r="U926" i="3"/>
  <c r="M668" i="3"/>
  <c r="T817" i="3"/>
  <c r="Q852" i="3"/>
  <c r="T888" i="3"/>
  <c r="R917" i="3"/>
  <c r="P943" i="3"/>
  <c r="P965" i="3"/>
  <c r="N979" i="3"/>
  <c r="M992" i="3"/>
  <c r="P836" i="3"/>
  <c r="U952" i="3"/>
  <c r="V673" i="3"/>
  <c r="K998" i="3"/>
  <c r="M840" i="3"/>
  <c r="M980" i="3"/>
  <c r="U746" i="3"/>
  <c r="Q823" i="3"/>
  <c r="S849" i="3"/>
  <c r="V875" i="3"/>
  <c r="T901" i="3"/>
  <c r="P921" i="3"/>
  <c r="L941" i="3"/>
  <c r="J958" i="3"/>
  <c r="P971" i="3"/>
  <c r="N981" i="3"/>
  <c r="L991" i="3"/>
  <c r="U553" i="3"/>
  <c r="S780" i="3"/>
  <c r="U831" i="3"/>
  <c r="K858" i="3"/>
  <c r="P884" i="3"/>
  <c r="L908" i="3"/>
  <c r="U927" i="3"/>
  <c r="M947" i="3"/>
  <c r="J963" i="3"/>
  <c r="R974" i="3"/>
  <c r="M999" i="3"/>
  <c r="L896" i="3"/>
  <c r="J987" i="3"/>
  <c r="P857" i="3"/>
  <c r="J967" i="3"/>
  <c r="K994" i="3"/>
  <c r="P849" i="3"/>
  <c r="P848" i="3"/>
  <c r="R690" i="3"/>
  <c r="R866" i="3"/>
  <c r="K990" i="3"/>
  <c r="L760" i="3"/>
  <c r="S826" i="3"/>
  <c r="M879" i="3"/>
  <c r="M904" i="3"/>
  <c r="V923" i="3"/>
  <c r="R943" i="3"/>
  <c r="V959" i="3"/>
  <c r="S972" i="3"/>
  <c r="Q982" i="3"/>
  <c r="O992" i="3"/>
  <c r="Y992" i="3" s="1"/>
  <c r="T656" i="3"/>
  <c r="J794" i="3"/>
  <c r="M835" i="3"/>
  <c r="O861" i="3"/>
  <c r="R910" i="3"/>
  <c r="N930" i="3"/>
  <c r="L949" i="3"/>
  <c r="V964" i="3"/>
  <c r="U975" i="3"/>
  <c r="N733" i="3"/>
  <c r="R909" i="3"/>
  <c r="T993" i="3"/>
  <c r="O994" i="3"/>
  <c r="Y994" i="3" s="1"/>
  <c r="L925" i="3"/>
  <c r="U960" i="3"/>
  <c r="N973" i="3"/>
  <c r="L983" i="3"/>
  <c r="J673" i="3"/>
  <c r="O800" i="3"/>
  <c r="T836" i="3"/>
  <c r="J863" i="3"/>
  <c r="O889" i="3"/>
  <c r="Y889" i="3" s="1"/>
  <c r="Q931" i="3"/>
  <c r="M950" i="3"/>
  <c r="S965" i="3"/>
  <c r="P976" i="3"/>
  <c r="R761" i="3"/>
  <c r="M918" i="3"/>
  <c r="P997" i="3"/>
  <c r="V778" i="3"/>
  <c r="O783" i="3"/>
  <c r="Y783" i="3" s="1"/>
  <c r="O772" i="3"/>
  <c r="L757" i="3"/>
  <c r="U685" i="3"/>
  <c r="S733" i="3"/>
  <c r="S838" i="3"/>
  <c r="L889" i="3"/>
  <c r="S942" i="3"/>
  <c r="M803" i="3"/>
  <c r="V860" i="3"/>
  <c r="P914" i="3"/>
  <c r="M592" i="3"/>
  <c r="U811" i="3"/>
  <c r="T867" i="3"/>
  <c r="N717" i="3"/>
  <c r="Q710" i="3"/>
  <c r="V832" i="3"/>
  <c r="P886" i="3"/>
  <c r="V936" i="3"/>
  <c r="S725" i="3"/>
  <c r="S836" i="3"/>
  <c r="U882" i="3"/>
  <c r="R913" i="3"/>
  <c r="N933" i="3"/>
  <c r="J953" i="3"/>
  <c r="M663" i="3"/>
  <c r="Q835" i="3"/>
  <c r="L888" i="3"/>
  <c r="R930" i="3"/>
  <c r="K965" i="3"/>
  <c r="U985" i="3"/>
  <c r="T928" i="3"/>
  <c r="N858" i="3"/>
  <c r="K716" i="3"/>
  <c r="V843" i="3"/>
  <c r="P896" i="3"/>
  <c r="U936" i="3"/>
  <c r="L969" i="3"/>
  <c r="J989" i="3"/>
  <c r="Q867" i="3"/>
  <c r="U981" i="3"/>
  <c r="L923" i="3"/>
  <c r="P764" i="3"/>
  <c r="J854" i="3"/>
  <c r="K905" i="3"/>
  <c r="P944" i="3"/>
  <c r="K973" i="3"/>
  <c r="U987" i="3"/>
  <c r="L609" i="3"/>
  <c r="V883" i="3"/>
  <c r="T964" i="3"/>
  <c r="R562" i="3"/>
  <c r="N945" i="3"/>
  <c r="J689" i="3"/>
  <c r="J823" i="3"/>
  <c r="V891" i="3"/>
  <c r="N921" i="3"/>
  <c r="V946" i="3"/>
  <c r="L981" i="3"/>
  <c r="T963" i="3"/>
  <c r="K853" i="3"/>
  <c r="N679" i="3"/>
  <c r="Q805" i="3"/>
  <c r="K792" i="3"/>
  <c r="U776" i="3"/>
  <c r="J700" i="3"/>
  <c r="S748" i="3"/>
  <c r="R843" i="3"/>
  <c r="K894" i="3"/>
  <c r="Q516" i="3"/>
  <c r="S813" i="3"/>
  <c r="U865" i="3"/>
  <c r="O919" i="3"/>
  <c r="Y919" i="3" s="1"/>
  <c r="N666" i="3"/>
  <c r="L819" i="3"/>
  <c r="S872" i="3"/>
  <c r="J737" i="3"/>
  <c r="M730" i="3"/>
  <c r="U837" i="3"/>
  <c r="O891" i="3"/>
  <c r="Y891" i="3" s="1"/>
  <c r="U941" i="3"/>
  <c r="Q743" i="3"/>
  <c r="R841" i="3"/>
  <c r="L887" i="3"/>
  <c r="P915" i="3"/>
  <c r="L935" i="3"/>
  <c r="U954" i="3"/>
  <c r="Q695" i="3"/>
  <c r="P840" i="3"/>
  <c r="K893" i="3"/>
  <c r="N934" i="3"/>
  <c r="Q967" i="3"/>
  <c r="S987" i="3"/>
  <c r="N966" i="3"/>
  <c r="M891" i="3"/>
  <c r="S743" i="3"/>
  <c r="U848" i="3"/>
  <c r="L901" i="3"/>
  <c r="Q940" i="3"/>
  <c r="L971" i="3"/>
  <c r="U990" i="3"/>
  <c r="T880" i="3"/>
  <c r="U989" i="3"/>
  <c r="K944" i="3"/>
  <c r="L784" i="3"/>
  <c r="V858" i="3"/>
  <c r="T908" i="3"/>
  <c r="T947" i="3"/>
  <c r="V974" i="3"/>
  <c r="S989" i="3"/>
  <c r="M746" i="3"/>
  <c r="S898" i="3"/>
  <c r="U973" i="3"/>
  <c r="N781" i="3"/>
  <c r="L961" i="3"/>
  <c r="Q718" i="3"/>
  <c r="N826" i="3"/>
  <c r="O862" i="3"/>
  <c r="U896" i="3"/>
  <c r="T923" i="3"/>
  <c r="T949" i="3"/>
  <c r="N969" i="3"/>
  <c r="O982" i="3"/>
  <c r="V995" i="3"/>
  <c r="K874" i="3"/>
  <c r="O971" i="3"/>
  <c r="S897" i="3"/>
  <c r="P700" i="3"/>
  <c r="S874" i="3"/>
  <c r="Q766" i="3"/>
  <c r="P828" i="3"/>
  <c r="R854" i="3"/>
  <c r="U880" i="3"/>
  <c r="P905" i="3"/>
  <c r="U944" i="3"/>
  <c r="J993" i="3"/>
  <c r="U911" i="3"/>
  <c r="K742" i="3"/>
  <c r="O559" i="3"/>
  <c r="L497" i="3"/>
  <c r="J791" i="3"/>
  <c r="K711" i="3"/>
  <c r="N773" i="3"/>
  <c r="T849" i="3"/>
  <c r="N903" i="3"/>
  <c r="T525" i="3"/>
  <c r="N689" i="3"/>
  <c r="O678" i="3"/>
  <c r="Y678" i="3" s="1"/>
  <c r="M816" i="3"/>
  <c r="L730" i="3"/>
  <c r="U802" i="3"/>
  <c r="V863" i="3"/>
  <c r="P917" i="3"/>
  <c r="R721" i="3"/>
  <c r="S835" i="3"/>
  <c r="M889" i="3"/>
  <c r="S939" i="3"/>
  <c r="J746" i="3"/>
  <c r="Q842" i="3"/>
  <c r="J893" i="3"/>
  <c r="L792" i="3"/>
  <c r="U795" i="3"/>
  <c r="L858" i="3"/>
  <c r="S911" i="3"/>
  <c r="M965" i="3"/>
  <c r="S797" i="3"/>
  <c r="V861" i="3"/>
  <c r="Q902" i="3"/>
  <c r="P923" i="3"/>
  <c r="L943" i="3"/>
  <c r="U962" i="3"/>
  <c r="P795" i="3"/>
  <c r="T861" i="3"/>
  <c r="V910" i="3"/>
  <c r="P949" i="3"/>
  <c r="J976" i="3"/>
  <c r="S995" i="3"/>
  <c r="L980" i="3"/>
  <c r="P973" i="3"/>
  <c r="N817" i="3"/>
  <c r="N870" i="3"/>
  <c r="L917" i="3"/>
  <c r="Q954" i="3"/>
  <c r="L979" i="3"/>
  <c r="L720" i="3"/>
  <c r="P932" i="3"/>
  <c r="T703" i="3"/>
  <c r="M996" i="3"/>
  <c r="U827" i="3"/>
  <c r="M880" i="3"/>
  <c r="T924" i="3"/>
  <c r="Q960" i="3"/>
  <c r="S981" i="3"/>
  <c r="R994" i="3"/>
  <c r="Q831" i="3"/>
  <c r="J930" i="3"/>
  <c r="V992" i="3"/>
  <c r="T869" i="3"/>
  <c r="T985" i="3"/>
  <c r="L778" i="3"/>
  <c r="Q839" i="3"/>
  <c r="Q875" i="3"/>
  <c r="T907" i="3"/>
  <c r="R933" i="3"/>
  <c r="S957" i="3"/>
  <c r="O974" i="3"/>
  <c r="N987" i="3"/>
  <c r="U1000" i="3"/>
  <c r="V918" i="3"/>
  <c r="K991" i="3"/>
  <c r="M968" i="3"/>
  <c r="L978" i="3"/>
  <c r="R941" i="3"/>
  <c r="P691" i="3"/>
  <c r="T810" i="3"/>
  <c r="U839" i="3"/>
  <c r="K866" i="3"/>
  <c r="P892" i="3"/>
  <c r="K914" i="3"/>
  <c r="T933" i="3"/>
  <c r="K952" i="3"/>
  <c r="N967" i="3"/>
  <c r="R977" i="3"/>
  <c r="P987" i="3"/>
  <c r="N997" i="3"/>
  <c r="N741" i="3"/>
  <c r="J822" i="3"/>
  <c r="M848" i="3"/>
  <c r="R874" i="3"/>
  <c r="T900" i="3"/>
  <c r="V783" i="3"/>
  <c r="N677" i="3"/>
  <c r="P692" i="3"/>
  <c r="V757" i="3"/>
  <c r="L768" i="3"/>
  <c r="M938" i="3"/>
  <c r="K901" i="3"/>
  <c r="P982" i="3"/>
  <c r="N907" i="3"/>
  <c r="L904" i="3"/>
  <c r="M867" i="3"/>
  <c r="Q991" i="3"/>
  <c r="O830" i="3"/>
  <c r="S865" i="3"/>
  <c r="N971" i="3"/>
  <c r="T978" i="3"/>
  <c r="M536" i="3"/>
  <c r="L884" i="3"/>
  <c r="J955" i="3"/>
  <c r="M986" i="3"/>
  <c r="U810" i="3"/>
  <c r="Q879" i="3"/>
  <c r="L924" i="3"/>
  <c r="K960" i="3"/>
  <c r="T988" i="3"/>
  <c r="O978" i="3"/>
  <c r="Y978" i="3" s="1"/>
  <c r="N664" i="3"/>
  <c r="J697" i="3"/>
  <c r="L712" i="3"/>
  <c r="M771" i="3"/>
  <c r="M781" i="3"/>
  <c r="K940" i="3"/>
  <c r="T904" i="3"/>
  <c r="P990" i="3"/>
  <c r="J911" i="3"/>
  <c r="J914" i="3"/>
  <c r="L872" i="3"/>
  <c r="T992" i="3"/>
  <c r="T856" i="3"/>
  <c r="R870" i="3"/>
  <c r="Q972" i="3"/>
  <c r="L986" i="3"/>
  <c r="L671" i="3"/>
  <c r="K889" i="3"/>
  <c r="V962" i="3"/>
  <c r="N989" i="3"/>
  <c r="R818" i="3"/>
  <c r="R887" i="3"/>
  <c r="J934" i="3"/>
  <c r="O967" i="3"/>
  <c r="Y967" i="3" s="1"/>
  <c r="S807" i="3"/>
  <c r="M934" i="3"/>
  <c r="K857" i="3"/>
  <c r="Q895" i="3"/>
  <c r="R722" i="3"/>
  <c r="L955" i="3"/>
  <c r="Q767" i="3"/>
  <c r="R992" i="3"/>
  <c r="J997" i="3"/>
  <c r="V984" i="3"/>
  <c r="V921" i="3"/>
  <c r="O984" i="3"/>
  <c r="P920" i="3"/>
  <c r="P641" i="3"/>
  <c r="Q821" i="3"/>
  <c r="O828" i="3"/>
  <c r="Y828" i="3" s="1"/>
  <c r="K847" i="3"/>
  <c r="T847" i="3"/>
  <c r="V957" i="3"/>
  <c r="P940" i="3"/>
  <c r="K928" i="3"/>
  <c r="R946" i="3"/>
  <c r="O981" i="3"/>
  <c r="Y981" i="3" s="1"/>
  <c r="V914" i="3"/>
  <c r="V798" i="3"/>
  <c r="P967" i="3"/>
  <c r="R901" i="3"/>
  <c r="M984" i="3"/>
  <c r="O924" i="3"/>
  <c r="U779" i="3"/>
  <c r="V907" i="3"/>
  <c r="R965" i="3"/>
  <c r="M994" i="3"/>
  <c r="V826" i="3"/>
  <c r="Q892" i="3"/>
  <c r="S937" i="3"/>
  <c r="Q969" i="3"/>
  <c r="K837" i="3"/>
  <c r="R786" i="3"/>
  <c r="J897" i="3"/>
  <c r="K976" i="3"/>
  <c r="S917" i="3"/>
  <c r="J999" i="3"/>
  <c r="Q836" i="3"/>
  <c r="O976" i="3"/>
  <c r="L853" i="3"/>
  <c r="L952" i="3"/>
  <c r="T931" i="3"/>
  <c r="S854" i="3"/>
  <c r="M754" i="3"/>
  <c r="Q918" i="3"/>
  <c r="T990" i="3"/>
  <c r="Q994" i="3"/>
  <c r="J978" i="3"/>
  <c r="R980" i="3"/>
  <c r="U951" i="3"/>
  <c r="J858" i="3"/>
  <c r="L947" i="3"/>
  <c r="N866" i="3"/>
  <c r="Q979" i="3"/>
  <c r="M908" i="3"/>
  <c r="J956" i="3"/>
  <c r="O920" i="3"/>
  <c r="Y920" i="3" s="1"/>
  <c r="J862" i="3"/>
  <c r="U979" i="3"/>
  <c r="O905" i="3"/>
  <c r="V862" i="3"/>
  <c r="J761" i="3"/>
  <c r="M983" i="3"/>
  <c r="L805" i="3"/>
  <c r="P826" i="3"/>
  <c r="N833" i="3"/>
  <c r="J852" i="3"/>
  <c r="S852" i="3"/>
  <c r="T959" i="3"/>
  <c r="L944" i="3"/>
  <c r="N947" i="3"/>
  <c r="R949" i="3"/>
  <c r="U991" i="3"/>
  <c r="R918" i="3"/>
  <c r="M823" i="3"/>
  <c r="V975" i="3"/>
  <c r="K904" i="3"/>
  <c r="K986" i="3"/>
  <c r="M956" i="3"/>
  <c r="Q799" i="3"/>
  <c r="R911" i="3"/>
  <c r="P969" i="3"/>
  <c r="K996" i="3"/>
  <c r="L840" i="3"/>
  <c r="P897" i="3"/>
  <c r="L940" i="3"/>
  <c r="V970" i="3"/>
  <c r="U851" i="3"/>
  <c r="L999" i="3"/>
  <c r="U943" i="3"/>
  <c r="K873" i="3"/>
  <c r="J880" i="3"/>
  <c r="P902" i="3"/>
  <c r="K796" i="3"/>
  <c r="R955" i="3"/>
  <c r="L931" i="3"/>
  <c r="L920" i="3"/>
  <c r="N931" i="3"/>
  <c r="K693" i="3"/>
  <c r="N914" i="3"/>
  <c r="S977" i="3"/>
  <c r="R928" i="3"/>
  <c r="K951" i="3"/>
  <c r="T848" i="3"/>
  <c r="P812" i="3"/>
  <c r="M831" i="3"/>
  <c r="J901" i="3"/>
  <c r="P979" i="3"/>
  <c r="J918" i="3"/>
  <c r="M952" i="3"/>
  <c r="Q933" i="3"/>
  <c r="S853" i="3"/>
  <c r="Q819" i="3"/>
  <c r="S954" i="3"/>
  <c r="K950" i="3"/>
  <c r="M871" i="3"/>
  <c r="J965" i="3"/>
  <c r="M725" i="3"/>
  <c r="K875" i="3"/>
  <c r="V881" i="3"/>
  <c r="Q897" i="3"/>
  <c r="S892" i="3"/>
  <c r="K743" i="3"/>
  <c r="K971" i="3"/>
  <c r="O776" i="3"/>
  <c r="M974" i="3"/>
  <c r="J971" i="3"/>
  <c r="S952" i="3"/>
  <c r="R906" i="3"/>
  <c r="O745" i="3"/>
  <c r="Y745" i="3" s="1"/>
  <c r="P927" i="3"/>
  <c r="L997" i="3"/>
  <c r="M779" i="3"/>
  <c r="R831" i="3"/>
  <c r="R927" i="3"/>
  <c r="Q974" i="3"/>
  <c r="K845" i="3"/>
  <c r="P904" i="3"/>
  <c r="T972" i="3"/>
  <c r="U886" i="3"/>
  <c r="V972" i="3"/>
  <c r="R979" i="3"/>
  <c r="P758" i="3"/>
  <c r="T762" i="3"/>
  <c r="L836" i="3"/>
  <c r="K957" i="3"/>
  <c r="Y13" i="3"/>
  <c r="Y37" i="3"/>
  <c r="Y10" i="3"/>
  <c r="Y31" i="3"/>
  <c r="Y47" i="3"/>
  <c r="Y55" i="3"/>
  <c r="Y58" i="3"/>
  <c r="Y74" i="3"/>
  <c r="Y19" i="3"/>
  <c r="Y33" i="3"/>
  <c r="Y85" i="3"/>
  <c r="Y101" i="3"/>
  <c r="Y125" i="3"/>
  <c r="Y56" i="3"/>
  <c r="Y119" i="3"/>
  <c r="Y9" i="3"/>
  <c r="Y63" i="3"/>
  <c r="Y14" i="3"/>
  <c r="Y57" i="3"/>
  <c r="Y88" i="3"/>
  <c r="Y123" i="3"/>
  <c r="Y61" i="3"/>
  <c r="Y136" i="3"/>
  <c r="Y120" i="3"/>
  <c r="Y54" i="3"/>
  <c r="Y71" i="3"/>
  <c r="Y82" i="3"/>
  <c r="Y51" i="3"/>
  <c r="Y144" i="3"/>
  <c r="Y153" i="3"/>
  <c r="Y174" i="3"/>
  <c r="Y96" i="3"/>
  <c r="Y142" i="3"/>
  <c r="Y163" i="3"/>
  <c r="Y121" i="3"/>
  <c r="Y134" i="3"/>
  <c r="Y152" i="3"/>
  <c r="Y168" i="3"/>
  <c r="Y176" i="3"/>
  <c r="Y192" i="3"/>
  <c r="Y104" i="3"/>
  <c r="Y149" i="3"/>
  <c r="Y94" i="3"/>
  <c r="Y122" i="3"/>
  <c r="Y135" i="3"/>
  <c r="Y164" i="3"/>
  <c r="Y172" i="3"/>
  <c r="Y189" i="3"/>
  <c r="Y199" i="3"/>
  <c r="Y223" i="3"/>
  <c r="Y255" i="3"/>
  <c r="Y98" i="3"/>
  <c r="Y183" i="3"/>
  <c r="Y212" i="3"/>
  <c r="Y236" i="3"/>
  <c r="Y244" i="3"/>
  <c r="Y181" i="3"/>
  <c r="Y201" i="3"/>
  <c r="Y217" i="3"/>
  <c r="Y257" i="3"/>
  <c r="Y151" i="3"/>
  <c r="Y230" i="3"/>
  <c r="Y238" i="3"/>
  <c r="Y154" i="3"/>
  <c r="Y190" i="3"/>
  <c r="Y211" i="3"/>
  <c r="Y219" i="3"/>
  <c r="Y105" i="3"/>
  <c r="Y159" i="3"/>
  <c r="Y175" i="3"/>
  <c r="Y180" i="3"/>
  <c r="Y195" i="3"/>
  <c r="Y208" i="3"/>
  <c r="Y216" i="3"/>
  <c r="Y186" i="3"/>
  <c r="Y197" i="3"/>
  <c r="Y205" i="3"/>
  <c r="Y178" i="3"/>
  <c r="Y235" i="3"/>
  <c r="Y267" i="3"/>
  <c r="Y275" i="3"/>
  <c r="Y299" i="3"/>
  <c r="Y315" i="3"/>
  <c r="Y323" i="3"/>
  <c r="Y240" i="3"/>
  <c r="Y280" i="3"/>
  <c r="Y288" i="3"/>
  <c r="Y304" i="3"/>
  <c r="Y312" i="3"/>
  <c r="Y328" i="3"/>
  <c r="Y218" i="3"/>
  <c r="Y229" i="3"/>
  <c r="Y262" i="3"/>
  <c r="Y277" i="3"/>
  <c r="Y285" i="3"/>
  <c r="Y293" i="3"/>
  <c r="Y317" i="3"/>
  <c r="Y325" i="3"/>
  <c r="Y333" i="3"/>
  <c r="Y246" i="3"/>
  <c r="Y274" i="3"/>
  <c r="Y298" i="3"/>
  <c r="Y306" i="3"/>
  <c r="Y314" i="3"/>
  <c r="Y227" i="3"/>
  <c r="Y251" i="3"/>
  <c r="Y254" i="3"/>
  <c r="Y279" i="3"/>
  <c r="Y287" i="3"/>
  <c r="Y256" i="3"/>
  <c r="Y268" i="3"/>
  <c r="Y292" i="3"/>
  <c r="Y300" i="3"/>
  <c r="Y237" i="3"/>
  <c r="Y258" i="3"/>
  <c r="Y263" i="3"/>
  <c r="Y265" i="3"/>
  <c r="Y273" i="3"/>
  <c r="Y357" i="3"/>
  <c r="Y365" i="3"/>
  <c r="Y373" i="3"/>
  <c r="Y294" i="3"/>
  <c r="Y329" i="3"/>
  <c r="Y343" i="3"/>
  <c r="Y351" i="3"/>
  <c r="Y367" i="3"/>
  <c r="Y383" i="3"/>
  <c r="Y242" i="3"/>
  <c r="Y297" i="3"/>
  <c r="Y308" i="3"/>
  <c r="Y348" i="3"/>
  <c r="Y356" i="3"/>
  <c r="Y388" i="3"/>
  <c r="Y191" i="3"/>
  <c r="Y270" i="3"/>
  <c r="Y313" i="3"/>
  <c r="Y337" i="3"/>
  <c r="Y353" i="3"/>
  <c r="Y361" i="3"/>
  <c r="Y318" i="3"/>
  <c r="Y335" i="3"/>
  <c r="Y342" i="3"/>
  <c r="Y366" i="3"/>
  <c r="Y398" i="3"/>
  <c r="Y281" i="3"/>
  <c r="Y354" i="3"/>
  <c r="Y387" i="3"/>
  <c r="Y402" i="3"/>
  <c r="Y415" i="3"/>
  <c r="Y423" i="3"/>
  <c r="Y431" i="3"/>
  <c r="Y439" i="3"/>
  <c r="Y463" i="3"/>
  <c r="Y471" i="3"/>
  <c r="Y346" i="3"/>
  <c r="Y379" i="3"/>
  <c r="Y392" i="3"/>
  <c r="Y401" i="3"/>
  <c r="Y412" i="3"/>
  <c r="Y436" i="3"/>
  <c r="Y468" i="3"/>
  <c r="Y324" i="3"/>
  <c r="Y371" i="3"/>
  <c r="Y410" i="3"/>
  <c r="Y417" i="3"/>
  <c r="Y433" i="3"/>
  <c r="Y441" i="3"/>
  <c r="Y363" i="3"/>
  <c r="Y376" i="3"/>
  <c r="Y422" i="3"/>
  <c r="Y454" i="3"/>
  <c r="Y470" i="3"/>
  <c r="Y355" i="3"/>
  <c r="Y368" i="3"/>
  <c r="Y394" i="3"/>
  <c r="Y419" i="3"/>
  <c r="Y303" i="3"/>
  <c r="Y347" i="3"/>
  <c r="Y378" i="3"/>
  <c r="Y432" i="3"/>
  <c r="Y448" i="3"/>
  <c r="Y456" i="3"/>
  <c r="Y464" i="3"/>
  <c r="Y310" i="3"/>
  <c r="Y370" i="3"/>
  <c r="Y403" i="3"/>
  <c r="Y411" i="3"/>
  <c r="Y451" i="3"/>
  <c r="Y469" i="3"/>
  <c r="Y494" i="3"/>
  <c r="Y502" i="3"/>
  <c r="Y526" i="3"/>
  <c r="Y558" i="3"/>
  <c r="Y566" i="3"/>
  <c r="Y311" i="3"/>
  <c r="Y418" i="3"/>
  <c r="Y483" i="3"/>
  <c r="Y491" i="3"/>
  <c r="Y507" i="3"/>
  <c r="Y515" i="3"/>
  <c r="Y523" i="3"/>
  <c r="Y531" i="3"/>
  <c r="Y362" i="3"/>
  <c r="Y437" i="3"/>
  <c r="Y453" i="3"/>
  <c r="Y480" i="3"/>
  <c r="Y488" i="3"/>
  <c r="Y504" i="3"/>
  <c r="Y528" i="3"/>
  <c r="Y536" i="3"/>
  <c r="Y544" i="3"/>
  <c r="Y552" i="3"/>
  <c r="Y560" i="3"/>
  <c r="Y409" i="3"/>
  <c r="Y442" i="3"/>
  <c r="Y458" i="3"/>
  <c r="Y477" i="3"/>
  <c r="Y493" i="3"/>
  <c r="Y509" i="3"/>
  <c r="Y517" i="3"/>
  <c r="Y533" i="3"/>
  <c r="Y549" i="3"/>
  <c r="Y445" i="3"/>
  <c r="Y474" i="3"/>
  <c r="Y482" i="3"/>
  <c r="Y490" i="3"/>
  <c r="Y506" i="3"/>
  <c r="Y530" i="3"/>
  <c r="Y538" i="3"/>
  <c r="Y426" i="3"/>
  <c r="Y459" i="3"/>
  <c r="Y473" i="3"/>
  <c r="Y481" i="3"/>
  <c r="Y489" i="3"/>
  <c r="Y497" i="3"/>
  <c r="Y513" i="3"/>
  <c r="Y521" i="3"/>
  <c r="Y529" i="3"/>
  <c r="Y537" i="3"/>
  <c r="Y545" i="3"/>
  <c r="Y555" i="3"/>
  <c r="Y565" i="3"/>
  <c r="Y578" i="3"/>
  <c r="Y586" i="3"/>
  <c r="Y602" i="3"/>
  <c r="Y610" i="3"/>
  <c r="Y618" i="3"/>
  <c r="Y495" i="3"/>
  <c r="Y527" i="3"/>
  <c r="Y539" i="3"/>
  <c r="Y557" i="3"/>
  <c r="Y561" i="3"/>
  <c r="Y604" i="3"/>
  <c r="Y612" i="3"/>
  <c r="Y628" i="3"/>
  <c r="Y636" i="3"/>
  <c r="Y532" i="3"/>
  <c r="Y577" i="3"/>
  <c r="Y585" i="3"/>
  <c r="Y450" i="3"/>
  <c r="Y503" i="3"/>
  <c r="Y535" i="3"/>
  <c r="Y546" i="3"/>
  <c r="Y567" i="3"/>
  <c r="Y582" i="3"/>
  <c r="Y590" i="3"/>
  <c r="Y622" i="3"/>
  <c r="Y508" i="3"/>
  <c r="Y579" i="3"/>
  <c r="Y587" i="3"/>
  <c r="Y619" i="3"/>
  <c r="Y627" i="3"/>
  <c r="Y467" i="3"/>
  <c r="Y516" i="3"/>
  <c r="Y592" i="3"/>
  <c r="Y632" i="3"/>
  <c r="Y645" i="3"/>
  <c r="Y653" i="3"/>
  <c r="Y669" i="3"/>
  <c r="Y484" i="3"/>
  <c r="Y615" i="3"/>
  <c r="Y642" i="3"/>
  <c r="Y650" i="3"/>
  <c r="Y658" i="3"/>
  <c r="Y674" i="3"/>
  <c r="Y698" i="3"/>
  <c r="Y479" i="3"/>
  <c r="Y524" i="3"/>
  <c r="Y576" i="3"/>
  <c r="Y647" i="3"/>
  <c r="Y655" i="3"/>
  <c r="Y663" i="3"/>
  <c r="Y687" i="3"/>
  <c r="Y556" i="3"/>
  <c r="Y599" i="3"/>
  <c r="Y630" i="3"/>
  <c r="Y668" i="3"/>
  <c r="Y676" i="3"/>
  <c r="Y692" i="3"/>
  <c r="Y700" i="3"/>
  <c r="Y591" i="3"/>
  <c r="Y624" i="3"/>
  <c r="Y649" i="3"/>
  <c r="Y673" i="3"/>
  <c r="Y681" i="3"/>
  <c r="Y559" i="3"/>
  <c r="Y616" i="3"/>
  <c r="Y635" i="3"/>
  <c r="Y638" i="3"/>
  <c r="Y646" i="3"/>
  <c r="Y654" i="3"/>
  <c r="Y670" i="3"/>
  <c r="Y686" i="3"/>
  <c r="Y540" i="3"/>
  <c r="Y608" i="3"/>
  <c r="Y643" i="3"/>
  <c r="Y651" i="3"/>
  <c r="Y659" i="3"/>
  <c r="Y702" i="3"/>
  <c r="Y735" i="3"/>
  <c r="Y767" i="3"/>
  <c r="Y613" i="3"/>
  <c r="Y683" i="3"/>
  <c r="Y699" i="3"/>
  <c r="Y729" i="3"/>
  <c r="Y737" i="3"/>
  <c r="Y777" i="3"/>
  <c r="Y785" i="3"/>
  <c r="Y710" i="3"/>
  <c r="Y718" i="3"/>
  <c r="Y734" i="3"/>
  <c r="Y742" i="3"/>
  <c r="Y766" i="3"/>
  <c r="Y648" i="3"/>
  <c r="Y672" i="3"/>
  <c r="Y707" i="3"/>
  <c r="Y715" i="3"/>
  <c r="Y723" i="3"/>
  <c r="Y731" i="3"/>
  <c r="Y747" i="3"/>
  <c r="Y763" i="3"/>
  <c r="Y771" i="3"/>
  <c r="Y779" i="3"/>
  <c r="Y689" i="3"/>
  <c r="Y706" i="3"/>
  <c r="Y714" i="3"/>
  <c r="Y722" i="3"/>
  <c r="Y730" i="3"/>
  <c r="Y754" i="3"/>
  <c r="Y762" i="3"/>
  <c r="Y786" i="3"/>
  <c r="Y704" i="3"/>
  <c r="Y740" i="3"/>
  <c r="Y781" i="3"/>
  <c r="Y792" i="3"/>
  <c r="Y800" i="3"/>
  <c r="Y848" i="3"/>
  <c r="Y856" i="3"/>
  <c r="Y872" i="3"/>
  <c r="Y880" i="3"/>
  <c r="Y888" i="3"/>
  <c r="Y896" i="3"/>
  <c r="Y691" i="3"/>
  <c r="Y732" i="3"/>
  <c r="Y760" i="3"/>
  <c r="Y789" i="3"/>
  <c r="Y805" i="3"/>
  <c r="Y821" i="3"/>
  <c r="Y829" i="3"/>
  <c r="Y837" i="3"/>
  <c r="Y861" i="3"/>
  <c r="Y877" i="3"/>
  <c r="Y885" i="3"/>
  <c r="Y893" i="3"/>
  <c r="Y909" i="3"/>
  <c r="Y765" i="3"/>
  <c r="Y818" i="3"/>
  <c r="Y834" i="3"/>
  <c r="Y866" i="3"/>
  <c r="Y874" i="3"/>
  <c r="Y882" i="3"/>
  <c r="Y890" i="3"/>
  <c r="Y906" i="3"/>
  <c r="Y757" i="3"/>
  <c r="Y780" i="3"/>
  <c r="Y791" i="3"/>
  <c r="Y799" i="3"/>
  <c r="Y807" i="3"/>
  <c r="Y815" i="3"/>
  <c r="Y823" i="3"/>
  <c r="Y839" i="3"/>
  <c r="Y847" i="3"/>
  <c r="Y879" i="3"/>
  <c r="Y903" i="3"/>
  <c r="Y708" i="3"/>
  <c r="Y736" i="3"/>
  <c r="Y772" i="3"/>
  <c r="Y788" i="3"/>
  <c r="Y804" i="3"/>
  <c r="Y820" i="3"/>
  <c r="Y836" i="3"/>
  <c r="Y844" i="3"/>
  <c r="Y852" i="3"/>
  <c r="Y860" i="3"/>
  <c r="Y764" i="3"/>
  <c r="Y793" i="3"/>
  <c r="Y801" i="3"/>
  <c r="Y825" i="3"/>
  <c r="Y833" i="3"/>
  <c r="Y841" i="3"/>
  <c r="Y857" i="3"/>
  <c r="Y873" i="3"/>
  <c r="Y680" i="3"/>
  <c r="Y756" i="3"/>
  <c r="Y784" i="3"/>
  <c r="Y806" i="3"/>
  <c r="Y814" i="3"/>
  <c r="Y822" i="3"/>
  <c r="Y830" i="3"/>
  <c r="Y838" i="3"/>
  <c r="Y748" i="3"/>
  <c r="Y787" i="3"/>
  <c r="Y851" i="3"/>
  <c r="Y854" i="3"/>
  <c r="Y928" i="3"/>
  <c r="Y936" i="3"/>
  <c r="Y952" i="3"/>
  <c r="Y960" i="3"/>
  <c r="Y968" i="3"/>
  <c r="Y976" i="3"/>
  <c r="Y988" i="3"/>
  <c r="Y776" i="3"/>
  <c r="Y827" i="3"/>
  <c r="Y859" i="3"/>
  <c r="Y899" i="3"/>
  <c r="Y925" i="3"/>
  <c r="Y933" i="3"/>
  <c r="Y949" i="3"/>
  <c r="Y957" i="3"/>
  <c r="Y973" i="3"/>
  <c r="Y989" i="3"/>
  <c r="Y990" i="3"/>
  <c r="Y923" i="3"/>
  <c r="Y979" i="3"/>
  <c r="Y712" i="3"/>
  <c r="Y803" i="3"/>
  <c r="Y862" i="3"/>
  <c r="Y884" i="3"/>
  <c r="Y914" i="3"/>
  <c r="Y922" i="3"/>
  <c r="Y930" i="3"/>
  <c r="Y938" i="3"/>
  <c r="Y946" i="3"/>
  <c r="Y954" i="3"/>
  <c r="Y962" i="3"/>
  <c r="Y970" i="3"/>
  <c r="Y986" i="3"/>
  <c r="Y996" i="3"/>
  <c r="Y843" i="3"/>
  <c r="Y867" i="3"/>
  <c r="Y897" i="3"/>
  <c r="Y927" i="3"/>
  <c r="Y935" i="3"/>
  <c r="Y943" i="3"/>
  <c r="Y951" i="3"/>
  <c r="Y983" i="3"/>
  <c r="Y991" i="3"/>
  <c r="Y999" i="3"/>
  <c r="Y971" i="3"/>
  <c r="Y819" i="3"/>
  <c r="Y870" i="3"/>
  <c r="Y916" i="3"/>
  <c r="Y924" i="3"/>
  <c r="Y948" i="3"/>
  <c r="Y956" i="3"/>
  <c r="Y972" i="3"/>
  <c r="Y875" i="3"/>
  <c r="Y921" i="3"/>
  <c r="Y929" i="3"/>
  <c r="Y945" i="3"/>
  <c r="Y961" i="3"/>
  <c r="Y969" i="3"/>
  <c r="Y977" i="3"/>
  <c r="Y883" i="3"/>
  <c r="Y931" i="3"/>
  <c r="Y878" i="3"/>
  <c r="Y900" i="3"/>
  <c r="Y907" i="3"/>
  <c r="Y926" i="3"/>
  <c r="Y950" i="3"/>
  <c r="Y966" i="3"/>
  <c r="Y974" i="3"/>
  <c r="Y982" i="3"/>
  <c r="Y811" i="3"/>
  <c r="Y905" i="3"/>
  <c r="Y40" i="3"/>
  <c r="Y36" i="3"/>
  <c r="Y77" i="3"/>
  <c r="Y15" i="3"/>
  <c r="Y73" i="3"/>
  <c r="Y116" i="3"/>
  <c r="Y155" i="3"/>
  <c r="Y420" i="3"/>
  <c r="Y421" i="3"/>
  <c r="Y18" i="3"/>
  <c r="Y23" i="3"/>
  <c r="Y46" i="3"/>
  <c r="Y27" i="3"/>
  <c r="Y35" i="3"/>
  <c r="Y24" i="3"/>
  <c r="Y78" i="3"/>
  <c r="Y28" i="3"/>
  <c r="Y64" i="3"/>
  <c r="Y49" i="3"/>
  <c r="Y93" i="3"/>
  <c r="Y32" i="3"/>
  <c r="Y48" i="3"/>
  <c r="Y20" i="3"/>
  <c r="Y60" i="3"/>
  <c r="Y68" i="3"/>
  <c r="Y41" i="3"/>
  <c r="Y81" i="3"/>
  <c r="Y92" i="3"/>
  <c r="Y128" i="3"/>
  <c r="Y109" i="3"/>
  <c r="Y117" i="3"/>
  <c r="Y141" i="3"/>
  <c r="Y29" i="3"/>
  <c r="Y90" i="3"/>
  <c r="Y124" i="3"/>
  <c r="Y113" i="3"/>
  <c r="Y129" i="3"/>
  <c r="Y102" i="3"/>
  <c r="Y106" i="3"/>
  <c r="Y160" i="3"/>
  <c r="Y184" i="3"/>
  <c r="Y89" i="3"/>
  <c r="Y111" i="3"/>
  <c r="Y157" i="3"/>
  <c r="Y173" i="3"/>
  <c r="Y114" i="3"/>
  <c r="Y146" i="3"/>
  <c r="Y188" i="3"/>
  <c r="Y103" i="3"/>
  <c r="Y185" i="3"/>
  <c r="Y193" i="3"/>
  <c r="R17" i="1"/>
  <c r="Y118" i="3"/>
  <c r="Y138" i="3"/>
  <c r="Y130" i="3"/>
  <c r="Y162" i="3"/>
  <c r="Y248" i="3"/>
  <c r="Y264" i="3"/>
  <c r="Y360" i="3"/>
  <c r="Y91" i="3"/>
  <c r="Y145" i="3"/>
  <c r="Y213" i="3"/>
  <c r="Y253" i="3"/>
  <c r="Y309" i="3"/>
  <c r="Y341" i="3"/>
  <c r="Y349" i="3"/>
  <c r="Y75" i="3"/>
  <c r="Y86" i="3"/>
  <c r="Y110" i="3"/>
  <c r="Y220" i="3"/>
  <c r="Y228" i="3"/>
  <c r="Y276" i="3"/>
  <c r="Y21" i="3"/>
  <c r="Y131" i="3"/>
  <c r="Y207" i="3"/>
  <c r="Y225" i="3"/>
  <c r="Y241" i="3"/>
  <c r="Y249" i="3"/>
  <c r="Y321" i="3"/>
  <c r="Y206" i="3"/>
  <c r="Y222" i="3"/>
  <c r="Y143" i="3"/>
  <c r="Y179" i="3"/>
  <c r="Y182" i="3"/>
  <c r="Y290" i="3"/>
  <c r="Y416" i="3"/>
  <c r="Y231" i="3"/>
  <c r="Y247" i="3"/>
  <c r="Y327" i="3"/>
  <c r="Y413" i="3"/>
  <c r="Y107" i="3"/>
  <c r="Y158" i="3"/>
  <c r="Y234" i="3"/>
  <c r="Y250" i="3"/>
  <c r="Y282" i="3"/>
  <c r="Y171" i="3"/>
  <c r="Y203" i="3"/>
  <c r="Y271" i="3"/>
  <c r="Y385" i="3"/>
  <c r="Y390" i="3"/>
  <c r="Y438" i="3"/>
  <c r="Y487" i="3"/>
  <c r="Y427" i="3"/>
  <c r="Y505" i="3"/>
  <c r="Y633" i="3"/>
  <c r="Y399" i="3"/>
  <c r="Y486" i="3"/>
  <c r="Y302" i="3"/>
  <c r="Y382" i="3"/>
  <c r="Y435" i="3"/>
  <c r="Y541" i="3"/>
  <c r="Y573" i="3"/>
  <c r="Y597" i="3"/>
  <c r="Y637" i="3"/>
  <c r="Y391" i="3"/>
  <c r="Y455" i="3"/>
  <c r="Y522" i="3"/>
  <c r="Y554" i="3"/>
  <c r="Y562" i="3"/>
  <c r="Y634" i="3"/>
  <c r="Y620" i="3"/>
  <c r="Y652" i="3"/>
  <c r="Y744" i="3"/>
  <c r="Y660" i="3"/>
  <c r="Y682" i="3"/>
  <c r="Y584" i="3"/>
  <c r="Y671" i="3"/>
  <c r="Y697" i="3"/>
  <c r="Y778" i="3"/>
  <c r="Y595" i="3"/>
  <c r="Y694" i="3"/>
  <c r="Y679" i="3"/>
  <c r="Y984" i="3"/>
  <c r="Y16" i="3"/>
  <c r="Y26" i="3"/>
  <c r="Y39" i="3"/>
  <c r="Y112" i="3"/>
  <c r="Y161" i="3"/>
  <c r="Y336" i="3"/>
  <c r="Y447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<sst xmlns="http://schemas.openxmlformats.org/spreadsheetml/2006/main" count="487" uniqueCount="280">
  <si>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</si>
  <si>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</si>
  <si>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</si>
  <si>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</si>
  <si>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</si>
  <si>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</si>
  <si>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</si>
  <si>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</si>
  <si>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</si>
  <si>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</si>
  <si>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</si>
  <si>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</si>
  <si>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</si>
  <si>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</si>
  <si>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</si>
  <si>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</si>
  <si>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</si>
  <si>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</si>
  <si>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</si>
  <si>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</si>
  <si>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</si>
  <si>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</si>
  <si>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</si>
  <si>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</si>
  <si>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</si>
  <si>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</si>
  <si>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</si>
  <si>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</si>
  <si>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</si>
  <si>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</si>
  <si>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</si>
  <si>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</si>
  <si>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</si>
  <si>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</si>
  <si>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</si>
  <si>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</si>
  <si>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</si>
  <si>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</si>
  <si>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</si>
  <si>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</si>
  <si>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</si>
  <si>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</si>
  <si>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</si>
  <si>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</si>
  <si>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</si>
  <si>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</si>
  <si>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</si>
  <si>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</si>
  <si>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</si>
  <si>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</si>
  <si>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</si>
  <si>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</si>
  <si>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</si>
  <si>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</si>
  <si>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</si>
  <si>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</si>
  <si>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</si>
  <si>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</si>
  <si>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</si>
  <si>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</si>
  <si>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</si>
  <si>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</si>
  <si>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</si>
  <si>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</si>
  <si>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</si>
  <si>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</si>
  <si>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</si>
  <si>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</si>
  <si>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</si>
  <si>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</si>
  <si>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</si>
  <si>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</si>
  <si>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</si>
  <si>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</si>
  <si>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</si>
  <si>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</si>
  <si>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</si>
  <si>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</si>
  <si>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</si>
  <si>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</si>
  <si>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</si>
  <si>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</si>
  <si>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</si>
  <si>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</si>
  <si>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</si>
  <si>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</si>
  <si>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</si>
  <si>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</si>
  <si>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</si>
  <si>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</si>
  <si>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</si>
  <si>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</si>
  <si>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</si>
  <si>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</si>
  <si>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</si>
  <si>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</si>
  <si>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</si>
  <si>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</si>
  <si>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</si>
  <si>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</si>
  <si>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</si>
  <si>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</si>
  <si>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</si>
  <si>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</si>
  <si>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</si>
  <si>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</si>
  <si>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</si>
  <si>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</si>
  <si>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</si>
  <si>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</si>
  <si>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</si>
  <si>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</si>
  <si>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</si>
  <si>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</si>
  <si>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</si>
  <si>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</si>
  <si>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</si>
  <si>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</si>
  <si>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</si>
  <si>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</si>
  <si>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</si>
  <si>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</si>
  <si>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</si>
  <si>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</si>
  <si>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</si>
  <si>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</si>
  <si>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</si>
  <si>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</si>
  <si>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</si>
  <si>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</si>
  <si>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</si>
  <si>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</si>
  <si>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</si>
  <si>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</si>
  <si>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</si>
  <si>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</si>
  <si>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</si>
  <si>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</si>
  <si>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</si>
  <si>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</si>
  <si>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</si>
  <si>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</si>
  <si>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</si>
  <si>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</si>
  <si>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</si>
  <si>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</si>
  <si>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</si>
  <si>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</si>
  <si>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</si>
  <si>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</si>
  <si>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</si>
  <si>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</si>
  <si>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</si>
  <si>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</si>
  <si>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</si>
  <si>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</si>
  <si>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</si>
  <si>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</si>
  <si>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</si>
  <si>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</si>
  <si>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</si>
  <si>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</si>
  <si>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</si>
  <si>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</si>
  <si>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</si>
  <si>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</si>
  <si>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</si>
  <si>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</si>
  <si>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</si>
  <si>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</si>
  <si>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</si>
  <si>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</si>
  <si>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</si>
  <si>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</si>
  <si>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</si>
  <si>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</si>
  <si>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</si>
  <si>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</si>
  <si>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</si>
  <si>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</si>
  <si>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</si>
  <si>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</si>
  <si>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</si>
  <si>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</si>
  <si>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</si>
  <si>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</si>
  <si>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</si>
  <si>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</si>
  <si>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</si>
  <si>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</si>
  <si>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</si>
  <si>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</si>
  <si>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</si>
  <si>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</si>
  <si>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</si>
  <si>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</si>
  <si>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</si>
  <si>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</si>
  <si>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</si>
  <si>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</si>
  <si>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</si>
  <si>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</si>
  <si>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</si>
  <si>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</si>
  <si>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</si>
  <si>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</si>
  <si>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</si>
  <si>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</si>
  <si>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</si>
  <si>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</si>
  <si>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</si>
  <si>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</si>
  <si>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</si>
  <si>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</si>
  <si>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</si>
  <si>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</si>
  <si>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</si>
  <si>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</si>
  <si>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</si>
  <si>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</si>
  <si>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</si>
  <si>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</si>
  <si>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</si>
  <si>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</si>
  <si>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</si>
  <si>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</si>
  <si>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</si>
  <si>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</si>
  <si>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</si>
  <si>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</si>
  <si>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</si>
  <si>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</si>
  <si>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</si>
  <si>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</si>
  <si>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</si>
  <si>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</si>
  <si>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</si>
  <si>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</si>
  <si>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</si>
  <si>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</si>
  <si>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</si>
  <si>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</si>
  <si>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</si>
  <si>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</si>
  <si>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</si>
  <si>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</si>
  <si>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</si>
  <si>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</si>
  <si>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</si>
  <si>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</si>
  <si>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</si>
  <si>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</si>
  <si>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</si>
  <si>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</si>
  <si>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</si>
  <si>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</si>
  <si>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</si>
  <si>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</si>
  <si>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</si>
  <si>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</si>
  <si>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</si>
  <si>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</si>
  <si>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</si>
  <si>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Green manure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</si>
  <si>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</si>
  <si>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</si>
  <si>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</si>
  <si>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</si>
  <si>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</si>
  <si>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</si>
  <si>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</si>
  <si>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</si>
  <si>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</si>
  <si>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Top15cm</t>
  </si>
  <si>
    <t>Top30cm</t>
  </si>
  <si>
    <t>linocln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</si>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</sst>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-18.909540535405917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24.028580578093901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79.272418392550591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18.096098369849908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51.645327690683061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General">
                  <c:v>1.3386898147826627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5.6843418860808015E-14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210.00000000000003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1.3386898147826627</c:v>
                </c:pt>
                <c:pt idx="43">
                  <c:v>1.3386898147826627</c:v>
                </c:pt>
                <c:pt idx="44">
                  <c:v>1.3386898147826627</c:v>
                </c:pt>
                <c:pt idx="45">
                  <c:v>1.3386898147826627</c:v>
                </c:pt>
                <c:pt idx="46">
                  <c:v>1.3386898147826627</c:v>
                </c:pt>
                <c:pt idx="47">
                  <c:v>1.3386898147826627</c:v>
                </c:pt>
                <c:pt idx="48">
                  <c:v>1.3386898147826627</c:v>
                </c:pt>
                <c:pt idx="49">
                  <c:v>1.3386898147826627</c:v>
                </c:pt>
                <c:pt idx="50">
                  <c:v>1.3386898147826627</c:v>
                </c:pt>
                <c:pt idx="51">
                  <c:v>1.3386898147826627</c:v>
                </c:pt>
                <c:pt idx="52">
                  <c:v>1.3386898147826627</c:v>
                </c:pt>
                <c:pt idx="53">
                  <c:v>1.3386898147826627</c:v>
                </c:pt>
                <c:pt idx="54">
                  <c:v>1.3386898147826627</c:v>
                </c:pt>
                <c:pt idx="55">
                  <c:v>1.3386898147826627</c:v>
                </c:pt>
                <c:pt idx="56">
                  <c:v>1.3386898147826627</c:v>
                </c:pt>
                <c:pt idx="57">
                  <c:v>1.3386898147826627</c:v>
                </c:pt>
                <c:pt idx="58">
                  <c:v>1.3386898147826627</c:v>
                </c:pt>
                <c:pt idx="59">
                  <c:v>1.3386898147826627</c:v>
                </c:pt>
                <c:pt idx="60">
                  <c:v>1.3386898147826627</c:v>
                </c:pt>
                <c:pt idx="61">
                  <c:v>1.3386898147826627</c:v>
                </c:pt>
                <c:pt idx="62">
                  <c:v>1.3386898147826627</c:v>
                </c:pt>
                <c:pt idx="63">
                  <c:v>1.3386898147826627</c:v>
                </c:pt>
                <c:pt idx="64">
                  <c:v>1.3386898147826627</c:v>
                </c:pt>
                <c:pt idx="65">
                  <c:v>1.3386898147826627</c:v>
                </c:pt>
                <c:pt idx="66">
                  <c:v>1.3386898147826627</c:v>
                </c:pt>
                <c:pt idx="67">
                  <c:v>1.3386898147826627</c:v>
                </c:pt>
                <c:pt idx="68">
                  <c:v>1.3386898147826627</c:v>
                </c:pt>
                <c:pt idx="69">
                  <c:v>1.3386898147826627</c:v>
                </c:pt>
                <c:pt idx="70">
                  <c:v>1.3386898147826627</c:v>
                </c:pt>
                <c:pt idx="71">
                  <c:v>1.3386898147826627</c:v>
                </c:pt>
                <c:pt idx="72">
                  <c:v>1.3386898147826627</c:v>
                </c:pt>
                <c:pt idx="73">
                  <c:v>1.3386898147826627</c:v>
                </c:pt>
                <c:pt idx="74">
                  <c:v>1.3386898147826627</c:v>
                </c:pt>
                <c:pt idx="75">
                  <c:v>1.3386898147826627</c:v>
                </c:pt>
                <c:pt idx="76">
                  <c:v>1.3386898147826627</c:v>
                </c:pt>
                <c:pt idx="77">
                  <c:v>1.3386898147826627</c:v>
                </c:pt>
                <c:pt idx="78">
                  <c:v>1.3386898147826627</c:v>
                </c:pt>
                <c:pt idx="79">
                  <c:v>1.3386898147826627</c:v>
                </c:pt>
                <c:pt idx="80">
                  <c:v>1.3386898147826627</c:v>
                </c:pt>
                <c:pt idx="81">
                  <c:v>1.3386898147826627</c:v>
                </c:pt>
                <c:pt idx="82">
                  <c:v>1.3386898147826627</c:v>
                </c:pt>
                <c:pt idx="83">
                  <c:v>1.3386898147826627</c:v>
                </c:pt>
                <c:pt idx="84">
                  <c:v>1.3386898147826627</c:v>
                </c:pt>
                <c:pt idx="85">
                  <c:v>1.3386898147826627</c:v>
                </c:pt>
                <c:pt idx="86">
                  <c:v>1.3386898147826627</c:v>
                </c:pt>
                <c:pt idx="87">
                  <c:v>1.3386898147826627</c:v>
                </c:pt>
                <c:pt idx="88">
                  <c:v>1.3386898147826627</c:v>
                </c:pt>
                <c:pt idx="89">
                  <c:v>1.3386898147826627</c:v>
                </c:pt>
                <c:pt idx="90">
                  <c:v>1.3386898147826627</c:v>
                </c:pt>
                <c:pt idx="91">
                  <c:v>1.3386898147826627</c:v>
                </c:pt>
                <c:pt idx="92">
                  <c:v>1.3386898147826627</c:v>
                </c:pt>
                <c:pt idx="93">
                  <c:v>1.3386898147826627</c:v>
                </c:pt>
                <c:pt idx="94">
                  <c:v>1.3386898147826627</c:v>
                </c:pt>
                <c:pt idx="95">
                  <c:v>1.3386898147826627</c:v>
                </c:pt>
                <c:pt idx="96">
                  <c:v>1.3386898147826627</c:v>
                </c:pt>
                <c:pt idx="97">
                  <c:v>1.3386898147826627</c:v>
                </c:pt>
                <c:pt idx="98">
                  <c:v>1.3386898147826627</c:v>
                </c:pt>
                <c:pt idx="99">
                  <c:v>1.3386898147826627</c:v>
                </c:pt>
                <c:pt idx="100">
                  <c:v>1.3386898147826627</c:v>
                </c:pt>
                <c:pt idx="101">
                  <c:v>1.3386898147826627</c:v>
                </c:pt>
                <c:pt idx="102">
                  <c:v>1.3386898147826627</c:v>
                </c:pt>
                <c:pt idx="103">
                  <c:v>1.3386898147826627</c:v>
                </c:pt>
                <c:pt idx="104">
                  <c:v>1.3386898147826627</c:v>
                </c:pt>
                <c:pt idx="105">
                  <c:v>1.3386898147826627</c:v>
                </c:pt>
                <c:pt idx="106">
                  <c:v>1.3386898147826627</c:v>
                </c:pt>
                <c:pt idx="107">
                  <c:v>1.3386898147826627</c:v>
                </c:pt>
                <c:pt idx="108">
                  <c:v>1.3386898147826627</c:v>
                </c:pt>
                <c:pt idx="109">
                  <c:v>1.3386898147826627</c:v>
                </c:pt>
                <c:pt idx="110">
                  <c:v>1.3386898147826627</c:v>
                </c:pt>
                <c:pt idx="111">
                  <c:v>1.3386898147826627</c:v>
                </c:pt>
                <c:pt idx="112">
                  <c:v>1.3386898147826627</c:v>
                </c:pt>
                <c:pt idx="113">
                  <c:v>1.3386898147826627</c:v>
                </c:pt>
                <c:pt idx="114">
                  <c:v>1.3386898147826627</c:v>
                </c:pt>
                <c:pt idx="115">
                  <c:v>1.3386898147826627</c:v>
                </c:pt>
                <c:pt idx="116">
                  <c:v>1.3386898147826627</c:v>
                </c:pt>
                <c:pt idx="117">
                  <c:v>1.3386898147826627</c:v>
                </c:pt>
                <c:pt idx="118">
                  <c:v>1.3386898147826627</c:v>
                </c:pt>
                <c:pt idx="119">
                  <c:v>1.3386898147826627</c:v>
                </c:pt>
                <c:pt idx="120">
                  <c:v>1.3386898147826627</c:v>
                </c:pt>
                <c:pt idx="121">
                  <c:v>1.3386898147826627</c:v>
                </c:pt>
                <c:pt idx="122">
                  <c:v>1.3386898147826627</c:v>
                </c:pt>
                <c:pt idx="123">
                  <c:v>1.3386898147826627</c:v>
                </c:pt>
                <c:pt idx="124">
                  <c:v>1.3386898147826627</c:v>
                </c:pt>
                <c:pt idx="125">
                  <c:v>1.3386898147826627</c:v>
                </c:pt>
                <c:pt idx="126">
                  <c:v>1.3386898147826627</c:v>
                </c:pt>
                <c:pt idx="127">
                  <c:v>1.3386898147826627</c:v>
                </c:pt>
                <c:pt idx="128">
                  <c:v>1.3386898147826627</c:v>
                </c:pt>
                <c:pt idx="129">
                  <c:v>1.3386898147826627</c:v>
                </c:pt>
                <c:pt idx="130">
                  <c:v>1.3386898147826627</c:v>
                </c:pt>
                <c:pt idx="131">
                  <c:v>1.3386898147826627</c:v>
                </c:pt>
                <c:pt idx="132">
                  <c:v>1.3386898147826627</c:v>
                </c:pt>
                <c:pt idx="133">
                  <c:v>1.3386898147826627</c:v>
                </c:pt>
                <c:pt idx="134">
                  <c:v>1.3386898147826627</c:v>
                </c:pt>
                <c:pt idx="135">
                  <c:v>1.3386898147826627</c:v>
                </c:pt>
                <c:pt idx="136">
                  <c:v>1.3386898147826627</c:v>
                </c:pt>
                <c:pt idx="137">
                  <c:v>1.3386898147826627</c:v>
                </c:pt>
                <c:pt idx="138">
                  <c:v>1.3386898147826627</c:v>
                </c:pt>
                <c:pt idx="139">
                  <c:v>1.3386898147826627</c:v>
                </c:pt>
                <c:pt idx="140">
                  <c:v>1.3386898147826627</c:v>
                </c:pt>
                <c:pt idx="141">
                  <c:v>1.3386898147826627</c:v>
                </c:pt>
                <c:pt idx="142">
                  <c:v>1.3386898147826627</c:v>
                </c:pt>
                <c:pt idx="143">
                  <c:v>1.3386898147826627</c:v>
                </c:pt>
                <c:pt idx="144">
                  <c:v>1.3386898147826627</c:v>
                </c:pt>
                <c:pt idx="145">
                  <c:v>1.3386898147826627</c:v>
                </c:pt>
                <c:pt idx="146">
                  <c:v>1.3386898147826627</c:v>
                </c:pt>
                <c:pt idx="147">
                  <c:v>1.3386898147826627</c:v>
                </c:pt>
                <c:pt idx="148">
                  <c:v>1.3386898147826627</c:v>
                </c:pt>
                <c:pt idx="149">
                  <c:v>1.3386898147826627</c:v>
                </c:pt>
                <c:pt idx="150">
                  <c:v>1.3386898147826627</c:v>
                </c:pt>
                <c:pt idx="151">
                  <c:v>1.3386898147826627</c:v>
                </c:pt>
                <c:pt idx="152">
                  <c:v>1.3386898147826627</c:v>
                </c:pt>
                <c:pt idx="153">
                  <c:v>1.3386898147826627</c:v>
                </c:pt>
                <c:pt idx="154">
                  <c:v>1.3386898147826627</c:v>
                </c:pt>
                <c:pt idx="155">
                  <c:v>1.3386898147826627</c:v>
                </c:pt>
                <c:pt idx="156">
                  <c:v>1.3386898147826627</c:v>
                </c:pt>
                <c:pt idx="157">
                  <c:v>1.3386898147826627</c:v>
                </c:pt>
                <c:pt idx="158">
                  <c:v>1.3386898147826627</c:v>
                </c:pt>
                <c:pt idx="159">
                  <c:v>1.3386898147826627</c:v>
                </c:pt>
                <c:pt idx="160">
                  <c:v>1.3386898147826627</c:v>
                </c:pt>
                <c:pt idx="161">
                  <c:v>1.3386898147826627</c:v>
                </c:pt>
                <c:pt idx="162">
                  <c:v>2.3740187071640033</c:v>
                </c:pt>
                <c:pt idx="163">
                  <c:v>6.1273137131684887</c:v>
                </c:pt>
                <c:pt idx="164">
                  <c:v>15.889323052464961</c:v>
                </c:pt>
                <c:pt idx="165">
                  <c:v>35.900009908888997</c:v>
                </c:pt>
                <c:pt idx="166">
                  <c:v>84.388500311436175</c:v>
                </c:pt>
                <c:pt idx="167">
                  <c:v>140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18.096098369849908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49.113614223126362</c:v>
                </c:pt>
                <c:pt idx="2">
                  <c:v>48.322014434618893</c:v>
                </c:pt>
                <c:pt idx="3">
                  <c:v>47.652489686759409</c:v>
                </c:pt>
                <c:pt idx="4">
                  <c:v>47.147903972636676</c:v>
                </c:pt>
                <c:pt idx="5">
                  <c:v>46.756432188894657</c:v>
                </c:pt>
                <c:pt idx="6">
                  <c:v>46.453418324433926</c:v>
                </c:pt>
                <c:pt idx="7">
                  <c:v>46.234586896752219</c:v>
                </c:pt>
                <c:pt idx="8">
                  <c:v>46.042400353830985</c:v>
                </c:pt>
                <c:pt idx="9">
                  <c:v>45.964596067675309</c:v>
                </c:pt>
                <c:pt idx="10">
                  <c:v>45.718409876060399</c:v>
                </c:pt>
                <c:pt idx="11">
                  <c:v>45.629353221842727</c:v>
                </c:pt>
                <c:pt idx="12">
                  <c:v>45.316794884736581</c:v>
                </c:pt>
                <c:pt idx="13">
                  <c:v>45.212160004713205</c:v>
                </c:pt>
                <c:pt idx="14">
                  <c:v>45.359915682209007</c:v>
                </c:pt>
                <c:pt idx="15">
                  <c:v>45.437402803184121</c:v>
                </c:pt>
                <c:pt idx="16">
                  <c:v>45.537053046138347</c:v>
                </c:pt>
                <c:pt idx="17">
                  <c:v>45.900375786019659</c:v>
                </c:pt>
                <c:pt idx="18">
                  <c:v>45.928230022870807</c:v>
                </c:pt>
                <c:pt idx="19">
                  <c:v>46.007372944369621</c:v>
                </c:pt>
                <c:pt idx="20">
                  <c:v>46.204577883737223</c:v>
                </c:pt>
                <c:pt idx="21">
                  <c:v>46.361686013685819</c:v>
                </c:pt>
                <c:pt idx="22">
                  <c:v>46.524199483591751</c:v>
                </c:pt>
                <c:pt idx="23">
                  <c:v>46.904176844464445</c:v>
                </c:pt>
                <c:pt idx="24">
                  <c:v>47.170905246833804</c:v>
                </c:pt>
                <c:pt idx="25">
                  <c:v>47.708454059641888</c:v>
                </c:pt>
                <c:pt idx="26">
                  <c:v>48.21026881917637</c:v>
                </c:pt>
                <c:pt idx="27">
                  <c:v>48.902936655982437</c:v>
                </c:pt>
                <c:pt idx="28">
                  <c:v>49.482725901704498</c:v>
                </c:pt>
                <c:pt idx="29">
                  <c:v>49.972820197013888</c:v>
                </c:pt>
                <c:pt idx="30">
                  <c:v>49.838489313891166</c:v>
                </c:pt>
                <c:pt idx="31">
                  <c:v>50.201374815081536</c:v>
                </c:pt>
                <c:pt idx="32">
                  <c:v>50.411912369503078</c:v>
                </c:pt>
                <c:pt idx="33">
                  <c:v>50.028221727867553</c:v>
                </c:pt>
                <c:pt idx="34">
                  <c:v>49.651935645540107</c:v>
                </c:pt>
                <c:pt idx="35">
                  <c:v>50.01655791098807</c:v>
                </c:pt>
                <c:pt idx="36">
                  <c:v>50.347892267724802</c:v>
                </c:pt>
                <c:pt idx="37">
                  <c:v>50.120607956421338</c:v>
                </c:pt>
                <c:pt idx="38">
                  <c:v>50.337339364512175</c:v>
                </c:pt>
                <c:pt idx="39">
                  <c:v>50.868126946768982</c:v>
                </c:pt>
                <c:pt idx="40">
                  <c:v>50.791488807632412</c:v>
                </c:pt>
                <c:pt idx="41">
                  <c:v>51.412431025642029</c:v>
                </c:pt>
                <c:pt idx="42">
                  <c:v>51.389471158837516</c:v>
                </c:pt>
                <c:pt idx="43">
                  <c:v>51.007424802811599</c:v>
                </c:pt>
                <c:pt idx="44">
                  <c:v>51.186721329650361</c:v>
                </c:pt>
                <c:pt idx="45">
                  <c:v>51.552339241910218</c:v>
                </c:pt>
                <c:pt idx="46">
                  <c:v>51.695377128159869</c:v>
                </c:pt>
                <c:pt idx="47">
                  <c:v>52.040791766576966</c:v>
                </c:pt>
                <c:pt idx="48">
                  <c:v>52.031075670428805</c:v>
                </c:pt>
                <c:pt idx="49">
                  <c:v>51.652486282674019</c:v>
                </c:pt>
                <c:pt idx="50">
                  <c:v>51.042852543209079</c:v>
                </c:pt>
                <c:pt idx="51">
                  <c:v>51.344548359067133</c:v>
                </c:pt>
                <c:pt idx="52">
                  <c:v>51.496614884888629</c:v>
                </c:pt>
                <c:pt idx="53">
                  <c:v>52.019677815811818</c:v>
                </c:pt>
                <c:pt idx="54">
                  <c:v>52.418986235566713</c:v>
                </c:pt>
                <c:pt idx="55">
                  <c:v>52.703649714130457</c:v>
                </c:pt>
                <c:pt idx="56">
                  <c:v>52.900262073567269</c:v>
                </c:pt>
                <c:pt idx="57">
                  <c:v>52.894012512090228</c:v>
                </c:pt>
                <c:pt idx="58">
                  <c:v>53.193147323405277</c:v>
                </c:pt>
                <c:pt idx="59">
                  <c:v>53.617376294326291</c:v>
                </c:pt>
                <c:pt idx="60">
                  <c:v>53.58830758149837</c:v>
                </c:pt>
                <c:pt idx="61">
                  <c:v>53.986397721787391</c:v>
                </c:pt>
                <c:pt idx="62">
                  <c:v>54.507006788868637</c:v>
                </c:pt>
                <c:pt idx="63">
                  <c:v>54.595724739989898</c:v>
                </c:pt>
                <c:pt idx="64">
                  <c:v>54.841675509640233</c:v>
                </c:pt>
                <c:pt idx="65">
                  <c:v>54.640043522146001</c:v>
                </c:pt>
                <c:pt idx="66">
                  <c:v>54.7793953526945</c:v>
                </c:pt>
                <c:pt idx="67">
                  <c:v>54.347185502131353</c:v>
                </c:pt>
                <c:pt idx="68">
                  <c:v>54.818011520803381</c:v>
                </c:pt>
                <c:pt idx="69">
                  <c:v>55.009647766439635</c:v>
                </c:pt>
                <c:pt idx="70">
                  <c:v>55.083795750755549</c:v>
                </c:pt>
                <c:pt idx="71">
                  <c:v>55.226414686697929</c:v>
                </c:pt>
                <c:pt idx="72">
                  <c:v>55.12757488617617</c:v>
                </c:pt>
                <c:pt idx="73">
                  <c:v>54.616486387822484</c:v>
                </c:pt>
                <c:pt idx="74">
                  <c:v>54.861356711473611</c:v>
                </c:pt>
                <c:pt idx="75">
                  <c:v>54.859918405937663</c:v>
                </c:pt>
                <c:pt idx="76">
                  <c:v>55.048528856975366</c:v>
                </c:pt>
                <c:pt idx="77">
                  <c:v>55.051605463799206</c:v>
                </c:pt>
                <c:pt idx="78">
                  <c:v>55.414630390356578</c:v>
                </c:pt>
                <c:pt idx="79">
                  <c:v>55.953154991540622</c:v>
                </c:pt>
                <c:pt idx="80">
                  <c:v>55.772889187190991</c:v>
                </c:pt>
                <c:pt idx="81">
                  <c:v>55.840115902158978</c:v>
                </c:pt>
                <c:pt idx="82">
                  <c:v>56.05128913787577</c:v>
                </c:pt>
                <c:pt idx="83">
                  <c:v>56.13970972012509</c:v>
                </c:pt>
                <c:pt idx="84">
                  <c:v>56.468173324175069</c:v>
                </c:pt>
                <c:pt idx="85">
                  <c:v>56.480965993783499</c:v>
                </c:pt>
                <c:pt idx="86">
                  <c:v>56.375918208120808</c:v>
                </c:pt>
                <c:pt idx="87">
                  <c:v>56.402125283098975</c:v>
                </c:pt>
                <c:pt idx="88">
                  <c:v>56.503010104033152</c:v>
                </c:pt>
                <c:pt idx="89">
                  <c:v>56.871012731699587</c:v>
                </c:pt>
                <c:pt idx="90">
                  <c:v>57.080307813265122</c:v>
                </c:pt>
                <c:pt idx="91">
                  <c:v>57.715003393147128</c:v>
                </c:pt>
                <c:pt idx="92">
                  <c:v>58.36600247145028</c:v>
                </c:pt>
                <c:pt idx="93">
                  <c:v>59.058937988303839</c:v>
                </c:pt>
                <c:pt idx="94">
                  <c:v>59.13905594848697</c:v>
                </c:pt>
                <c:pt idx="95">
                  <c:v>59.827846935305217</c:v>
                </c:pt>
                <c:pt idx="96">
                  <c:v>60.309766306566011</c:v>
                </c:pt>
                <c:pt idx="97">
                  <c:v>60.917683536953341</c:v>
                </c:pt>
                <c:pt idx="98">
                  <c:v>61.448992671807112</c:v>
                </c:pt>
                <c:pt idx="99">
                  <c:v>61.779948459839652</c:v>
                </c:pt>
                <c:pt idx="100">
                  <c:v>62.180102031125571</c:v>
                </c:pt>
                <c:pt idx="101">
                  <c:v>62.64180106495813</c:v>
                </c:pt>
                <c:pt idx="102">
                  <c:v>62.967809720248113</c:v>
                </c:pt>
                <c:pt idx="103">
                  <c:v>62.688654424619926</c:v>
                </c:pt>
                <c:pt idx="104">
                  <c:v>63.225428580684977</c:v>
                </c:pt>
                <c:pt idx="105">
                  <c:v>63.916426099410216</c:v>
                </c:pt>
                <c:pt idx="106">
                  <c:v>64.642119651938799</c:v>
                </c:pt>
                <c:pt idx="107">
                  <c:v>65.318744792587168</c:v>
                </c:pt>
                <c:pt idx="108">
                  <c:v>65.742139052843015</c:v>
                </c:pt>
                <c:pt idx="109">
                  <c:v>66.442706090083078</c:v>
                </c:pt>
                <c:pt idx="110">
                  <c:v>66.94758191030499</c:v>
                </c:pt>
                <c:pt idx="111">
                  <c:v>66.788218872714467</c:v>
                </c:pt>
                <c:pt idx="112">
                  <c:v>67.483492754081581</c:v>
                </c:pt>
                <c:pt idx="113">
                  <c:v>68.129077402225036</c:v>
                </c:pt>
                <c:pt idx="114">
                  <c:v>68.862173668689465</c:v>
                </c:pt>
                <c:pt idx="115">
                  <c:v>69.578463991311978</c:v>
                </c:pt>
                <c:pt idx="116">
                  <c:v>70.138424586931976</c:v>
                </c:pt>
                <c:pt idx="117">
                  <c:v>70.747414503969708</c:v>
                </c:pt>
                <c:pt idx="118">
                  <c:v>71.188508144893788</c:v>
                </c:pt>
                <c:pt idx="119">
                  <c:v>71.505787104507107</c:v>
                </c:pt>
                <c:pt idx="120">
                  <c:v>72.172497385738069</c:v>
                </c:pt>
                <c:pt idx="121">
                  <c:v>72.434944116108227</c:v>
                </c:pt>
                <c:pt idx="122">
                  <c:v>72.456231392277346</c:v>
                </c:pt>
                <c:pt idx="123">
                  <c:v>72.70306651603191</c:v>
                </c:pt>
                <c:pt idx="124">
                  <c:v>72.885279066877956</c:v>
                </c:pt>
                <c:pt idx="125">
                  <c:v>73.554229876471624</c:v>
                </c:pt>
                <c:pt idx="126">
                  <c:v>73.559755147510955</c:v>
                </c:pt>
                <c:pt idx="127">
                  <c:v>73.722358634294778</c:v>
                </c:pt>
                <c:pt idx="128">
                  <c:v>74.39032582483901</c:v>
                </c:pt>
                <c:pt idx="129">
                  <c:v>75.067444996290419</c:v>
                </c:pt>
                <c:pt idx="130">
                  <c:v>75.723552978172336</c:v>
                </c:pt>
                <c:pt idx="131">
                  <c:v>76.371908508594061</c:v>
                </c:pt>
                <c:pt idx="132">
                  <c:v>77.047582828645091</c:v>
                </c:pt>
                <c:pt idx="133">
                  <c:v>77.745918555835772</c:v>
                </c:pt>
                <c:pt idx="134">
                  <c:v>78.470190587114061</c:v>
                </c:pt>
                <c:pt idx="135">
                  <c:v>79.21674929371548</c:v>
                </c:pt>
                <c:pt idx="136">
                  <c:v>79.918507665347121</c:v>
                </c:pt>
                <c:pt idx="137">
                  <c:v>80.649799438382971</c:v>
                </c:pt>
                <c:pt idx="138">
                  <c:v>81.382962286532816</c:v>
                </c:pt>
                <c:pt idx="139">
                  <c:v>82.128672067893234</c:v>
                </c:pt>
                <c:pt idx="140">
                  <c:v>82.799375180804759</c:v>
                </c:pt>
                <c:pt idx="141">
                  <c:v>83.461861099668127</c:v>
                </c:pt>
                <c:pt idx="142">
                  <c:v>84.175785178808766</c:v>
                </c:pt>
                <c:pt idx="143">
                  <c:v>84.896161042003783</c:v>
                </c:pt>
                <c:pt idx="144">
                  <c:v>85.624065877538314</c:v>
                </c:pt>
                <c:pt idx="145">
                  <c:v>86.370714985822687</c:v>
                </c:pt>
                <c:pt idx="146">
                  <c:v>87.107250436147538</c:v>
                </c:pt>
                <c:pt idx="147">
                  <c:v>87.844644769679604</c:v>
                </c:pt>
                <c:pt idx="148">
                  <c:v>88.518814164261613</c:v>
                </c:pt>
                <c:pt idx="149">
                  <c:v>89.192492651883995</c:v>
                </c:pt>
                <c:pt idx="150">
                  <c:v>89.938583648560723</c:v>
                </c:pt>
                <c:pt idx="151">
                  <c:v>90.696176590052801</c:v>
                </c:pt>
                <c:pt idx="152">
                  <c:v>91.426004375509763</c:v>
                </c:pt>
                <c:pt idx="153">
                  <c:v>92.168910328459091</c:v>
                </c:pt>
                <c:pt idx="154">
                  <c:v>92.886822861301397</c:v>
                </c:pt>
                <c:pt idx="155">
                  <c:v>93.630857137818666</c:v>
                </c:pt>
                <c:pt idx="156">
                  <c:v>94.334062717134003</c:v>
                </c:pt>
                <c:pt idx="157">
                  <c:v>95.020108385231921</c:v>
                </c:pt>
                <c:pt idx="158">
                  <c:v>95.670678638123661</c:v>
                </c:pt>
                <c:pt idx="159">
                  <c:v>96.367936144834559</c:v>
                </c:pt>
                <c:pt idx="160">
                  <c:v>97.067708654858933</c:v>
                </c:pt>
                <c:pt idx="161">
                  <c:v>97.736648346864982</c:v>
                </c:pt>
                <c:pt idx="162">
                  <c:v>97.338766122887307</c:v>
                </c:pt>
                <c:pt idx="163">
                  <c:v>94.247451328965724</c:v>
                </c:pt>
                <c:pt idx="164">
                  <c:v>85.151547488307401</c:v>
                </c:pt>
                <c:pt idx="165">
                  <c:v>65.771146606841086</c:v>
                </c:pt>
                <c:pt idx="166">
                  <c:v>36.053178299335784</c:v>
                </c:pt>
                <c:pt idx="167">
                  <c:v>-18.909540535405917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-4.2656795806007716E-2</c:v>
                </c:pt>
                <c:pt idx="9">
                  <c:v>-4.2656795806007716E-2</c:v>
                </c:pt>
                <c:pt idx="10">
                  <c:v>-0.28200377186184616</c:v>
                </c:pt>
                <c:pt idx="11">
                  <c:v>-0.43612958718896067</c:v>
                </c:pt>
                <c:pt idx="12">
                  <c:v>-0.87620601751407001</c:v>
                </c:pt>
                <c:pt idx="13">
                  <c:v>-1.1689128904334731</c:v>
                </c:pt>
                <c:pt idx="14">
                  <c:v>-1.2806326827618773</c:v>
                </c:pt>
                <c:pt idx="15">
                  <c:v>-1.5268360912843144</c:v>
                </c:pt>
                <c:pt idx="16">
                  <c:v>-1.7831928343588701</c:v>
                </c:pt>
                <c:pt idx="17">
                  <c:v>-1.7831928343588701</c:v>
                </c:pt>
                <c:pt idx="18">
                  <c:v>-2.1364453739608282</c:v>
                </c:pt>
                <c:pt idx="19">
                  <c:v>-2.4958140759596263</c:v>
                </c:pt>
                <c:pt idx="20">
                  <c:v>-2.8307117015836036</c:v>
                </c:pt>
                <c:pt idx="21">
                  <c:v>-3.2222103834769493</c:v>
                </c:pt>
                <c:pt idx="22">
                  <c:v>-3.6510945779756905</c:v>
                </c:pt>
                <c:pt idx="23">
                  <c:v>-3.8920430716174383</c:v>
                </c:pt>
                <c:pt idx="24">
                  <c:v>-4.2571808196392267</c:v>
                </c:pt>
                <c:pt idx="25">
                  <c:v>-4.3813994981722937</c:v>
                </c:pt>
                <c:pt idx="26">
                  <c:v>-4.5917391154648497</c:v>
                </c:pt>
                <c:pt idx="27">
                  <c:v>-4.5917391154648497</c:v>
                </c:pt>
                <c:pt idx="28">
                  <c:v>-4.7493055884273598</c:v>
                </c:pt>
                <c:pt idx="29">
                  <c:v>-5.065800116341781</c:v>
                </c:pt>
                <c:pt idx="30">
                  <c:v>-5.9496026601747856</c:v>
                </c:pt>
                <c:pt idx="31">
                  <c:v>-6.3911888275296693</c:v>
                </c:pt>
                <c:pt idx="32">
                  <c:v>-6.9516946087639218</c:v>
                </c:pt>
                <c:pt idx="33">
                  <c:v>-8.0712150372075353</c:v>
                </c:pt>
                <c:pt idx="34">
                  <c:v>-9.1683389189160227</c:v>
                </c:pt>
                <c:pt idx="35">
                  <c:v>-9.5731025449734624</c:v>
                </c:pt>
                <c:pt idx="36">
                  <c:v>-10.03723552221186</c:v>
                </c:pt>
                <c:pt idx="37">
                  <c:v>-11.070648205520742</c:v>
                </c:pt>
                <c:pt idx="38">
                  <c:v>-11.612613559345323</c:v>
                </c:pt>
                <c:pt idx="39">
                  <c:v>-11.891823056142034</c:v>
                </c:pt>
                <c:pt idx="40">
                  <c:v>-12.778228594147828</c:v>
                </c:pt>
                <c:pt idx="41">
                  <c:v>-12.919327154851535</c:v>
                </c:pt>
                <c:pt idx="42">
                  <c:v>-13.747458966007468</c:v>
                </c:pt>
                <c:pt idx="43">
                  <c:v>-14.867355315011421</c:v>
                </c:pt>
                <c:pt idx="44">
                  <c:v>-15.422067709865333</c:v>
                </c:pt>
                <c:pt idx="45">
                  <c:v>-15.81023773089794</c:v>
                </c:pt>
                <c:pt idx="46">
                  <c:v>-16.457770195518076</c:v>
                </c:pt>
                <c:pt idx="47">
                  <c:v>-16.948495587509576</c:v>
                </c:pt>
                <c:pt idx="48">
                  <c:v>-17.797951074751243</c:v>
                </c:pt>
                <c:pt idx="49">
                  <c:v>-19.00470619871831</c:v>
                </c:pt>
                <c:pt idx="50">
                  <c:v>-20.398365120749929</c:v>
                </c:pt>
                <c:pt idx="51">
                  <c:v>-20.850006981315801</c:v>
                </c:pt>
                <c:pt idx="52">
                  <c:v>-21.52404045169801</c:v>
                </c:pt>
                <c:pt idx="53">
                  <c:v>-21.809570683264798</c:v>
                </c:pt>
                <c:pt idx="54">
                  <c:v>-22.1563125699934</c:v>
                </c:pt>
                <c:pt idx="55">
                  <c:v>-22.63845336552637</c:v>
                </c:pt>
                <c:pt idx="56">
                  <c:v>-23.234071131095426</c:v>
                </c:pt>
                <c:pt idx="57">
                  <c:v>-24.030615778777495</c:v>
                </c:pt>
                <c:pt idx="58">
                  <c:v>-24.494775242088394</c:v>
                </c:pt>
                <c:pt idx="59">
                  <c:v>-24.834351958619127</c:v>
                </c:pt>
                <c:pt idx="60">
                  <c:v>-25.622497030493683</c:v>
                </c:pt>
                <c:pt idx="61">
                  <c:v>-25.96441088273167</c:v>
                </c:pt>
                <c:pt idx="62">
                  <c:v>-26.229072682362066</c:v>
                </c:pt>
                <c:pt idx="63">
                  <c:v>-26.912934686327421</c:v>
                </c:pt>
                <c:pt idx="64">
                  <c:v>-27.449367519738384</c:v>
                </c:pt>
                <c:pt idx="65">
                  <c:v>-28.429852745163558</c:v>
                </c:pt>
                <c:pt idx="66">
                  <c:v>-29.05048300584464</c:v>
                </c:pt>
                <c:pt idx="67">
                  <c:v>-30.19016361441156</c:v>
                </c:pt>
                <c:pt idx="68">
                  <c:v>-30.417759877059041</c:v>
                </c:pt>
                <c:pt idx="69">
                  <c:v>-30.901641037967536</c:v>
                </c:pt>
                <c:pt idx="70">
                  <c:v>-31.525720042417767</c:v>
                </c:pt>
                <c:pt idx="71">
                  <c:v>-32.108665530777358</c:v>
                </c:pt>
                <c:pt idx="72">
                  <c:v>-32.950484016909598</c:v>
                </c:pt>
                <c:pt idx="73">
                  <c:v>-34.226486965555466</c:v>
                </c:pt>
                <c:pt idx="74">
                  <c:v>-34.747669854314466</c:v>
                </c:pt>
                <c:pt idx="75">
                  <c:v>-35.458004205229869</c:v>
                </c:pt>
                <c:pt idx="76">
                  <c:v>-35.957722517187079</c:v>
                </c:pt>
                <c:pt idx="77">
                  <c:v>-36.651168851195898</c:v>
                </c:pt>
                <c:pt idx="78">
                  <c:v>-37.029425013453036</c:v>
                </c:pt>
                <c:pt idx="79">
                  <c:v>-37.147548340657401</c:v>
                </c:pt>
                <c:pt idx="80">
                  <c:v>-37.948199149877965</c:v>
                </c:pt>
                <c:pt idx="81">
                  <c:v>-38.537622595511863</c:v>
                </c:pt>
                <c:pt idx="82">
                  <c:v>-39.00305589272341</c:v>
                </c:pt>
                <c:pt idx="83">
                  <c:v>-39.591691145381461</c:v>
                </c:pt>
                <c:pt idx="84">
                  <c:v>-39.913559733329258</c:v>
                </c:pt>
                <c:pt idx="85">
                  <c:v>-40.505773121212222</c:v>
                </c:pt>
                <c:pt idx="86">
                  <c:v>-41.1960649197161</c:v>
                </c:pt>
                <c:pt idx="87">
                  <c:v>-41.799358763484953</c:v>
                </c:pt>
                <c:pt idx="88">
                  <c:v>-42.3122805329849</c:v>
                </c:pt>
                <c:pt idx="89">
                  <c:v>-42.564408689428767</c:v>
                </c:pt>
                <c:pt idx="90">
                  <c:v>-42.962068167194516</c:v>
                </c:pt>
                <c:pt idx="91">
                  <c:v>-42.962068167194516</c:v>
                </c:pt>
                <c:pt idx="92">
                  <c:v>-42.971196807390932</c:v>
                </c:pt>
                <c:pt idx="93">
                  <c:v>-42.971196807390932</c:v>
                </c:pt>
                <c:pt idx="94">
                  <c:v>-43.528856201631108</c:v>
                </c:pt>
                <c:pt idx="95">
                  <c:v>-43.528856201631108</c:v>
                </c:pt>
                <c:pt idx="96">
                  <c:v>-43.729573159698184</c:v>
                </c:pt>
                <c:pt idx="97">
                  <c:v>-43.806735558844991</c:v>
                </c:pt>
                <c:pt idx="98">
                  <c:v>-43.992675658892644</c:v>
                </c:pt>
                <c:pt idx="99">
                  <c:v>-44.353516320822891</c:v>
                </c:pt>
                <c:pt idx="100">
                  <c:v>-44.620430166208351</c:v>
                </c:pt>
                <c:pt idx="101">
                  <c:v>-44.832020249805538</c:v>
                </c:pt>
                <c:pt idx="102">
                  <c:v>-45.17764356093668</c:v>
                </c:pt>
                <c:pt idx="103">
                  <c:v>-46.126099684361023</c:v>
                </c:pt>
                <c:pt idx="104">
                  <c:v>-46.2996183605769</c:v>
                </c:pt>
                <c:pt idx="105">
                  <c:v>-46.326605296041095</c:v>
                </c:pt>
                <c:pt idx="106">
                  <c:v>-46.326605296041095</c:v>
                </c:pt>
                <c:pt idx="107">
                  <c:v>-46.379207052553873</c:v>
                </c:pt>
                <c:pt idx="108">
                  <c:v>-46.6197745836065</c:v>
                </c:pt>
                <c:pt idx="109">
                  <c:v>-46.6197745836065</c:v>
                </c:pt>
                <c:pt idx="110">
                  <c:v>-46.829143953641157</c:v>
                </c:pt>
                <c:pt idx="111">
                  <c:v>-47.665728235965311</c:v>
                </c:pt>
                <c:pt idx="112">
                  <c:v>-47.665728235965311</c:v>
                </c:pt>
                <c:pt idx="113">
                  <c:v>-47.696111224222498</c:v>
                </c:pt>
                <c:pt idx="114">
                  <c:v>-47.696111224222498</c:v>
                </c:pt>
                <c:pt idx="115">
                  <c:v>-47.696111224222498</c:v>
                </c:pt>
                <c:pt idx="116">
                  <c:v>-47.816539380215602</c:v>
                </c:pt>
                <c:pt idx="117">
                  <c:v>-47.866324597829511</c:v>
                </c:pt>
                <c:pt idx="118">
                  <c:v>-48.061697503516051</c:v>
                </c:pt>
                <c:pt idx="119">
                  <c:v>-48.418961602790048</c:v>
                </c:pt>
                <c:pt idx="120">
                  <c:v>-48.449434435019583</c:v>
                </c:pt>
                <c:pt idx="121">
                  <c:v>-48.847021794945775</c:v>
                </c:pt>
                <c:pt idx="122">
                  <c:v>-49.474170731107819</c:v>
                </c:pt>
                <c:pt idx="123">
                  <c:v>-49.873229785095816</c:v>
                </c:pt>
                <c:pt idx="124">
                  <c:v>-50.370739301096762</c:v>
                </c:pt>
                <c:pt idx="125">
                  <c:v>-50.406971569887766</c:v>
                </c:pt>
                <c:pt idx="126">
                  <c:v>-51.105789243789118</c:v>
                </c:pt>
                <c:pt idx="127">
                  <c:v>-51.645327690683061</c:v>
                </c:pt>
                <c:pt idx="128">
                  <c:v>-51.645327690683061</c:v>
                </c:pt>
                <c:pt idx="129">
                  <c:v>-51.645327690683061</c:v>
                </c:pt>
                <c:pt idx="130">
                  <c:v>-51.645327690683061</c:v>
                </c:pt>
                <c:pt idx="131">
                  <c:v>-51.645327690683061</c:v>
                </c:pt>
                <c:pt idx="132">
                  <c:v>-51.645327690683061</c:v>
                </c:pt>
                <c:pt idx="133">
                  <c:v>-51.645327690683061</c:v>
                </c:pt>
                <c:pt idx="134">
                  <c:v>-51.645327690683061</c:v>
                </c:pt>
                <c:pt idx="135">
                  <c:v>-51.645327690683061</c:v>
                </c:pt>
                <c:pt idx="136">
                  <c:v>-51.645327690683061</c:v>
                </c:pt>
                <c:pt idx="137">
                  <c:v>-51.645327690683061</c:v>
                </c:pt>
                <c:pt idx="138">
                  <c:v>-51.645327690683061</c:v>
                </c:pt>
                <c:pt idx="139">
                  <c:v>-51.645327690683061</c:v>
                </c:pt>
                <c:pt idx="140">
                  <c:v>-51.645327690683061</c:v>
                </c:pt>
                <c:pt idx="141">
                  <c:v>-51.645327690683061</c:v>
                </c:pt>
                <c:pt idx="142">
                  <c:v>-51.645327690683061</c:v>
                </c:pt>
                <c:pt idx="143">
                  <c:v>-51.645327690683061</c:v>
                </c:pt>
                <c:pt idx="144">
                  <c:v>-51.645327690683061</c:v>
                </c:pt>
                <c:pt idx="145">
                  <c:v>-51.645327690683061</c:v>
                </c:pt>
                <c:pt idx="146">
                  <c:v>-51.645327690683061</c:v>
                </c:pt>
                <c:pt idx="147">
                  <c:v>-51.645327690683061</c:v>
                </c:pt>
                <c:pt idx="148">
                  <c:v>-51.645327690683061</c:v>
                </c:pt>
                <c:pt idx="149">
                  <c:v>-51.645327690683061</c:v>
                </c:pt>
                <c:pt idx="150">
                  <c:v>-51.645327690683061</c:v>
                </c:pt>
                <c:pt idx="151">
                  <c:v>-51.645327690683061</c:v>
                </c:pt>
                <c:pt idx="152">
                  <c:v>-51.645327690683061</c:v>
                </c:pt>
                <c:pt idx="153">
                  <c:v>-51.645327690683061</c:v>
                </c:pt>
                <c:pt idx="154">
                  <c:v>-51.645327690683061</c:v>
                </c:pt>
                <c:pt idx="155">
                  <c:v>-51.645327690683061</c:v>
                </c:pt>
                <c:pt idx="156">
                  <c:v>-51.645327690683061</c:v>
                </c:pt>
                <c:pt idx="157">
                  <c:v>-51.645327690683061</c:v>
                </c:pt>
                <c:pt idx="158">
                  <c:v>-51.645327690683061</c:v>
                </c:pt>
                <c:pt idx="159">
                  <c:v>-51.645327690683061</c:v>
                </c:pt>
                <c:pt idx="160">
                  <c:v>-51.645327690683061</c:v>
                </c:pt>
                <c:pt idx="161">
                  <c:v>-51.645327690683061</c:v>
                </c:pt>
                <c:pt idx="162">
                  <c:v>-51.645327690683061</c:v>
                </c:pt>
                <c:pt idx="163">
                  <c:v>-51.645327690683061</c:v>
                </c:pt>
                <c:pt idx="164">
                  <c:v>-51.645327690683061</c:v>
                </c:pt>
                <c:pt idx="165">
                  <c:v>-51.645327690683061</c:v>
                </c:pt>
                <c:pt idx="166">
                  <c:v>-51.645327690683061</c:v>
                </c:pt>
                <c:pt idx="167">
                  <c:v>-51.645327690683061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0.57708971209268001</c:v>
                </c:pt>
                <c:pt idx="1">
                  <c:v>1.2033998791381997</c:v>
                </c:pt>
                <c:pt idx="2">
                  <c:v>1.8388312144809198</c:v>
                </c:pt>
                <c:pt idx="3">
                  <c:v>2.4786039578716297</c:v>
                </c:pt>
                <c:pt idx="4">
                  <c:v>3.1289615571690814</c:v>
                </c:pt>
                <c:pt idx="5">
                  <c:v>3.7757012266710168</c:v>
                </c:pt>
                <c:pt idx="6">
                  <c:v>4.430786019579652</c:v>
                </c:pt>
                <c:pt idx="7">
                  <c:v>5.073060388385473</c:v>
                </c:pt>
                <c:pt idx="8">
                  <c:v>5.6632829932590472</c:v>
                </c:pt>
                <c:pt idx="9">
                  <c:v>6.2705431515705179</c:v>
                </c:pt>
                <c:pt idx="10">
                  <c:v>6.890786464759775</c:v>
                </c:pt>
                <c:pt idx="11">
                  <c:v>7.5273487183492609</c:v>
                </c:pt>
                <c:pt idx="12">
                  <c:v>8.1601209881265078</c:v>
                </c:pt>
                <c:pt idx="13">
                  <c:v>8.7928932579037529</c:v>
                </c:pt>
                <c:pt idx="14">
                  <c:v>9.4486228094675884</c:v>
                </c:pt>
                <c:pt idx="15">
                  <c:v>10.11472349842319</c:v>
                </c:pt>
                <c:pt idx="16">
                  <c:v>10.748757489089273</c:v>
                </c:pt>
                <c:pt idx="17">
                  <c:v>11.328787629315972</c:v>
                </c:pt>
                <c:pt idx="18">
                  <c:v>11.880077128491651</c:v>
                </c:pt>
                <c:pt idx="19">
                  <c:v>12.455350355955042</c:v>
                </c:pt>
                <c:pt idx="20">
                  <c:v>13.093179152705712</c:v>
                </c:pt>
                <c:pt idx="21">
                  <c:v>13.705981955908317</c:v>
                </c:pt>
                <c:pt idx="22">
                  <c:v>14.325603027548917</c:v>
                </c:pt>
                <c:pt idx="23">
                  <c:v>14.940260563204339</c:v>
                </c:pt>
                <c:pt idx="24">
                  <c:v>15.534713349119318</c:v>
                </c:pt>
                <c:pt idx="25">
                  <c:v>16.129772034108704</c:v>
                </c:pt>
                <c:pt idx="26">
                  <c:v>16.745048612791333</c:v>
                </c:pt>
                <c:pt idx="27">
                  <c:v>17.319729002472076</c:v>
                </c:pt>
                <c:pt idx="28">
                  <c:v>17.912366473018523</c:v>
                </c:pt>
                <c:pt idx="29">
                  <c:v>18.543249173089112</c:v>
                </c:pt>
                <c:pt idx="30">
                  <c:v>19.108497753001622</c:v>
                </c:pt>
                <c:pt idx="31">
                  <c:v>19.70234503686865</c:v>
                </c:pt>
                <c:pt idx="32">
                  <c:v>20.254789169541514</c:v>
                </c:pt>
                <c:pt idx="33">
                  <c:v>20.76719762834367</c:v>
                </c:pt>
                <c:pt idx="34">
                  <c:v>21.257373712551949</c:v>
                </c:pt>
                <c:pt idx="35">
                  <c:v>21.774748948684504</c:v>
                </c:pt>
                <c:pt idx="36">
                  <c:v>22.302151644340203</c:v>
                </c:pt>
                <c:pt idx="37">
                  <c:v>22.828433983238607</c:v>
                </c:pt>
                <c:pt idx="38">
                  <c:v>23.311695056419392</c:v>
                </c:pt>
                <c:pt idx="39">
                  <c:v>23.825204543521121</c:v>
                </c:pt>
                <c:pt idx="40">
                  <c:v>24.331584883295005</c:v>
                </c:pt>
                <c:pt idx="41">
                  <c:v>24.797580809913168</c:v>
                </c:pt>
                <c:pt idx="42">
                  <c:v>25.288826462671025</c:v>
                </c:pt>
                <c:pt idx="43">
                  <c:v>25.727455294982704</c:v>
                </c:pt>
                <c:pt idx="44">
                  <c:v>26.159166726656924</c:v>
                </c:pt>
                <c:pt idx="45">
                  <c:v>26.600782472594542</c:v>
                </c:pt>
                <c:pt idx="46">
                  <c:v>27.064198406938225</c:v>
                </c:pt>
                <c:pt idx="47">
                  <c:v>27.555444059696082</c:v>
                </c:pt>
                <c:pt idx="48">
                  <c:v>28.045620143904362</c:v>
                </c:pt>
                <c:pt idx="49">
                  <c:v>28.524657802310529</c:v>
                </c:pt>
                <c:pt idx="50">
                  <c:v>28.970779086228898</c:v>
                </c:pt>
                <c:pt idx="51">
                  <c:v>29.393703454079375</c:v>
                </c:pt>
                <c:pt idx="52">
                  <c:v>29.863846999270216</c:v>
                </c:pt>
                <c:pt idx="53">
                  <c:v>30.320089050699828</c:v>
                </c:pt>
                <c:pt idx="54">
                  <c:v>30.732435937387596</c:v>
                </c:pt>
                <c:pt idx="55">
                  <c:v>31.157302635363241</c:v>
                </c:pt>
                <c:pt idx="56">
                  <c:v>31.597921253471636</c:v>
                </c:pt>
                <c:pt idx="57">
                  <c:v>32.0360535699743</c:v>
                </c:pt>
                <c:pt idx="58">
                  <c:v>32.455110979169554</c:v>
                </c:pt>
                <c:pt idx="59">
                  <c:v>32.873686676054106</c:v>
                </c:pt>
                <c:pt idx="60">
                  <c:v>33.288421913575476</c:v>
                </c:pt>
                <c:pt idx="61">
                  <c:v>33.689900243912021</c:v>
                </c:pt>
                <c:pt idx="62">
                  <c:v>34.121120359445371</c:v>
                </c:pt>
                <c:pt idx="63">
                  <c:v>34.543560067320954</c:v>
                </c:pt>
                <c:pt idx="64">
                  <c:v>34.972329159877532</c:v>
                </c:pt>
                <c:pt idx="65">
                  <c:v>35.39865648304712</c:v>
                </c:pt>
                <c:pt idx="66">
                  <c:v>35.812435279464239</c:v>
                </c:pt>
                <c:pt idx="67">
                  <c:v>36.191399707052476</c:v>
                </c:pt>
                <c:pt idx="68">
                  <c:v>36.564536231931051</c:v>
                </c:pt>
                <c:pt idx="69">
                  <c:v>36.922715551201847</c:v>
                </c:pt>
                <c:pt idx="70">
                  <c:v>37.296298228283952</c:v>
                </c:pt>
                <c:pt idx="71">
                  <c:v>37.688482301144639</c:v>
                </c:pt>
                <c:pt idx="72">
                  <c:v>38.092777279459753</c:v>
                </c:pt>
                <c:pt idx="73">
                  <c:v>38.51231676906351</c:v>
                </c:pt>
                <c:pt idx="74">
                  <c:v>38.933304709509997</c:v>
                </c:pt>
                <c:pt idx="75">
                  <c:v>39.316793402492578</c:v>
                </c:pt>
                <c:pt idx="76">
                  <c:v>39.687260517387628</c:v>
                </c:pt>
                <c:pt idx="77">
                  <c:v>40.063976278744839</c:v>
                </c:pt>
                <c:pt idx="78">
                  <c:v>40.471573949126686</c:v>
                </c:pt>
                <c:pt idx="79">
                  <c:v>40.823284731605916</c:v>
                </c:pt>
                <c:pt idx="80">
                  <c:v>41.151542786523521</c:v>
                </c:pt>
                <c:pt idx="81">
                  <c:v>41.504970753623731</c:v>
                </c:pt>
                <c:pt idx="82">
                  <c:v>41.872781303813497</c:v>
                </c:pt>
                <c:pt idx="83">
                  <c:v>42.241918532205922</c:v>
                </c:pt>
                <c:pt idx="84">
                  <c:v>42.594058082654122</c:v>
                </c:pt>
                <c:pt idx="85">
                  <c:v>42.916622991528662</c:v>
                </c:pt>
                <c:pt idx="86">
                  <c:v>43.226820876811118</c:v>
                </c:pt>
                <c:pt idx="87">
                  <c:v>43.567926537075756</c:v>
                </c:pt>
                <c:pt idx="88">
                  <c:v>43.899468188191264</c:v>
                </c:pt>
                <c:pt idx="89">
                  <c:v>44.236392981136774</c:v>
                </c:pt>
                <c:pt idx="90">
                  <c:v>44.565469860596359</c:v>
                </c:pt>
                <c:pt idx="91">
                  <c:v>44.91461542180042</c:v>
                </c:pt>
                <c:pt idx="92">
                  <c:v>45.282425971990186</c:v>
                </c:pt>
                <c:pt idx="93">
                  <c:v>45.674149141010602</c:v>
                </c:pt>
                <c:pt idx="94">
                  <c:v>46.029299931011757</c:v>
                </c:pt>
                <c:pt idx="95">
                  <c:v>46.421023100032173</c:v>
                </c:pt>
                <c:pt idx="96">
                  <c:v>46.80998844374151</c:v>
                </c:pt>
                <c:pt idx="97">
                  <c:v>47.202172516602197</c:v>
                </c:pt>
                <c:pt idx="98">
                  <c:v>47.618345169786203</c:v>
                </c:pt>
                <c:pt idx="99">
                  <c:v>48.018420094604139</c:v>
                </c:pt>
                <c:pt idx="100">
                  <c:v>48.402817957406512</c:v>
                </c:pt>
                <c:pt idx="101">
                  <c:v>48.793160586334842</c:v>
                </c:pt>
                <c:pt idx="102">
                  <c:v>49.183963033497093</c:v>
                </c:pt>
                <c:pt idx="103">
                  <c:v>49.574765480659345</c:v>
                </c:pt>
                <c:pt idx="104">
                  <c:v>49.996236974935563</c:v>
                </c:pt>
                <c:pt idx="105">
                  <c:v>50.425006067492141</c:v>
                </c:pt>
                <c:pt idx="106">
                  <c:v>50.861156040324303</c:v>
                </c:pt>
                <c:pt idx="107">
                  <c:v>51.301774658432699</c:v>
                </c:pt>
                <c:pt idx="108">
                  <c:v>51.697659006109056</c:v>
                </c:pt>
                <c:pt idx="109">
                  <c:v>52.121553800772276</c:v>
                </c:pt>
                <c:pt idx="110">
                  <c:v>52.557209117077981</c:v>
                </c:pt>
                <c:pt idx="111">
                  <c:v>52.968127393848263</c:v>
                </c:pt>
                <c:pt idx="112">
                  <c:v>53.393967472453738</c:v>
                </c:pt>
                <c:pt idx="113">
                  <c:v>53.807746268870858</c:v>
                </c:pt>
                <c:pt idx="114">
                  <c:v>54.265008647362663</c:v>
                </c:pt>
                <c:pt idx="115">
                  <c:v>54.71213526949154</c:v>
                </c:pt>
                <c:pt idx="116">
                  <c:v>55.135059637342017</c:v>
                </c:pt>
                <c:pt idx="117">
                  <c:v>55.544078229055856</c:v>
                </c:pt>
                <c:pt idx="118">
                  <c:v>55.938572254542848</c:v>
                </c:pt>
                <c:pt idx="119">
                  <c:v>56.362952816248679</c:v>
                </c:pt>
                <c:pt idx="120">
                  <c:v>56.806067049830141</c:v>
                </c:pt>
                <c:pt idx="121">
                  <c:v>57.223680425973896</c:v>
                </c:pt>
                <c:pt idx="122">
                  <c:v>57.634598702744178</c:v>
                </c:pt>
                <c:pt idx="123">
                  <c:v>58.04551697951446</c:v>
                </c:pt>
                <c:pt idx="124">
                  <c:v>58.483649296017127</c:v>
                </c:pt>
                <c:pt idx="125">
                  <c:v>58.942956838902667</c:v>
                </c:pt>
                <c:pt idx="126">
                  <c:v>59.403802204609057</c:v>
                </c:pt>
                <c:pt idx="127">
                  <c:v>59.865160930726539</c:v>
                </c:pt>
                <c:pt idx="128">
                  <c:v>60.302797103476706</c:v>
                </c:pt>
                <c:pt idx="129">
                  <c:v>60.749420869629155</c:v>
                </c:pt>
                <c:pt idx="130">
                  <c:v>61.182116045939161</c:v>
                </c:pt>
                <c:pt idx="131">
                  <c:v>61.610885138495739</c:v>
                </c:pt>
                <c:pt idx="132">
                  <c:v>62.062554299028399</c:v>
                </c:pt>
                <c:pt idx="133">
                  <c:v>62.533738528791439</c:v>
                </c:pt>
                <c:pt idx="134">
                  <c:v>63.027127902161325</c:v>
                </c:pt>
                <c:pt idx="135">
                  <c:v>63.540086682373307</c:v>
                </c:pt>
                <c:pt idx="136">
                  <c:v>64.020705270425779</c:v>
                </c:pt>
                <c:pt idx="137">
                  <c:v>64.5265399076698</c:v>
                </c:pt>
                <c:pt idx="138">
                  <c:v>65.036202538542838</c:v>
                </c:pt>
                <c:pt idx="139">
                  <c:v>65.557622016295483</c:v>
                </c:pt>
                <c:pt idx="140">
                  <c:v>66.020153849773905</c:v>
                </c:pt>
                <c:pt idx="141">
                  <c:v>66.479456887779563</c:v>
                </c:pt>
                <c:pt idx="142">
                  <c:v>66.981207793774303</c:v>
                </c:pt>
                <c:pt idx="143">
                  <c:v>67.491927216969245</c:v>
                </c:pt>
                <c:pt idx="144">
                  <c:v>68.008797984597507</c:v>
                </c:pt>
                <c:pt idx="145">
                  <c:v>68.540902567438025</c:v>
                </c:pt>
                <c:pt idx="146">
                  <c:v>69.069691189321702</c:v>
                </c:pt>
                <c:pt idx="147">
                  <c:v>69.602251900370405</c:v>
                </c:pt>
                <c:pt idx="148">
                  <c:v>70.088164971697495</c:v>
                </c:pt>
                <c:pt idx="149">
                  <c:v>70.574137690707147</c:v>
                </c:pt>
                <c:pt idx="150">
                  <c:v>71.120748005707753</c:v>
                </c:pt>
                <c:pt idx="151">
                  <c:v>71.677662300072896</c:v>
                </c:pt>
                <c:pt idx="152">
                  <c:v>72.215832992769165</c:v>
                </c:pt>
                <c:pt idx="153">
                  <c:v>72.765398136891605</c:v>
                </c:pt>
                <c:pt idx="154">
                  <c:v>73.293125054663392</c:v>
                </c:pt>
                <c:pt idx="155">
                  <c:v>73.844208477277803</c:v>
                </c:pt>
                <c:pt idx="156">
                  <c:v>74.364515403841722</c:v>
                </c:pt>
                <c:pt idx="157">
                  <c:v>74.871769067051758</c:v>
                </c:pt>
                <c:pt idx="158">
                  <c:v>75.351827360841753</c:v>
                </c:pt>
                <c:pt idx="159">
                  <c:v>75.872401969364361</c:v>
                </c:pt>
                <c:pt idx="160">
                  <c:v>76.394586647071179</c:v>
                </c:pt>
                <c:pt idx="161">
                  <c:v>76.894068752475093</c:v>
                </c:pt>
                <c:pt idx="162">
                  <c:v>77.372064615785931</c:v>
                </c:pt>
                <c:pt idx="163">
                  <c:v>77.871331495675776</c:v>
                </c:pt>
                <c:pt idx="164">
                  <c:v>78.375888865764153</c:v>
                </c:pt>
                <c:pt idx="165">
                  <c:v>78.850057913009053</c:v>
                </c:pt>
                <c:pt idx="166">
                  <c:v>79.360375010187767</c:v>
                </c:pt>
                <c:pt idx="167">
                  <c:v>79.849508104643263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-1.512695943919155</c:v>
                </c:pt>
                <c:pt idx="2">
                  <c:v>-2.9397270677693479</c:v>
                </c:pt>
                <c:pt idx="3">
                  <c:v>-4.2490245590195368</c:v>
                </c:pt>
                <c:pt idx="4">
                  <c:v>-5.403967872439722</c:v>
                </c:pt>
                <c:pt idx="5">
                  <c:v>-6.4421793256836732</c:v>
                </c:pt>
                <c:pt idx="6">
                  <c:v>-7.4002779830530425</c:v>
                </c:pt>
                <c:pt idx="7">
                  <c:v>-8.2613837795405693</c:v>
                </c:pt>
                <c:pt idx="8">
                  <c:v>-9.0011361315293676</c:v>
                </c:pt>
                <c:pt idx="9">
                  <c:v>-9.6862005759965104</c:v>
                </c:pt>
                <c:pt idx="10">
                  <c:v>-10.313283104744837</c:v>
                </c:pt>
                <c:pt idx="11">
                  <c:v>-10.884776197224882</c:v>
                </c:pt>
                <c:pt idx="12">
                  <c:v>-11.390030373783173</c:v>
                </c:pt>
                <c:pt idx="13">
                  <c:v>-11.83473065066439</c:v>
                </c:pt>
                <c:pt idx="14">
                  <c:v>-12.230984732404027</c:v>
                </c:pt>
                <c:pt idx="15">
                  <c:v>-12.573394891862073</c:v>
                </c:pt>
                <c:pt idx="16">
                  <c:v>-12.851421896499374</c:v>
                </c:pt>
                <c:pt idx="17">
                  <c:v>-13.068129296844761</c:v>
                </c:pt>
                <c:pt idx="18">
                  <c:v>-13.238312019567335</c:v>
                </c:pt>
                <c:pt idx="19">
                  <c:v>-13.375073623533117</c:v>
                </c:pt>
                <c:pt idx="20">
                  <c:v>-13.480799855292211</c:v>
                </c:pt>
                <c:pt idx="21">
                  <c:v>-13.544995846652871</c:v>
                </c:pt>
                <c:pt idx="22">
                  <c:v>-13.573219253888798</c:v>
                </c:pt>
                <c:pt idx="23">
                  <c:v>-13.566950935029777</c:v>
                </c:pt>
                <c:pt idx="24">
                  <c:v>-13.529537570553615</c:v>
                </c:pt>
                <c:pt idx="25">
                  <c:v>-13.462828764201845</c:v>
                </c:pt>
                <c:pt idx="26">
                  <c:v>-13.365950966057444</c:v>
                </c:pt>
                <c:pt idx="27">
                  <c:v>-13.247963518932123</c:v>
                </c:pt>
                <c:pt idx="28">
                  <c:v>-13.103245270793995</c:v>
                </c:pt>
                <c:pt idx="29">
                  <c:v>-12.927539147640774</c:v>
                </c:pt>
                <c:pt idx="30">
                  <c:v>-12.743316066842999</c:v>
                </c:pt>
                <c:pt idx="31">
                  <c:v>-12.532691682164771</c:v>
                </c:pt>
                <c:pt idx="32">
                  <c:v>-12.314092479181834</c:v>
                </c:pt>
                <c:pt idx="33">
                  <c:v>-12.090671151175899</c:v>
                </c:pt>
                <c:pt idx="34">
                  <c:v>-11.860009436003139</c:v>
                </c:pt>
                <c:pt idx="35">
                  <c:v>-11.607998780630298</c:v>
                </c:pt>
                <c:pt idx="36">
                  <c:v>-11.339934142310859</c:v>
                </c:pt>
                <c:pt idx="37">
                  <c:v>-11.06008810920385</c:v>
                </c:pt>
                <c:pt idx="38">
                  <c:v>-10.78465242046922</c:v>
                </c:pt>
                <c:pt idx="39">
                  <c:v>-10.488164828517434</c:v>
                </c:pt>
                <c:pt idx="40">
                  <c:v>-10.184777769422091</c:v>
                </c:pt>
                <c:pt idx="41">
                  <c:v>-9.8887329173269372</c:v>
                </c:pt>
                <c:pt idx="42">
                  <c:v>-9.5748066257333662</c:v>
                </c:pt>
                <c:pt idx="43">
                  <c:v>-9.275585465067012</c:v>
                </c:pt>
                <c:pt idx="44">
                  <c:v>-8.9732879750485477</c:v>
                </c:pt>
                <c:pt idx="45">
                  <c:v>-8.6611157876937011</c:v>
                </c:pt>
                <c:pt idx="46">
                  <c:v>-8.3339613711675984</c:v>
                </c:pt>
                <c:pt idx="47">
                  <c:v>-7.9890669935168503</c:v>
                </c:pt>
                <c:pt idx="48">
                  <c:v>-7.6395036866316168</c:v>
                </c:pt>
                <c:pt idx="49">
                  <c:v>-7.2903756088255012</c:v>
                </c:pt>
                <c:pt idx="50">
                  <c:v>-6.9524717101771891</c:v>
                </c:pt>
                <c:pt idx="51">
                  <c:v>-6.6220584016037449</c:v>
                </c:pt>
                <c:pt idx="52">
                  <c:v>-6.2661019505908868</c:v>
                </c:pt>
                <c:pt idx="53">
                  <c:v>-5.9137508395305201</c:v>
                </c:pt>
                <c:pt idx="54">
                  <c:v>-5.5800474197347896</c:v>
                </c:pt>
                <c:pt idx="55">
                  <c:v>-5.2381098436137226</c:v>
                </c:pt>
                <c:pt idx="56">
                  <c:v>-4.8864983367162544</c:v>
                </c:pt>
                <c:pt idx="57">
                  <c:v>-4.5343355670138905</c:v>
                </c:pt>
                <c:pt idx="58">
                  <c:v>-4.1900987015831976</c:v>
                </c:pt>
                <c:pt idx="59">
                  <c:v>-3.8448687110160016</c:v>
                </c:pt>
                <c:pt idx="60">
                  <c:v>-3.5005275894907317</c:v>
                </c:pt>
                <c:pt idx="61">
                  <c:v>-3.1620019273002704</c:v>
                </c:pt>
                <c:pt idx="62">
                  <c:v>-2.8079511761219802</c:v>
                </c:pt>
                <c:pt idx="63">
                  <c:v>-2.4578109289109467</c:v>
                </c:pt>
                <c:pt idx="64">
                  <c:v>-2.1041964184062234</c:v>
                </c:pt>
                <c:pt idx="65">
                  <c:v>-1.751670503644867</c:v>
                </c:pt>
                <c:pt idx="66">
                  <c:v>-1.4054672088324036</c:v>
                </c:pt>
                <c:pt idx="67">
                  <c:v>-1.0769608784168661</c:v>
                </c:pt>
                <c:pt idx="68">
                  <c:v>-0.75167512197593567</c:v>
                </c:pt>
                <c:pt idx="69">
                  <c:v>-0.43433703470198282</c:v>
                </c:pt>
                <c:pt idx="70">
                  <c:v>-0.10969272301794675</c:v>
                </c:pt>
                <c:pt idx="71">
                  <c:v>0.22368762842333823</c:v>
                </c:pt>
                <c:pt idx="72">
                  <c:v>0.56237133571870324</c:v>
                </c:pt>
                <c:pt idx="73">
                  <c:v>0.90774629640712767</c:v>
                </c:pt>
                <c:pt idx="74">
                  <c:v>1.2528115683707686</c:v>
                </c:pt>
                <c:pt idx="75">
                  <c:v>1.5782189207676378</c:v>
                </c:pt>
                <c:pt idx="76">
                  <c:v>1.8960805688675002</c:v>
                </c:pt>
                <c:pt idx="77">
                  <c:v>2.2158877483429453</c:v>
                </c:pt>
                <c:pt idx="78">
                  <c:v>2.5495711667756087</c:v>
                </c:pt>
                <c:pt idx="79">
                  <c:v>2.8545083126847892</c:v>
                </c:pt>
                <c:pt idx="80">
                  <c:v>3.1466352626381173</c:v>
                </c:pt>
                <c:pt idx="81">
                  <c:v>3.4498574561397923</c:v>
                </c:pt>
                <c:pt idx="82">
                  <c:v>3.7586534388783654</c:v>
                </c:pt>
                <c:pt idx="83">
                  <c:v>4.0665720453933112</c:v>
                </c:pt>
                <c:pt idx="84">
                  <c:v>4.3647646869428876</c:v>
                </c:pt>
                <c:pt idx="85">
                  <c:v>4.6472058355597419</c:v>
                </c:pt>
                <c:pt idx="86">
                  <c:v>4.9222519631184731</c:v>
                </c:pt>
                <c:pt idx="87">
                  <c:v>5.210647221600853</c:v>
                </c:pt>
                <c:pt idx="88">
                  <c:v>5.4929121609194702</c:v>
                </c:pt>
                <c:pt idx="89">
                  <c:v>5.7761181520842637</c:v>
                </c:pt>
                <c:pt idx="90">
                  <c:v>6.0539958319559641</c:v>
                </c:pt>
                <c:pt idx="91">
                  <c:v>6.3395458506339093</c:v>
                </c:pt>
                <c:pt idx="92">
                  <c:v>6.6318630189437116</c:v>
                </c:pt>
                <c:pt idx="93">
                  <c:v>6.9330753667768548</c:v>
                </c:pt>
                <c:pt idx="94">
                  <c:v>7.2157019311990052</c:v>
                </c:pt>
                <c:pt idx="95">
                  <c:v>7.512769748996833</c:v>
                </c:pt>
                <c:pt idx="96">
                  <c:v>7.8064407346153679</c:v>
                </c:pt>
                <c:pt idx="97">
                  <c:v>8.0993362912888163</c:v>
                </c:pt>
                <c:pt idx="98">
                  <c:v>8.4004128730062373</c:v>
                </c:pt>
                <c:pt idx="99">
                  <c:v>8.6921343981510883</c:v>
                </c:pt>
                <c:pt idx="100">
                  <c:v>8.9748039520200908</c:v>
                </c:pt>
                <c:pt idx="101">
                  <c:v>9.2577504405215105</c:v>
                </c:pt>
                <c:pt idx="102">
                  <c:v>9.5385799597803853</c:v>
                </c:pt>
                <c:pt idx="103">
                  <c:v>9.8170783404142892</c:v>
                </c:pt>
                <c:pt idx="104">
                  <c:v>10.105899678419</c:v>
                </c:pt>
                <c:pt idx="105">
                  <c:v>10.395115040051854</c:v>
                </c:pt>
                <c:pt idx="106">
                  <c:v>10.684658619748273</c:v>
                </c:pt>
                <c:pt idx="107">
                  <c:v>10.973266898801024</c:v>
                </c:pt>
                <c:pt idx="108">
                  <c:v>11.241344342433141</c:v>
                </c:pt>
                <c:pt idx="109">
                  <c:v>11.518016585009981</c:v>
                </c:pt>
                <c:pt idx="110">
                  <c:v>11.796606458960852</c:v>
                </c:pt>
                <c:pt idx="111">
                  <c:v>12.062909426924186</c:v>
                </c:pt>
                <c:pt idx="112">
                  <c:v>12.332343229685828</c:v>
                </c:pt>
                <c:pt idx="113">
                  <c:v>12.594532069669345</c:v>
                </c:pt>
                <c:pt idx="114">
                  <c:v>12.870365957641971</c:v>
                </c:pt>
                <c:pt idx="115">
                  <c:v>13.139529658135602</c:v>
                </c:pt>
                <c:pt idx="116">
                  <c:v>13.396994041898228</c:v>
                </c:pt>
                <c:pt idx="117">
                  <c:v>13.646750584836031</c:v>
                </c:pt>
                <c:pt idx="118">
                  <c:v>13.888723105959654</c:v>
                </c:pt>
                <c:pt idx="119">
                  <c:v>14.13888560314115</c:v>
                </c:pt>
                <c:pt idx="120">
                  <c:v>14.392954483020175</c:v>
                </c:pt>
                <c:pt idx="121">
                  <c:v>14.635375197172756</c:v>
                </c:pt>
                <c:pt idx="122">
                  <c:v>14.872893132733633</c:v>
                </c:pt>
                <c:pt idx="123">
                  <c:v>15.107869033705907</c:v>
                </c:pt>
                <c:pt idx="124">
                  <c:v>15.349458784050235</c:v>
                </c:pt>
                <c:pt idx="125">
                  <c:v>15.595334319549361</c:v>
                </c:pt>
                <c:pt idx="126">
                  <c:v>15.838831898783656</c:v>
                </c:pt>
                <c:pt idx="127">
                  <c:v>16.07961510634394</c:v>
                </c:pt>
                <c:pt idx="128">
                  <c:v>16.309946124138005</c:v>
                </c:pt>
                <c:pt idx="129">
                  <c:v>16.540441529436951</c:v>
                </c:pt>
                <c:pt idx="130">
                  <c:v>16.763854335008858</c:v>
                </c:pt>
                <c:pt idx="131">
                  <c:v>16.983440772874005</c:v>
                </c:pt>
                <c:pt idx="132">
                  <c:v>17.207445932392368</c:v>
                </c:pt>
                <c:pt idx="133">
                  <c:v>17.434597429820002</c:v>
                </c:pt>
                <c:pt idx="134">
                  <c:v>17.665480087728401</c:v>
                </c:pt>
                <c:pt idx="135">
                  <c:v>17.899080014117843</c:v>
                </c:pt>
                <c:pt idx="136">
                  <c:v>18.120219797697001</c:v>
                </c:pt>
                <c:pt idx="137">
                  <c:v>18.345676933488825</c:v>
                </c:pt>
                <c:pt idx="138">
                  <c:v>18.569177150765633</c:v>
                </c:pt>
                <c:pt idx="139">
                  <c:v>18.793467454373413</c:v>
                </c:pt>
                <c:pt idx="140">
                  <c:v>19.001638733806523</c:v>
                </c:pt>
                <c:pt idx="141">
                  <c:v>19.20482161466423</c:v>
                </c:pt>
                <c:pt idx="142">
                  <c:v>19.416994787810133</c:v>
                </c:pt>
                <c:pt idx="143">
                  <c:v>19.626651227810207</c:v>
                </c:pt>
                <c:pt idx="144">
                  <c:v>19.837685295716472</c:v>
                </c:pt>
                <c:pt idx="145">
                  <c:v>20.052229821160324</c:v>
                </c:pt>
                <c:pt idx="146">
                  <c:v>20.259976649601494</c:v>
                </c:pt>
                <c:pt idx="147">
                  <c:v>20.464810272084854</c:v>
                </c:pt>
                <c:pt idx="148">
                  <c:v>20.653066595339773</c:v>
                </c:pt>
                <c:pt idx="149">
                  <c:v>20.840772363952503</c:v>
                </c:pt>
                <c:pt idx="150">
                  <c:v>21.040253045628617</c:v>
                </c:pt>
                <c:pt idx="151">
                  <c:v>21.240931692755559</c:v>
                </c:pt>
                <c:pt idx="152">
                  <c:v>21.432588785516259</c:v>
                </c:pt>
                <c:pt idx="153">
                  <c:v>21.625929594343148</c:v>
                </c:pt>
                <c:pt idx="154">
                  <c:v>21.816115209413663</c:v>
                </c:pt>
                <c:pt idx="155">
                  <c:v>22.009066063316524</c:v>
                </c:pt>
                <c:pt idx="156">
                  <c:v>22.191964716067947</c:v>
                </c:pt>
                <c:pt idx="157">
                  <c:v>22.370756720955825</c:v>
                </c:pt>
                <c:pt idx="158">
                  <c:v>22.54126868005757</c:v>
                </c:pt>
                <c:pt idx="159">
                  <c:v>22.717951578245859</c:v>
                </c:pt>
                <c:pt idx="160">
                  <c:v>22.895539410563423</c:v>
                </c:pt>
                <c:pt idx="161">
                  <c:v>23.064996997165554</c:v>
                </c:pt>
                <c:pt idx="162">
                  <c:v>23.224447802258389</c:v>
                </c:pt>
                <c:pt idx="163">
                  <c:v>23.387161134451439</c:v>
                </c:pt>
                <c:pt idx="164">
                  <c:v>23.548709263001204</c:v>
                </c:pt>
                <c:pt idx="165">
                  <c:v>23.704826190714023</c:v>
                </c:pt>
                <c:pt idx="166">
                  <c:v>23.868932818727281</c:v>
                </c:pt>
                <c:pt idx="167">
                  <c:v>24.028580578093901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1.3405913854385714</c:v>
                </c:pt>
                <c:pt idx="15">
                  <c:v>1.3878817295498753</c:v>
                </c:pt>
                <c:pt idx="16">
                  <c:v>1.4348440285816551</c:v>
                </c:pt>
                <c:pt idx="17">
                  <c:v>1.4850915031947471</c:v>
                </c:pt>
                <c:pt idx="18">
                  <c:v>1.5432282840081659</c:v>
                </c:pt>
                <c:pt idx="19">
                  <c:v>1.606391243119073</c:v>
                </c:pt>
                <c:pt idx="20">
                  <c:v>1.67141194442802</c:v>
                </c:pt>
                <c:pt idx="21">
                  <c:v>1.7352464695720091</c:v>
                </c:pt>
                <c:pt idx="22">
                  <c:v>1.8066095157796882</c:v>
                </c:pt>
                <c:pt idx="23">
                  <c:v>1.8809505466969207</c:v>
                </c:pt>
                <c:pt idx="24">
                  <c:v>1.9509878219485199</c:v>
                </c:pt>
                <c:pt idx="25">
                  <c:v>2.0244571305561343</c:v>
                </c:pt>
                <c:pt idx="26">
                  <c:v>2.1079054133029889</c:v>
                </c:pt>
                <c:pt idx="27">
                  <c:v>2.1936635157568327</c:v>
                </c:pt>
                <c:pt idx="28">
                  <c:v>2.2885453075101938</c:v>
                </c:pt>
                <c:pt idx="29">
                  <c:v>2.3803788052421222</c:v>
                </c:pt>
                <c:pt idx="30">
                  <c:v>2.480863007868475</c:v>
                </c:pt>
                <c:pt idx="31">
                  <c:v>2.5863205907641342</c:v>
                </c:pt>
                <c:pt idx="32">
                  <c:v>2.6985627628841078</c:v>
                </c:pt>
                <c:pt idx="33">
                  <c:v>2.8175356251642407</c:v>
                </c:pt>
                <c:pt idx="34">
                  <c:v>2.9413365700510967</c:v>
                </c:pt>
                <c:pt idx="35">
                  <c:v>3.0599922546319447</c:v>
                </c:pt>
                <c:pt idx="36">
                  <c:v>3.1833543706471716</c:v>
                </c:pt>
                <c:pt idx="37">
                  <c:v>3.3117288523402366</c:v>
                </c:pt>
                <c:pt idx="38">
                  <c:v>3.4458404506730704</c:v>
                </c:pt>
                <c:pt idx="39">
                  <c:v>3.5974087430894959</c:v>
                </c:pt>
                <c:pt idx="40">
                  <c:v>3.7552269746856317</c:v>
                </c:pt>
                <c:pt idx="41">
                  <c:v>3.9155216763068061</c:v>
                </c:pt>
                <c:pt idx="42">
                  <c:v>4.0859115826421037</c:v>
                </c:pt>
                <c:pt idx="43">
                  <c:v>4.2722628419170361</c:v>
                </c:pt>
                <c:pt idx="44">
                  <c:v>4.4596631897261751</c:v>
                </c:pt>
                <c:pt idx="45">
                  <c:v>4.6387737144563905</c:v>
                </c:pt>
                <c:pt idx="46">
                  <c:v>4.8276226137343778</c:v>
                </c:pt>
                <c:pt idx="47">
                  <c:v>5.0355081987658377</c:v>
                </c:pt>
                <c:pt idx="48">
                  <c:v>5.2550596341994487</c:v>
                </c:pt>
                <c:pt idx="49">
                  <c:v>5.4799913922520913</c:v>
                </c:pt>
                <c:pt idx="50">
                  <c:v>5.6843183155668431</c:v>
                </c:pt>
                <c:pt idx="51">
                  <c:v>5.8931517142837269</c:v>
                </c:pt>
                <c:pt idx="52">
                  <c:v>6.1201668444650696</c:v>
                </c:pt>
                <c:pt idx="53">
                  <c:v>6.3632387838285789</c:v>
                </c:pt>
                <c:pt idx="54">
                  <c:v>6.60131045366838</c:v>
                </c:pt>
                <c:pt idx="55">
                  <c:v>6.8528160333008179</c:v>
                </c:pt>
                <c:pt idx="56">
                  <c:v>7.1581756460483223</c:v>
                </c:pt>
                <c:pt idx="57">
                  <c:v>7.4832670541815203</c:v>
                </c:pt>
                <c:pt idx="58">
                  <c:v>7.8248226082299768</c:v>
                </c:pt>
                <c:pt idx="59">
                  <c:v>8.2043320671734445</c:v>
                </c:pt>
                <c:pt idx="60">
                  <c:v>8.5785438818668744</c:v>
                </c:pt>
                <c:pt idx="61">
                  <c:v>8.9537968818498577</c:v>
                </c:pt>
                <c:pt idx="62">
                  <c:v>9.3370714909214811</c:v>
                </c:pt>
                <c:pt idx="63">
                  <c:v>9.7587855427405188</c:v>
                </c:pt>
                <c:pt idx="64">
                  <c:v>10.225411993094003</c:v>
                </c:pt>
                <c:pt idx="65">
                  <c:v>10.722829890242904</c:v>
                </c:pt>
                <c:pt idx="66">
                  <c:v>11.231089462195037</c:v>
                </c:pt>
                <c:pt idx="67">
                  <c:v>11.769146617395705</c:v>
                </c:pt>
                <c:pt idx="68">
                  <c:v>12.332123633900959</c:v>
                </c:pt>
                <c:pt idx="69">
                  <c:v>12.913585649206476</c:v>
                </c:pt>
                <c:pt idx="70">
                  <c:v>13.517980164456967</c:v>
                </c:pt>
                <c:pt idx="71">
                  <c:v>14.095808510938117</c:v>
                </c:pt>
                <c:pt idx="72">
                  <c:v>14.729417716088129</c:v>
                </c:pt>
                <c:pt idx="73">
                  <c:v>15.414262136632896</c:v>
                </c:pt>
                <c:pt idx="74">
                  <c:v>16.181863416605825</c:v>
                </c:pt>
                <c:pt idx="75">
                  <c:v>17.011599419515591</c:v>
                </c:pt>
                <c:pt idx="76">
                  <c:v>17.840099042548658</c:v>
                </c:pt>
                <c:pt idx="77">
                  <c:v>18.661597511680572</c:v>
                </c:pt>
                <c:pt idx="78">
                  <c:v>19.497723223548579</c:v>
                </c:pt>
                <c:pt idx="79">
                  <c:v>20.371862450135438</c:v>
                </c:pt>
                <c:pt idx="80">
                  <c:v>21.301619731105511</c:v>
                </c:pt>
                <c:pt idx="81">
                  <c:v>22.283569327958286</c:v>
                </c:pt>
                <c:pt idx="82">
                  <c:v>23.245285882601028</c:v>
                </c:pt>
                <c:pt idx="83">
                  <c:v>24.311534221138285</c:v>
                </c:pt>
                <c:pt idx="84">
                  <c:v>25.466330825742492</c:v>
                </c:pt>
                <c:pt idx="85">
                  <c:v>26.580345049331793</c:v>
                </c:pt>
                <c:pt idx="86">
                  <c:v>27.758898871032116</c:v>
                </c:pt>
                <c:pt idx="87">
                  <c:v>29.033964207673112</c:v>
                </c:pt>
                <c:pt idx="88">
                  <c:v>30.331124392304815</c:v>
                </c:pt>
                <c:pt idx="89">
                  <c:v>31.747776166154164</c:v>
                </c:pt>
                <c:pt idx="90">
                  <c:v>33.288364591901328</c:v>
                </c:pt>
                <c:pt idx="91">
                  <c:v>34.802525203544647</c:v>
                </c:pt>
                <c:pt idx="92">
                  <c:v>36.386982113169786</c:v>
                </c:pt>
                <c:pt idx="93">
                  <c:v>38.000259035985984</c:v>
                </c:pt>
                <c:pt idx="94">
                  <c:v>39.617005210963548</c:v>
                </c:pt>
                <c:pt idx="95">
                  <c:v>41.015105666449784</c:v>
                </c:pt>
                <c:pt idx="96">
                  <c:v>42.852187732559578</c:v>
                </c:pt>
                <c:pt idx="97">
                  <c:v>44.700817600974233</c:v>
                </c:pt>
                <c:pt idx="98">
                  <c:v>46.601689575177403</c:v>
                </c:pt>
                <c:pt idx="99">
                  <c:v>48.610307635586224</c:v>
                </c:pt>
                <c:pt idx="100">
                  <c:v>50.746323340631875</c:v>
                </c:pt>
                <c:pt idx="101">
                  <c:v>52.919480476930602</c:v>
                </c:pt>
                <c:pt idx="102">
                  <c:v>55.075009983755777</c:v>
                </c:pt>
                <c:pt idx="103">
                  <c:v>57.210805125363386</c:v>
                </c:pt>
                <c:pt idx="104">
                  <c:v>59.349235623874023</c:v>
                </c:pt>
                <c:pt idx="105">
                  <c:v>61.520003092169816</c:v>
                </c:pt>
                <c:pt idx="106">
                  <c:v>63.846170426520601</c:v>
                </c:pt>
                <c:pt idx="107">
                  <c:v>66.234450451970645</c:v>
                </c:pt>
                <c:pt idx="108">
                  <c:v>68.623496972743013</c:v>
                </c:pt>
                <c:pt idx="109">
                  <c:v>71.053839674205022</c:v>
                </c:pt>
                <c:pt idx="110">
                  <c:v>73.492940968275377</c:v>
                </c:pt>
                <c:pt idx="111">
                  <c:v>75.931516135358322</c:v>
                </c:pt>
                <c:pt idx="112">
                  <c:v>78.475244629757825</c:v>
                </c:pt>
                <c:pt idx="113">
                  <c:v>81.103277850464934</c:v>
                </c:pt>
                <c:pt idx="114">
                  <c:v>83.538758817445483</c:v>
                </c:pt>
                <c:pt idx="115">
                  <c:v>86.114573978151043</c:v>
                </c:pt>
                <c:pt idx="116">
                  <c:v>88.935116462755602</c:v>
                </c:pt>
                <c:pt idx="117">
                  <c:v>91.668195512015799</c:v>
                </c:pt>
                <c:pt idx="118">
                  <c:v>94.289711063954456</c:v>
                </c:pt>
                <c:pt idx="119">
                  <c:v>96.923727495746931</c:v>
                </c:pt>
                <c:pt idx="120">
                  <c:v>99.521631523663842</c:v>
                </c:pt>
                <c:pt idx="121">
                  <c:v>102.14107241748101</c:v>
                </c:pt>
                <c:pt idx="122">
                  <c:v>104.74839340272298</c:v>
                </c:pt>
                <c:pt idx="123">
                  <c:v>107.47050816175476</c:v>
                </c:pt>
                <c:pt idx="124">
                  <c:v>110.26623886029364</c:v>
                </c:pt>
                <c:pt idx="125">
                  <c:v>113.05652735453808</c:v>
                </c:pt>
                <c:pt idx="126">
                  <c:v>115.73074807078412</c:v>
                </c:pt>
                <c:pt idx="127">
                  <c:v>118.34081963219987</c:v>
                </c:pt>
                <c:pt idx="128">
                  <c:v>120.8075678373381</c:v>
                </c:pt>
                <c:pt idx="129">
                  <c:v>123.35421834489223</c:v>
                </c:pt>
                <c:pt idx="130">
                  <c:v>125.85741497355036</c:v>
                </c:pt>
                <c:pt idx="131">
                  <c:v>128.08495302708275</c:v>
                </c:pt>
                <c:pt idx="132">
                  <c:v>130.44028332839443</c:v>
                </c:pt>
                <c:pt idx="133">
                  <c:v>132.65734038106737</c:v>
                </c:pt>
                <c:pt idx="134">
                  <c:v>135.00000000000003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-19.1794888448092</c:v>
                </c:pt>
                <c:pt idx="1">
                  <c:v>-19.407597549027326</c:v>
                </c:pt>
                <c:pt idx="2">
                  <c:v>-19.565918483443372</c:v>
                </c:pt>
                <c:pt idx="3">
                  <c:v>-19.664668169501056</c:v>
                </c:pt>
                <c:pt idx="4">
                  <c:v>-19.696544310740514</c:v>
                </c:pt>
                <c:pt idx="5">
                  <c:v>-19.686058774822357</c:v>
                </c:pt>
                <c:pt idx="6">
                  <c:v>-19.616272271378655</c:v>
                </c:pt>
                <c:pt idx="7">
                  <c:v>-19.494876508081294</c:v>
                </c:pt>
                <c:pt idx="8">
                  <c:v>-19.316734110201637</c:v>
                </c:pt>
                <c:pt idx="9">
                  <c:v>-19.079564599256656</c:v>
                </c:pt>
                <c:pt idx="10">
                  <c:v>-18.807901251224752</c:v>
                </c:pt>
                <c:pt idx="11">
                  <c:v>-18.514781526779924</c:v>
                </c:pt>
                <c:pt idx="12">
                  <c:v>-18.188204717878527</c:v>
                </c:pt>
                <c:pt idx="13">
                  <c:v>-17.815492526737597</c:v>
                </c:pt>
                <c:pt idx="14">
                  <c:v>-17.403806484573682</c:v>
                </c:pt>
                <c:pt idx="15">
                  <c:v>-17.032951256814396</c:v>
                </c:pt>
                <c:pt idx="16">
                  <c:v>-16.620972727994097</c:v>
                </c:pt>
                <c:pt idx="17">
                  <c:v>-16.180171418838871</c:v>
                </c:pt>
                <c:pt idx="18">
                  <c:v>-15.667436678683403</c:v>
                </c:pt>
                <c:pt idx="19">
                  <c:v>-15.087972776258203</c:v>
                </c:pt>
                <c:pt idx="20">
                  <c:v>-14.488257341468671</c:v>
                </c:pt>
                <c:pt idx="21">
                  <c:v>-13.885946524093894</c:v>
                </c:pt>
                <c:pt idx="22">
                  <c:v>-13.23027065221163</c:v>
                </c:pt>
                <c:pt idx="23">
                  <c:v>-12.552065242721964</c:v>
                </c:pt>
                <c:pt idx="24">
                  <c:v>-11.91369620002534</c:v>
                </c:pt>
                <c:pt idx="25">
                  <c:v>-11.245510012150834</c:v>
                </c:pt>
                <c:pt idx="26">
                  <c:v>-10.52083061161667</c:v>
                </c:pt>
                <c:pt idx="27">
                  <c:v>-9.817171215006212</c:v>
                </c:pt>
                <c:pt idx="28">
                  <c:v>-9.0585880957479947</c:v>
                </c:pt>
                <c:pt idx="29">
                  <c:v>-8.3550149170707915</c:v>
                </c:pt>
                <c:pt idx="30">
                  <c:v>-7.6239715634761946</c:v>
                </c:pt>
                <c:pt idx="31">
                  <c:v>-6.8635736069582736</c:v>
                </c:pt>
                <c:pt idx="32">
                  <c:v>-6.0847202249218828</c:v>
                </c:pt>
                <c:pt idx="33">
                  <c:v>-5.2989753067915837</c:v>
                </c:pt>
                <c:pt idx="34">
                  <c:v>-4.5231495759923845</c:v>
                </c:pt>
                <c:pt idx="35">
                  <c:v>-3.8102758755396153</c:v>
                </c:pt>
                <c:pt idx="36">
                  <c:v>-3.1053848133390662</c:v>
                </c:pt>
                <c:pt idx="37">
                  <c:v>-2.4017094231682421</c:v>
                </c:pt>
                <c:pt idx="38">
                  <c:v>-1.6847989233476044</c:v>
                </c:pt>
                <c:pt idx="39">
                  <c:v>-0.93637063042610169</c:v>
                </c:pt>
                <c:pt idx="40">
                  <c:v>-0.19069955986010323</c:v>
                </c:pt>
                <c:pt idx="41">
                  <c:v>0.52357991801462234</c:v>
                </c:pt>
                <c:pt idx="42">
                  <c:v>1.2521214644419643</c:v>
                </c:pt>
                <c:pt idx="43">
                  <c:v>1.9918813383291507</c:v>
                </c:pt>
                <c:pt idx="44">
                  <c:v>2.692752708384341</c:v>
                </c:pt>
                <c:pt idx="45">
                  <c:v>3.3382388794883373</c:v>
                </c:pt>
                <c:pt idx="46">
                  <c:v>3.9801168379811793</c:v>
                </c:pt>
                <c:pt idx="47">
                  <c:v>4.6447400391232385</c:v>
                </c:pt>
                <c:pt idx="48">
                  <c:v>5.3067310226166624</c:v>
                </c:pt>
                <c:pt idx="49">
                  <c:v>5.9677377614999099</c:v>
                </c:pt>
                <c:pt idx="50">
                  <c:v>6.5638096506757009</c:v>
                </c:pt>
                <c:pt idx="51">
                  <c:v>7.1485088776417909</c:v>
                </c:pt>
                <c:pt idx="52">
                  <c:v>7.7553531712748525</c:v>
                </c:pt>
                <c:pt idx="53">
                  <c:v>8.3945529998376855</c:v>
                </c:pt>
                <c:pt idx="54">
                  <c:v>9.0207389877337558</c:v>
                </c:pt>
                <c:pt idx="55">
                  <c:v>9.6315561735381934</c:v>
                </c:pt>
                <c:pt idx="56">
                  <c:v>10.286281412000598</c:v>
                </c:pt>
                <c:pt idx="57">
                  <c:v>10.953121507517771</c:v>
                </c:pt>
                <c:pt idx="58">
                  <c:v>11.607363671337701</c:v>
                </c:pt>
                <c:pt idx="59">
                  <c:v>12.280012582648595</c:v>
                </c:pt>
                <c:pt idx="60">
                  <c:v>12.877569186824706</c:v>
                </c:pt>
                <c:pt idx="61">
                  <c:v>13.439592873163759</c:v>
                </c:pt>
                <c:pt idx="62">
                  <c:v>13.96383912336217</c:v>
                </c:pt>
                <c:pt idx="63">
                  <c:v>14.491090886855105</c:v>
                </c:pt>
                <c:pt idx="64">
                  <c:v>15.010252497394037</c:v>
                </c:pt>
                <c:pt idx="65">
                  <c:v>15.502174892798733</c:v>
                </c:pt>
                <c:pt idx="66">
                  <c:v>15.948621367344353</c:v>
                </c:pt>
                <c:pt idx="67">
                  <c:v>16.339451112007033</c:v>
                </c:pt>
                <c:pt idx="68">
                  <c:v>16.699451693572271</c:v>
                </c:pt>
                <c:pt idx="69">
                  <c:v>17.00623826596312</c:v>
                </c:pt>
                <c:pt idx="70">
                  <c:v>17.264441055949298</c:v>
                </c:pt>
                <c:pt idx="71">
                  <c:v>17.451988142095217</c:v>
                </c:pt>
                <c:pt idx="72">
                  <c:v>17.598232029031994</c:v>
                </c:pt>
                <c:pt idx="73">
                  <c:v>17.70458034183622</c:v>
                </c:pt>
                <c:pt idx="74">
                  <c:v>17.763679439174037</c:v>
                </c:pt>
                <c:pt idx="75">
                  <c:v>17.816357674451837</c:v>
                </c:pt>
                <c:pt idx="76">
                  <c:v>17.836621877596716</c:v>
                </c:pt>
                <c:pt idx="77">
                  <c:v>17.819832109028592</c:v>
                </c:pt>
                <c:pt idx="78">
                  <c:v>17.791349227692855</c:v>
                </c:pt>
                <c:pt idx="79">
                  <c:v>17.72465237380155</c:v>
                </c:pt>
                <c:pt idx="80">
                  <c:v>17.586613585428616</c:v>
                </c:pt>
                <c:pt idx="81">
                  <c:v>17.387415953080659</c:v>
                </c:pt>
                <c:pt idx="82">
                  <c:v>17.166437132898643</c:v>
                </c:pt>
                <c:pt idx="83">
                  <c:v>16.930448772336895</c:v>
                </c:pt>
                <c:pt idx="84">
                  <c:v>16.647525247139487</c:v>
                </c:pt>
                <c:pt idx="85">
                  <c:v>16.347960035209773</c:v>
                </c:pt>
                <c:pt idx="86">
                  <c:v>16.009224721166081</c:v>
                </c:pt>
                <c:pt idx="87">
                  <c:v>15.614207048250595</c:v>
                </c:pt>
                <c:pt idx="88">
                  <c:v>15.175204596584866</c:v>
                </c:pt>
                <c:pt idx="89">
                  <c:v>14.669549339440596</c:v>
                </c:pt>
                <c:pt idx="90">
                  <c:v>14.096970058231067</c:v>
                </c:pt>
                <c:pt idx="91">
                  <c:v>13.488209443202228</c:v>
                </c:pt>
                <c:pt idx="92">
                  <c:v>12.803906930324153</c:v>
                </c:pt>
                <c:pt idx="93">
                  <c:v>12.055759194989825</c:v>
                </c:pt>
                <c:pt idx="94">
                  <c:v>11.266406532469434</c:v>
                </c:pt>
                <c:pt idx="95">
                  <c:v>10.598058253691431</c:v>
                </c:pt>
                <c:pt idx="96">
                  <c:v>9.6795297138513252</c:v>
                </c:pt>
                <c:pt idx="97">
                  <c:v>8.7448514870553566</c:v>
                </c:pt>
                <c:pt idx="98">
                  <c:v>7.7531920388040163</c:v>
                </c:pt>
                <c:pt idx="99">
                  <c:v>6.6860294752739868</c:v>
                </c:pt>
                <c:pt idx="100">
                  <c:v>5.4975605616177008</c:v>
                </c:pt>
                <c:pt idx="101">
                  <c:v>4.247200785143165</c:v>
                </c:pt>
                <c:pt idx="102">
                  <c:v>2.987564098084472</c:v>
                </c:pt>
                <c:pt idx="103">
                  <c:v>1.7214302465102209</c:v>
                </c:pt>
                <c:pt idx="104">
                  <c:v>0.47972341190262746</c:v>
                </c:pt>
                <c:pt idx="105">
                  <c:v>-0.81424212689067232</c:v>
                </c:pt>
                <c:pt idx="106">
                  <c:v>-2.2348334784653363</c:v>
                </c:pt>
                <c:pt idx="107">
                  <c:v>-3.7231285146229824</c:v>
                </c:pt>
                <c:pt idx="108">
                  <c:v>-5.2283534610409887</c:v>
                </c:pt>
                <c:pt idx="109">
                  <c:v>-6.776161634322114</c:v>
                </c:pt>
                <c:pt idx="110">
                  <c:v>-8.358371324153083</c:v>
                </c:pt>
                <c:pt idx="111">
                  <c:v>-9.9738447760447162</c:v>
                </c:pt>
                <c:pt idx="112">
                  <c:v>-11.631220736913736</c:v>
                </c:pt>
                <c:pt idx="113">
                  <c:v>-13.387723343501715</c:v>
                </c:pt>
                <c:pt idx="114">
                  <c:v>-15.022437872080138</c:v>
                </c:pt>
                <c:pt idx="115">
                  <c:v>-16.806110533815961</c:v>
                </c:pt>
                <c:pt idx="116">
                  <c:v>-18.78842923661994</c:v>
                </c:pt>
                <c:pt idx="117">
                  <c:v>-20.711753351231987</c:v>
                </c:pt>
                <c:pt idx="118">
                  <c:v>-22.571754917659188</c:v>
                </c:pt>
                <c:pt idx="119">
                  <c:v>-24.460426886371003</c:v>
                </c:pt>
                <c:pt idx="120">
                  <c:v>-26.346362699136044</c:v>
                </c:pt>
                <c:pt idx="121">
                  <c:v>-28.242085455378955</c:v>
                </c:pt>
                <c:pt idx="122">
                  <c:v>-30.148608671965977</c:v>
                </c:pt>
                <c:pt idx="123">
                  <c:v>-32.163439289893816</c:v>
                </c:pt>
                <c:pt idx="124">
                  <c:v>-34.255486338231719</c:v>
                </c:pt>
                <c:pt idx="125">
                  <c:v>-36.339690812347122</c:v>
                </c:pt>
                <c:pt idx="126">
                  <c:v>-38.328406729434278</c:v>
                </c:pt>
                <c:pt idx="127">
                  <c:v>-40.264471587725495</c:v>
                </c:pt>
                <c:pt idx="128">
                  <c:v>-42.104223937988223</c:v>
                </c:pt>
                <c:pt idx="129">
                  <c:v>-44.000776715028501</c:v>
                </c:pt>
                <c:pt idx="130">
                  <c:v>-45.841852024356129</c:v>
                </c:pt>
                <c:pt idx="131">
                  <c:v>-47.503156023469735</c:v>
                </c:pt>
                <c:pt idx="132">
                  <c:v>-49.212364933918458</c:v>
                </c:pt>
                <c:pt idx="133">
                  <c:v>-50.808161177235085</c:v>
                </c:pt>
                <c:pt idx="134">
                  <c:v>-52.484273087117565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0.48622451092495594</c:v>
                </c:pt>
                <c:pt idx="1">
                  <c:v>0.95637488298540552</c:v>
                </c:pt>
                <c:pt idx="2">
                  <c:v>1.4762540854219559</c:v>
                </c:pt>
                <c:pt idx="3">
                  <c:v>2.0047878064140194</c:v>
                </c:pt>
                <c:pt idx="4">
                  <c:v>2.5538839119469929</c:v>
                </c:pt>
                <c:pt idx="5">
                  <c:v>3.0334828228012021</c:v>
                </c:pt>
                <c:pt idx="6">
                  <c:v>3.5152730552464941</c:v>
                </c:pt>
                <c:pt idx="7">
                  <c:v>4.0160712072821756</c:v>
                </c:pt>
                <c:pt idx="8">
                  <c:v>4.5381808051261894</c:v>
                </c:pt>
                <c:pt idx="9">
                  <c:v>5.0781001346543793</c:v>
                </c:pt>
                <c:pt idx="10">
                  <c:v>5.6052509399578039</c:v>
                </c:pt>
                <c:pt idx="11">
                  <c:v>6.108626644075339</c:v>
                </c:pt>
                <c:pt idx="12">
                  <c:v>6.6069843542002999</c:v>
                </c:pt>
                <c:pt idx="13">
                  <c:v>7.1257324594546345</c:v>
                </c:pt>
                <c:pt idx="14">
                  <c:v>7.6489408652499087</c:v>
                </c:pt>
                <c:pt idx="15">
                  <c:v>8.1412723379891716</c:v>
                </c:pt>
                <c:pt idx="16">
                  <c:v>8.6448459059417715</c:v>
                </c:pt>
                <c:pt idx="17">
                  <c:v>9.1546833671782881</c:v>
                </c:pt>
                <c:pt idx="18">
                  <c:v>9.7171982542133897</c:v>
                </c:pt>
                <c:pt idx="19">
                  <c:v>10.321960162711624</c:v>
                </c:pt>
                <c:pt idx="20">
                  <c:v>10.921494561547449</c:v>
                </c:pt>
                <c:pt idx="21">
                  <c:v>11.500573692076784</c:v>
                </c:pt>
                <c:pt idx="22">
                  <c:v>12.111703988908117</c:v>
                </c:pt>
                <c:pt idx="23">
                  <c:v>12.724897248415186</c:v>
                </c:pt>
                <c:pt idx="24">
                  <c:v>13.283307090637878</c:v>
                </c:pt>
                <c:pt idx="25">
                  <c:v>13.855686741217767</c:v>
                </c:pt>
                <c:pt idx="26">
                  <c:v>14.464922751875879</c:v>
                </c:pt>
                <c:pt idx="27">
                  <c:v>15.039452272623672</c:v>
                </c:pt>
                <c:pt idx="28">
                  <c:v>15.65050853300532</c:v>
                </c:pt>
                <c:pt idx="29">
                  <c:v>16.200830011126573</c:v>
                </c:pt>
                <c:pt idx="30">
                  <c:v>16.763398164458636</c:v>
                </c:pt>
                <c:pt idx="31">
                  <c:v>17.344835774497103</c:v>
                </c:pt>
                <c:pt idx="32">
                  <c:v>17.933731488946542</c:v>
                </c:pt>
                <c:pt idx="33">
                  <c:v>18.520000774136061</c:v>
                </c:pt>
                <c:pt idx="34">
                  <c:v>19.090416110691734</c:v>
                </c:pt>
                <c:pt idx="35">
                  <c:v>19.603153200407156</c:v>
                </c:pt>
                <c:pt idx="36">
                  <c:v>20.104235486679542</c:v>
                </c:pt>
                <c:pt idx="37">
                  <c:v>20.601259730134117</c:v>
                </c:pt>
                <c:pt idx="38">
                  <c:v>21.109148911865326</c:v>
                </c:pt>
                <c:pt idx="39">
                  <c:v>21.637318088111538</c:v>
                </c:pt>
                <c:pt idx="40">
                  <c:v>22.16320868739966</c:v>
                </c:pt>
                <c:pt idx="41">
                  <c:v>22.66231893909805</c:v>
                </c:pt>
                <c:pt idx="42">
                  <c:v>23.175251982648447</c:v>
                </c:pt>
                <c:pt idx="43">
                  <c:v>23.696259265347734</c:v>
                </c:pt>
                <c:pt idx="44">
                  <c:v>24.187696569653305</c:v>
                </c:pt>
                <c:pt idx="45">
                  <c:v>24.637521745974123</c:v>
                </c:pt>
                <c:pt idx="46">
                  <c:v>25.087376535416674</c:v>
                </c:pt>
                <c:pt idx="47">
                  <c:v>25.56070910520166</c:v>
                </c:pt>
                <c:pt idx="48">
                  <c:v>26.037463244361827</c:v>
                </c:pt>
                <c:pt idx="49">
                  <c:v>26.522944809487118</c:v>
                </c:pt>
                <c:pt idx="50">
                  <c:v>26.959448158514352</c:v>
                </c:pt>
                <c:pt idx="51">
                  <c:v>27.392208357204193</c:v>
                </c:pt>
                <c:pt idx="52">
                  <c:v>27.853491871294469</c:v>
                </c:pt>
                <c:pt idx="53">
                  <c:v>28.355274615149856</c:v>
                </c:pt>
                <c:pt idx="54">
                  <c:v>28.854722139616538</c:v>
                </c:pt>
                <c:pt idx="55">
                  <c:v>29.348331294926197</c:v>
                </c:pt>
                <c:pt idx="56">
                  <c:v>29.895574025131381</c:v>
                </c:pt>
                <c:pt idx="57">
                  <c:v>30.46957160318826</c:v>
                </c:pt>
                <c:pt idx="58">
                  <c:v>31.047278999710336</c:v>
                </c:pt>
                <c:pt idx="59">
                  <c:v>31.661398142933045</c:v>
                </c:pt>
                <c:pt idx="60">
                  <c:v>32.219268261163641</c:v>
                </c:pt>
                <c:pt idx="61">
                  <c:v>32.758488997099654</c:v>
                </c:pt>
                <c:pt idx="62">
                  <c:v>33.276924446953927</c:v>
                </c:pt>
                <c:pt idx="63">
                  <c:v>33.822479184887683</c:v>
                </c:pt>
                <c:pt idx="64">
                  <c:v>34.388079676840206</c:v>
                </c:pt>
                <c:pt idx="65">
                  <c:v>34.954160388572468</c:v>
                </c:pt>
                <c:pt idx="66">
                  <c:v>35.498396653959176</c:v>
                </c:pt>
                <c:pt idx="67">
                  <c:v>36.016517140330322</c:v>
                </c:pt>
                <c:pt idx="68">
                  <c:v>36.532916457132139</c:v>
                </c:pt>
                <c:pt idx="69">
                  <c:v>37.023340736105219</c:v>
                </c:pt>
                <c:pt idx="70">
                  <c:v>37.494387966455164</c:v>
                </c:pt>
                <c:pt idx="71">
                  <c:v>37.908733384274612</c:v>
                </c:pt>
                <c:pt idx="72">
                  <c:v>38.338439414784709</c:v>
                </c:pt>
                <c:pt idx="73">
                  <c:v>38.78038763463816</c:v>
                </c:pt>
                <c:pt idx="74">
                  <c:v>39.25116839203455</c:v>
                </c:pt>
                <c:pt idx="75">
                  <c:v>39.754350717828807</c:v>
                </c:pt>
                <c:pt idx="76">
                  <c:v>40.237479473638281</c:v>
                </c:pt>
                <c:pt idx="77">
                  <c:v>40.695471072599119</c:v>
                </c:pt>
                <c:pt idx="78">
                  <c:v>41.154823854535771</c:v>
                </c:pt>
                <c:pt idx="79">
                  <c:v>41.617654797356749</c:v>
                </c:pt>
                <c:pt idx="80">
                  <c:v>42.077757850402662</c:v>
                </c:pt>
                <c:pt idx="81">
                  <c:v>42.538320397741565</c:v>
                </c:pt>
                <c:pt idx="82">
                  <c:v>42.973167202150364</c:v>
                </c:pt>
                <c:pt idx="83">
                  <c:v>43.466598094730301</c:v>
                </c:pt>
                <c:pt idx="84">
                  <c:v>43.994751925907565</c:v>
                </c:pt>
                <c:pt idx="85">
                  <c:v>44.493746747991011</c:v>
                </c:pt>
                <c:pt idx="86">
                  <c:v>45.018002630255438</c:v>
                </c:pt>
                <c:pt idx="87">
                  <c:v>45.575989718977659</c:v>
                </c:pt>
                <c:pt idx="88">
                  <c:v>46.123750511221786</c:v>
                </c:pt>
                <c:pt idx="89">
                  <c:v>46.714958811055212</c:v>
                </c:pt>
                <c:pt idx="90">
                  <c:v>47.354810541349885</c:v>
                </c:pt>
                <c:pt idx="91">
                  <c:v>47.955507581278383</c:v>
                </c:pt>
                <c:pt idx="92">
                  <c:v>48.55404061570961</c:v>
                </c:pt>
                <c:pt idx="93">
                  <c:v>49.128207591978494</c:v>
                </c:pt>
                <c:pt idx="94">
                  <c:v>49.678526064873296</c:v>
                </c:pt>
                <c:pt idx="95">
                  <c:v>50.174050754771173</c:v>
                </c:pt>
                <c:pt idx="96">
                  <c:v>50.807148090309134</c:v>
                </c:pt>
                <c:pt idx="97">
                  <c:v>51.448529972302644</c:v>
                </c:pt>
                <c:pt idx="98">
                  <c:v>52.091430229238789</c:v>
                </c:pt>
                <c:pt idx="99">
                  <c:v>52.765494522136919</c:v>
                </c:pt>
                <c:pt idx="100">
                  <c:v>53.442746933923985</c:v>
                </c:pt>
                <c:pt idx="101">
                  <c:v>54.104290750124377</c:v>
                </c:pt>
                <c:pt idx="102">
                  <c:v>54.753465880832728</c:v>
                </c:pt>
                <c:pt idx="103">
                  <c:v>55.389512297872379</c:v>
                </c:pt>
                <c:pt idx="104">
                  <c:v>56.062154082085044</c:v>
                </c:pt>
                <c:pt idx="105">
                  <c:v>56.720837402818233</c:v>
                </c:pt>
                <c:pt idx="106">
                  <c:v>57.402753792765807</c:v>
                </c:pt>
                <c:pt idx="107">
                  <c:v>58.082604718038631</c:v>
                </c:pt>
                <c:pt idx="108">
                  <c:v>58.754961686488095</c:v>
                </c:pt>
                <c:pt idx="109">
                  <c:v>59.430654900212524</c:v>
                </c:pt>
                <c:pt idx="110">
                  <c:v>60.087601151390821</c:v>
                </c:pt>
                <c:pt idx="111">
                  <c:v>60.717796182000697</c:v>
                </c:pt>
                <c:pt idx="112">
                  <c:v>61.41005668700042</c:v>
                </c:pt>
                <c:pt idx="113">
                  <c:v>62.087929086559967</c:v>
                </c:pt>
                <c:pt idx="114">
                  <c:v>62.714449114388131</c:v>
                </c:pt>
                <c:pt idx="115">
                  <c:v>63.328301485343204</c:v>
                </c:pt>
                <c:pt idx="116">
                  <c:v>63.977073906841689</c:v>
                </c:pt>
                <c:pt idx="117">
                  <c:v>64.60901200899248</c:v>
                </c:pt>
                <c:pt idx="118">
                  <c:v>65.204627173448955</c:v>
                </c:pt>
                <c:pt idx="119">
                  <c:v>65.787541496444959</c:v>
                </c:pt>
                <c:pt idx="120">
                  <c:v>66.343095305855286</c:v>
                </c:pt>
                <c:pt idx="121">
                  <c:v>66.912713831472288</c:v>
                </c:pt>
                <c:pt idx="122">
                  <c:v>67.463395326041294</c:v>
                </c:pt>
                <c:pt idx="123">
                  <c:v>68.017170353399109</c:v>
                </c:pt>
                <c:pt idx="124">
                  <c:v>68.57403379994058</c:v>
                </c:pt>
                <c:pt idx="125">
                  <c:v>69.135887329947252</c:v>
                </c:pt>
                <c:pt idx="126">
                  <c:v>69.682645417573667</c:v>
                </c:pt>
                <c:pt idx="127">
                  <c:v>70.222523157842446</c:v>
                </c:pt>
                <c:pt idx="128">
                  <c:v>70.72708758305852</c:v>
                </c:pt>
                <c:pt idx="129">
                  <c:v>71.254458769600177</c:v>
                </c:pt>
                <c:pt idx="130">
                  <c:v>71.792739934636671</c:v>
                </c:pt>
                <c:pt idx="131">
                  <c:v>72.254892484262356</c:v>
                </c:pt>
                <c:pt idx="132">
                  <c:v>72.783462658276193</c:v>
                </c:pt>
                <c:pt idx="133">
                  <c:v>73.293625060988745</c:v>
                </c:pt>
                <c:pt idx="134">
                  <c:v>73.844640691705834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-0.75617282032823852</c:v>
                </c:pt>
                <c:pt idx="2">
                  <c:v>-1.4544318966068133</c:v>
                </c:pt>
                <c:pt idx="3">
                  <c:v>-2.1326320334594087</c:v>
                </c:pt>
                <c:pt idx="4">
                  <c:v>-2.7599154405091539</c:v>
                </c:pt>
                <c:pt idx="5">
                  <c:v>-3.3408876872815867</c:v>
                </c:pt>
                <c:pt idx="6">
                  <c:v>-3.810001062217637</c:v>
                </c:pt>
                <c:pt idx="7">
                  <c:v>-4.2220047912192271</c:v>
                </c:pt>
                <c:pt idx="8">
                  <c:v>-4.6014071799575476</c:v>
                </c:pt>
                <c:pt idx="9">
                  <c:v>-4.9453743799219048</c:v>
                </c:pt>
                <c:pt idx="10">
                  <c:v>-5.2481241985051135</c:v>
                </c:pt>
                <c:pt idx="11">
                  <c:v>-5.5036116557766341</c:v>
                </c:pt>
                <c:pt idx="12">
                  <c:v>-5.7138676354493398</c:v>
                </c:pt>
                <c:pt idx="13">
                  <c:v>-5.8856485366729032</c:v>
                </c:pt>
                <c:pt idx="14">
                  <c:v>-6.0316844507863081</c:v>
                </c:pt>
                <c:pt idx="15">
                  <c:v>-6.1432068144176668</c:v>
                </c:pt>
                <c:pt idx="16">
                  <c:v>-6.2173927152863406</c:v>
                </c:pt>
                <c:pt idx="17">
                  <c:v>-6.2620254553868619</c:v>
                </c:pt>
                <c:pt idx="18">
                  <c:v>-6.2808141328550597</c:v>
                </c:pt>
                <c:pt idx="19">
                  <c:v>-6.2724574989212734</c:v>
                </c:pt>
                <c:pt idx="20">
                  <c:v>-6.2345925458834017</c:v>
                </c:pt>
                <c:pt idx="21">
                  <c:v>-6.1693908086207472</c:v>
                </c:pt>
                <c:pt idx="22">
                  <c:v>-6.0823245966313166</c:v>
                </c:pt>
                <c:pt idx="23">
                  <c:v>-5.9664159753727048</c:v>
                </c:pt>
                <c:pt idx="24">
                  <c:v>-5.8270627944728766</c:v>
                </c:pt>
                <c:pt idx="25">
                  <c:v>-5.6770663187473467</c:v>
                </c:pt>
                <c:pt idx="26">
                  <c:v>-5.5077904728451159</c:v>
                </c:pt>
                <c:pt idx="27">
                  <c:v>-5.3088988002222095</c:v>
                </c:pt>
                <c:pt idx="28">
                  <c:v>-5.0940108219057016</c:v>
                </c:pt>
                <c:pt idx="29">
                  <c:v>-4.851602171275772</c:v>
                </c:pt>
                <c:pt idx="30">
                  <c:v>-4.6065169729878939</c:v>
                </c:pt>
                <c:pt idx="31">
                  <c:v>-4.3375575700990083</c:v>
                </c:pt>
                <c:pt idx="32">
                  <c:v>-4.0531396407238951</c:v>
                </c:pt>
                <c:pt idx="33">
                  <c:v>-3.750939801016969</c:v>
                </c:pt>
                <c:pt idx="34">
                  <c:v>-3.4324913057960558</c:v>
                </c:pt>
                <c:pt idx="35">
                  <c:v>-3.1032799666656743</c:v>
                </c:pt>
                <c:pt idx="36">
                  <c:v>-2.7844876713474775</c:v>
                </c:pt>
                <c:pt idx="37">
                  <c:v>-2.4573167794040884</c:v>
                </c:pt>
                <c:pt idx="38">
                  <c:v>-2.1222911509947728</c:v>
                </c:pt>
                <c:pt idx="39">
                  <c:v>-1.7791582345725097</c:v>
                </c:pt>
                <c:pt idx="40">
                  <c:v>-1.4073308254807948</c:v>
                </c:pt>
                <c:pt idx="41">
                  <c:v>-1.0297321226067808</c:v>
                </c:pt>
                <c:pt idx="42">
                  <c:v>-0.65426819480926923</c:v>
                </c:pt>
                <c:pt idx="43">
                  <c:v>-0.26826978559702752</c:v>
                </c:pt>
                <c:pt idx="44">
                  <c:v>0.13683406486580552</c:v>
                </c:pt>
                <c:pt idx="45">
                  <c:v>0.53366847842456622</c:v>
                </c:pt>
                <c:pt idx="46">
                  <c:v>0.90843999793796115</c:v>
                </c:pt>
                <c:pt idx="47">
                  <c:v>1.2893120662662412</c:v>
                </c:pt>
                <c:pt idx="48">
                  <c:v>1.6884882826547738</c:v>
                </c:pt>
                <c:pt idx="49">
                  <c:v>2.093276562421643</c:v>
                </c:pt>
                <c:pt idx="50">
                  <c:v>2.4937334942322416</c:v>
                </c:pt>
                <c:pt idx="51">
                  <c:v>2.8576289576955496</c:v>
                </c:pt>
                <c:pt idx="52">
                  <c:v>3.2184013846886828</c:v>
                </c:pt>
                <c:pt idx="53">
                  <c:v>3.5909772944128093</c:v>
                </c:pt>
                <c:pt idx="54">
                  <c:v>3.9714663184837633</c:v>
                </c:pt>
                <c:pt idx="55">
                  <c:v>4.3362764517529513</c:v>
                </c:pt>
                <c:pt idx="56">
                  <c:v>4.7049900618801672</c:v>
                </c:pt>
                <c:pt idx="57">
                  <c:v>5.1178321828848929</c:v>
                </c:pt>
                <c:pt idx="58">
                  <c:v>5.5357661084783842</c:v>
                </c:pt>
                <c:pt idx="59">
                  <c:v>5.9538564298246932</c:v>
                </c:pt>
                <c:pt idx="60">
                  <c:v>6.3918956568563452</c:v>
                </c:pt>
                <c:pt idx="61">
                  <c:v>6.8057939574952862</c:v>
                </c:pt>
                <c:pt idx="62">
                  <c:v>7.2038499078813132</c:v>
                </c:pt>
                <c:pt idx="63">
                  <c:v>7.5929353172970764</c:v>
                </c:pt>
                <c:pt idx="64">
                  <c:v>7.9963463946752924</c:v>
                </c:pt>
                <c:pt idx="65">
                  <c:v>8.416533963615187</c:v>
                </c:pt>
                <c:pt idx="66">
                  <c:v>8.8397935444365245</c:v>
                </c:pt>
                <c:pt idx="67">
                  <c:v>9.2502633255475715</c:v>
                </c:pt>
                <c:pt idx="68">
                  <c:v>9.6610297390397761</c:v>
                </c:pt>
                <c:pt idx="69">
                  <c:v>10.067608020308448</c:v>
                </c:pt>
                <c:pt idx="70">
                  <c:v>10.465432329031735</c:v>
                </c:pt>
                <c:pt idx="71">
                  <c:v>10.856982403918458</c:v>
                </c:pt>
                <c:pt idx="72">
                  <c:v>11.208012418726078</c:v>
                </c:pt>
                <c:pt idx="73">
                  <c:v>11.55815948030277</c:v>
                </c:pt>
                <c:pt idx="74">
                  <c:v>11.907403993798312</c:v>
                </c:pt>
                <c:pt idx="75">
                  <c:v>12.263323613712664</c:v>
                </c:pt>
                <c:pt idx="76">
                  <c:v>12.642555526105973</c:v>
                </c:pt>
                <c:pt idx="77">
                  <c:v>13.008190596474442</c:v>
                </c:pt>
                <c:pt idx="78">
                  <c:v>13.35490769807739</c:v>
                </c:pt>
                <c:pt idx="79">
                  <c:v>13.703197746673005</c:v>
                </c:pt>
                <c:pt idx="80">
                  <c:v>14.047809176547581</c:v>
                </c:pt>
                <c:pt idx="81">
                  <c:v>14.379424616098802</c:v>
                </c:pt>
                <c:pt idx="82">
                  <c:v>14.701614033264718</c:v>
                </c:pt>
                <c:pt idx="83">
                  <c:v>15.007504963316642</c:v>
                </c:pt>
                <c:pt idx="84">
                  <c:v>15.344334048712213</c:v>
                </c:pt>
                <c:pt idx="85">
                  <c:v>15.688053296941753</c:v>
                </c:pt>
                <c:pt idx="86">
                  <c:v>16.003507486517897</c:v>
                </c:pt>
                <c:pt idx="87">
                  <c:v>16.319070111910101</c:v>
                </c:pt>
                <c:pt idx="88">
                  <c:v>16.641130686913392</c:v>
                </c:pt>
                <c:pt idx="89">
                  <c:v>16.951527627635237</c:v>
                </c:pt>
                <c:pt idx="90">
                  <c:v>17.271315844506887</c:v>
                </c:pt>
                <c:pt idx="91">
                  <c:v>17.599473258749846</c:v>
                </c:pt>
                <c:pt idx="92">
                  <c:v>17.904176215435825</c:v>
                </c:pt>
                <c:pt idx="93">
                  <c:v>18.20579757775166</c:v>
                </c:pt>
                <c:pt idx="94">
                  <c:v>18.496759788964646</c:v>
                </c:pt>
                <c:pt idx="95">
                  <c:v>18.773834828527015</c:v>
                </c:pt>
                <c:pt idx="96">
                  <c:v>19.008062315337369</c:v>
                </c:pt>
                <c:pt idx="97">
                  <c:v>19.293518506069098</c:v>
                </c:pt>
                <c:pt idx="98">
                  <c:v>19.566088265694276</c:v>
                </c:pt>
                <c:pt idx="99">
                  <c:v>19.832400534709961</c:v>
                </c:pt>
                <c:pt idx="100">
                  <c:v>20.099791738690627</c:v>
                </c:pt>
                <c:pt idx="101">
                  <c:v>20.370086118292924</c:v>
                </c:pt>
                <c:pt idx="102">
                  <c:v>20.631339661916719</c:v>
                </c:pt>
                <c:pt idx="103">
                  <c:v>20.878057350974849</c:v>
                </c:pt>
                <c:pt idx="104">
                  <c:v>21.111672223968554</c:v>
                </c:pt>
                <c:pt idx="105">
                  <c:v>21.335754103658935</c:v>
                </c:pt>
                <c:pt idx="106">
                  <c:v>21.553872712428237</c:v>
                </c:pt>
                <c:pt idx="107">
                  <c:v>21.777532305256784</c:v>
                </c:pt>
                <c:pt idx="108">
                  <c:v>21.997666369276359</c:v>
                </c:pt>
                <c:pt idx="109">
                  <c:v>22.20913097518126</c:v>
                </c:pt>
                <c:pt idx="110">
                  <c:v>22.415972289637715</c:v>
                </c:pt>
                <c:pt idx="111">
                  <c:v>22.615917642698804</c:v>
                </c:pt>
                <c:pt idx="112">
                  <c:v>22.808824327280242</c:v>
                </c:pt>
                <c:pt idx="113">
                  <c:v>23.002916355811003</c:v>
                </c:pt>
                <c:pt idx="114">
                  <c:v>23.196574570370586</c:v>
                </c:pt>
                <c:pt idx="115">
                  <c:v>23.370820980944551</c:v>
                </c:pt>
                <c:pt idx="116">
                  <c:v>23.549111108959217</c:v>
                </c:pt>
                <c:pt idx="117">
                  <c:v>23.738562469261311</c:v>
                </c:pt>
                <c:pt idx="118">
                  <c:v>23.916379301758667</c:v>
                </c:pt>
                <c:pt idx="119">
                  <c:v>24.082278122813641</c:v>
                </c:pt>
                <c:pt idx="120">
                  <c:v>24.244708262898293</c:v>
                </c:pt>
                <c:pt idx="121">
                  <c:v>24.401122668639836</c:v>
                </c:pt>
                <c:pt idx="122">
                  <c:v>24.555222280597093</c:v>
                </c:pt>
                <c:pt idx="123">
                  <c:v>24.705338554683031</c:v>
                </c:pt>
                <c:pt idx="124">
                  <c:v>24.858847668429171</c:v>
                </c:pt>
                <c:pt idx="125">
                  <c:v>25.005667872088665</c:v>
                </c:pt>
                <c:pt idx="126">
                  <c:v>25.149898362211026</c:v>
                </c:pt>
                <c:pt idx="127">
                  <c:v>25.288645073743496</c:v>
                </c:pt>
                <c:pt idx="128">
                  <c:v>25.422774036599257</c:v>
                </c:pt>
                <c:pt idx="129">
                  <c:v>25.545205466258686</c:v>
                </c:pt>
                <c:pt idx="130">
                  <c:v>25.667932010230885</c:v>
                </c:pt>
                <c:pt idx="131">
                  <c:v>25.791772164524893</c:v>
                </c:pt>
                <c:pt idx="132">
                  <c:v>25.895853669317994</c:v>
                </c:pt>
                <c:pt idx="133">
                  <c:v>26.013404886167123</c:v>
                </c:pt>
                <c:pt idx="134">
                  <c:v>26.124503292810878</c:v>
                </c:pt>
                <c:pt idx="135">
                  <c:v>26.240035371143968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0.13165593337665626</c:v>
                </c:pt>
                <c:pt idx="9">
                  <c:v>0.13165593337665626</c:v>
                </c:pt>
                <c:pt idx="10">
                  <c:v>0.87561148893221485</c:v>
                </c:pt>
                <c:pt idx="11">
                  <c:v>1.3556114889322188</c:v>
                </c:pt>
                <c:pt idx="12">
                  <c:v>2.7356114889322214</c:v>
                </c:pt>
                <c:pt idx="13">
                  <c:v>3.6556114889322231</c:v>
                </c:pt>
                <c:pt idx="14">
                  <c:v>4.0056114889322245</c:v>
                </c:pt>
                <c:pt idx="15">
                  <c:v>4.7756114889322205</c:v>
                </c:pt>
                <c:pt idx="16">
                  <c:v>5.5756114889322177</c:v>
                </c:pt>
                <c:pt idx="17">
                  <c:v>5.5756114889322177</c:v>
                </c:pt>
                <c:pt idx="18">
                  <c:v>6.6686003778211074</c:v>
                </c:pt>
                <c:pt idx="19">
                  <c:v>7.7786003778211068</c:v>
                </c:pt>
                <c:pt idx="20">
                  <c:v>8.8086003778211079</c:v>
                </c:pt>
                <c:pt idx="21">
                  <c:v>10.008600377821104</c:v>
                </c:pt>
                <c:pt idx="22">
                  <c:v>11.318600377821106</c:v>
                </c:pt>
                <c:pt idx="23">
                  <c:v>12.048600377821103</c:v>
                </c:pt>
                <c:pt idx="24">
                  <c:v>13.148600377821104</c:v>
                </c:pt>
                <c:pt idx="25">
                  <c:v>13.518600377821102</c:v>
                </c:pt>
                <c:pt idx="26">
                  <c:v>14.138600377821106</c:v>
                </c:pt>
                <c:pt idx="27">
                  <c:v>14.138600377821106</c:v>
                </c:pt>
                <c:pt idx="28">
                  <c:v>14.591102229672956</c:v>
                </c:pt>
                <c:pt idx="29">
                  <c:v>15.491102229672954</c:v>
                </c:pt>
                <c:pt idx="30">
                  <c:v>18.011102229672957</c:v>
                </c:pt>
                <c:pt idx="31">
                  <c:v>19.261102229672957</c:v>
                </c:pt>
                <c:pt idx="32">
                  <c:v>20.841102229672956</c:v>
                </c:pt>
                <c:pt idx="33">
                  <c:v>24.021102229672955</c:v>
                </c:pt>
                <c:pt idx="34">
                  <c:v>27.161102229672949</c:v>
                </c:pt>
                <c:pt idx="35">
                  <c:v>28.311102229672947</c:v>
                </c:pt>
                <c:pt idx="36">
                  <c:v>29.62110222967295</c:v>
                </c:pt>
                <c:pt idx="37">
                  <c:v>32.551102229672956</c:v>
                </c:pt>
                <c:pt idx="38">
                  <c:v>34.081102229672958</c:v>
                </c:pt>
                <c:pt idx="39">
                  <c:v>34.861102229672959</c:v>
                </c:pt>
                <c:pt idx="40">
                  <c:v>37.341102229672963</c:v>
                </c:pt>
                <c:pt idx="41">
                  <c:v>37.731102229672963</c:v>
                </c:pt>
                <c:pt idx="42">
                  <c:v>40.021102229672962</c:v>
                </c:pt>
                <c:pt idx="43">
                  <c:v>43.141102229672967</c:v>
                </c:pt>
                <c:pt idx="44">
                  <c:v>44.681102229672959</c:v>
                </c:pt>
                <c:pt idx="45">
                  <c:v>45.751102229672966</c:v>
                </c:pt>
                <c:pt idx="46">
                  <c:v>47.531102229672967</c:v>
                </c:pt>
                <c:pt idx="47">
                  <c:v>48.871102229672971</c:v>
                </c:pt>
                <c:pt idx="48">
                  <c:v>51.191102229672971</c:v>
                </c:pt>
                <c:pt idx="49">
                  <c:v>54.511102229672979</c:v>
                </c:pt>
                <c:pt idx="50">
                  <c:v>58.391102229672974</c:v>
                </c:pt>
                <c:pt idx="51">
                  <c:v>59.641102229672981</c:v>
                </c:pt>
                <c:pt idx="52">
                  <c:v>61.501102229672981</c:v>
                </c:pt>
                <c:pt idx="53">
                  <c:v>62.281102229672975</c:v>
                </c:pt>
                <c:pt idx="54">
                  <c:v>63.221102229672979</c:v>
                </c:pt>
                <c:pt idx="55">
                  <c:v>64.521102229672977</c:v>
                </c:pt>
                <c:pt idx="56">
                  <c:v>66.121102229672971</c:v>
                </c:pt>
                <c:pt idx="57">
                  <c:v>68.261102229672971</c:v>
                </c:pt>
                <c:pt idx="58">
                  <c:v>69.501102229672966</c:v>
                </c:pt>
                <c:pt idx="59">
                  <c:v>70.401102229672972</c:v>
                </c:pt>
                <c:pt idx="60">
                  <c:v>72.491102229672975</c:v>
                </c:pt>
                <c:pt idx="61">
                  <c:v>73.391102229672981</c:v>
                </c:pt>
                <c:pt idx="62">
                  <c:v>74.081102229672979</c:v>
                </c:pt>
                <c:pt idx="63">
                  <c:v>75.86110222967298</c:v>
                </c:pt>
                <c:pt idx="64">
                  <c:v>77.251102229672981</c:v>
                </c:pt>
                <c:pt idx="65">
                  <c:v>79.801102229672978</c:v>
                </c:pt>
                <c:pt idx="66">
                  <c:v>81.411102229672977</c:v>
                </c:pt>
                <c:pt idx="67">
                  <c:v>84.391102229672981</c:v>
                </c:pt>
                <c:pt idx="68">
                  <c:v>84.981102229672985</c:v>
                </c:pt>
                <c:pt idx="69">
                  <c:v>86.231102229672985</c:v>
                </c:pt>
                <c:pt idx="70">
                  <c:v>87.841102229672998</c:v>
                </c:pt>
                <c:pt idx="71">
                  <c:v>89.341102229672998</c:v>
                </c:pt>
                <c:pt idx="72">
                  <c:v>91.511102229673</c:v>
                </c:pt>
                <c:pt idx="73">
                  <c:v>94.831102229673007</c:v>
                </c:pt>
                <c:pt idx="74">
                  <c:v>96.181102229673002</c:v>
                </c:pt>
                <c:pt idx="75">
                  <c:v>98.021102229673005</c:v>
                </c:pt>
                <c:pt idx="76">
                  <c:v>99.311102229672997</c:v>
                </c:pt>
                <c:pt idx="77">
                  <c:v>101.101102229673</c:v>
                </c:pt>
                <c:pt idx="78">
                  <c:v>102.071102229673</c:v>
                </c:pt>
                <c:pt idx="79">
                  <c:v>102.371102229673</c:v>
                </c:pt>
                <c:pt idx="80">
                  <c:v>104.41110222967299</c:v>
                </c:pt>
                <c:pt idx="81">
                  <c:v>105.91110222967299</c:v>
                </c:pt>
                <c:pt idx="82">
                  <c:v>107.091102229673</c:v>
                </c:pt>
                <c:pt idx="83">
                  <c:v>108.58110222967299</c:v>
                </c:pt>
                <c:pt idx="84">
                  <c:v>109.39110222967298</c:v>
                </c:pt>
                <c:pt idx="85">
                  <c:v>110.88110222967298</c:v>
                </c:pt>
                <c:pt idx="86">
                  <c:v>112.62110222967297</c:v>
                </c:pt>
                <c:pt idx="87">
                  <c:v>114.14110222967297</c:v>
                </c:pt>
                <c:pt idx="88">
                  <c:v>115.43110222967297</c:v>
                </c:pt>
                <c:pt idx="89">
                  <c:v>116.06110222967297</c:v>
                </c:pt>
                <c:pt idx="90">
                  <c:v>117.05110222967298</c:v>
                </c:pt>
                <c:pt idx="91">
                  <c:v>117.05110222967298</c:v>
                </c:pt>
                <c:pt idx="92">
                  <c:v>117.07332797346999</c:v>
                </c:pt>
                <c:pt idx="93">
                  <c:v>117.07332797346999</c:v>
                </c:pt>
                <c:pt idx="94">
                  <c:v>118.41332797346999</c:v>
                </c:pt>
                <c:pt idx="95">
                  <c:v>118.41332797346999</c:v>
                </c:pt>
                <c:pt idx="96">
                  <c:v>118.88626855827323</c:v>
                </c:pt>
                <c:pt idx="97">
                  <c:v>119.06626855827324</c:v>
                </c:pt>
                <c:pt idx="98">
                  <c:v>119.49626855827324</c:v>
                </c:pt>
                <c:pt idx="99">
                  <c:v>120.32626855827324</c:v>
                </c:pt>
                <c:pt idx="100">
                  <c:v>120.93626855827324</c:v>
                </c:pt>
                <c:pt idx="101">
                  <c:v>121.41626855827323</c:v>
                </c:pt>
                <c:pt idx="102">
                  <c:v>122.19626855827323</c:v>
                </c:pt>
                <c:pt idx="103">
                  <c:v>124.34626855827324</c:v>
                </c:pt>
                <c:pt idx="104">
                  <c:v>124.73626855827322</c:v>
                </c:pt>
                <c:pt idx="105">
                  <c:v>124.79626855827323</c:v>
                </c:pt>
                <c:pt idx="106">
                  <c:v>124.79626855827323</c:v>
                </c:pt>
                <c:pt idx="107">
                  <c:v>124.91070716966345</c:v>
                </c:pt>
                <c:pt idx="108">
                  <c:v>125.43070716966346</c:v>
                </c:pt>
                <c:pt idx="109">
                  <c:v>125.43070716966346</c:v>
                </c:pt>
                <c:pt idx="110">
                  <c:v>125.8751218681038</c:v>
                </c:pt>
                <c:pt idx="111">
                  <c:v>127.65512186810381</c:v>
                </c:pt>
                <c:pt idx="112">
                  <c:v>127.65512186810381</c:v>
                </c:pt>
                <c:pt idx="113">
                  <c:v>127.71849543349529</c:v>
                </c:pt>
                <c:pt idx="114">
                  <c:v>127.71849543349529</c:v>
                </c:pt>
                <c:pt idx="115">
                  <c:v>127.71849543349529</c:v>
                </c:pt>
                <c:pt idx="116">
                  <c:v>127.96249114483052</c:v>
                </c:pt>
                <c:pt idx="117">
                  <c:v>128.06249114483052</c:v>
                </c:pt>
                <c:pt idx="118">
                  <c:v>128.4524911448305</c:v>
                </c:pt>
                <c:pt idx="119">
                  <c:v>129.16249114483051</c:v>
                </c:pt>
                <c:pt idx="120">
                  <c:v>129.22249114483051</c:v>
                </c:pt>
                <c:pt idx="121">
                  <c:v>130.00249114483051</c:v>
                </c:pt>
                <c:pt idx="122">
                  <c:v>131.2324911448305</c:v>
                </c:pt>
                <c:pt idx="123">
                  <c:v>132.01249114483051</c:v>
                </c:pt>
                <c:pt idx="124">
                  <c:v>132.9824911448305</c:v>
                </c:pt>
                <c:pt idx="125">
                  <c:v>133.0524911448305</c:v>
                </c:pt>
                <c:pt idx="126">
                  <c:v>134.40249114483049</c:v>
                </c:pt>
                <c:pt idx="127">
                  <c:v>135.44249114483048</c:v>
                </c:pt>
                <c:pt idx="128">
                  <c:v>135.44249114483048</c:v>
                </c:pt>
                <c:pt idx="129">
                  <c:v>135.44249114483048</c:v>
                </c:pt>
                <c:pt idx="130">
                  <c:v>135.44249114483048</c:v>
                </c:pt>
                <c:pt idx="131">
                  <c:v>135.44249114483048</c:v>
                </c:pt>
                <c:pt idx="132">
                  <c:v>135.44249114483048</c:v>
                </c:pt>
                <c:pt idx="133">
                  <c:v>135.44249114483048</c:v>
                </c:pt>
                <c:pt idx="134">
                  <c:v>135.44249114483048</c:v>
                </c:pt>
                <c:pt idx="135">
                  <c:v>135.44249114483048</c:v>
                </c:pt>
                <c:pt idx="136">
                  <c:v>135.44249114483048</c:v>
                </c:pt>
                <c:pt idx="137">
                  <c:v>135.44249114483048</c:v>
                </c:pt>
                <c:pt idx="138">
                  <c:v>135.44249114483048</c:v>
                </c:pt>
                <c:pt idx="139">
                  <c:v>135.44249114483048</c:v>
                </c:pt>
                <c:pt idx="140">
                  <c:v>135.44249114483048</c:v>
                </c:pt>
                <c:pt idx="141">
                  <c:v>135.44249114483048</c:v>
                </c:pt>
                <c:pt idx="142">
                  <c:v>135.44249114483048</c:v>
                </c:pt>
                <c:pt idx="143">
                  <c:v>135.44249114483048</c:v>
                </c:pt>
                <c:pt idx="144">
                  <c:v>135.44249114483048</c:v>
                </c:pt>
                <c:pt idx="145">
                  <c:v>135.44249114483048</c:v>
                </c:pt>
                <c:pt idx="146">
                  <c:v>135.44249114483048</c:v>
                </c:pt>
                <c:pt idx="147">
                  <c:v>135.44249114483048</c:v>
                </c:pt>
                <c:pt idx="148">
                  <c:v>135.44249114483048</c:v>
                </c:pt>
                <c:pt idx="149">
                  <c:v>135.44249114483048</c:v>
                </c:pt>
                <c:pt idx="150">
                  <c:v>135.44249114483048</c:v>
                </c:pt>
                <c:pt idx="151">
                  <c:v>135.44249114483048</c:v>
                </c:pt>
                <c:pt idx="152">
                  <c:v>135.44249114483048</c:v>
                </c:pt>
                <c:pt idx="153">
                  <c:v>135.44249114483048</c:v>
                </c:pt>
                <c:pt idx="154">
                  <c:v>135.44249114483048</c:v>
                </c:pt>
                <c:pt idx="155">
                  <c:v>135.44249114483048</c:v>
                </c:pt>
                <c:pt idx="156">
                  <c:v>135.44249114483048</c:v>
                </c:pt>
                <c:pt idx="157">
                  <c:v>135.44249114483048</c:v>
                </c:pt>
                <c:pt idx="158">
                  <c:v>135.44249114483048</c:v>
                </c:pt>
                <c:pt idx="159">
                  <c:v>135.44249114483048</c:v>
                </c:pt>
                <c:pt idx="160">
                  <c:v>135.44249114483048</c:v>
                </c:pt>
                <c:pt idx="161">
                  <c:v>135.44249114483048</c:v>
                </c:pt>
                <c:pt idx="162">
                  <c:v>135.44249114483048</c:v>
                </c:pt>
                <c:pt idx="163">
                  <c:v>135.44249114483048</c:v>
                </c:pt>
                <c:pt idx="164">
                  <c:v>135.44249114483048</c:v>
                </c:pt>
                <c:pt idx="165">
                  <c:v>135.44249114483048</c:v>
                </c:pt>
                <c:pt idx="166">
                  <c:v>135.44249114483048</c:v>
                </c:pt>
                <c:pt idx="167">
                  <c:v>135.44249114483048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6.6928509242848624E-3</c:v>
                </c:pt>
                <c:pt idx="43">
                  <c:v>6.6928509242848624E-3</c:v>
                </c:pt>
                <c:pt idx="44">
                  <c:v>6.6928509242848624E-3</c:v>
                </c:pt>
                <c:pt idx="45">
                  <c:v>6.6928509242848624E-3</c:v>
                </c:pt>
                <c:pt idx="46">
                  <c:v>6.6928509242848624E-3</c:v>
                </c:pt>
                <c:pt idx="47">
                  <c:v>6.6928509242848624E-3</c:v>
                </c:pt>
                <c:pt idx="48">
                  <c:v>6.6928509242848624E-3</c:v>
                </c:pt>
                <c:pt idx="49">
                  <c:v>6.6928509242848624E-3</c:v>
                </c:pt>
                <c:pt idx="50">
                  <c:v>6.6928509242848624E-3</c:v>
                </c:pt>
                <c:pt idx="51">
                  <c:v>6.6928509242848624E-3</c:v>
                </c:pt>
                <c:pt idx="52">
                  <c:v>6.6928509242848624E-3</c:v>
                </c:pt>
                <c:pt idx="53">
                  <c:v>6.6928509242848624E-3</c:v>
                </c:pt>
                <c:pt idx="54">
                  <c:v>6.6928509242848624E-3</c:v>
                </c:pt>
                <c:pt idx="55">
                  <c:v>6.6928509242848624E-3</c:v>
                </c:pt>
                <c:pt idx="56">
                  <c:v>6.6928509242848624E-3</c:v>
                </c:pt>
                <c:pt idx="57">
                  <c:v>6.6928509242848624E-3</c:v>
                </c:pt>
                <c:pt idx="58">
                  <c:v>6.6928509242848624E-3</c:v>
                </c:pt>
                <c:pt idx="59">
                  <c:v>6.6928509242848624E-3</c:v>
                </c:pt>
                <c:pt idx="60">
                  <c:v>6.6928509242848624E-3</c:v>
                </c:pt>
                <c:pt idx="61">
                  <c:v>6.6928509242848624E-3</c:v>
                </c:pt>
                <c:pt idx="62">
                  <c:v>6.6928509242848624E-3</c:v>
                </c:pt>
                <c:pt idx="63">
                  <c:v>6.6928509242848624E-3</c:v>
                </c:pt>
                <c:pt idx="64">
                  <c:v>6.6928509242848624E-3</c:v>
                </c:pt>
                <c:pt idx="65">
                  <c:v>6.6928509242848624E-3</c:v>
                </c:pt>
                <c:pt idx="66">
                  <c:v>6.6928509242848624E-3</c:v>
                </c:pt>
                <c:pt idx="67">
                  <c:v>6.6928509242848624E-3</c:v>
                </c:pt>
                <c:pt idx="68">
                  <c:v>6.6928509242848624E-3</c:v>
                </c:pt>
                <c:pt idx="69">
                  <c:v>6.6928509242848624E-3</c:v>
                </c:pt>
                <c:pt idx="70">
                  <c:v>6.6928509242848624E-3</c:v>
                </c:pt>
                <c:pt idx="71">
                  <c:v>6.6928509242848624E-3</c:v>
                </c:pt>
                <c:pt idx="72">
                  <c:v>6.6928509242848624E-3</c:v>
                </c:pt>
                <c:pt idx="73">
                  <c:v>6.6928509242848624E-3</c:v>
                </c:pt>
                <c:pt idx="74">
                  <c:v>6.6928509242848624E-3</c:v>
                </c:pt>
                <c:pt idx="75">
                  <c:v>6.6928509242848624E-3</c:v>
                </c:pt>
                <c:pt idx="76">
                  <c:v>6.6928509242848624E-3</c:v>
                </c:pt>
                <c:pt idx="77">
                  <c:v>6.6928509242848624E-3</c:v>
                </c:pt>
                <c:pt idx="78">
                  <c:v>6.6928509242848624E-3</c:v>
                </c:pt>
                <c:pt idx="79">
                  <c:v>6.6928509242848624E-3</c:v>
                </c:pt>
                <c:pt idx="80">
                  <c:v>6.6928509242848624E-3</c:v>
                </c:pt>
                <c:pt idx="81">
                  <c:v>6.6928509242848624E-3</c:v>
                </c:pt>
                <c:pt idx="82">
                  <c:v>6.6928509242848624E-3</c:v>
                </c:pt>
                <c:pt idx="83">
                  <c:v>6.6928509242848624E-3</c:v>
                </c:pt>
                <c:pt idx="84">
                  <c:v>6.6928509242848624E-3</c:v>
                </c:pt>
                <c:pt idx="85">
                  <c:v>6.6928509242848624E-3</c:v>
                </c:pt>
                <c:pt idx="86">
                  <c:v>6.6928509242848624E-3</c:v>
                </c:pt>
                <c:pt idx="87">
                  <c:v>6.6928509242848624E-3</c:v>
                </c:pt>
                <c:pt idx="88">
                  <c:v>6.6928509242848624E-3</c:v>
                </c:pt>
                <c:pt idx="89">
                  <c:v>6.6928509242848624E-3</c:v>
                </c:pt>
                <c:pt idx="90">
                  <c:v>6.6928509242848624E-3</c:v>
                </c:pt>
                <c:pt idx="91">
                  <c:v>6.6928509242848624E-3</c:v>
                </c:pt>
                <c:pt idx="92">
                  <c:v>6.6928509242848624E-3</c:v>
                </c:pt>
                <c:pt idx="93">
                  <c:v>6.6928509242848624E-3</c:v>
                </c:pt>
                <c:pt idx="94">
                  <c:v>6.6928509242848624E-3</c:v>
                </c:pt>
                <c:pt idx="95">
                  <c:v>6.6928509242848624E-3</c:v>
                </c:pt>
                <c:pt idx="96">
                  <c:v>6.6928509242848624E-3</c:v>
                </c:pt>
                <c:pt idx="97">
                  <c:v>6.6928509242848624E-3</c:v>
                </c:pt>
                <c:pt idx="98">
                  <c:v>6.6928509242848624E-3</c:v>
                </c:pt>
                <c:pt idx="99">
                  <c:v>6.6928509242848624E-3</c:v>
                </c:pt>
                <c:pt idx="100">
                  <c:v>6.6928509242848624E-3</c:v>
                </c:pt>
                <c:pt idx="101">
                  <c:v>6.6928509242848624E-3</c:v>
                </c:pt>
                <c:pt idx="102">
                  <c:v>6.6928509242848624E-3</c:v>
                </c:pt>
                <c:pt idx="103">
                  <c:v>6.6928509242848624E-3</c:v>
                </c:pt>
                <c:pt idx="104">
                  <c:v>6.6928509242848624E-3</c:v>
                </c:pt>
                <c:pt idx="105">
                  <c:v>6.6928509242848624E-3</c:v>
                </c:pt>
                <c:pt idx="106">
                  <c:v>6.6928509242848624E-3</c:v>
                </c:pt>
                <c:pt idx="107">
                  <c:v>6.6928509242848624E-3</c:v>
                </c:pt>
                <c:pt idx="108">
                  <c:v>6.6928509242848624E-3</c:v>
                </c:pt>
                <c:pt idx="109">
                  <c:v>6.6928509242848624E-3</c:v>
                </c:pt>
                <c:pt idx="110">
                  <c:v>6.6928509242848624E-3</c:v>
                </c:pt>
                <c:pt idx="111">
                  <c:v>6.6928509242848624E-3</c:v>
                </c:pt>
                <c:pt idx="112">
                  <c:v>6.6928509242848624E-3</c:v>
                </c:pt>
                <c:pt idx="113">
                  <c:v>6.6928509242848624E-3</c:v>
                </c:pt>
                <c:pt idx="114">
                  <c:v>6.6928509242848624E-3</c:v>
                </c:pt>
                <c:pt idx="115">
                  <c:v>6.6928509242848624E-3</c:v>
                </c:pt>
                <c:pt idx="116">
                  <c:v>6.6928509242848624E-3</c:v>
                </c:pt>
                <c:pt idx="117">
                  <c:v>6.6928509242848624E-3</c:v>
                </c:pt>
                <c:pt idx="118">
                  <c:v>6.6928509242848624E-3</c:v>
                </c:pt>
                <c:pt idx="119">
                  <c:v>6.6928509242848624E-3</c:v>
                </c:pt>
                <c:pt idx="120">
                  <c:v>6.6928509242848624E-3</c:v>
                </c:pt>
                <c:pt idx="121">
                  <c:v>6.6928509242848624E-3</c:v>
                </c:pt>
                <c:pt idx="122">
                  <c:v>6.6928509242848624E-3</c:v>
                </c:pt>
                <c:pt idx="123">
                  <c:v>6.6928509242848624E-3</c:v>
                </c:pt>
                <c:pt idx="124">
                  <c:v>6.6928509242848624E-3</c:v>
                </c:pt>
                <c:pt idx="125">
                  <c:v>6.6928509242848624E-3</c:v>
                </c:pt>
                <c:pt idx="126">
                  <c:v>6.6928509242848624E-3</c:v>
                </c:pt>
                <c:pt idx="127">
                  <c:v>6.6928509242848624E-3</c:v>
                </c:pt>
                <c:pt idx="128">
                  <c:v>6.6928509242848624E-3</c:v>
                </c:pt>
                <c:pt idx="129">
                  <c:v>6.6928509242848624E-3</c:v>
                </c:pt>
                <c:pt idx="130">
                  <c:v>6.6928509242848624E-3</c:v>
                </c:pt>
                <c:pt idx="131">
                  <c:v>6.6928509242848624E-3</c:v>
                </c:pt>
                <c:pt idx="132">
                  <c:v>6.6928509242848624E-3</c:v>
                </c:pt>
                <c:pt idx="133">
                  <c:v>6.6928509242848624E-3</c:v>
                </c:pt>
                <c:pt idx="134">
                  <c:v>6.6928509242848624E-3</c:v>
                </c:pt>
                <c:pt idx="135">
                  <c:v>6.6928509242848624E-3</c:v>
                </c:pt>
                <c:pt idx="136">
                  <c:v>6.6928509242848624E-3</c:v>
                </c:pt>
                <c:pt idx="137">
                  <c:v>6.6928509242848624E-3</c:v>
                </c:pt>
                <c:pt idx="138">
                  <c:v>6.6928509242848624E-3</c:v>
                </c:pt>
                <c:pt idx="139">
                  <c:v>6.6928509242848624E-3</c:v>
                </c:pt>
                <c:pt idx="140">
                  <c:v>6.6928509242848624E-3</c:v>
                </c:pt>
                <c:pt idx="141">
                  <c:v>6.6928509242848624E-3</c:v>
                </c:pt>
                <c:pt idx="142">
                  <c:v>6.6928509242848624E-3</c:v>
                </c:pt>
                <c:pt idx="143">
                  <c:v>6.6928509242848624E-3</c:v>
                </c:pt>
                <c:pt idx="144">
                  <c:v>6.6928509242848624E-3</c:v>
                </c:pt>
                <c:pt idx="145">
                  <c:v>6.6928509242848624E-3</c:v>
                </c:pt>
                <c:pt idx="146">
                  <c:v>6.6928509242848624E-3</c:v>
                </c:pt>
                <c:pt idx="147">
                  <c:v>6.6928509242848624E-3</c:v>
                </c:pt>
                <c:pt idx="148">
                  <c:v>6.6928509242848624E-3</c:v>
                </c:pt>
                <c:pt idx="149">
                  <c:v>6.6928509242848624E-3</c:v>
                </c:pt>
                <c:pt idx="150">
                  <c:v>6.6928509242848624E-3</c:v>
                </c:pt>
                <c:pt idx="151">
                  <c:v>6.6928509242848624E-3</c:v>
                </c:pt>
                <c:pt idx="152">
                  <c:v>6.6928509242848624E-3</c:v>
                </c:pt>
                <c:pt idx="153">
                  <c:v>6.6928509242848624E-3</c:v>
                </c:pt>
                <c:pt idx="154">
                  <c:v>6.6928509242848624E-3</c:v>
                </c:pt>
                <c:pt idx="155">
                  <c:v>6.6928509242848624E-3</c:v>
                </c:pt>
                <c:pt idx="156">
                  <c:v>6.6928509242848624E-3</c:v>
                </c:pt>
                <c:pt idx="157">
                  <c:v>6.6928509242848624E-3</c:v>
                </c:pt>
                <c:pt idx="158">
                  <c:v>6.6928509242848624E-3</c:v>
                </c:pt>
                <c:pt idx="159">
                  <c:v>6.6928509242848624E-3</c:v>
                </c:pt>
                <c:pt idx="160">
                  <c:v>6.6928509242848624E-3</c:v>
                </c:pt>
                <c:pt idx="161">
                  <c:v>6.6928509242848624E-3</c:v>
                </c:pt>
                <c:pt idx="162">
                  <c:v>2.7795114167965325E-2</c:v>
                </c:pt>
                <c:pt idx="163">
                  <c:v>0.24299231051914963</c:v>
                </c:pt>
                <c:pt idx="164">
                  <c:v>0.79819209986710826</c:v>
                </c:pt>
                <c:pt idx="165">
                  <c:v>0.97588196619475664</c:v>
                </c:pt>
                <c:pt idx="166">
                  <c:v>0.99878597931553936</c:v>
                </c:pt>
                <c:pt idx="167">
                  <c:v>0.99993345063478134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C1" zoomScale="110" zoomScaleNormal="110" workbookViewId="0">
      <selection activeCell="E12" sqref="E12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30" t="s">
        <v>152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153</v>
      </c>
      <c r="E2" s="134"/>
      <c r="F2" s="134"/>
      <c r="G2" s="134"/>
      <c r="H2" s="135"/>
      <c r="Z2"/>
      <c r="AA2"/>
      <c r="AB2"/>
      <c r="AC2"/>
    </row>
    <row r="3" spans="2:34" s="54" customFormat="1" ht="15" thickBot="1">
      <c r="B3" s="55"/>
      <c r="C3" s="120" t="s">
        <v>184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278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263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54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General</v>
      </c>
      <c r="E7" s="92" t="s">
        <v>29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Lupin Green manure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147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1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</v>
      </c>
      <c r="E12" s="69">
        <v>8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 t="s">
        <v>2</v>
      </c>
      <c r="F13" s="57" t="s">
        <v>135</v>
      </c>
      <c r="G13" s="93">
        <f>IF(H13="",VLOOKUP(CurrentCropNameFull,CropCoefficients,26,FALSE),H13)</f>
        <v>0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</v>
      </c>
      <c r="C14" s="64" t="str">
        <f>"Yield "&amp;CurrentYield_tperHa&amp;" (t/ha)"</f>
        <v>Yield 8 (t/ha)</v>
      </c>
      <c r="D14" s="90" t="str">
        <f ca="1">"requires "&amp;ROUND(SUM('Model Interface'!P4:Q4),0)&amp;" kg N/ha from all sources"</f>
        <v>requires 140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45394</v>
      </c>
      <c r="Z14"/>
      <c r="AA14"/>
      <c r="AB14"/>
      <c r="AC14"/>
    </row>
    <row r="15" spans="2:34" s="55" customFormat="1" ht="16.2" thickBot="1">
      <c r="B15" s="55">
        <f ca="1">SUMIF(B29:B43,1,G29:G43)</f>
        <v>18.096098369849908</v>
      </c>
      <c r="C15" s="105" t="s">
        <v>221</v>
      </c>
      <c r="D15" s="106" t="str">
        <f ca="1">SUMIF(B29:B43,1,G29:G43)&amp;" Kg/ha"</f>
        <v>18.0960983698499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9" t="s">
        <v>223</v>
      </c>
      <c r="S15" s="129"/>
      <c r="T15" s="129"/>
      <c r="U15" s="129"/>
      <c r="V15" s="129"/>
      <c r="W15" s="115"/>
      <c r="X15" s="115"/>
      <c r="Y15" s="115"/>
      <c r="Z15" s="127" t="s">
        <v>222</v>
      </c>
      <c r="AA15" s="127"/>
      <c r="AB15" s="127"/>
      <c r="AC15" s="127"/>
      <c r="AD15" s="128" t="s">
        <v>224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0" t="s">
        <v>185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242</v>
      </c>
      <c r="Y17" s="55" t="s">
        <v>243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242</v>
      </c>
      <c r="AK17" s="55" t="s">
        <v>243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45394</v>
      </c>
      <c r="S18" s="55">
        <f ca="1">IF(R18&gt;1,R18,"")</f>
        <v>45394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210.00000000000003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0.57708971209268001</v>
      </c>
      <c r="Y18" s="55">
        <f ca="1">VLOOKUP(S18,ModelOutputs,4,FALSE)</f>
        <v>0</v>
      </c>
      <c r="Z18">
        <f t="shared" ref="Z18:Z81" ca="1" si="3">VLOOKUP(S18,ModelOutputs,10,FALSE)*AWC</f>
        <v>0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Interface'!X7:X1000,('Model Interface'!X7:X1000&gt;=CurrentHarvestDate+1)*('Model Interface'!X7:X1000&lt;=FollowingHarvestDate),"")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-19.1794888448092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0.48622451092495594</v>
      </c>
      <c r="AK18" s="55">
        <f t="shared" ref="AK18" ca="1" si="10">VLOOKUP(AE18,ModelOutputs,4,FALSE)</f>
        <v>-0.75617282032823852</v>
      </c>
    </row>
    <row r="19" spans="1:37" s="55" customFormat="1">
      <c r="C19" s="57" t="s">
        <v>218</v>
      </c>
      <c r="D19" s="85">
        <f>IF(E19="",60,E19)</f>
        <v>70</v>
      </c>
      <c r="E19" s="16">
        <v>70</v>
      </c>
      <c r="F19" s="94" t="str">
        <f ca="1">ROUND('Model Interface'!N3,0)&amp;" kg N/ha available from SOM mineralisation"</f>
        <v>79 kg N/ha available from SOM mineralisation</v>
      </c>
      <c r="R19" s="83">
        <f ca="1"/>
        <v>45395</v>
      </c>
      <c r="S19" s="55">
        <f t="shared" ref="S19:S82" ca="1" si="11">IF(R19&gt;1,R19,"")</f>
        <v>45395</v>
      </c>
      <c r="T19" s="55">
        <f t="shared" ca="1" si="0"/>
        <v>49.113614223126362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1.2033998791381997</v>
      </c>
      <c r="Y19" s="55">
        <f t="shared" ref="Y19:Y82" ca="1" si="14">VLOOKUP(S19,ModelOutputs,4,FALSE)+Y18</f>
        <v>-1.512695943919155</v>
      </c>
      <c r="Z19">
        <f t="shared" ca="1" si="3"/>
        <v>0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-19.407597549027326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0.95637488298540552</v>
      </c>
      <c r="AK19" s="55">
        <f t="shared" ref="AK19:AK82" ca="1" si="19">VLOOKUP(AE19,ModelOutputs,4,FALSE)+AK18</f>
        <v>-1.4544318966068133</v>
      </c>
    </row>
    <row r="20" spans="1:37" s="55" customFormat="1">
      <c r="C20" s="57" t="s">
        <v>227</v>
      </c>
      <c r="D20" s="85" t="str">
        <f>IF(E20="","Sedementary",E20)</f>
        <v>Sedimentary</v>
      </c>
      <c r="E20" s="16" t="s">
        <v>244</v>
      </c>
      <c r="F20" s="94"/>
      <c r="R20" s="83">
        <f ca="1"/>
        <v>45396</v>
      </c>
      <c r="S20" s="55">
        <f t="shared" ca="1" si="11"/>
        <v>45396</v>
      </c>
      <c r="T20" s="55">
        <f t="shared" ca="1" si="0"/>
        <v>48.322014434618893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1.8388312144809198</v>
      </c>
      <c r="Y20" s="55">
        <f t="shared" ca="1" si="14"/>
        <v>-2.9397270677693479</v>
      </c>
      <c r="Z20">
        <f t="shared" ca="1" si="3"/>
        <v>0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-19.565918483443372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1.4762540854219559</v>
      </c>
      <c r="AK20" s="55">
        <f t="shared" ca="1" si="19"/>
        <v>-2.1326320334594087</v>
      </c>
    </row>
    <row r="21" spans="1:37" s="55" customFormat="1" ht="15.75" customHeight="1">
      <c r="B21" s="55">
        <f>VLOOKUP(SampleDepth,depths,2,FALSE)</f>
        <v>3</v>
      </c>
      <c r="C21" s="57" t="s">
        <v>209</v>
      </c>
      <c r="D21" s="85" t="str">
        <f>IF(E21="","0-30cm",E21)</f>
        <v>Top30cm</v>
      </c>
      <c r="E21" s="16" t="s">
        <v>274</v>
      </c>
      <c r="F21" s="94"/>
      <c r="R21" s="83">
        <f ca="1"/>
        <v>45397</v>
      </c>
      <c r="S21" s="55">
        <f t="shared" ca="1" si="11"/>
        <v>45397</v>
      </c>
      <c r="T21" s="55">
        <f t="shared" ca="1" si="0"/>
        <v>47.652489686759409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2.4786039578716297</v>
      </c>
      <c r="Y21" s="55">
        <f t="shared" ca="1" si="14"/>
        <v>-4.2490245590195368</v>
      </c>
      <c r="Z21">
        <f t="shared" ca="1" si="3"/>
        <v>0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-19.664668169501056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2.0047878064140194</v>
      </c>
      <c r="AK21" s="55">
        <f t="shared" ca="1" si="19"/>
        <v>-2.7599154405091539</v>
      </c>
    </row>
    <row r="22" spans="1:37" s="55" customFormat="1" ht="15" customHeight="1">
      <c r="C22" s="57" t="s">
        <v>210</v>
      </c>
      <c r="D22" s="85" t="str">
        <f>IF(E22="","loam",E22)</f>
        <v>Clay</v>
      </c>
      <c r="E22" s="16" t="s">
        <v>240</v>
      </c>
      <c r="F22" s="94"/>
      <c r="R22" s="83">
        <f ca="1"/>
        <v>45398</v>
      </c>
      <c r="S22" s="55">
        <f t="shared" ca="1" si="11"/>
        <v>45398</v>
      </c>
      <c r="T22" s="55">
        <f t="shared" ca="1" si="0"/>
        <v>47.147903972636676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3.1289615571690814</v>
      </c>
      <c r="Y22" s="55">
        <f t="shared" ca="1" si="14"/>
        <v>-5.403967872439722</v>
      </c>
      <c r="Z22">
        <f t="shared" ca="1" si="3"/>
        <v>0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-19.696544310740514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2.5538839119469929</v>
      </c>
      <c r="AK22" s="55">
        <f t="shared" ca="1" si="19"/>
        <v>-3.3408876872815867</v>
      </c>
    </row>
    <row r="23" spans="1:37" s="55" customFormat="1">
      <c r="C23" s="57"/>
      <c r="D23" s="85"/>
      <c r="E23" s="113"/>
      <c r="F23" s="94"/>
      <c r="R23" s="83">
        <f ca="1"/>
        <v>45399</v>
      </c>
      <c r="S23" s="55">
        <f t="shared" ca="1" si="11"/>
        <v>45399</v>
      </c>
      <c r="T23" s="55">
        <f t="shared" ca="1" si="0"/>
        <v>46.756432188894657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3.7757012266710168</v>
      </c>
      <c r="Y23" s="55">
        <f t="shared" ca="1" si="14"/>
        <v>-6.4421793256836732</v>
      </c>
      <c r="Z23">
        <f t="shared" ca="1" si="3"/>
        <v>0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-19.686058774822357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3.0334828228012021</v>
      </c>
      <c r="AK23" s="55">
        <f t="shared" ca="1" si="19"/>
        <v>-3.810001062217637</v>
      </c>
    </row>
    <row r="24" spans="1:37" s="55" customFormat="1">
      <c r="C24" s="57" t="s">
        <v>226</v>
      </c>
      <c r="D24" s="85">
        <f>IF(E24="",0,E24)</f>
        <v>0</v>
      </c>
      <c r="E24" s="113">
        <v>0</v>
      </c>
      <c r="F24" s="94"/>
      <c r="R24" s="83">
        <f ca="1"/>
        <v>45400</v>
      </c>
      <c r="S24" s="55">
        <f t="shared" ca="1" si="11"/>
        <v>45400</v>
      </c>
      <c r="T24" s="55">
        <f t="shared" ca="1" si="0"/>
        <v>46.453418324433926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4.430786019579652</v>
      </c>
      <c r="Y24" s="55">
        <f t="shared" ca="1" si="14"/>
        <v>-7.4002779830530425</v>
      </c>
      <c r="Z24">
        <f t="shared" ca="1" si="3"/>
        <v>0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-19.616272271378655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3.5152730552464941</v>
      </c>
      <c r="AK24" s="55">
        <f t="shared" ca="1" si="19"/>
        <v>-4.2220047912192271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45401</v>
      </c>
      <c r="S25" s="55">
        <f t="shared" ca="1" si="11"/>
        <v>45401</v>
      </c>
      <c r="T25" s="55">
        <f t="shared" ca="1" si="0"/>
        <v>46.234586896752219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5.073060388385473</v>
      </c>
      <c r="Y25" s="55">
        <f t="shared" ca="1" si="14"/>
        <v>-8.2613837795405693</v>
      </c>
      <c r="Z25">
        <f t="shared" ca="1" si="3"/>
        <v>0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-19.494876508081294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4.0160712072821756</v>
      </c>
      <c r="AK25" s="55">
        <f t="shared" ca="1" si="19"/>
        <v>-4.6014071799575476</v>
      </c>
    </row>
    <row r="26" spans="1:37" s="55" customFormat="1" ht="15" thickBot="1">
      <c r="C26" s="56"/>
      <c r="D26" s="56"/>
      <c r="E26" s="56"/>
      <c r="F26" s="56"/>
      <c r="R26" s="83">
        <f ca="1"/>
        <v>45402</v>
      </c>
      <c r="S26" s="55">
        <f t="shared" ca="1" si="11"/>
        <v>45402</v>
      </c>
      <c r="T26" s="55">
        <f t="shared" ca="1" si="0"/>
        <v>46.042400353830985</v>
      </c>
      <c r="U26" s="55">
        <f t="shared" ca="1" si="1"/>
        <v>0</v>
      </c>
      <c r="V26" s="55">
        <f t="shared" ca="1" si="2"/>
        <v>0</v>
      </c>
      <c r="W26" s="55">
        <f t="shared" ca="1" si="12"/>
        <v>-4.2656795806007716E-2</v>
      </c>
      <c r="X26" s="55">
        <f t="shared" ca="1" si="13"/>
        <v>5.6632829932590472</v>
      </c>
      <c r="Y26" s="55">
        <f t="shared" ca="1" si="14"/>
        <v>-9.0011361315293676</v>
      </c>
      <c r="Z26">
        <f t="shared" ca="1" si="3"/>
        <v>0</v>
      </c>
      <c r="AA26">
        <f t="shared" ca="1" si="15"/>
        <v>0.13165593337665626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-19.316734110201637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4.5381808051261894</v>
      </c>
      <c r="AK26" s="55">
        <f t="shared" ca="1" si="19"/>
        <v>-4.9453743799219048</v>
      </c>
    </row>
    <row r="27" spans="1:37" s="55" customFormat="1" ht="15" thickBot="1">
      <c r="C27" s="123" t="s">
        <v>138</v>
      </c>
      <c r="D27" s="124"/>
      <c r="E27" s="60"/>
      <c r="F27" s="125" t="s">
        <v>145</v>
      </c>
      <c r="G27" s="126"/>
      <c r="R27" s="83">
        <f ca="1"/>
        <v>45403</v>
      </c>
      <c r="S27" s="55">
        <f t="shared" ca="1" si="11"/>
        <v>45403</v>
      </c>
      <c r="T27" s="55">
        <f t="shared" ca="1" si="0"/>
        <v>45.964596067675309</v>
      </c>
      <c r="U27" s="55">
        <f t="shared" ca="1" si="1"/>
        <v>0</v>
      </c>
      <c r="V27" s="55">
        <f t="shared" ca="1" si="2"/>
        <v>0</v>
      </c>
      <c r="W27" s="55">
        <f t="shared" ca="1" si="12"/>
        <v>-4.2656795806007716E-2</v>
      </c>
      <c r="X27" s="55">
        <f t="shared" ca="1" si="13"/>
        <v>6.2705431515705179</v>
      </c>
      <c r="Y27" s="55">
        <f t="shared" ca="1" si="14"/>
        <v>-9.6862005759965104</v>
      </c>
      <c r="Z27">
        <f t="shared" ca="1" si="3"/>
        <v>0</v>
      </c>
      <c r="AA27">
        <f t="shared" ca="1" si="15"/>
        <v>0.13165593337665626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-19.079564599256656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5.0781001346543793</v>
      </c>
      <c r="AK27" s="55">
        <f t="shared" ca="1" si="19"/>
        <v>-5.2481241985051135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45404</v>
      </c>
      <c r="S28" s="55">
        <f t="shared" ca="1" si="11"/>
        <v>45404</v>
      </c>
      <c r="T28" s="55">
        <f t="shared" ca="1" si="0"/>
        <v>45.718409876060399</v>
      </c>
      <c r="U28" s="55">
        <f t="shared" ca="1" si="1"/>
        <v>0</v>
      </c>
      <c r="V28" s="55">
        <f t="shared" ca="1" si="2"/>
        <v>0</v>
      </c>
      <c r="W28" s="55">
        <f t="shared" ca="1" si="12"/>
        <v>-0.28200377186184616</v>
      </c>
      <c r="X28" s="55">
        <f t="shared" ca="1" si="13"/>
        <v>6.890786464759775</v>
      </c>
      <c r="Y28" s="55">
        <f t="shared" ca="1" si="14"/>
        <v>-10.313283104744837</v>
      </c>
      <c r="Z28">
        <f t="shared" ca="1" si="3"/>
        <v>0</v>
      </c>
      <c r="AA28">
        <f t="shared" ca="1" si="15"/>
        <v>0.87561148893221485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-18.807901251224752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5.6052509399578039</v>
      </c>
      <c r="AK28" s="55">
        <f t="shared" ca="1" si="19"/>
        <v>-5.5036116557766341</v>
      </c>
    </row>
    <row r="29" spans="1:37" s="55" customFormat="1">
      <c r="A29" s="83">
        <f t="array" aca="1" ref="A29:A43" ca="1">_xlfn._xlws.FILTER('Model Interface'!X7:X496,'Model Interface'!Y7:Y496&gt;0,"")</f>
        <v>45560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45560</v>
      </c>
      <c r="G29" s="76">
        <f ca="1">IFERROR(VLOOKUP(F29,'Model Interface'!$J$7:$O$496,6,FALSE),"")</f>
        <v>18.096098369849908</v>
      </c>
      <c r="H29" s="55" t="str">
        <f ca="1">IF(B29=1,"Suggested","Applied or Planned")</f>
        <v>Suggested</v>
      </c>
      <c r="R29" s="83">
        <f ca="1"/>
        <v>45405</v>
      </c>
      <c r="S29" s="55">
        <f t="shared" ca="1" si="11"/>
        <v>45405</v>
      </c>
      <c r="T29" s="55">
        <f t="shared" ca="1" si="0"/>
        <v>45.629353221842727</v>
      </c>
      <c r="U29" s="55">
        <f t="shared" ca="1" si="1"/>
        <v>0</v>
      </c>
      <c r="V29" s="55">
        <f t="shared" ca="1" si="2"/>
        <v>0</v>
      </c>
      <c r="W29" s="55">
        <f t="shared" ca="1" si="12"/>
        <v>-0.43612958718896067</v>
      </c>
      <c r="X29" s="55">
        <f t="shared" ca="1" si="13"/>
        <v>7.5273487183492609</v>
      </c>
      <c r="Y29" s="55">
        <f t="shared" ca="1" si="14"/>
        <v>-10.884776197224882</v>
      </c>
      <c r="Z29">
        <f t="shared" ca="1" si="3"/>
        <v>0</v>
      </c>
      <c r="AA29">
        <f t="shared" ca="1" si="15"/>
        <v>1.3556114889322188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-18.514781526779924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6.108626644075339</v>
      </c>
      <c r="AK29" s="55">
        <f t="shared" ca="1" si="19"/>
        <v>-5.7138676354493398</v>
      </c>
    </row>
    <row r="30" spans="1:37" s="55" customFormat="1">
      <c r="A30" s="83">
        <f ca="1"/>
        <v>45560</v>
      </c>
      <c r="B30" s="55">
        <f t="shared" ca="1" si="24"/>
        <v>0</v>
      </c>
      <c r="C30" s="78"/>
      <c r="D30" s="81"/>
      <c r="F30" s="74" t="str">
        <f t="shared" ref="F30:F43" ca="1" si="25">IFERROR(IF(A30=A29,"",A30),"")</f>
        <v/>
      </c>
      <c r="G30" s="76" t="str">
        <f ca="1">IFERROR(VLOOKUP(F30,'Model Interface'!$J$7:$O$496,6,FALSE),"")</f>
        <v/>
      </c>
      <c r="H30" s="55" t="str">
        <f t="shared" ref="H30:H43" ca="1" si="26">IF(F30="","",IF(F30&lt;=StartSchedullingDate,"Applied or Planned","Suggested"))</f>
        <v/>
      </c>
      <c r="R30" s="83">
        <f ca="1"/>
        <v>45406</v>
      </c>
      <c r="S30" s="55">
        <f t="shared" ca="1" si="11"/>
        <v>45406</v>
      </c>
      <c r="T30" s="55">
        <f t="shared" ca="1" si="0"/>
        <v>45.316794884736581</v>
      </c>
      <c r="U30" s="55">
        <f t="shared" ca="1" si="1"/>
        <v>0</v>
      </c>
      <c r="V30" s="55">
        <f t="shared" ca="1" si="2"/>
        <v>0</v>
      </c>
      <c r="W30" s="55">
        <f t="shared" ca="1" si="12"/>
        <v>-0.87620601751407001</v>
      </c>
      <c r="X30" s="55">
        <f t="shared" ca="1" si="13"/>
        <v>8.1601209881265078</v>
      </c>
      <c r="Y30" s="55">
        <f t="shared" ca="1" si="14"/>
        <v>-11.390030373783173</v>
      </c>
      <c r="Z30">
        <f t="shared" ca="1" si="3"/>
        <v>0</v>
      </c>
      <c r="AA30">
        <f t="shared" ca="1" si="15"/>
        <v>2.7356114889322214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-18.188204717878527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6.6069843542002999</v>
      </c>
      <c r="AK30" s="55">
        <f t="shared" ca="1" si="19"/>
        <v>-5.8856485366729032</v>
      </c>
    </row>
    <row r="31" spans="1:37" s="55" customFormat="1">
      <c r="A31" s="83">
        <f ca="1"/>
        <v>45560</v>
      </c>
      <c r="B31" s="55">
        <f t="shared" ca="1" si="24"/>
        <v>0</v>
      </c>
      <c r="C31" s="78"/>
      <c r="D31" s="81"/>
      <c r="F31" s="74" t="str">
        <f t="shared" ca="1" si="25"/>
        <v/>
      </c>
      <c r="G31" s="76" t="str">
        <f ca="1">IFERROR(VLOOKUP(F31,'Model Interface'!$J$7:$O$496,6,FALSE),"")</f>
        <v/>
      </c>
      <c r="H31" s="55" t="str">
        <f t="shared" ca="1" si="26"/>
        <v/>
      </c>
      <c r="R31" s="83">
        <f ca="1"/>
        <v>45407</v>
      </c>
      <c r="S31" s="55">
        <f t="shared" ca="1" si="11"/>
        <v>45407</v>
      </c>
      <c r="T31" s="55">
        <f t="shared" ca="1" si="0"/>
        <v>45.212160004713205</v>
      </c>
      <c r="U31" s="55">
        <f t="shared" ca="1" si="1"/>
        <v>0</v>
      </c>
      <c r="V31" s="55">
        <f t="shared" ca="1" si="2"/>
        <v>0</v>
      </c>
      <c r="W31" s="55">
        <f t="shared" ca="1" si="12"/>
        <v>-1.1689128904334731</v>
      </c>
      <c r="X31" s="55">
        <f t="shared" ca="1" si="13"/>
        <v>8.7928932579037529</v>
      </c>
      <c r="Y31" s="55">
        <f t="shared" ca="1" si="14"/>
        <v>-11.83473065066439</v>
      </c>
      <c r="Z31">
        <f t="shared" ca="1" si="3"/>
        <v>0</v>
      </c>
      <c r="AA31">
        <f t="shared" ca="1" si="15"/>
        <v>3.6556114889322231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-17.815492526737597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7.1257324594546345</v>
      </c>
      <c r="AK31" s="55">
        <f t="shared" ca="1" si="19"/>
        <v>-6.0316844507863081</v>
      </c>
    </row>
    <row r="32" spans="1:37" s="55" customFormat="1">
      <c r="A32" s="83">
        <f ca="1"/>
        <v>45560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Interface'!$J$7:$O$496,6,FALSE),"")</f>
        <v/>
      </c>
      <c r="H32" s="55" t="str">
        <f t="shared" ca="1" si="26"/>
        <v/>
      </c>
      <c r="R32" s="83">
        <f ca="1"/>
        <v>45408</v>
      </c>
      <c r="S32" s="55">
        <f t="shared" ca="1" si="11"/>
        <v>45408</v>
      </c>
      <c r="T32" s="55">
        <f t="shared" ca="1" si="0"/>
        <v>45.359915682209007</v>
      </c>
      <c r="U32" s="55">
        <f t="shared" ca="1" si="1"/>
        <v>0</v>
      </c>
      <c r="V32" s="55">
        <f t="shared" ca="1" si="2"/>
        <v>0</v>
      </c>
      <c r="W32" s="55">
        <f t="shared" ca="1" si="12"/>
        <v>-1.2806326827618773</v>
      </c>
      <c r="X32" s="55">
        <f t="shared" ca="1" si="13"/>
        <v>9.4486228094675884</v>
      </c>
      <c r="Y32" s="55">
        <f t="shared" ca="1" si="14"/>
        <v>-12.230984732404027</v>
      </c>
      <c r="Z32">
        <f t="shared" ca="1" si="3"/>
        <v>0</v>
      </c>
      <c r="AA32">
        <f t="shared" ca="1" si="15"/>
        <v>4.0056114889322245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-17.403806484573682</v>
      </c>
      <c r="AG32" s="55">
        <f t="shared" ca="1" si="22"/>
        <v>1.3405913854385714</v>
      </c>
      <c r="AH32" s="55">
        <f t="shared" ca="1" si="23"/>
        <v>0</v>
      </c>
      <c r="AI32" s="55">
        <f t="shared" ca="1" si="17"/>
        <v>0</v>
      </c>
      <c r="AJ32" s="55">
        <f t="shared" ca="1" si="18"/>
        <v>7.6489408652499087</v>
      </c>
      <c r="AK32" s="55">
        <f t="shared" ca="1" si="19"/>
        <v>-6.1432068144176668</v>
      </c>
    </row>
    <row r="33" spans="1:37" s="55" customFormat="1">
      <c r="A33" s="83">
        <f ca="1"/>
        <v>45560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45409</v>
      </c>
      <c r="S33" s="55">
        <f t="shared" ca="1" si="11"/>
        <v>45409</v>
      </c>
      <c r="T33" s="55">
        <f t="shared" ca="1" si="0"/>
        <v>45.437402803184121</v>
      </c>
      <c r="U33" s="55">
        <f t="shared" ca="1" si="1"/>
        <v>0</v>
      </c>
      <c r="V33" s="55">
        <f t="shared" ca="1" si="2"/>
        <v>0</v>
      </c>
      <c r="W33" s="55">
        <f t="shared" ca="1" si="12"/>
        <v>-1.5268360912843144</v>
      </c>
      <c r="X33" s="55">
        <f t="shared" ca="1" si="13"/>
        <v>10.11472349842319</v>
      </c>
      <c r="Y33" s="55">
        <f t="shared" ca="1" si="14"/>
        <v>-12.573394891862073</v>
      </c>
      <c r="Z33">
        <f t="shared" ca="1" si="3"/>
        <v>0</v>
      </c>
      <c r="AA33">
        <f t="shared" ca="1" si="15"/>
        <v>4.7756114889322205</v>
      </c>
      <c r="AB33">
        <f t="shared" ca="1" si="4"/>
        <v>0</v>
      </c>
      <c r="AC33">
        <f t="shared" ca="1" si="5"/>
        <v>0</v>
      </c>
      <c r="AD33" s="83">
        <f ca="1"/>
        <v>45577</v>
      </c>
      <c r="AE33" s="55">
        <f t="shared" ca="1" si="20"/>
        <v>45577</v>
      </c>
      <c r="AF33" s="55">
        <f t="shared" ca="1" si="21"/>
        <v>-17.032951256814396</v>
      </c>
      <c r="AG33" s="55">
        <f t="shared" ca="1" si="22"/>
        <v>1.3878817295498753</v>
      </c>
      <c r="AH33" s="55">
        <f t="shared" ca="1" si="23"/>
        <v>0</v>
      </c>
      <c r="AI33" s="55">
        <f t="shared" ca="1" si="17"/>
        <v>0</v>
      </c>
      <c r="AJ33" s="55">
        <f t="shared" ca="1" si="18"/>
        <v>8.1412723379891716</v>
      </c>
      <c r="AK33" s="55">
        <f t="shared" ca="1" si="19"/>
        <v>-6.2173927152863406</v>
      </c>
    </row>
    <row r="34" spans="1:37" s="55" customFormat="1" ht="15" thickBot="1">
      <c r="A34" s="83">
        <f ca="1"/>
        <v>45560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45410</v>
      </c>
      <c r="S34" s="55">
        <f t="shared" ca="1" si="11"/>
        <v>45410</v>
      </c>
      <c r="T34" s="55">
        <f t="shared" ca="1" si="0"/>
        <v>45.537053046138347</v>
      </c>
      <c r="U34" s="55">
        <f t="shared" ca="1" si="1"/>
        <v>0</v>
      </c>
      <c r="V34" s="55">
        <f t="shared" ca="1" si="2"/>
        <v>0</v>
      </c>
      <c r="W34" s="55">
        <f t="shared" ca="1" si="12"/>
        <v>-1.7831928343588701</v>
      </c>
      <c r="X34" s="55">
        <f t="shared" ca="1" si="13"/>
        <v>10.748757489089273</v>
      </c>
      <c r="Y34" s="55">
        <f t="shared" ca="1" si="14"/>
        <v>-12.851421896499374</v>
      </c>
      <c r="Z34">
        <f t="shared" ca="1" si="3"/>
        <v>0</v>
      </c>
      <c r="AA34">
        <f t="shared" ca="1" si="15"/>
        <v>5.5756114889322177</v>
      </c>
      <c r="AB34">
        <f t="shared" ca="1" si="4"/>
        <v>0</v>
      </c>
      <c r="AC34">
        <f t="shared" ca="1" si="5"/>
        <v>0</v>
      </c>
      <c r="AD34" s="83">
        <f ca="1"/>
        <v>45578</v>
      </c>
      <c r="AE34" s="55">
        <f t="shared" ca="1" si="20"/>
        <v>45578</v>
      </c>
      <c r="AF34" s="55">
        <f t="shared" ca="1" si="21"/>
        <v>-16.620972727994097</v>
      </c>
      <c r="AG34" s="55">
        <f t="shared" ca="1" si="22"/>
        <v>1.4348440285816551</v>
      </c>
      <c r="AH34" s="55">
        <f t="shared" ca="1" si="23"/>
        <v>0</v>
      </c>
      <c r="AI34" s="55">
        <f t="shared" ca="1" si="17"/>
        <v>0</v>
      </c>
      <c r="AJ34" s="55">
        <f t="shared" ca="1" si="18"/>
        <v>8.6448459059417715</v>
      </c>
      <c r="AK34" s="55">
        <f t="shared" ca="1" si="19"/>
        <v>-6.2620254553868619</v>
      </c>
    </row>
    <row r="35" spans="1:37" s="55" customFormat="1" ht="15" thickBot="1">
      <c r="A35" s="83">
        <f ca="1"/>
        <v>45560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45411</v>
      </c>
      <c r="S35" s="55">
        <f t="shared" ca="1" si="11"/>
        <v>45411</v>
      </c>
      <c r="T35" s="55">
        <f t="shared" ca="1" si="0"/>
        <v>45.900375786019659</v>
      </c>
      <c r="U35" s="55">
        <f t="shared" ca="1" si="1"/>
        <v>0</v>
      </c>
      <c r="V35" s="55">
        <f t="shared" ca="1" si="2"/>
        <v>0</v>
      </c>
      <c r="W35" s="55">
        <f t="shared" ca="1" si="12"/>
        <v>-1.7831928343588701</v>
      </c>
      <c r="X35" s="55">
        <f t="shared" ca="1" si="13"/>
        <v>11.328787629315972</v>
      </c>
      <c r="Y35" s="55">
        <f t="shared" ca="1" si="14"/>
        <v>-13.068129296844761</v>
      </c>
      <c r="Z35">
        <f t="shared" ca="1" si="3"/>
        <v>0</v>
      </c>
      <c r="AA35">
        <f t="shared" ca="1" si="15"/>
        <v>5.5756114889322177</v>
      </c>
      <c r="AB35">
        <f t="shared" ca="1" si="4"/>
        <v>0</v>
      </c>
      <c r="AC35">
        <f t="shared" ca="1" si="5"/>
        <v>0</v>
      </c>
      <c r="AD35" s="83">
        <f ca="1"/>
        <v>45579</v>
      </c>
      <c r="AE35" s="55">
        <f t="shared" ca="1" si="20"/>
        <v>45579</v>
      </c>
      <c r="AF35" s="55">
        <f t="shared" ca="1" si="21"/>
        <v>-16.180171418838871</v>
      </c>
      <c r="AG35" s="55">
        <f t="shared" ca="1" si="22"/>
        <v>1.4850915031947471</v>
      </c>
      <c r="AH35" s="55">
        <f t="shared" ca="1" si="23"/>
        <v>0</v>
      </c>
      <c r="AI35" s="55">
        <f t="shared" ca="1" si="17"/>
        <v>0</v>
      </c>
      <c r="AJ35" s="55">
        <f t="shared" ca="1" si="18"/>
        <v>9.1546833671782881</v>
      </c>
      <c r="AK35" s="55">
        <f t="shared" ca="1" si="19"/>
        <v>-6.2808141328550597</v>
      </c>
    </row>
    <row r="36" spans="1:37" s="55" customFormat="1" ht="15" thickBot="1">
      <c r="A36" s="83">
        <f ca="1"/>
        <v>45560</v>
      </c>
      <c r="B36" s="55">
        <f t="shared" ca="1" si="24"/>
        <v>0</v>
      </c>
      <c r="C36" s="123" t="s">
        <v>139</v>
      </c>
      <c r="D36" s="124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45412</v>
      </c>
      <c r="S36" s="55">
        <f t="shared" ca="1" si="11"/>
        <v>45412</v>
      </c>
      <c r="T36" s="55">
        <f t="shared" ca="1" si="0"/>
        <v>45.928230022870807</v>
      </c>
      <c r="U36" s="55">
        <f t="shared" ca="1" si="1"/>
        <v>0</v>
      </c>
      <c r="V36" s="55">
        <f t="shared" ca="1" si="2"/>
        <v>0</v>
      </c>
      <c r="W36" s="55">
        <f t="shared" ca="1" si="12"/>
        <v>-2.1364453739608282</v>
      </c>
      <c r="X36" s="55">
        <f t="shared" ca="1" si="13"/>
        <v>11.880077128491651</v>
      </c>
      <c r="Y36" s="55">
        <f t="shared" ca="1" si="14"/>
        <v>-13.238312019567335</v>
      </c>
      <c r="Z36">
        <f t="shared" ca="1" si="3"/>
        <v>0</v>
      </c>
      <c r="AA36">
        <f t="shared" ca="1" si="15"/>
        <v>6.6686003778211074</v>
      </c>
      <c r="AB36">
        <f t="shared" ca="1" si="4"/>
        <v>0</v>
      </c>
      <c r="AC36">
        <f t="shared" ca="1" si="5"/>
        <v>0</v>
      </c>
      <c r="AD36" s="83">
        <f ca="1"/>
        <v>45580</v>
      </c>
      <c r="AE36" s="55">
        <f t="shared" ca="1" si="20"/>
        <v>45580</v>
      </c>
      <c r="AF36" s="55">
        <f t="shared" ca="1" si="21"/>
        <v>-15.667436678683403</v>
      </c>
      <c r="AG36" s="55">
        <f t="shared" ca="1" si="22"/>
        <v>1.5432282840081659</v>
      </c>
      <c r="AH36" s="55">
        <f t="shared" ca="1" si="23"/>
        <v>0</v>
      </c>
      <c r="AI36" s="55">
        <f t="shared" ca="1" si="17"/>
        <v>0</v>
      </c>
      <c r="AJ36" s="55">
        <f t="shared" ca="1" si="18"/>
        <v>9.7171982542133897</v>
      </c>
      <c r="AK36" s="55">
        <f t="shared" ca="1" si="19"/>
        <v>-6.2724574989212734</v>
      </c>
    </row>
    <row r="37" spans="1:37" s="55" customFormat="1" ht="15" thickBot="1">
      <c r="A37" s="83">
        <f ca="1"/>
        <v>45560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45413</v>
      </c>
      <c r="S37" s="55">
        <f t="shared" ca="1" si="11"/>
        <v>45413</v>
      </c>
      <c r="T37" s="55">
        <f t="shared" ca="1" si="0"/>
        <v>46.007372944369621</v>
      </c>
      <c r="U37" s="55">
        <f t="shared" ca="1" si="1"/>
        <v>0</v>
      </c>
      <c r="V37" s="55">
        <f t="shared" ca="1" si="2"/>
        <v>0</v>
      </c>
      <c r="W37" s="55">
        <f t="shared" ca="1" si="12"/>
        <v>-2.4958140759596263</v>
      </c>
      <c r="X37" s="55">
        <f t="shared" ca="1" si="13"/>
        <v>12.455350355955042</v>
      </c>
      <c r="Y37" s="55">
        <f t="shared" ca="1" si="14"/>
        <v>-13.375073623533117</v>
      </c>
      <c r="Z37">
        <f t="shared" ca="1" si="3"/>
        <v>0</v>
      </c>
      <c r="AA37">
        <f t="shared" ca="1" si="15"/>
        <v>7.7786003778211068</v>
      </c>
      <c r="AB37">
        <f t="shared" ca="1" si="4"/>
        <v>0</v>
      </c>
      <c r="AC37">
        <f t="shared" ca="1" si="5"/>
        <v>0</v>
      </c>
      <c r="AD37" s="83">
        <f ca="1"/>
        <v>45581</v>
      </c>
      <c r="AE37" s="55">
        <f t="shared" ca="1" si="20"/>
        <v>45581</v>
      </c>
      <c r="AF37" s="55">
        <f t="shared" ca="1" si="21"/>
        <v>-15.087972776258203</v>
      </c>
      <c r="AG37" s="55">
        <f t="shared" ca="1" si="22"/>
        <v>1.606391243119073</v>
      </c>
      <c r="AH37" s="55">
        <f t="shared" ca="1" si="23"/>
        <v>0</v>
      </c>
      <c r="AI37" s="55">
        <f t="shared" ca="1" si="17"/>
        <v>0</v>
      </c>
      <c r="AJ37" s="55">
        <f t="shared" ca="1" si="18"/>
        <v>10.321960162711624</v>
      </c>
      <c r="AK37" s="55">
        <f t="shared" ca="1" si="19"/>
        <v>-6.2345925458834017</v>
      </c>
    </row>
    <row r="38" spans="1:37" s="55" customFormat="1">
      <c r="A38" s="83">
        <f ca="1"/>
        <v>45560</v>
      </c>
      <c r="B38" s="55">
        <f t="shared" ca="1" si="24"/>
        <v>0</v>
      </c>
      <c r="C38" s="78"/>
      <c r="D38" s="80"/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45414</v>
      </c>
      <c r="S38" s="55">
        <f t="shared" ca="1" si="11"/>
        <v>45414</v>
      </c>
      <c r="T38" s="55">
        <f t="shared" ca="1" si="0"/>
        <v>46.204577883737223</v>
      </c>
      <c r="U38" s="55">
        <f t="shared" ca="1" si="1"/>
        <v>0</v>
      </c>
      <c r="V38" s="55">
        <f t="shared" ca="1" si="2"/>
        <v>0</v>
      </c>
      <c r="W38" s="55">
        <f t="shared" ca="1" si="12"/>
        <v>-2.8307117015836036</v>
      </c>
      <c r="X38" s="55">
        <f t="shared" ca="1" si="13"/>
        <v>13.093179152705712</v>
      </c>
      <c r="Y38" s="55">
        <f t="shared" ca="1" si="14"/>
        <v>-13.480799855292211</v>
      </c>
      <c r="Z38">
        <f t="shared" ca="1" si="3"/>
        <v>0</v>
      </c>
      <c r="AA38">
        <f t="shared" ca="1" si="15"/>
        <v>8.8086003778211079</v>
      </c>
      <c r="AB38">
        <f t="shared" ca="1" si="4"/>
        <v>0</v>
      </c>
      <c r="AC38">
        <f t="shared" ca="1" si="5"/>
        <v>0</v>
      </c>
      <c r="AD38" s="83">
        <f ca="1"/>
        <v>45582</v>
      </c>
      <c r="AE38" s="55">
        <f t="shared" ca="1" si="20"/>
        <v>45582</v>
      </c>
      <c r="AF38" s="55">
        <f t="shared" ca="1" si="21"/>
        <v>-14.488257341468671</v>
      </c>
      <c r="AG38" s="55">
        <f t="shared" ca="1" si="22"/>
        <v>1.67141194442802</v>
      </c>
      <c r="AH38" s="55">
        <f t="shared" ca="1" si="23"/>
        <v>0</v>
      </c>
      <c r="AI38" s="55">
        <f t="shared" ca="1" si="17"/>
        <v>0</v>
      </c>
      <c r="AJ38" s="55">
        <f t="shared" ca="1" si="18"/>
        <v>10.921494561547449</v>
      </c>
      <c r="AK38" s="55">
        <f t="shared" ca="1" si="19"/>
        <v>-6.1693908086207472</v>
      </c>
    </row>
    <row r="39" spans="1:37" s="55" customFormat="1">
      <c r="A39" s="83">
        <f ca="1"/>
        <v>45560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45415</v>
      </c>
      <c r="S39" s="55">
        <f t="shared" ca="1" si="11"/>
        <v>45415</v>
      </c>
      <c r="T39" s="55">
        <f t="shared" ca="1" si="0"/>
        <v>46.361686013685819</v>
      </c>
      <c r="U39" s="55">
        <f t="shared" ca="1" si="1"/>
        <v>0</v>
      </c>
      <c r="V39" s="55">
        <f t="shared" ca="1" si="2"/>
        <v>0</v>
      </c>
      <c r="W39" s="55">
        <f t="shared" ca="1" si="12"/>
        <v>-3.2222103834769493</v>
      </c>
      <c r="X39" s="55">
        <f t="shared" ca="1" si="13"/>
        <v>13.705981955908317</v>
      </c>
      <c r="Y39" s="55">
        <f t="shared" ca="1" si="14"/>
        <v>-13.544995846652871</v>
      </c>
      <c r="Z39">
        <f t="shared" ca="1" si="3"/>
        <v>0</v>
      </c>
      <c r="AA39">
        <f t="shared" ca="1" si="15"/>
        <v>10.008600377821104</v>
      </c>
      <c r="AB39">
        <f t="shared" ca="1" si="4"/>
        <v>0</v>
      </c>
      <c r="AC39">
        <f t="shared" ca="1" si="5"/>
        <v>0</v>
      </c>
      <c r="AD39" s="83">
        <f ca="1"/>
        <v>45583</v>
      </c>
      <c r="AE39" s="55">
        <f t="shared" ca="1" si="20"/>
        <v>45583</v>
      </c>
      <c r="AF39" s="55">
        <f t="shared" ca="1" si="21"/>
        <v>-13.885946524093894</v>
      </c>
      <c r="AG39" s="55">
        <f t="shared" ca="1" si="22"/>
        <v>1.7352464695720091</v>
      </c>
      <c r="AH39" s="55">
        <f t="shared" ca="1" si="23"/>
        <v>0</v>
      </c>
      <c r="AI39" s="55">
        <f t="shared" ca="1" si="17"/>
        <v>0</v>
      </c>
      <c r="AJ39" s="55">
        <f t="shared" ca="1" si="18"/>
        <v>11.500573692076784</v>
      </c>
      <c r="AK39" s="55">
        <f t="shared" ca="1" si="19"/>
        <v>-6.0823245966313166</v>
      </c>
    </row>
    <row r="40" spans="1:37" s="55" customFormat="1" ht="6.75" customHeight="1">
      <c r="A40" s="83">
        <f ca="1"/>
        <v>45560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45416</v>
      </c>
      <c r="S40" s="55">
        <f t="shared" ca="1" si="11"/>
        <v>45416</v>
      </c>
      <c r="T40" s="55">
        <f t="shared" ca="1" si="0"/>
        <v>46.524199483591751</v>
      </c>
      <c r="U40" s="55">
        <f t="shared" ca="1" si="1"/>
        <v>0</v>
      </c>
      <c r="V40" s="55">
        <f t="shared" ca="1" si="2"/>
        <v>0</v>
      </c>
      <c r="W40" s="55">
        <f t="shared" ca="1" si="12"/>
        <v>-3.6510945779756905</v>
      </c>
      <c r="X40" s="55">
        <f t="shared" ca="1" si="13"/>
        <v>14.325603027548917</v>
      </c>
      <c r="Y40" s="55">
        <f t="shared" ca="1" si="14"/>
        <v>-13.573219253888798</v>
      </c>
      <c r="Z40">
        <f t="shared" ca="1" si="3"/>
        <v>0</v>
      </c>
      <c r="AA40">
        <f t="shared" ca="1" si="15"/>
        <v>11.318600377821106</v>
      </c>
      <c r="AB40">
        <f t="shared" ca="1" si="4"/>
        <v>0</v>
      </c>
      <c r="AC40">
        <f t="shared" ca="1" si="5"/>
        <v>0</v>
      </c>
      <c r="AD40" s="83">
        <f ca="1"/>
        <v>45584</v>
      </c>
      <c r="AE40" s="55">
        <f t="shared" ca="1" si="20"/>
        <v>45584</v>
      </c>
      <c r="AF40" s="55">
        <f t="shared" ca="1" si="21"/>
        <v>-13.23027065221163</v>
      </c>
      <c r="AG40" s="55">
        <f t="shared" ca="1" si="22"/>
        <v>1.8066095157796882</v>
      </c>
      <c r="AH40" s="55">
        <f t="shared" ca="1" si="23"/>
        <v>0</v>
      </c>
      <c r="AI40" s="55">
        <f t="shared" ca="1" si="17"/>
        <v>0</v>
      </c>
      <c r="AJ40" s="55">
        <f t="shared" ca="1" si="18"/>
        <v>12.111703988908117</v>
      </c>
      <c r="AK40" s="55">
        <f t="shared" ca="1" si="19"/>
        <v>-5.9664159753727048</v>
      </c>
    </row>
    <row r="41" spans="1:37" s="55" customFormat="1">
      <c r="A41" s="83">
        <f ca="1"/>
        <v>45560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45417</v>
      </c>
      <c r="S41" s="55">
        <f t="shared" ca="1" si="11"/>
        <v>45417</v>
      </c>
      <c r="T41" s="55">
        <f t="shared" ca="1" si="0"/>
        <v>46.904176844464445</v>
      </c>
      <c r="U41" s="55">
        <f t="shared" ca="1" si="1"/>
        <v>0</v>
      </c>
      <c r="V41" s="55">
        <f t="shared" ca="1" si="2"/>
        <v>0</v>
      </c>
      <c r="W41" s="55">
        <f t="shared" ca="1" si="12"/>
        <v>-3.8920430716174383</v>
      </c>
      <c r="X41" s="55">
        <f t="shared" ca="1" si="13"/>
        <v>14.940260563204339</v>
      </c>
      <c r="Y41" s="55">
        <f t="shared" ca="1" si="14"/>
        <v>-13.566950935029777</v>
      </c>
      <c r="Z41">
        <f t="shared" ca="1" si="3"/>
        <v>0</v>
      </c>
      <c r="AA41">
        <f t="shared" ca="1" si="15"/>
        <v>12.048600377821103</v>
      </c>
      <c r="AB41">
        <f t="shared" ca="1" si="4"/>
        <v>0</v>
      </c>
      <c r="AC41">
        <f t="shared" ca="1" si="5"/>
        <v>0</v>
      </c>
      <c r="AD41" s="83">
        <f ca="1"/>
        <v>45585</v>
      </c>
      <c r="AE41" s="55">
        <f t="shared" ca="1" si="20"/>
        <v>45585</v>
      </c>
      <c r="AF41" s="55">
        <f t="shared" ca="1" si="21"/>
        <v>-12.552065242721964</v>
      </c>
      <c r="AG41" s="55">
        <f t="shared" ca="1" si="22"/>
        <v>1.8809505466969207</v>
      </c>
      <c r="AH41" s="55">
        <f t="shared" ca="1" si="23"/>
        <v>0</v>
      </c>
      <c r="AI41" s="55">
        <f t="shared" ca="1" si="17"/>
        <v>0</v>
      </c>
      <c r="AJ41" s="55">
        <f t="shared" ca="1" si="18"/>
        <v>12.724897248415186</v>
      </c>
      <c r="AK41" s="55">
        <f t="shared" ca="1" si="19"/>
        <v>-5.8270627944728766</v>
      </c>
    </row>
    <row r="42" spans="1:37" s="55" customFormat="1">
      <c r="A42" s="83">
        <f ca="1"/>
        <v>45560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45418</v>
      </c>
      <c r="S42" s="55">
        <f t="shared" ca="1" si="11"/>
        <v>45418</v>
      </c>
      <c r="T42" s="55">
        <f t="shared" ca="1" si="0"/>
        <v>47.170905246833804</v>
      </c>
      <c r="U42" s="55">
        <f t="shared" ca="1" si="1"/>
        <v>0</v>
      </c>
      <c r="V42" s="55">
        <f t="shared" ca="1" si="2"/>
        <v>0</v>
      </c>
      <c r="W42" s="55">
        <f t="shared" ca="1" si="12"/>
        <v>-4.2571808196392267</v>
      </c>
      <c r="X42" s="55">
        <f t="shared" ca="1" si="13"/>
        <v>15.534713349119318</v>
      </c>
      <c r="Y42" s="55">
        <f t="shared" ca="1" si="14"/>
        <v>-13.529537570553615</v>
      </c>
      <c r="Z42">
        <f t="shared" ca="1" si="3"/>
        <v>0</v>
      </c>
      <c r="AA42">
        <f t="shared" ca="1" si="15"/>
        <v>13.148600377821104</v>
      </c>
      <c r="AB42">
        <f t="shared" ca="1" si="4"/>
        <v>0</v>
      </c>
      <c r="AC42">
        <f t="shared" ca="1" si="5"/>
        <v>0</v>
      </c>
      <c r="AD42" s="83">
        <f ca="1"/>
        <v>45586</v>
      </c>
      <c r="AE42" s="55">
        <f t="shared" ca="1" si="20"/>
        <v>45586</v>
      </c>
      <c r="AF42" s="55">
        <f t="shared" ca="1" si="21"/>
        <v>-11.91369620002534</v>
      </c>
      <c r="AG42" s="55">
        <f t="shared" ca="1" si="22"/>
        <v>1.9509878219485199</v>
      </c>
      <c r="AH42" s="55">
        <f t="shared" ca="1" si="23"/>
        <v>0</v>
      </c>
      <c r="AI42" s="55">
        <f t="shared" ca="1" si="17"/>
        <v>0</v>
      </c>
      <c r="AJ42" s="55">
        <f t="shared" ca="1" si="18"/>
        <v>13.283307090637878</v>
      </c>
      <c r="AK42" s="55">
        <f t="shared" ca="1" si="19"/>
        <v>-5.6770663187473467</v>
      </c>
    </row>
    <row r="43" spans="1:37" s="55" customFormat="1" ht="15" thickBot="1">
      <c r="A43" s="83">
        <f ca="1"/>
        <v>45560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45419</v>
      </c>
      <c r="S43" s="55">
        <f t="shared" ca="1" si="11"/>
        <v>45419</v>
      </c>
      <c r="T43" s="55">
        <f t="shared" ca="1" si="0"/>
        <v>47.708454059641888</v>
      </c>
      <c r="U43" s="55">
        <f t="shared" ca="1" si="1"/>
        <v>0</v>
      </c>
      <c r="V43" s="55">
        <f t="shared" ca="1" si="2"/>
        <v>0</v>
      </c>
      <c r="W43" s="55">
        <f t="shared" ca="1" si="12"/>
        <v>-4.3813994981722937</v>
      </c>
      <c r="X43" s="55">
        <f t="shared" ca="1" si="13"/>
        <v>16.129772034108704</v>
      </c>
      <c r="Y43" s="55">
        <f t="shared" ca="1" si="14"/>
        <v>-13.462828764201845</v>
      </c>
      <c r="Z43">
        <f t="shared" ca="1" si="3"/>
        <v>0</v>
      </c>
      <c r="AA43">
        <f t="shared" ca="1" si="15"/>
        <v>13.518600377821102</v>
      </c>
      <c r="AB43">
        <f t="shared" ca="1" si="4"/>
        <v>0</v>
      </c>
      <c r="AC43">
        <f t="shared" ca="1" si="5"/>
        <v>0</v>
      </c>
      <c r="AD43" s="83">
        <f ca="1"/>
        <v>45587</v>
      </c>
      <c r="AE43" s="55">
        <f t="shared" ca="1" si="20"/>
        <v>45587</v>
      </c>
      <c r="AF43" s="55">
        <f t="shared" ca="1" si="21"/>
        <v>-11.245510012150834</v>
      </c>
      <c r="AG43" s="55">
        <f t="shared" ca="1" si="22"/>
        <v>2.0244571305561343</v>
      </c>
      <c r="AH43" s="55">
        <f t="shared" ca="1" si="23"/>
        <v>0</v>
      </c>
      <c r="AI43" s="55">
        <f t="shared" ca="1" si="17"/>
        <v>0</v>
      </c>
      <c r="AJ43" s="55">
        <f t="shared" ca="1" si="18"/>
        <v>13.855686741217767</v>
      </c>
      <c r="AK43" s="55">
        <f t="shared" ca="1" si="19"/>
        <v>-5.5077904728451159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150</v>
      </c>
      <c r="D44" s="96">
        <f ca="1">MAX(CurrentEstablishDate,C38:C43,MAX(C29:C34)+1)</f>
        <v>45436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45420</v>
      </c>
      <c r="S44" s="55">
        <f t="shared" ca="1" si="11"/>
        <v>45420</v>
      </c>
      <c r="T44" s="55">
        <f t="shared" ca="1" si="0"/>
        <v>48.21026881917637</v>
      </c>
      <c r="U44" s="55">
        <f t="shared" ca="1" si="1"/>
        <v>0</v>
      </c>
      <c r="V44" s="55">
        <f t="shared" ca="1" si="2"/>
        <v>0</v>
      </c>
      <c r="W44" s="55">
        <f t="shared" ca="1" si="12"/>
        <v>-4.5917391154648497</v>
      </c>
      <c r="X44" s="55">
        <f t="shared" ca="1" si="13"/>
        <v>16.745048612791333</v>
      </c>
      <c r="Y44" s="55">
        <f t="shared" ca="1" si="14"/>
        <v>-13.365950966057444</v>
      </c>
      <c r="Z44">
        <f t="shared" ca="1" si="3"/>
        <v>0</v>
      </c>
      <c r="AA44">
        <f t="shared" ca="1" si="15"/>
        <v>14.138600377821106</v>
      </c>
      <c r="AB44">
        <f t="shared" ca="1" si="4"/>
        <v>0</v>
      </c>
      <c r="AC44">
        <f t="shared" ca="1" si="5"/>
        <v>0</v>
      </c>
      <c r="AD44" s="83">
        <f ca="1"/>
        <v>45588</v>
      </c>
      <c r="AE44" s="55">
        <f t="shared" ca="1" si="20"/>
        <v>45588</v>
      </c>
      <c r="AF44" s="55">
        <f t="shared" ca="1" si="21"/>
        <v>-10.52083061161667</v>
      </c>
      <c r="AG44" s="55">
        <f t="shared" ca="1" si="22"/>
        <v>2.1079054133029889</v>
      </c>
      <c r="AH44" s="55">
        <f t="shared" ca="1" si="23"/>
        <v>0</v>
      </c>
      <c r="AI44" s="55">
        <f t="shared" ca="1" si="17"/>
        <v>0</v>
      </c>
      <c r="AJ44" s="55">
        <f t="shared" ca="1" si="18"/>
        <v>14.464922751875879</v>
      </c>
      <c r="AK44" s="55">
        <f t="shared" ca="1" si="19"/>
        <v>-5.3088988002222095</v>
      </c>
    </row>
    <row r="45" spans="1:37" s="55" customFormat="1">
      <c r="R45" s="83">
        <f ca="1"/>
        <v>45421</v>
      </c>
      <c r="S45" s="55">
        <f t="shared" ca="1" si="11"/>
        <v>45421</v>
      </c>
      <c r="T45" s="55">
        <f t="shared" ca="1" si="0"/>
        <v>48.902936655982437</v>
      </c>
      <c r="U45" s="55">
        <f t="shared" ca="1" si="1"/>
        <v>0</v>
      </c>
      <c r="V45" s="55">
        <f t="shared" ca="1" si="2"/>
        <v>0</v>
      </c>
      <c r="W45" s="55">
        <f t="shared" ca="1" si="12"/>
        <v>-4.5917391154648497</v>
      </c>
      <c r="X45" s="55">
        <f t="shared" ca="1" si="13"/>
        <v>17.319729002472076</v>
      </c>
      <c r="Y45" s="55">
        <f t="shared" ca="1" si="14"/>
        <v>-13.247963518932123</v>
      </c>
      <c r="Z45">
        <f t="shared" ca="1" si="3"/>
        <v>0</v>
      </c>
      <c r="AA45">
        <f t="shared" ca="1" si="15"/>
        <v>14.138600377821106</v>
      </c>
      <c r="AB45">
        <f t="shared" ca="1" si="4"/>
        <v>0</v>
      </c>
      <c r="AC45">
        <f t="shared" ca="1" si="5"/>
        <v>0</v>
      </c>
      <c r="AD45" s="83">
        <f ca="1"/>
        <v>45589</v>
      </c>
      <c r="AE45" s="55">
        <f t="shared" ca="1" si="20"/>
        <v>45589</v>
      </c>
      <c r="AF45" s="55">
        <f t="shared" ca="1" si="21"/>
        <v>-9.817171215006212</v>
      </c>
      <c r="AG45" s="55">
        <f t="shared" ca="1" si="22"/>
        <v>2.1936635157568327</v>
      </c>
      <c r="AH45" s="55">
        <f t="shared" ca="1" si="23"/>
        <v>0</v>
      </c>
      <c r="AI45" s="55">
        <f t="shared" ca="1" si="17"/>
        <v>0</v>
      </c>
      <c r="AJ45" s="55">
        <f t="shared" ca="1" si="18"/>
        <v>15.039452272623672</v>
      </c>
      <c r="AK45" s="55">
        <f t="shared" ca="1" si="19"/>
        <v>-5.0940108219057016</v>
      </c>
    </row>
    <row r="46" spans="1:37" s="55" customFormat="1" ht="15" thickBot="1">
      <c r="C46" s="120" t="s">
        <v>154</v>
      </c>
      <c r="D46" s="120"/>
      <c r="E46" s="120"/>
      <c r="F46" s="120"/>
      <c r="G46" s="120"/>
      <c r="H46" s="120"/>
      <c r="R46" s="83">
        <f ca="1"/>
        <v>45422</v>
      </c>
      <c r="S46" s="55">
        <f t="shared" ca="1" si="11"/>
        <v>45422</v>
      </c>
      <c r="T46" s="55">
        <f t="shared" ca="1" si="0"/>
        <v>49.482725901704498</v>
      </c>
      <c r="U46" s="55">
        <f t="shared" ca="1" si="1"/>
        <v>0</v>
      </c>
      <c r="V46" s="55">
        <f t="shared" ca="1" si="2"/>
        <v>0</v>
      </c>
      <c r="W46" s="55">
        <f t="shared" ca="1" si="12"/>
        <v>-4.7493055884273598</v>
      </c>
      <c r="X46" s="55">
        <f t="shared" ca="1" si="13"/>
        <v>17.912366473018523</v>
      </c>
      <c r="Y46" s="55">
        <f t="shared" ca="1" si="14"/>
        <v>-13.103245270793995</v>
      </c>
      <c r="Z46">
        <f t="shared" ca="1" si="3"/>
        <v>0</v>
      </c>
      <c r="AA46">
        <f t="shared" ca="1" si="15"/>
        <v>14.591102229672956</v>
      </c>
      <c r="AB46">
        <f t="shared" ca="1" si="4"/>
        <v>0</v>
      </c>
      <c r="AC46">
        <f t="shared" ca="1" si="5"/>
        <v>0</v>
      </c>
      <c r="AD46" s="83">
        <f ca="1"/>
        <v>45590</v>
      </c>
      <c r="AE46" s="55">
        <f t="shared" ca="1" si="20"/>
        <v>45590</v>
      </c>
      <c r="AF46" s="55">
        <f t="shared" ca="1" si="21"/>
        <v>-9.0585880957479947</v>
      </c>
      <c r="AG46" s="55">
        <f t="shared" ca="1" si="22"/>
        <v>2.2885453075101938</v>
      </c>
      <c r="AH46" s="55">
        <f t="shared" ca="1" si="23"/>
        <v>0</v>
      </c>
      <c r="AI46" s="55">
        <f t="shared" ca="1" si="17"/>
        <v>0</v>
      </c>
      <c r="AJ46" s="55">
        <f t="shared" ca="1" si="18"/>
        <v>15.65050853300532</v>
      </c>
      <c r="AK46" s="55">
        <f t="shared" ca="1" si="19"/>
        <v>-4.851602171275772</v>
      </c>
    </row>
    <row r="47" spans="1:37" s="55" customFormat="1">
      <c r="C47" s="61" t="s">
        <v>26</v>
      </c>
      <c r="D47" s="88" t="str">
        <f>IF(E47="","Fodder",E47)</f>
        <v>Green manure</v>
      </c>
      <c r="E47" s="87" t="s">
        <v>263</v>
      </c>
      <c r="F47" s="61" t="s">
        <v>134</v>
      </c>
      <c r="G47" s="88">
        <f>IF(H47="",VLOOKUP(PriorCropNameFull,CropCoefficients,23,FALSE),H47)</f>
        <v>1</v>
      </c>
      <c r="H47" s="89"/>
      <c r="R47" s="83">
        <f ca="1"/>
        <v>45423</v>
      </c>
      <c r="S47" s="55">
        <f t="shared" ca="1" si="11"/>
        <v>45423</v>
      </c>
      <c r="T47" s="55">
        <f t="shared" ca="1" si="0"/>
        <v>49.972820197013888</v>
      </c>
      <c r="U47" s="55">
        <f t="shared" ca="1" si="1"/>
        <v>0</v>
      </c>
      <c r="V47" s="55">
        <f t="shared" ca="1" si="2"/>
        <v>0</v>
      </c>
      <c r="W47" s="55">
        <f t="shared" ca="1" si="12"/>
        <v>-5.065800116341781</v>
      </c>
      <c r="X47" s="55">
        <f t="shared" ca="1" si="13"/>
        <v>18.543249173089112</v>
      </c>
      <c r="Y47" s="55">
        <f t="shared" ca="1" si="14"/>
        <v>-12.927539147640774</v>
      </c>
      <c r="Z47">
        <f t="shared" ca="1" si="3"/>
        <v>0</v>
      </c>
      <c r="AA47">
        <f t="shared" ca="1" si="15"/>
        <v>15.491102229672954</v>
      </c>
      <c r="AB47">
        <f t="shared" ca="1" si="4"/>
        <v>0</v>
      </c>
      <c r="AC47">
        <f t="shared" ca="1" si="5"/>
        <v>0</v>
      </c>
      <c r="AD47" s="83">
        <f ca="1"/>
        <v>45591</v>
      </c>
      <c r="AE47" s="55">
        <f t="shared" ca="1" si="20"/>
        <v>45591</v>
      </c>
      <c r="AF47" s="55">
        <f t="shared" ca="1" si="21"/>
        <v>-8.3550149170707915</v>
      </c>
      <c r="AG47" s="55">
        <f t="shared" ca="1" si="22"/>
        <v>2.3803788052421222</v>
      </c>
      <c r="AH47" s="55">
        <f t="shared" ca="1" si="23"/>
        <v>0</v>
      </c>
      <c r="AI47" s="55">
        <f t="shared" ca="1" si="17"/>
        <v>0</v>
      </c>
      <c r="AJ47" s="55">
        <f t="shared" ca="1" si="18"/>
        <v>16.200830011126573</v>
      </c>
      <c r="AK47" s="55">
        <f t="shared" ca="1" si="19"/>
        <v>-4.6065169729878939</v>
      </c>
    </row>
    <row r="48" spans="1:37" s="55" customFormat="1">
      <c r="C48" s="61" t="s">
        <v>95</v>
      </c>
      <c r="D48" s="84" t="str">
        <f>IF(E48="","Barley",E48)</f>
        <v>Lupin</v>
      </c>
      <c r="E48" s="66" t="s">
        <v>54</v>
      </c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45424</v>
      </c>
      <c r="S48" s="55">
        <f t="shared" ca="1" si="11"/>
        <v>45424</v>
      </c>
      <c r="T48" s="55">
        <f t="shared" ca="1" si="0"/>
        <v>49.838489313891166</v>
      </c>
      <c r="U48" s="55">
        <f t="shared" ca="1" si="1"/>
        <v>0</v>
      </c>
      <c r="V48" s="55">
        <f t="shared" ca="1" si="2"/>
        <v>0</v>
      </c>
      <c r="W48" s="55">
        <f t="shared" ca="1" si="12"/>
        <v>-5.9496026601747856</v>
      </c>
      <c r="X48" s="55">
        <f t="shared" ca="1" si="13"/>
        <v>19.108497753001622</v>
      </c>
      <c r="Y48" s="55">
        <f t="shared" ca="1" si="14"/>
        <v>-12.743316066842999</v>
      </c>
      <c r="Z48">
        <f t="shared" ca="1" si="3"/>
        <v>0</v>
      </c>
      <c r="AA48">
        <f t="shared" ca="1" si="15"/>
        <v>18.011102229672957</v>
      </c>
      <c r="AB48">
        <f t="shared" ca="1" si="4"/>
        <v>0</v>
      </c>
      <c r="AC48">
        <f t="shared" ca="1" si="5"/>
        <v>0</v>
      </c>
      <c r="AD48" s="83">
        <f ca="1"/>
        <v>45592</v>
      </c>
      <c r="AE48" s="55">
        <f t="shared" ca="1" si="20"/>
        <v>45592</v>
      </c>
      <c r="AF48" s="55">
        <f t="shared" ca="1" si="21"/>
        <v>-7.6239715634761946</v>
      </c>
      <c r="AG48" s="55">
        <f t="shared" ca="1" si="22"/>
        <v>2.480863007868475</v>
      </c>
      <c r="AH48" s="55">
        <f t="shared" ca="1" si="23"/>
        <v>0</v>
      </c>
      <c r="AI48" s="55">
        <f t="shared" ca="1" si="17"/>
        <v>0</v>
      </c>
      <c r="AJ48" s="55">
        <f t="shared" ca="1" si="18"/>
        <v>16.763398164458636</v>
      </c>
      <c r="AK48" s="55">
        <f t="shared" ca="1" si="19"/>
        <v>-4.3375575700990083</v>
      </c>
    </row>
    <row r="49" spans="2:37" s="55" customFormat="1">
      <c r="C49" s="61" t="s">
        <v>96</v>
      </c>
      <c r="D49" s="84" t="str">
        <f>IF(E49="","General",E49)</f>
        <v>General</v>
      </c>
      <c r="E49" s="66"/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45425</v>
      </c>
      <c r="S49" s="55">
        <f t="shared" ca="1" si="11"/>
        <v>45425</v>
      </c>
      <c r="T49" s="55">
        <f t="shared" ca="1" si="0"/>
        <v>50.201374815081536</v>
      </c>
      <c r="U49" s="55">
        <f t="shared" ca="1" si="1"/>
        <v>0</v>
      </c>
      <c r="V49" s="55">
        <f t="shared" ca="1" si="2"/>
        <v>0</v>
      </c>
      <c r="W49" s="55">
        <f t="shared" ca="1" si="12"/>
        <v>-6.3911888275296693</v>
      </c>
      <c r="X49" s="55">
        <f t="shared" ca="1" si="13"/>
        <v>19.70234503686865</v>
      </c>
      <c r="Y49" s="55">
        <f t="shared" ca="1" si="14"/>
        <v>-12.532691682164771</v>
      </c>
      <c r="Z49">
        <f t="shared" ca="1" si="3"/>
        <v>0</v>
      </c>
      <c r="AA49">
        <f t="shared" ca="1" si="15"/>
        <v>19.261102229672957</v>
      </c>
      <c r="AB49">
        <f t="shared" ca="1" si="4"/>
        <v>0</v>
      </c>
      <c r="AC49">
        <f t="shared" ca="1" si="5"/>
        <v>0</v>
      </c>
      <c r="AD49" s="83">
        <f ca="1"/>
        <v>45593</v>
      </c>
      <c r="AE49" s="55">
        <f t="shared" ca="1" si="20"/>
        <v>45593</v>
      </c>
      <c r="AF49" s="55">
        <f t="shared" ca="1" si="21"/>
        <v>-6.8635736069582736</v>
      </c>
      <c r="AG49" s="55">
        <f t="shared" ca="1" si="22"/>
        <v>2.5863205907641342</v>
      </c>
      <c r="AH49" s="55">
        <f t="shared" ca="1" si="23"/>
        <v>0</v>
      </c>
      <c r="AI49" s="55">
        <f t="shared" ca="1" si="17"/>
        <v>0</v>
      </c>
      <c r="AJ49" s="55">
        <f t="shared" ca="1" si="18"/>
        <v>17.344835774497103</v>
      </c>
      <c r="AK49" s="55">
        <f t="shared" ca="1" si="19"/>
        <v>-4.0531396407238951</v>
      </c>
    </row>
    <row r="50" spans="2:37" s="55" customFormat="1">
      <c r="B50" s="90">
        <f>IF(PriorUnits="kg/head",PriorYield*PriorPopulation/1000,IF(PriorUnits="kg/ha",PriorYield/1000,PriorYield))</f>
        <v>12</v>
      </c>
      <c r="C50" s="64" t="s">
        <v>151</v>
      </c>
      <c r="D50" s="65" t="str">
        <f>PriorCropName&amp;" "&amp;PriorCropType&amp;" "&amp;PriorCropVariety</f>
        <v>Lupin Green manure General</v>
      </c>
      <c r="F50" s="56"/>
      <c r="R50" s="83">
        <f ca="1"/>
        <v>45426</v>
      </c>
      <c r="S50" s="55">
        <f t="shared" ca="1" si="11"/>
        <v>45426</v>
      </c>
      <c r="T50" s="55">
        <f t="shared" ca="1" si="0"/>
        <v>50.411912369503078</v>
      </c>
      <c r="U50" s="55">
        <f t="shared" ca="1" si="1"/>
        <v>0</v>
      </c>
      <c r="V50" s="55">
        <f t="shared" ca="1" si="2"/>
        <v>0</v>
      </c>
      <c r="W50" s="55">
        <f t="shared" ca="1" si="12"/>
        <v>-6.9516946087639218</v>
      </c>
      <c r="X50" s="55">
        <f t="shared" ca="1" si="13"/>
        <v>20.254789169541514</v>
      </c>
      <c r="Y50" s="55">
        <f t="shared" ca="1" si="14"/>
        <v>-12.314092479181834</v>
      </c>
      <c r="Z50">
        <f t="shared" ca="1" si="3"/>
        <v>0</v>
      </c>
      <c r="AA50">
        <f t="shared" ca="1" si="15"/>
        <v>20.841102229672956</v>
      </c>
      <c r="AB50">
        <f t="shared" ca="1" si="4"/>
        <v>0</v>
      </c>
      <c r="AC50">
        <f t="shared" ca="1" si="5"/>
        <v>0</v>
      </c>
      <c r="AD50" s="83">
        <f ca="1"/>
        <v>45594</v>
      </c>
      <c r="AE50" s="55">
        <f t="shared" ca="1" si="20"/>
        <v>45594</v>
      </c>
      <c r="AF50" s="55">
        <f t="shared" ca="1" si="21"/>
        <v>-6.0847202249218828</v>
      </c>
      <c r="AG50" s="55">
        <f t="shared" ca="1" si="22"/>
        <v>2.6985627628841078</v>
      </c>
      <c r="AH50" s="55">
        <f t="shared" ca="1" si="23"/>
        <v>0</v>
      </c>
      <c r="AI50" s="55">
        <f t="shared" ca="1" si="17"/>
        <v>0</v>
      </c>
      <c r="AJ50" s="55">
        <f t="shared" ca="1" si="18"/>
        <v>17.933731488946542</v>
      </c>
      <c r="AK50" s="55">
        <f t="shared" ca="1" si="19"/>
        <v>-3.750939801016969</v>
      </c>
    </row>
    <row r="51" spans="2:37" s="55" customFormat="1">
      <c r="C51" s="61" t="s">
        <v>4</v>
      </c>
      <c r="D51" s="68">
        <f>IF(E51="",CurrentEstablishDate-60,E51)</f>
        <v>45269</v>
      </c>
      <c r="E51" s="67">
        <v>45269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45427</v>
      </c>
      <c r="S51" s="55">
        <f t="shared" ca="1" si="11"/>
        <v>45427</v>
      </c>
      <c r="T51" s="55">
        <f t="shared" ca="1" si="0"/>
        <v>50.028221727867553</v>
      </c>
      <c r="U51" s="55">
        <f t="shared" ca="1" si="1"/>
        <v>0</v>
      </c>
      <c r="V51" s="55">
        <f t="shared" ca="1" si="2"/>
        <v>0</v>
      </c>
      <c r="W51" s="55">
        <f t="shared" ca="1" si="12"/>
        <v>-8.0712150372075353</v>
      </c>
      <c r="X51" s="55">
        <f t="shared" ca="1" si="13"/>
        <v>20.76719762834367</v>
      </c>
      <c r="Y51" s="55">
        <f t="shared" ca="1" si="14"/>
        <v>-12.090671151175899</v>
      </c>
      <c r="Z51">
        <f t="shared" ca="1" si="3"/>
        <v>0</v>
      </c>
      <c r="AA51">
        <f t="shared" ca="1" si="15"/>
        <v>24.021102229672955</v>
      </c>
      <c r="AB51">
        <f t="shared" ca="1" si="4"/>
        <v>0</v>
      </c>
      <c r="AC51">
        <f t="shared" ca="1" si="5"/>
        <v>0</v>
      </c>
      <c r="AD51" s="83">
        <f ca="1"/>
        <v>45595</v>
      </c>
      <c r="AE51" s="55">
        <f t="shared" ca="1" si="20"/>
        <v>45595</v>
      </c>
      <c r="AF51" s="55">
        <f t="shared" ca="1" si="21"/>
        <v>-5.2989753067915837</v>
      </c>
      <c r="AG51" s="55">
        <f t="shared" ca="1" si="22"/>
        <v>2.8175356251642407</v>
      </c>
      <c r="AH51" s="55">
        <f t="shared" ca="1" si="23"/>
        <v>0</v>
      </c>
      <c r="AI51" s="55">
        <f t="shared" ca="1" si="17"/>
        <v>0</v>
      </c>
      <c r="AJ51" s="55">
        <f t="shared" ca="1" si="18"/>
        <v>18.520000774136061</v>
      </c>
      <c r="AK51" s="55">
        <f t="shared" ca="1" si="19"/>
        <v>-3.4324913057960558</v>
      </c>
    </row>
    <row r="52" spans="2:37" s="55" customFormat="1">
      <c r="C52" s="61" t="s">
        <v>5</v>
      </c>
      <c r="D52" s="68">
        <f>IF(E52="",CurrentEstablishDate-15,E52)</f>
        <v>45394</v>
      </c>
      <c r="E52" s="67">
        <v>45394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45428</v>
      </c>
      <c r="S52" s="55">
        <f t="shared" ca="1" si="11"/>
        <v>45428</v>
      </c>
      <c r="T52" s="55">
        <f t="shared" ca="1" si="0"/>
        <v>49.651935645540107</v>
      </c>
      <c r="U52" s="55">
        <f t="shared" ca="1" si="1"/>
        <v>0</v>
      </c>
      <c r="V52" s="55">
        <f t="shared" ca="1" si="2"/>
        <v>0</v>
      </c>
      <c r="W52" s="55">
        <f t="shared" ca="1" si="12"/>
        <v>-9.1683389189160227</v>
      </c>
      <c r="X52" s="55">
        <f t="shared" ca="1" si="13"/>
        <v>21.257373712551949</v>
      </c>
      <c r="Y52" s="55">
        <f t="shared" ca="1" si="14"/>
        <v>-11.860009436003139</v>
      </c>
      <c r="Z52">
        <f t="shared" ca="1" si="3"/>
        <v>0</v>
      </c>
      <c r="AA52">
        <f t="shared" ca="1" si="15"/>
        <v>27.161102229672949</v>
      </c>
      <c r="AB52">
        <f t="shared" ca="1" si="4"/>
        <v>0</v>
      </c>
      <c r="AC52">
        <f t="shared" ca="1" si="5"/>
        <v>0</v>
      </c>
      <c r="AD52" s="83">
        <f ca="1"/>
        <v>45596</v>
      </c>
      <c r="AE52" s="55">
        <f t="shared" ca="1" si="20"/>
        <v>45596</v>
      </c>
      <c r="AF52" s="55">
        <f t="shared" ca="1" si="21"/>
        <v>-4.5231495759923845</v>
      </c>
      <c r="AG52" s="55">
        <f t="shared" ca="1" si="22"/>
        <v>2.9413365700510967</v>
      </c>
      <c r="AH52" s="55">
        <f t="shared" ca="1" si="23"/>
        <v>0</v>
      </c>
      <c r="AI52" s="55">
        <f t="shared" ca="1" si="17"/>
        <v>0</v>
      </c>
      <c r="AJ52" s="55">
        <f t="shared" ca="1" si="18"/>
        <v>19.090416110691734</v>
      </c>
      <c r="AK52" s="55">
        <f t="shared" ca="1" si="19"/>
        <v>-3.1032799666656743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45429</v>
      </c>
      <c r="S53" s="55">
        <f t="shared" ca="1" si="11"/>
        <v>45429</v>
      </c>
      <c r="T53" s="55">
        <f t="shared" ca="1" si="0"/>
        <v>50.01655791098807</v>
      </c>
      <c r="U53" s="55">
        <f t="shared" ca="1" si="1"/>
        <v>0</v>
      </c>
      <c r="V53" s="55">
        <f t="shared" ca="1" si="2"/>
        <v>0</v>
      </c>
      <c r="W53" s="55">
        <f t="shared" ca="1" si="12"/>
        <v>-9.5731025449734624</v>
      </c>
      <c r="X53" s="55">
        <f t="shared" ca="1" si="13"/>
        <v>21.774748948684504</v>
      </c>
      <c r="Y53" s="55">
        <f t="shared" ca="1" si="14"/>
        <v>-11.607998780630298</v>
      </c>
      <c r="Z53">
        <f t="shared" ca="1" si="3"/>
        <v>0</v>
      </c>
      <c r="AA53">
        <f t="shared" ca="1" si="15"/>
        <v>28.311102229672947</v>
      </c>
      <c r="AB53">
        <f t="shared" ca="1" si="4"/>
        <v>0</v>
      </c>
      <c r="AC53">
        <f t="shared" ca="1" si="5"/>
        <v>0</v>
      </c>
      <c r="AD53" s="83">
        <f ca="1"/>
        <v>45597</v>
      </c>
      <c r="AE53" s="55">
        <f t="shared" ca="1" si="20"/>
        <v>45597</v>
      </c>
      <c r="AF53" s="55">
        <f t="shared" ca="1" si="21"/>
        <v>-3.8102758755396153</v>
      </c>
      <c r="AG53" s="55">
        <f t="shared" ca="1" si="22"/>
        <v>3.0599922546319447</v>
      </c>
      <c r="AH53" s="55">
        <f t="shared" ca="1" si="23"/>
        <v>0</v>
      </c>
      <c r="AI53" s="55">
        <f t="shared" ca="1" si="17"/>
        <v>0</v>
      </c>
      <c r="AJ53" s="55">
        <f t="shared" ca="1" si="18"/>
        <v>19.603153200407156</v>
      </c>
      <c r="AK53" s="55">
        <f t="shared" ca="1" si="19"/>
        <v>-2.7844876713474775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12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45430</v>
      </c>
      <c r="S54" s="55">
        <f t="shared" ca="1" si="11"/>
        <v>45430</v>
      </c>
      <c r="T54" s="55">
        <f t="shared" ca="1" si="0"/>
        <v>50.347892267724802</v>
      </c>
      <c r="U54" s="55">
        <f t="shared" ca="1" si="1"/>
        <v>0</v>
      </c>
      <c r="V54" s="55">
        <f t="shared" ca="1" si="2"/>
        <v>0</v>
      </c>
      <c r="W54" s="55">
        <f t="shared" ca="1" si="12"/>
        <v>-10.03723552221186</v>
      </c>
      <c r="X54" s="55">
        <f t="shared" ca="1" si="13"/>
        <v>22.302151644340203</v>
      </c>
      <c r="Y54" s="55">
        <f t="shared" ca="1" si="14"/>
        <v>-11.339934142310859</v>
      </c>
      <c r="Z54">
        <f t="shared" ca="1" si="3"/>
        <v>0</v>
      </c>
      <c r="AA54">
        <f t="shared" ca="1" si="15"/>
        <v>29.62110222967295</v>
      </c>
      <c r="AB54">
        <f t="shared" ca="1" si="4"/>
        <v>0</v>
      </c>
      <c r="AC54">
        <f t="shared" ca="1" si="5"/>
        <v>0</v>
      </c>
      <c r="AD54" s="83">
        <f ca="1"/>
        <v>45598</v>
      </c>
      <c r="AE54" s="55">
        <f t="shared" ca="1" si="20"/>
        <v>45598</v>
      </c>
      <c r="AF54" s="55">
        <f t="shared" ca="1" si="21"/>
        <v>-3.1053848133390662</v>
      </c>
      <c r="AG54" s="55">
        <f t="shared" ca="1" si="22"/>
        <v>3.1833543706471716</v>
      </c>
      <c r="AH54" s="55">
        <f t="shared" ca="1" si="23"/>
        <v>0</v>
      </c>
      <c r="AI54" s="55">
        <f t="shared" ca="1" si="17"/>
        <v>0</v>
      </c>
      <c r="AJ54" s="55">
        <f t="shared" ca="1" si="18"/>
        <v>20.104235486679542</v>
      </c>
      <c r="AK54" s="55">
        <f t="shared" ca="1" si="19"/>
        <v>-2.4573167794040884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45431</v>
      </c>
      <c r="S55" s="55">
        <f t="shared" ca="1" si="11"/>
        <v>45431</v>
      </c>
      <c r="T55" s="55">
        <f t="shared" ca="1" si="0"/>
        <v>50.120607956421338</v>
      </c>
      <c r="U55" s="55">
        <f t="shared" ca="1" si="1"/>
        <v>0</v>
      </c>
      <c r="V55" s="55">
        <f t="shared" ca="1" si="2"/>
        <v>0</v>
      </c>
      <c r="W55" s="55">
        <f t="shared" ca="1" si="12"/>
        <v>-11.070648205520742</v>
      </c>
      <c r="X55" s="55">
        <f t="shared" ca="1" si="13"/>
        <v>22.828433983238607</v>
      </c>
      <c r="Y55" s="55">
        <f t="shared" ca="1" si="14"/>
        <v>-11.06008810920385</v>
      </c>
      <c r="Z55">
        <f t="shared" ca="1" si="3"/>
        <v>0</v>
      </c>
      <c r="AA55">
        <f t="shared" ca="1" si="15"/>
        <v>32.551102229672956</v>
      </c>
      <c r="AB55">
        <f t="shared" ca="1" si="4"/>
        <v>0</v>
      </c>
      <c r="AC55">
        <f t="shared" ca="1" si="5"/>
        <v>0</v>
      </c>
      <c r="AD55" s="83">
        <f ca="1"/>
        <v>45599</v>
      </c>
      <c r="AE55" s="55">
        <f t="shared" ca="1" si="20"/>
        <v>45599</v>
      </c>
      <c r="AF55" s="55">
        <f t="shared" ca="1" si="21"/>
        <v>-2.4017094231682421</v>
      </c>
      <c r="AG55" s="55">
        <f t="shared" ca="1" si="22"/>
        <v>3.3117288523402366</v>
      </c>
      <c r="AH55" s="55">
        <f t="shared" ca="1" si="23"/>
        <v>0</v>
      </c>
      <c r="AI55" s="55">
        <f t="shared" ca="1" si="17"/>
        <v>0</v>
      </c>
      <c r="AJ55" s="55">
        <f t="shared" ca="1" si="18"/>
        <v>20.601259730134117</v>
      </c>
      <c r="AK55" s="55">
        <f t="shared" ca="1" si="19"/>
        <v>-2.1222911509947728</v>
      </c>
    </row>
    <row r="56" spans="2:37" s="55" customFormat="1">
      <c r="C56" s="64" t="str">
        <f>"Yield "&amp;ROUND(PriorYield_tperHa,0)&amp;" (t/ha)"</f>
        <v>Yield 12 (t/ha)</v>
      </c>
      <c r="D56" s="90" t="str">
        <f ca="1">"Previous crop residues are providing "&amp;ROUND('Model Interface'!M5,0)&amp;" kg N/ha to the current crop"</f>
        <v>Previous crop residues are providing 24 kg N/ha to the current crop</v>
      </c>
      <c r="R56" s="83">
        <f ca="1"/>
        <v>45432</v>
      </c>
      <c r="S56" s="55">
        <f t="shared" ca="1" si="11"/>
        <v>45432</v>
      </c>
      <c r="T56" s="55">
        <f t="shared" ca="1" si="0"/>
        <v>50.337339364512175</v>
      </c>
      <c r="U56" s="55">
        <f t="shared" ca="1" si="1"/>
        <v>0</v>
      </c>
      <c r="V56" s="55">
        <f t="shared" ca="1" si="2"/>
        <v>0</v>
      </c>
      <c r="W56" s="55">
        <f t="shared" ca="1" si="12"/>
        <v>-11.612613559345323</v>
      </c>
      <c r="X56" s="55">
        <f t="shared" ca="1" si="13"/>
        <v>23.311695056419392</v>
      </c>
      <c r="Y56" s="55">
        <f t="shared" ca="1" si="14"/>
        <v>-10.78465242046922</v>
      </c>
      <c r="Z56">
        <f t="shared" ca="1" si="3"/>
        <v>0</v>
      </c>
      <c r="AA56">
        <f t="shared" ca="1" si="15"/>
        <v>34.081102229672958</v>
      </c>
      <c r="AB56">
        <f t="shared" ca="1" si="4"/>
        <v>0</v>
      </c>
      <c r="AC56">
        <f t="shared" ca="1" si="5"/>
        <v>0</v>
      </c>
      <c r="AD56" s="83">
        <f ca="1"/>
        <v>45600</v>
      </c>
      <c r="AE56" s="55">
        <f t="shared" ca="1" si="20"/>
        <v>45600</v>
      </c>
      <c r="AF56" s="55">
        <f t="shared" ca="1" si="21"/>
        <v>-1.6847989233476044</v>
      </c>
      <c r="AG56" s="55">
        <f t="shared" ca="1" si="22"/>
        <v>3.4458404506730704</v>
      </c>
      <c r="AH56" s="55">
        <f t="shared" ca="1" si="23"/>
        <v>0</v>
      </c>
      <c r="AI56" s="55">
        <f t="shared" ca="1" si="17"/>
        <v>0</v>
      </c>
      <c r="AJ56" s="55">
        <f t="shared" ca="1" si="18"/>
        <v>21.109148911865326</v>
      </c>
      <c r="AK56" s="55">
        <f t="shared" ca="1" si="19"/>
        <v>-1.7791582345725097</v>
      </c>
    </row>
    <row r="57" spans="2:37" s="55" customFormat="1" ht="15" thickBot="1">
      <c r="C57" s="120" t="s">
        <v>155</v>
      </c>
      <c r="D57" s="120"/>
      <c r="E57" s="120"/>
      <c r="F57" s="120"/>
      <c r="G57" s="120"/>
      <c r="H57" s="120"/>
      <c r="R57" s="83">
        <f ca="1"/>
        <v>45433</v>
      </c>
      <c r="S57" s="55">
        <f t="shared" ca="1" si="11"/>
        <v>45433</v>
      </c>
      <c r="T57" s="55">
        <f t="shared" ca="1" si="0"/>
        <v>50.868126946768982</v>
      </c>
      <c r="U57" s="55">
        <f t="shared" ca="1" si="1"/>
        <v>0</v>
      </c>
      <c r="V57" s="55">
        <f t="shared" ca="1" si="2"/>
        <v>0</v>
      </c>
      <c r="W57" s="55">
        <f t="shared" ca="1" si="12"/>
        <v>-11.891823056142034</v>
      </c>
      <c r="X57" s="55">
        <f t="shared" ca="1" si="13"/>
        <v>23.825204543521121</v>
      </c>
      <c r="Y57" s="55">
        <f t="shared" ca="1" si="14"/>
        <v>-10.488164828517434</v>
      </c>
      <c r="Z57">
        <f t="shared" ca="1" si="3"/>
        <v>0</v>
      </c>
      <c r="AA57">
        <f t="shared" ca="1" si="15"/>
        <v>34.861102229672959</v>
      </c>
      <c r="AB57">
        <f t="shared" ca="1" si="4"/>
        <v>0</v>
      </c>
      <c r="AC57">
        <f t="shared" ca="1" si="5"/>
        <v>0</v>
      </c>
      <c r="AD57" s="83">
        <f ca="1"/>
        <v>45601</v>
      </c>
      <c r="AE57" s="55">
        <f t="shared" ca="1" si="20"/>
        <v>45601</v>
      </c>
      <c r="AF57" s="55">
        <f t="shared" ca="1" si="21"/>
        <v>-0.93637063042610169</v>
      </c>
      <c r="AG57" s="55">
        <f t="shared" ca="1" si="22"/>
        <v>3.5974087430894959</v>
      </c>
      <c r="AH57" s="55">
        <f t="shared" ca="1" si="23"/>
        <v>0</v>
      </c>
      <c r="AI57" s="55">
        <f t="shared" ca="1" si="17"/>
        <v>0</v>
      </c>
      <c r="AJ57" s="55">
        <f t="shared" ca="1" si="18"/>
        <v>21.637318088111538</v>
      </c>
      <c r="AK57" s="55">
        <f t="shared" ca="1" si="19"/>
        <v>-1.4073308254807948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45434</v>
      </c>
      <c r="S58" s="55">
        <f t="shared" ca="1" si="11"/>
        <v>45434</v>
      </c>
      <c r="T58" s="55">
        <f t="shared" ca="1" si="0"/>
        <v>50.791488807632412</v>
      </c>
      <c r="U58" s="55">
        <f t="shared" ca="1" si="1"/>
        <v>0</v>
      </c>
      <c r="V58" s="55">
        <f t="shared" ca="1" si="2"/>
        <v>0</v>
      </c>
      <c r="W58" s="55">
        <f t="shared" ca="1" si="12"/>
        <v>-12.778228594147828</v>
      </c>
      <c r="X58" s="55">
        <f t="shared" ca="1" si="13"/>
        <v>24.331584883295005</v>
      </c>
      <c r="Y58" s="55">
        <f t="shared" ca="1" si="14"/>
        <v>-10.184777769422091</v>
      </c>
      <c r="Z58">
        <f t="shared" ca="1" si="3"/>
        <v>0</v>
      </c>
      <c r="AA58">
        <f t="shared" ca="1" si="15"/>
        <v>37.341102229672963</v>
      </c>
      <c r="AB58">
        <f t="shared" ca="1" si="4"/>
        <v>0</v>
      </c>
      <c r="AC58">
        <f t="shared" ca="1" si="5"/>
        <v>0</v>
      </c>
      <c r="AD58" s="83">
        <f ca="1"/>
        <v>45602</v>
      </c>
      <c r="AE58" s="55">
        <f t="shared" ca="1" si="20"/>
        <v>45602</v>
      </c>
      <c r="AF58" s="55">
        <f t="shared" ca="1" si="21"/>
        <v>-0.19069955986010323</v>
      </c>
      <c r="AG58" s="55">
        <f t="shared" ca="1" si="22"/>
        <v>3.7552269746856317</v>
      </c>
      <c r="AH58" s="55">
        <f t="shared" ca="1" si="23"/>
        <v>0</v>
      </c>
      <c r="AI58" s="55">
        <f t="shared" ca="1" si="17"/>
        <v>0</v>
      </c>
      <c r="AJ58" s="55">
        <f t="shared" ca="1" si="18"/>
        <v>22.16320868739966</v>
      </c>
      <c r="AK58" s="55">
        <f t="shared" ca="1" si="19"/>
        <v>-1.0297321226067808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45435</v>
      </c>
      <c r="S59" s="55">
        <f t="shared" ca="1" si="11"/>
        <v>45435</v>
      </c>
      <c r="T59" s="55">
        <f t="shared" ca="1" si="0"/>
        <v>51.412431025642029</v>
      </c>
      <c r="U59" s="55">
        <f t="shared" ca="1" si="1"/>
        <v>0</v>
      </c>
      <c r="V59" s="55">
        <f t="shared" ca="1" si="2"/>
        <v>0</v>
      </c>
      <c r="W59" s="55">
        <f t="shared" ca="1" si="12"/>
        <v>-12.919327154851535</v>
      </c>
      <c r="X59" s="55">
        <f t="shared" ca="1" si="13"/>
        <v>24.797580809913168</v>
      </c>
      <c r="Y59" s="55">
        <f t="shared" ca="1" si="14"/>
        <v>-9.8887329173269372</v>
      </c>
      <c r="Z59">
        <f t="shared" ca="1" si="3"/>
        <v>0</v>
      </c>
      <c r="AA59">
        <f t="shared" ca="1" si="15"/>
        <v>37.731102229672963</v>
      </c>
      <c r="AB59">
        <f t="shared" ca="1" si="4"/>
        <v>0</v>
      </c>
      <c r="AC59">
        <f t="shared" ca="1" si="5"/>
        <v>0</v>
      </c>
      <c r="AD59" s="83">
        <f ca="1"/>
        <v>45603</v>
      </c>
      <c r="AE59" s="55">
        <f t="shared" ca="1" si="20"/>
        <v>45603</v>
      </c>
      <c r="AF59" s="55">
        <f t="shared" ca="1" si="21"/>
        <v>0.52357991801462234</v>
      </c>
      <c r="AG59" s="55">
        <f t="shared" ca="1" si="22"/>
        <v>3.9155216763068061</v>
      </c>
      <c r="AH59" s="55">
        <f t="shared" ca="1" si="23"/>
        <v>0</v>
      </c>
      <c r="AI59" s="55">
        <f t="shared" ca="1" si="17"/>
        <v>0</v>
      </c>
      <c r="AJ59" s="55">
        <f t="shared" ca="1" si="18"/>
        <v>22.66231893909805</v>
      </c>
      <c r="AK59" s="55">
        <f t="shared" ca="1" si="19"/>
        <v>-0.65426819480926923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45436</v>
      </c>
      <c r="S60" s="55">
        <f t="shared" ca="1" si="11"/>
        <v>45436</v>
      </c>
      <c r="T60" s="55">
        <f t="shared" ca="1" si="0"/>
        <v>51.389471158837516</v>
      </c>
      <c r="U60" s="55">
        <f t="shared" ca="1" si="1"/>
        <v>1.3386898147826627</v>
      </c>
      <c r="V60" s="55">
        <f t="shared" ca="1" si="2"/>
        <v>0</v>
      </c>
      <c r="W60" s="55">
        <f t="shared" ca="1" si="12"/>
        <v>-13.747458966007468</v>
      </c>
      <c r="X60" s="55">
        <f t="shared" ca="1" si="13"/>
        <v>25.288826462671025</v>
      </c>
      <c r="Y60" s="55">
        <f t="shared" ca="1" si="14"/>
        <v>-9.5748066257333662</v>
      </c>
      <c r="Z60">
        <f t="shared" ca="1" si="3"/>
        <v>0</v>
      </c>
      <c r="AA60">
        <f t="shared" ca="1" si="15"/>
        <v>40.021102229672962</v>
      </c>
      <c r="AB60">
        <f t="shared" ca="1" si="4"/>
        <v>0</v>
      </c>
      <c r="AC60">
        <f t="shared" ca="1" si="5"/>
        <v>6.6928509242848624E-3</v>
      </c>
      <c r="AD60" s="83">
        <f ca="1"/>
        <v>45604</v>
      </c>
      <c r="AE60" s="55">
        <f t="shared" ca="1" si="20"/>
        <v>45604</v>
      </c>
      <c r="AF60" s="55">
        <f t="shared" ca="1" si="21"/>
        <v>1.2521214644419643</v>
      </c>
      <c r="AG60" s="55">
        <f t="shared" ca="1" si="22"/>
        <v>4.0859115826421037</v>
      </c>
      <c r="AH60" s="55">
        <f t="shared" ca="1" si="23"/>
        <v>0</v>
      </c>
      <c r="AI60" s="55">
        <f t="shared" ca="1" si="17"/>
        <v>0</v>
      </c>
      <c r="AJ60" s="55">
        <f t="shared" ca="1" si="18"/>
        <v>23.175251982648447</v>
      </c>
      <c r="AK60" s="55">
        <f t="shared" ca="1" si="19"/>
        <v>-0.26826978559702752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45437</v>
      </c>
      <c r="S61" s="55">
        <f t="shared" ca="1" si="11"/>
        <v>45437</v>
      </c>
      <c r="T61" s="55">
        <f t="shared" ca="1" si="0"/>
        <v>51.007424802811599</v>
      </c>
      <c r="U61" s="55">
        <f t="shared" ca="1" si="1"/>
        <v>1.3386898147826627</v>
      </c>
      <c r="V61" s="55">
        <f t="shared" ca="1" si="2"/>
        <v>0</v>
      </c>
      <c r="W61" s="55">
        <f t="shared" ca="1" si="12"/>
        <v>-14.867355315011421</v>
      </c>
      <c r="X61" s="55">
        <f t="shared" ca="1" si="13"/>
        <v>25.727455294982704</v>
      </c>
      <c r="Y61" s="55">
        <f t="shared" ca="1" si="14"/>
        <v>-9.275585465067012</v>
      </c>
      <c r="Z61">
        <f t="shared" ca="1" si="3"/>
        <v>0</v>
      </c>
      <c r="AA61">
        <f t="shared" ca="1" si="15"/>
        <v>43.141102229672967</v>
      </c>
      <c r="AB61">
        <f t="shared" ca="1" si="4"/>
        <v>0</v>
      </c>
      <c r="AC61">
        <f t="shared" ca="1" si="5"/>
        <v>6.6928509242848624E-3</v>
      </c>
      <c r="AD61" s="83">
        <f ca="1"/>
        <v>45605</v>
      </c>
      <c r="AE61" s="55">
        <f t="shared" ca="1" si="20"/>
        <v>45605</v>
      </c>
      <c r="AF61" s="55">
        <f t="shared" ca="1" si="21"/>
        <v>1.9918813383291507</v>
      </c>
      <c r="AG61" s="55">
        <f t="shared" ca="1" si="22"/>
        <v>4.2722628419170361</v>
      </c>
      <c r="AH61" s="55">
        <f t="shared" ca="1" si="23"/>
        <v>0</v>
      </c>
      <c r="AI61" s="55">
        <f t="shared" ca="1" si="17"/>
        <v>0</v>
      </c>
      <c r="AJ61" s="55">
        <f t="shared" ca="1" si="18"/>
        <v>23.696259265347734</v>
      </c>
      <c r="AK61" s="55">
        <f t="shared" ca="1" si="19"/>
        <v>0.13683406486580552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45438</v>
      </c>
      <c r="S62" s="55">
        <f t="shared" ca="1" si="11"/>
        <v>45438</v>
      </c>
      <c r="T62" s="55">
        <f t="shared" ca="1" si="0"/>
        <v>51.186721329650361</v>
      </c>
      <c r="U62" s="55">
        <f t="shared" ca="1" si="1"/>
        <v>1.3386898147826627</v>
      </c>
      <c r="V62" s="55">
        <f t="shared" ca="1" si="2"/>
        <v>0</v>
      </c>
      <c r="W62" s="55">
        <f t="shared" ca="1" si="12"/>
        <v>-15.422067709865333</v>
      </c>
      <c r="X62" s="55">
        <f t="shared" ca="1" si="13"/>
        <v>26.159166726656924</v>
      </c>
      <c r="Y62" s="55">
        <f t="shared" ca="1" si="14"/>
        <v>-8.9732879750485477</v>
      </c>
      <c r="Z62">
        <f t="shared" ca="1" si="3"/>
        <v>0</v>
      </c>
      <c r="AA62">
        <f t="shared" ca="1" si="15"/>
        <v>44.681102229672959</v>
      </c>
      <c r="AB62">
        <f t="shared" ca="1" si="4"/>
        <v>0</v>
      </c>
      <c r="AC62">
        <f t="shared" ca="1" si="5"/>
        <v>6.6928509242848624E-3</v>
      </c>
      <c r="AD62" s="83">
        <f ca="1"/>
        <v>45606</v>
      </c>
      <c r="AE62" s="55">
        <f t="shared" ca="1" si="20"/>
        <v>45606</v>
      </c>
      <c r="AF62" s="55">
        <f t="shared" ca="1" si="21"/>
        <v>2.692752708384341</v>
      </c>
      <c r="AG62" s="55">
        <f t="shared" ca="1" si="22"/>
        <v>4.4596631897261751</v>
      </c>
      <c r="AH62" s="55">
        <f t="shared" ca="1" si="23"/>
        <v>0</v>
      </c>
      <c r="AI62" s="55">
        <f t="shared" ca="1" si="17"/>
        <v>0</v>
      </c>
      <c r="AJ62" s="55">
        <f t="shared" ca="1" si="18"/>
        <v>24.187696569653305</v>
      </c>
      <c r="AK62" s="55">
        <f t="shared" ca="1" si="19"/>
        <v>0.53366847842456622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45439</v>
      </c>
      <c r="S63" s="55">
        <f t="shared" ca="1" si="11"/>
        <v>45439</v>
      </c>
      <c r="T63" s="55">
        <f t="shared" ca="1" si="0"/>
        <v>51.552339241910218</v>
      </c>
      <c r="U63" s="55">
        <f t="shared" ca="1" si="1"/>
        <v>1.3386898147826627</v>
      </c>
      <c r="V63" s="55">
        <f t="shared" ca="1" si="2"/>
        <v>0</v>
      </c>
      <c r="W63" s="55">
        <f t="shared" ca="1" si="12"/>
        <v>-15.81023773089794</v>
      </c>
      <c r="X63" s="55">
        <f t="shared" ca="1" si="13"/>
        <v>26.600782472594542</v>
      </c>
      <c r="Y63" s="55">
        <f t="shared" ca="1" si="14"/>
        <v>-8.6611157876937011</v>
      </c>
      <c r="Z63">
        <f t="shared" ca="1" si="3"/>
        <v>0</v>
      </c>
      <c r="AA63">
        <f t="shared" ca="1" si="15"/>
        <v>45.751102229672966</v>
      </c>
      <c r="AB63">
        <f t="shared" ca="1" si="4"/>
        <v>0</v>
      </c>
      <c r="AC63">
        <f t="shared" ca="1" si="5"/>
        <v>6.6928509242848624E-3</v>
      </c>
      <c r="AD63" s="83">
        <f ca="1"/>
        <v>45607</v>
      </c>
      <c r="AE63" s="55">
        <f t="shared" ca="1" si="20"/>
        <v>45607</v>
      </c>
      <c r="AF63" s="55">
        <f t="shared" ca="1" si="21"/>
        <v>3.3382388794883373</v>
      </c>
      <c r="AG63" s="55">
        <f t="shared" ca="1" si="22"/>
        <v>4.6387737144563905</v>
      </c>
      <c r="AH63" s="55">
        <f t="shared" ca="1" si="23"/>
        <v>0</v>
      </c>
      <c r="AI63" s="55">
        <f t="shared" ca="1" si="17"/>
        <v>0</v>
      </c>
      <c r="AJ63" s="55">
        <f t="shared" ca="1" si="18"/>
        <v>24.637521745974123</v>
      </c>
      <c r="AK63" s="55">
        <f t="shared" ca="1" si="19"/>
        <v>0.90843999793796115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45440</v>
      </c>
      <c r="S64" s="55">
        <f t="shared" ca="1" si="11"/>
        <v>45440</v>
      </c>
      <c r="T64" s="55">
        <f t="shared" ca="1" si="0"/>
        <v>51.695377128159869</v>
      </c>
      <c r="U64" s="55">
        <f t="shared" ca="1" si="1"/>
        <v>1.3386898147826627</v>
      </c>
      <c r="V64" s="55">
        <f t="shared" ca="1" si="2"/>
        <v>0</v>
      </c>
      <c r="W64" s="55">
        <f t="shared" ca="1" si="12"/>
        <v>-16.457770195518076</v>
      </c>
      <c r="X64" s="55">
        <f t="shared" ca="1" si="13"/>
        <v>27.064198406938225</v>
      </c>
      <c r="Y64" s="55">
        <f t="shared" ca="1" si="14"/>
        <v>-8.3339613711675984</v>
      </c>
      <c r="Z64">
        <f t="shared" ca="1" si="3"/>
        <v>0</v>
      </c>
      <c r="AA64">
        <f t="shared" ca="1" si="15"/>
        <v>47.531102229672967</v>
      </c>
      <c r="AB64">
        <f t="shared" ca="1" si="4"/>
        <v>0</v>
      </c>
      <c r="AC64">
        <f t="shared" ca="1" si="5"/>
        <v>6.6928509242848624E-3</v>
      </c>
      <c r="AD64" s="83">
        <f ca="1"/>
        <v>45608</v>
      </c>
      <c r="AE64" s="55">
        <f t="shared" ca="1" si="20"/>
        <v>45608</v>
      </c>
      <c r="AF64" s="55">
        <f t="shared" ca="1" si="21"/>
        <v>3.9801168379811793</v>
      </c>
      <c r="AG64" s="55">
        <f t="shared" ca="1" si="22"/>
        <v>4.8276226137343778</v>
      </c>
      <c r="AH64" s="55">
        <f t="shared" ca="1" si="23"/>
        <v>0</v>
      </c>
      <c r="AI64" s="55">
        <f t="shared" ca="1" si="17"/>
        <v>0</v>
      </c>
      <c r="AJ64" s="55">
        <f t="shared" ca="1" si="18"/>
        <v>25.087376535416674</v>
      </c>
      <c r="AK64" s="55">
        <f t="shared" ca="1" si="19"/>
        <v>1.2893120662662412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45441</v>
      </c>
      <c r="S65" s="55">
        <f t="shared" ca="1" si="11"/>
        <v>45441</v>
      </c>
      <c r="T65" s="55">
        <f t="shared" ca="1" si="0"/>
        <v>52.040791766576966</v>
      </c>
      <c r="U65" s="55">
        <f t="shared" ca="1" si="1"/>
        <v>1.3386898147826627</v>
      </c>
      <c r="V65" s="55">
        <f t="shared" ca="1" si="2"/>
        <v>0</v>
      </c>
      <c r="W65" s="55">
        <f t="shared" ca="1" si="12"/>
        <v>-16.948495587509576</v>
      </c>
      <c r="X65" s="55">
        <f t="shared" ca="1" si="13"/>
        <v>27.555444059696082</v>
      </c>
      <c r="Y65" s="55">
        <f t="shared" ca="1" si="14"/>
        <v>-7.9890669935168503</v>
      </c>
      <c r="Z65">
        <f t="shared" ca="1" si="3"/>
        <v>0</v>
      </c>
      <c r="AA65">
        <f t="shared" ca="1" si="15"/>
        <v>48.871102229672971</v>
      </c>
      <c r="AB65">
        <f t="shared" ca="1" si="4"/>
        <v>0</v>
      </c>
      <c r="AC65">
        <f t="shared" ca="1" si="5"/>
        <v>6.6928509242848624E-3</v>
      </c>
      <c r="AD65" s="83">
        <f ca="1"/>
        <v>45609</v>
      </c>
      <c r="AE65" s="55">
        <f t="shared" ca="1" si="20"/>
        <v>45609</v>
      </c>
      <c r="AF65" s="55">
        <f t="shared" ca="1" si="21"/>
        <v>4.6447400391232385</v>
      </c>
      <c r="AG65" s="55">
        <f t="shared" ca="1" si="22"/>
        <v>5.0355081987658377</v>
      </c>
      <c r="AH65" s="55">
        <f t="shared" ca="1" si="23"/>
        <v>0</v>
      </c>
      <c r="AI65" s="55">
        <f t="shared" ca="1" si="17"/>
        <v>0</v>
      </c>
      <c r="AJ65" s="55">
        <f t="shared" ca="1" si="18"/>
        <v>25.56070910520166</v>
      </c>
      <c r="AK65" s="55">
        <f t="shared" ca="1" si="19"/>
        <v>1.6884882826547738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45442</v>
      </c>
      <c r="S66" s="55">
        <f t="shared" ca="1" si="11"/>
        <v>45442</v>
      </c>
      <c r="T66" s="55">
        <f t="shared" ca="1" si="0"/>
        <v>52.031075670428805</v>
      </c>
      <c r="U66" s="55">
        <f t="shared" ca="1" si="1"/>
        <v>1.3386898147826627</v>
      </c>
      <c r="V66" s="55">
        <f t="shared" ca="1" si="2"/>
        <v>0</v>
      </c>
      <c r="W66" s="55">
        <f t="shared" ca="1" si="12"/>
        <v>-17.797951074751243</v>
      </c>
      <c r="X66" s="55">
        <f t="shared" ca="1" si="13"/>
        <v>28.045620143904362</v>
      </c>
      <c r="Y66" s="55">
        <f t="shared" ca="1" si="14"/>
        <v>-7.6395036866316168</v>
      </c>
      <c r="Z66">
        <f t="shared" ca="1" si="3"/>
        <v>0</v>
      </c>
      <c r="AA66">
        <f t="shared" ca="1" si="15"/>
        <v>51.191102229672971</v>
      </c>
      <c r="AB66">
        <f t="shared" ca="1" si="4"/>
        <v>0</v>
      </c>
      <c r="AC66">
        <f t="shared" ca="1" si="5"/>
        <v>6.6928509242848624E-3</v>
      </c>
      <c r="AD66" s="83">
        <f ca="1"/>
        <v>45610</v>
      </c>
      <c r="AE66" s="55">
        <f t="shared" ca="1" si="20"/>
        <v>45610</v>
      </c>
      <c r="AF66" s="55">
        <f t="shared" ca="1" si="21"/>
        <v>5.3067310226166624</v>
      </c>
      <c r="AG66" s="55">
        <f t="shared" ca="1" si="22"/>
        <v>5.2550596341994487</v>
      </c>
      <c r="AH66" s="55">
        <f t="shared" ca="1" si="23"/>
        <v>0</v>
      </c>
      <c r="AI66" s="55">
        <f t="shared" ca="1" si="17"/>
        <v>0</v>
      </c>
      <c r="AJ66" s="55">
        <f t="shared" ca="1" si="18"/>
        <v>26.037463244361827</v>
      </c>
      <c r="AK66" s="55">
        <f t="shared" ca="1" si="19"/>
        <v>2.093276562421643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189 kg N/ha</v>
      </c>
      <c r="R67" s="83">
        <f ca="1"/>
        <v>45443</v>
      </c>
      <c r="S67" s="55">
        <f t="shared" ca="1" si="11"/>
        <v>45443</v>
      </c>
      <c r="T67" s="55">
        <f t="shared" ca="1" si="0"/>
        <v>51.652486282674019</v>
      </c>
      <c r="U67" s="55">
        <f t="shared" ca="1" si="1"/>
        <v>1.3386898147826627</v>
      </c>
      <c r="V67" s="55">
        <f t="shared" ca="1" si="2"/>
        <v>0</v>
      </c>
      <c r="W67" s="55">
        <f t="shared" ca="1" si="12"/>
        <v>-19.00470619871831</v>
      </c>
      <c r="X67" s="55">
        <f t="shared" ca="1" si="13"/>
        <v>28.524657802310529</v>
      </c>
      <c r="Y67" s="55">
        <f t="shared" ca="1" si="14"/>
        <v>-7.2903756088255012</v>
      </c>
      <c r="Z67">
        <f t="shared" ca="1" si="3"/>
        <v>0</v>
      </c>
      <c r="AA67">
        <f t="shared" ca="1" si="15"/>
        <v>54.511102229672979</v>
      </c>
      <c r="AB67">
        <f t="shared" ca="1" si="4"/>
        <v>0</v>
      </c>
      <c r="AC67">
        <f t="shared" ca="1" si="5"/>
        <v>6.6928509242848624E-3</v>
      </c>
      <c r="AD67" s="83">
        <f ca="1"/>
        <v>45611</v>
      </c>
      <c r="AE67" s="55">
        <f t="shared" ca="1" si="20"/>
        <v>45611</v>
      </c>
      <c r="AF67" s="55">
        <f t="shared" ca="1" si="21"/>
        <v>5.9677377614999099</v>
      </c>
      <c r="AG67" s="55">
        <f t="shared" ca="1" si="22"/>
        <v>5.4799913922520913</v>
      </c>
      <c r="AH67" s="55">
        <f t="shared" ca="1" si="23"/>
        <v>0</v>
      </c>
      <c r="AI67" s="55">
        <f t="shared" ca="1" si="17"/>
        <v>0</v>
      </c>
      <c r="AJ67" s="55">
        <f t="shared" ca="1" si="18"/>
        <v>26.522944809487118</v>
      </c>
      <c r="AK67" s="55">
        <f t="shared" ca="1" si="19"/>
        <v>2.4937334942322416</v>
      </c>
    </row>
    <row r="68" spans="2:37" ht="15" thickBot="1">
      <c r="C68" s="122" t="s">
        <v>186</v>
      </c>
      <c r="D68" s="122"/>
      <c r="E68" s="122"/>
      <c r="F68" s="122"/>
      <c r="G68" s="122"/>
      <c r="H68" s="122"/>
      <c r="R68" s="83">
        <f ca="1"/>
        <v>45444</v>
      </c>
      <c r="S68" s="55">
        <f t="shared" ca="1" si="11"/>
        <v>45444</v>
      </c>
      <c r="T68" s="55">
        <f t="shared" ca="1" si="0"/>
        <v>51.042852543209079</v>
      </c>
      <c r="U68" s="55">
        <f t="shared" ca="1" si="1"/>
        <v>1.3386898147826627</v>
      </c>
      <c r="V68" s="55">
        <f t="shared" ca="1" si="2"/>
        <v>0</v>
      </c>
      <c r="W68" s="55">
        <f t="shared" ca="1" si="12"/>
        <v>-20.398365120749929</v>
      </c>
      <c r="X68" s="55">
        <f t="shared" ca="1" si="13"/>
        <v>28.970779086228898</v>
      </c>
      <c r="Y68" s="55">
        <f t="shared" ca="1" si="14"/>
        <v>-6.9524717101771891</v>
      </c>
      <c r="Z68">
        <f t="shared" ca="1" si="3"/>
        <v>0</v>
      </c>
      <c r="AA68">
        <f t="shared" ca="1" si="15"/>
        <v>58.391102229672974</v>
      </c>
      <c r="AB68">
        <f t="shared" ca="1" si="4"/>
        <v>0</v>
      </c>
      <c r="AC68">
        <f t="shared" ca="1" si="5"/>
        <v>6.6928509242848624E-3</v>
      </c>
      <c r="AD68" s="83">
        <f ca="1"/>
        <v>45612</v>
      </c>
      <c r="AE68" s="55">
        <f t="shared" ca="1" si="20"/>
        <v>45612</v>
      </c>
      <c r="AF68" s="55">
        <f t="shared" ca="1" si="21"/>
        <v>6.5638096506757009</v>
      </c>
      <c r="AG68" s="55">
        <f t="shared" ca="1" si="22"/>
        <v>5.6843183155668431</v>
      </c>
      <c r="AH68" s="55">
        <f t="shared" ca="1" si="23"/>
        <v>0</v>
      </c>
      <c r="AI68" s="55">
        <f t="shared" ca="1" si="17"/>
        <v>0</v>
      </c>
      <c r="AJ68" s="55">
        <f t="shared" ca="1" si="18"/>
        <v>26.959448158514352</v>
      </c>
      <c r="AK68" s="55">
        <f t="shared" ca="1" si="19"/>
        <v>2.8576289576955496</v>
      </c>
    </row>
    <row r="69" spans="2:37">
      <c r="C69" s="61"/>
      <c r="D69" s="88"/>
      <c r="E69" s="99"/>
      <c r="R69" s="83">
        <f ca="1"/>
        <v>45445</v>
      </c>
      <c r="S69" s="55">
        <f t="shared" ca="1" si="11"/>
        <v>45445</v>
      </c>
      <c r="T69" s="55">
        <f t="shared" ca="1" si="0"/>
        <v>51.344548359067133</v>
      </c>
      <c r="U69" s="55">
        <f t="shared" ca="1" si="1"/>
        <v>1.3386898147826627</v>
      </c>
      <c r="V69" s="55">
        <f t="shared" ca="1" si="2"/>
        <v>0</v>
      </c>
      <c r="W69" s="55">
        <f t="shared" ca="1" si="12"/>
        <v>-20.850006981315801</v>
      </c>
      <c r="X69" s="55">
        <f t="shared" ca="1" si="13"/>
        <v>29.393703454079375</v>
      </c>
      <c r="Y69" s="55">
        <f t="shared" ca="1" si="14"/>
        <v>-6.6220584016037449</v>
      </c>
      <c r="Z69">
        <f t="shared" ca="1" si="3"/>
        <v>0</v>
      </c>
      <c r="AA69">
        <f t="shared" ca="1" si="15"/>
        <v>59.641102229672981</v>
      </c>
      <c r="AB69">
        <f t="shared" ca="1" si="4"/>
        <v>0</v>
      </c>
      <c r="AC69">
        <f t="shared" ca="1" si="5"/>
        <v>6.6928509242848624E-3</v>
      </c>
      <c r="AD69" s="83">
        <f ca="1"/>
        <v>45613</v>
      </c>
      <c r="AE69" s="55">
        <f t="shared" ca="1" si="20"/>
        <v>45613</v>
      </c>
      <c r="AF69" s="55">
        <f t="shared" ca="1" si="21"/>
        <v>7.1485088776417909</v>
      </c>
      <c r="AG69" s="55">
        <f t="shared" ca="1" si="22"/>
        <v>5.8931517142837269</v>
      </c>
      <c r="AH69" s="55">
        <f t="shared" ca="1" si="23"/>
        <v>0</v>
      </c>
      <c r="AI69" s="55">
        <f t="shared" ca="1" si="17"/>
        <v>0</v>
      </c>
      <c r="AJ69" s="55">
        <f t="shared" ca="1" si="18"/>
        <v>27.392208357204193</v>
      </c>
      <c r="AK69" s="55">
        <f t="shared" ca="1" si="19"/>
        <v>3.2184013846886828</v>
      </c>
    </row>
    <row r="70" spans="2:37">
      <c r="C70" s="61"/>
      <c r="D70" s="84"/>
      <c r="E70" s="69"/>
      <c r="R70" s="83">
        <f ca="1"/>
        <v>45446</v>
      </c>
      <c r="S70" s="55">
        <f t="shared" ca="1" si="11"/>
        <v>45446</v>
      </c>
      <c r="T70" s="55">
        <f t="shared" ca="1" si="0"/>
        <v>51.496614884888629</v>
      </c>
      <c r="U70" s="55">
        <f t="shared" ca="1" si="1"/>
        <v>1.3386898147826627</v>
      </c>
      <c r="V70" s="55">
        <f t="shared" ca="1" si="2"/>
        <v>0</v>
      </c>
      <c r="W70" s="55">
        <f t="shared" ca="1" si="12"/>
        <v>-21.52404045169801</v>
      </c>
      <c r="X70" s="55">
        <f t="shared" ca="1" si="13"/>
        <v>29.863846999270216</v>
      </c>
      <c r="Y70" s="55">
        <f t="shared" ca="1" si="14"/>
        <v>-6.2661019505908868</v>
      </c>
      <c r="Z70">
        <f t="shared" ca="1" si="3"/>
        <v>0</v>
      </c>
      <c r="AA70">
        <f t="shared" ca="1" si="15"/>
        <v>61.501102229672981</v>
      </c>
      <c r="AB70">
        <f t="shared" ca="1" si="4"/>
        <v>0</v>
      </c>
      <c r="AC70">
        <f t="shared" ca="1" si="5"/>
        <v>6.6928509242848624E-3</v>
      </c>
      <c r="AD70" s="83">
        <f ca="1"/>
        <v>45614</v>
      </c>
      <c r="AE70" s="55">
        <f t="shared" ca="1" si="20"/>
        <v>45614</v>
      </c>
      <c r="AF70" s="55">
        <f t="shared" ca="1" si="21"/>
        <v>7.7553531712748525</v>
      </c>
      <c r="AG70" s="55">
        <f t="shared" ca="1" si="22"/>
        <v>6.1201668444650696</v>
      </c>
      <c r="AH70" s="55">
        <f t="shared" ca="1" si="23"/>
        <v>0</v>
      </c>
      <c r="AI70" s="55">
        <f t="shared" ca="1" si="17"/>
        <v>0</v>
      </c>
      <c r="AJ70" s="55">
        <f t="shared" ca="1" si="18"/>
        <v>27.853491871294469</v>
      </c>
      <c r="AK70" s="55">
        <f t="shared" ca="1" si="19"/>
        <v>3.5909772944128093</v>
      </c>
    </row>
    <row r="71" spans="2:37">
      <c r="C71" s="61"/>
      <c r="D71" s="84"/>
      <c r="E71" s="69"/>
      <c r="R71" s="83">
        <f ca="1"/>
        <v>45447</v>
      </c>
      <c r="S71" s="55">
        <f t="shared" ca="1" si="11"/>
        <v>45447</v>
      </c>
      <c r="T71" s="55">
        <f t="shared" ca="1" si="0"/>
        <v>52.019677815811818</v>
      </c>
      <c r="U71" s="55">
        <f t="shared" ca="1" si="1"/>
        <v>1.3386898147826627</v>
      </c>
      <c r="V71" s="55">
        <f t="shared" ca="1" si="2"/>
        <v>0</v>
      </c>
      <c r="W71" s="55">
        <f t="shared" ca="1" si="12"/>
        <v>-21.809570683264798</v>
      </c>
      <c r="X71" s="55">
        <f t="shared" ca="1" si="13"/>
        <v>30.320089050699828</v>
      </c>
      <c r="Y71" s="55">
        <f t="shared" ca="1" si="14"/>
        <v>-5.9137508395305201</v>
      </c>
      <c r="Z71">
        <f t="shared" ca="1" si="3"/>
        <v>0</v>
      </c>
      <c r="AA71">
        <f t="shared" ca="1" si="15"/>
        <v>62.281102229672975</v>
      </c>
      <c r="AB71">
        <f t="shared" ca="1" si="4"/>
        <v>0</v>
      </c>
      <c r="AC71">
        <f t="shared" ca="1" si="5"/>
        <v>6.6928509242848624E-3</v>
      </c>
      <c r="AD71" s="83">
        <f ca="1"/>
        <v>45615</v>
      </c>
      <c r="AE71" s="55">
        <f t="shared" ca="1" si="20"/>
        <v>45615</v>
      </c>
      <c r="AF71" s="55">
        <f t="shared" ca="1" si="21"/>
        <v>8.3945529998376855</v>
      </c>
      <c r="AG71" s="55">
        <f t="shared" ca="1" si="22"/>
        <v>6.3632387838285789</v>
      </c>
      <c r="AH71" s="55">
        <f t="shared" ca="1" si="23"/>
        <v>0</v>
      </c>
      <c r="AI71" s="55">
        <f t="shared" ca="1" si="17"/>
        <v>0</v>
      </c>
      <c r="AJ71" s="55">
        <f t="shared" ca="1" si="18"/>
        <v>28.355274615149856</v>
      </c>
      <c r="AK71" s="55">
        <f t="shared" ca="1" si="19"/>
        <v>3.9714663184837633</v>
      </c>
    </row>
    <row r="72" spans="2:37">
      <c r="C72" s="61"/>
      <c r="D72" s="84"/>
      <c r="E72" s="69"/>
      <c r="R72" s="83">
        <f ca="1"/>
        <v>45448</v>
      </c>
      <c r="S72" s="55">
        <f t="shared" ca="1" si="11"/>
        <v>45448</v>
      </c>
      <c r="T72" s="55">
        <f t="shared" ca="1" si="0"/>
        <v>52.418986235566713</v>
      </c>
      <c r="U72" s="55">
        <f t="shared" ca="1" si="1"/>
        <v>1.3386898147826627</v>
      </c>
      <c r="V72" s="55">
        <f t="shared" ca="1" si="2"/>
        <v>0</v>
      </c>
      <c r="W72" s="55">
        <f t="shared" ca="1" si="12"/>
        <v>-22.1563125699934</v>
      </c>
      <c r="X72" s="55">
        <f t="shared" ca="1" si="13"/>
        <v>30.732435937387596</v>
      </c>
      <c r="Y72" s="55">
        <f t="shared" ca="1" si="14"/>
        <v>-5.5800474197347896</v>
      </c>
      <c r="Z72">
        <f t="shared" ca="1" si="3"/>
        <v>0</v>
      </c>
      <c r="AA72">
        <f t="shared" ca="1" si="15"/>
        <v>63.221102229672979</v>
      </c>
      <c r="AB72">
        <f t="shared" ca="1" si="4"/>
        <v>0</v>
      </c>
      <c r="AC72">
        <f t="shared" ca="1" si="5"/>
        <v>6.6928509242848624E-3</v>
      </c>
      <c r="AD72" s="83">
        <f ca="1"/>
        <v>45616</v>
      </c>
      <c r="AE72" s="55">
        <f t="shared" ca="1" si="20"/>
        <v>45616</v>
      </c>
      <c r="AF72" s="55">
        <f t="shared" ca="1" si="21"/>
        <v>9.0207389877337558</v>
      </c>
      <c r="AG72" s="55">
        <f t="shared" ca="1" si="22"/>
        <v>6.60131045366838</v>
      </c>
      <c r="AH72" s="55">
        <f t="shared" ca="1" si="23"/>
        <v>0</v>
      </c>
      <c r="AI72" s="55">
        <f t="shared" ca="1" si="17"/>
        <v>0</v>
      </c>
      <c r="AJ72" s="55">
        <f t="shared" ca="1" si="18"/>
        <v>28.854722139616538</v>
      </c>
      <c r="AK72" s="55">
        <f t="shared" ca="1" si="19"/>
        <v>4.3362764517529513</v>
      </c>
    </row>
    <row r="73" spans="2:37">
      <c r="R73" s="83">
        <f ca="1"/>
        <v>45449</v>
      </c>
      <c r="S73" s="55">
        <f t="shared" ca="1" si="11"/>
        <v>45449</v>
      </c>
      <c r="T73" s="55">
        <f t="shared" ca="1" si="0"/>
        <v>52.703649714130457</v>
      </c>
      <c r="U73" s="55">
        <f t="shared" ca="1" si="1"/>
        <v>1.3386898147826627</v>
      </c>
      <c r="V73" s="55">
        <f t="shared" ca="1" si="2"/>
        <v>0</v>
      </c>
      <c r="W73" s="55">
        <f t="shared" ca="1" si="12"/>
        <v>-22.63845336552637</v>
      </c>
      <c r="X73" s="55">
        <f t="shared" ca="1" si="13"/>
        <v>31.157302635363241</v>
      </c>
      <c r="Y73" s="55">
        <f t="shared" ca="1" si="14"/>
        <v>-5.2381098436137226</v>
      </c>
      <c r="Z73">
        <f t="shared" ca="1" si="3"/>
        <v>0</v>
      </c>
      <c r="AA73">
        <f t="shared" ca="1" si="15"/>
        <v>64.521102229672977</v>
      </c>
      <c r="AB73">
        <f t="shared" ca="1" si="4"/>
        <v>0</v>
      </c>
      <c r="AC73">
        <f t="shared" ca="1" si="5"/>
        <v>6.6928509242848624E-3</v>
      </c>
      <c r="AD73" s="83">
        <f ca="1"/>
        <v>45617</v>
      </c>
      <c r="AE73" s="55">
        <f t="shared" ca="1" si="20"/>
        <v>45617</v>
      </c>
      <c r="AF73" s="55">
        <f t="shared" ca="1" si="21"/>
        <v>9.6315561735381934</v>
      </c>
      <c r="AG73" s="55">
        <f t="shared" ca="1" si="22"/>
        <v>6.8528160333008179</v>
      </c>
      <c r="AH73" s="55">
        <f t="shared" ca="1" si="23"/>
        <v>0</v>
      </c>
      <c r="AI73" s="55">
        <f t="shared" ca="1" si="17"/>
        <v>0</v>
      </c>
      <c r="AJ73" s="55">
        <f t="shared" ca="1" si="18"/>
        <v>29.348331294926197</v>
      </c>
      <c r="AK73" s="55">
        <f t="shared" ca="1" si="19"/>
        <v>4.7049900618801672</v>
      </c>
    </row>
    <row r="74" spans="2:37">
      <c r="R74" s="83">
        <f ca="1"/>
        <v>45450</v>
      </c>
      <c r="S74" s="55">
        <f t="shared" ca="1" si="11"/>
        <v>45450</v>
      </c>
      <c r="T74" s="55">
        <f t="shared" ca="1" si="0"/>
        <v>52.900262073567269</v>
      </c>
      <c r="U74" s="55">
        <f t="shared" ca="1" si="1"/>
        <v>1.3386898147826627</v>
      </c>
      <c r="V74" s="55">
        <f t="shared" ca="1" si="2"/>
        <v>0</v>
      </c>
      <c r="W74" s="55">
        <f t="shared" ca="1" si="12"/>
        <v>-23.234071131095426</v>
      </c>
      <c r="X74" s="55">
        <f t="shared" ca="1" si="13"/>
        <v>31.597921253471636</v>
      </c>
      <c r="Y74" s="55">
        <f t="shared" ca="1" si="14"/>
        <v>-4.8864983367162544</v>
      </c>
      <c r="Z74">
        <f t="shared" ca="1" si="3"/>
        <v>0</v>
      </c>
      <c r="AA74">
        <f t="shared" ca="1" si="15"/>
        <v>66.121102229672971</v>
      </c>
      <c r="AB74">
        <f t="shared" ca="1" si="4"/>
        <v>0</v>
      </c>
      <c r="AC74">
        <f t="shared" ca="1" si="5"/>
        <v>6.6928509242848624E-3</v>
      </c>
      <c r="AD74" s="83">
        <f ca="1"/>
        <v>45618</v>
      </c>
      <c r="AE74" s="55">
        <f t="shared" ca="1" si="20"/>
        <v>45618</v>
      </c>
      <c r="AF74" s="55">
        <f t="shared" ca="1" si="21"/>
        <v>10.286281412000598</v>
      </c>
      <c r="AG74" s="55">
        <f t="shared" ca="1" si="22"/>
        <v>7.1581756460483223</v>
      </c>
      <c r="AH74" s="55">
        <f t="shared" ca="1" si="23"/>
        <v>0</v>
      </c>
      <c r="AI74" s="55">
        <f t="shared" ca="1" si="17"/>
        <v>0</v>
      </c>
      <c r="AJ74" s="55">
        <f t="shared" ca="1" si="18"/>
        <v>29.895574025131381</v>
      </c>
      <c r="AK74" s="55">
        <f t="shared" ca="1" si="19"/>
        <v>5.1178321828848929</v>
      </c>
    </row>
    <row r="75" spans="2:37">
      <c r="R75" s="83">
        <f ca="1"/>
        <v>45451</v>
      </c>
      <c r="S75" s="55">
        <f t="shared" ca="1" si="11"/>
        <v>45451</v>
      </c>
      <c r="T75" s="55">
        <f t="shared" ca="1" si="0"/>
        <v>52.894012512090228</v>
      </c>
      <c r="U75" s="55">
        <f t="shared" ca="1" si="1"/>
        <v>1.3386898147826627</v>
      </c>
      <c r="V75" s="55">
        <f t="shared" ca="1" si="2"/>
        <v>0</v>
      </c>
      <c r="W75" s="55">
        <f t="shared" ca="1" si="12"/>
        <v>-24.030615778777495</v>
      </c>
      <c r="X75" s="55">
        <f t="shared" ca="1" si="13"/>
        <v>32.0360535699743</v>
      </c>
      <c r="Y75" s="55">
        <f t="shared" ca="1" si="14"/>
        <v>-4.5343355670138905</v>
      </c>
      <c r="Z75">
        <f t="shared" ca="1" si="3"/>
        <v>0</v>
      </c>
      <c r="AA75">
        <f t="shared" ca="1" si="15"/>
        <v>68.261102229672971</v>
      </c>
      <c r="AB75">
        <f t="shared" ca="1" si="4"/>
        <v>0</v>
      </c>
      <c r="AC75">
        <f t="shared" ca="1" si="5"/>
        <v>6.6928509242848624E-3</v>
      </c>
      <c r="AD75" s="83">
        <f ca="1"/>
        <v>45619</v>
      </c>
      <c r="AE75" s="55">
        <f t="shared" ca="1" si="20"/>
        <v>45619</v>
      </c>
      <c r="AF75" s="55">
        <f t="shared" ca="1" si="21"/>
        <v>10.953121507517771</v>
      </c>
      <c r="AG75" s="55">
        <f t="shared" ca="1" si="22"/>
        <v>7.4832670541815203</v>
      </c>
      <c r="AH75" s="55">
        <f t="shared" ca="1" si="23"/>
        <v>0</v>
      </c>
      <c r="AI75" s="55">
        <f t="shared" ca="1" si="17"/>
        <v>0</v>
      </c>
      <c r="AJ75" s="55">
        <f t="shared" ca="1" si="18"/>
        <v>30.46957160318826</v>
      </c>
      <c r="AK75" s="55">
        <f t="shared" ca="1" si="19"/>
        <v>5.5357661084783842</v>
      </c>
    </row>
    <row r="76" spans="2:37">
      <c r="R76" s="83">
        <f ca="1"/>
        <v>45452</v>
      </c>
      <c r="S76" s="55">
        <f t="shared" ca="1" si="11"/>
        <v>45452</v>
      </c>
      <c r="T76" s="55">
        <f t="shared" ca="1" si="0"/>
        <v>53.193147323405277</v>
      </c>
      <c r="U76" s="55">
        <f t="shared" ca="1" si="1"/>
        <v>1.3386898147826627</v>
      </c>
      <c r="V76" s="55">
        <f t="shared" ca="1" si="2"/>
        <v>0</v>
      </c>
      <c r="W76" s="55">
        <f t="shared" ca="1" si="12"/>
        <v>-24.494775242088394</v>
      </c>
      <c r="X76" s="55">
        <f t="shared" ca="1" si="13"/>
        <v>32.455110979169554</v>
      </c>
      <c r="Y76" s="55">
        <f t="shared" ca="1" si="14"/>
        <v>-4.1900987015831976</v>
      </c>
      <c r="Z76">
        <f t="shared" ca="1" si="3"/>
        <v>0</v>
      </c>
      <c r="AA76">
        <f t="shared" ca="1" si="15"/>
        <v>69.501102229672966</v>
      </c>
      <c r="AB76">
        <f t="shared" ca="1" si="4"/>
        <v>0</v>
      </c>
      <c r="AC76">
        <f t="shared" ca="1" si="5"/>
        <v>6.6928509242848624E-3</v>
      </c>
      <c r="AD76" s="83">
        <f ca="1"/>
        <v>45620</v>
      </c>
      <c r="AE76" s="55">
        <f t="shared" ca="1" si="20"/>
        <v>45620</v>
      </c>
      <c r="AF76" s="55">
        <f t="shared" ca="1" si="21"/>
        <v>11.607363671337701</v>
      </c>
      <c r="AG76" s="55">
        <f t="shared" ca="1" si="22"/>
        <v>7.8248226082299768</v>
      </c>
      <c r="AH76" s="55">
        <f t="shared" ca="1" si="23"/>
        <v>0</v>
      </c>
      <c r="AI76" s="55">
        <f t="shared" ca="1" si="17"/>
        <v>0</v>
      </c>
      <c r="AJ76" s="55">
        <f t="shared" ca="1" si="18"/>
        <v>31.047278999710336</v>
      </c>
      <c r="AK76" s="55">
        <f t="shared" ca="1" si="19"/>
        <v>5.9538564298246932</v>
      </c>
    </row>
    <row r="77" spans="2:37">
      <c r="R77" s="83">
        <f ca="1"/>
        <v>45453</v>
      </c>
      <c r="S77" s="55">
        <f t="shared" ca="1" si="11"/>
        <v>45453</v>
      </c>
      <c r="T77" s="55">
        <f t="shared" ca="1" si="0"/>
        <v>53.617376294326291</v>
      </c>
      <c r="U77" s="55">
        <f t="shared" ca="1" si="1"/>
        <v>1.3386898147826627</v>
      </c>
      <c r="V77" s="55">
        <f t="shared" ca="1" si="2"/>
        <v>0</v>
      </c>
      <c r="W77" s="55">
        <f t="shared" ca="1" si="12"/>
        <v>-24.834351958619127</v>
      </c>
      <c r="X77" s="55">
        <f t="shared" ca="1" si="13"/>
        <v>32.873686676054106</v>
      </c>
      <c r="Y77" s="55">
        <f t="shared" ca="1" si="14"/>
        <v>-3.8448687110160016</v>
      </c>
      <c r="Z77">
        <f t="shared" ca="1" si="3"/>
        <v>0</v>
      </c>
      <c r="AA77">
        <f t="shared" ca="1" si="15"/>
        <v>70.401102229672972</v>
      </c>
      <c r="AB77">
        <f t="shared" ca="1" si="4"/>
        <v>0</v>
      </c>
      <c r="AC77">
        <f t="shared" ca="1" si="5"/>
        <v>6.6928509242848624E-3</v>
      </c>
      <c r="AD77" s="83">
        <f ca="1"/>
        <v>45621</v>
      </c>
      <c r="AE77" s="55">
        <f t="shared" ca="1" si="20"/>
        <v>45621</v>
      </c>
      <c r="AF77" s="55">
        <f t="shared" ca="1" si="21"/>
        <v>12.280012582648595</v>
      </c>
      <c r="AG77" s="55">
        <f t="shared" ca="1" si="22"/>
        <v>8.2043320671734445</v>
      </c>
      <c r="AH77" s="55">
        <f t="shared" ca="1" si="23"/>
        <v>0</v>
      </c>
      <c r="AI77" s="55">
        <f t="shared" ca="1" si="17"/>
        <v>0</v>
      </c>
      <c r="AJ77" s="55">
        <f t="shared" ca="1" si="18"/>
        <v>31.661398142933045</v>
      </c>
      <c r="AK77" s="55">
        <f t="shared" ca="1" si="19"/>
        <v>6.3918956568563452</v>
      </c>
    </row>
    <row r="78" spans="2:37">
      <c r="R78" s="83">
        <f ca="1"/>
        <v>45454</v>
      </c>
      <c r="S78" s="55">
        <f t="shared" ca="1" si="11"/>
        <v>45454</v>
      </c>
      <c r="T78" s="55">
        <f t="shared" ca="1" si="0"/>
        <v>53.58830758149837</v>
      </c>
      <c r="U78" s="55">
        <f t="shared" ca="1" si="1"/>
        <v>1.3386898147826627</v>
      </c>
      <c r="V78" s="55">
        <f t="shared" ca="1" si="2"/>
        <v>0</v>
      </c>
      <c r="W78" s="55">
        <f t="shared" ca="1" si="12"/>
        <v>-25.622497030493683</v>
      </c>
      <c r="X78" s="55">
        <f t="shared" ca="1" si="13"/>
        <v>33.288421913575476</v>
      </c>
      <c r="Y78" s="55">
        <f t="shared" ca="1" si="14"/>
        <v>-3.5005275894907317</v>
      </c>
      <c r="Z78">
        <f t="shared" ca="1" si="3"/>
        <v>0</v>
      </c>
      <c r="AA78">
        <f t="shared" ca="1" si="15"/>
        <v>72.491102229672975</v>
      </c>
      <c r="AB78">
        <f t="shared" ca="1" si="4"/>
        <v>0</v>
      </c>
      <c r="AC78">
        <f t="shared" ca="1" si="5"/>
        <v>6.6928509242848624E-3</v>
      </c>
      <c r="AD78" s="83">
        <f ca="1"/>
        <v>45622</v>
      </c>
      <c r="AE78" s="55">
        <f t="shared" ca="1" si="20"/>
        <v>45622</v>
      </c>
      <c r="AF78" s="55">
        <f t="shared" ca="1" si="21"/>
        <v>12.877569186824706</v>
      </c>
      <c r="AG78" s="55">
        <f t="shared" ca="1" si="22"/>
        <v>8.5785438818668744</v>
      </c>
      <c r="AH78" s="55">
        <f t="shared" ca="1" si="23"/>
        <v>0</v>
      </c>
      <c r="AI78" s="55">
        <f t="shared" ca="1" si="17"/>
        <v>0</v>
      </c>
      <c r="AJ78" s="55">
        <f t="shared" ca="1" si="18"/>
        <v>32.219268261163641</v>
      </c>
      <c r="AK78" s="55">
        <f t="shared" ca="1" si="19"/>
        <v>6.8057939574952862</v>
      </c>
    </row>
    <row r="79" spans="2:37">
      <c r="R79" s="83">
        <f ca="1"/>
        <v>45455</v>
      </c>
      <c r="S79" s="55">
        <f t="shared" ca="1" si="11"/>
        <v>45455</v>
      </c>
      <c r="T79" s="55">
        <f t="shared" ca="1" si="0"/>
        <v>53.986397721787391</v>
      </c>
      <c r="U79" s="55">
        <f t="shared" ca="1" si="1"/>
        <v>1.3386898147826627</v>
      </c>
      <c r="V79" s="55">
        <f t="shared" ca="1" si="2"/>
        <v>0</v>
      </c>
      <c r="W79" s="55">
        <f t="shared" ca="1" si="12"/>
        <v>-25.96441088273167</v>
      </c>
      <c r="X79" s="55">
        <f t="shared" ca="1" si="13"/>
        <v>33.689900243912021</v>
      </c>
      <c r="Y79" s="55">
        <f t="shared" ca="1" si="14"/>
        <v>-3.1620019273002704</v>
      </c>
      <c r="Z79">
        <f t="shared" ca="1" si="3"/>
        <v>0</v>
      </c>
      <c r="AA79">
        <f t="shared" ca="1" si="15"/>
        <v>73.391102229672981</v>
      </c>
      <c r="AB79">
        <f t="shared" ca="1" si="4"/>
        <v>0</v>
      </c>
      <c r="AC79">
        <f t="shared" ca="1" si="5"/>
        <v>6.6928509242848624E-3</v>
      </c>
      <c r="AD79" s="83">
        <f ca="1"/>
        <v>45623</v>
      </c>
      <c r="AE79" s="55">
        <f t="shared" ca="1" si="20"/>
        <v>45623</v>
      </c>
      <c r="AF79" s="55">
        <f t="shared" ca="1" si="21"/>
        <v>13.439592873163759</v>
      </c>
      <c r="AG79" s="55">
        <f t="shared" ca="1" si="22"/>
        <v>8.9537968818498577</v>
      </c>
      <c r="AH79" s="55">
        <f t="shared" ca="1" si="23"/>
        <v>0</v>
      </c>
      <c r="AI79" s="55">
        <f t="shared" ca="1" si="17"/>
        <v>0</v>
      </c>
      <c r="AJ79" s="55">
        <f t="shared" ca="1" si="18"/>
        <v>32.758488997099654</v>
      </c>
      <c r="AK79" s="55">
        <f t="shared" ca="1" si="19"/>
        <v>7.2038499078813132</v>
      </c>
    </row>
    <row r="80" spans="2:37">
      <c r="R80" s="83">
        <f ca="1"/>
        <v>45456</v>
      </c>
      <c r="S80" s="55">
        <f t="shared" ca="1" si="11"/>
        <v>45456</v>
      </c>
      <c r="T80" s="55">
        <f t="shared" ca="1" si="0"/>
        <v>54.507006788868637</v>
      </c>
      <c r="U80" s="55">
        <f t="shared" ca="1" si="1"/>
        <v>1.3386898147826627</v>
      </c>
      <c r="V80" s="55">
        <f t="shared" ca="1" si="2"/>
        <v>0</v>
      </c>
      <c r="W80" s="55">
        <f t="shared" ca="1" si="12"/>
        <v>-26.229072682362066</v>
      </c>
      <c r="X80" s="55">
        <f t="shared" ca="1" si="13"/>
        <v>34.121120359445371</v>
      </c>
      <c r="Y80" s="55">
        <f t="shared" ca="1" si="14"/>
        <v>-2.8079511761219802</v>
      </c>
      <c r="Z80">
        <f t="shared" ca="1" si="3"/>
        <v>0</v>
      </c>
      <c r="AA80">
        <f t="shared" ca="1" si="15"/>
        <v>74.081102229672979</v>
      </c>
      <c r="AB80">
        <f t="shared" ca="1" si="4"/>
        <v>0</v>
      </c>
      <c r="AC80">
        <f t="shared" ca="1" si="5"/>
        <v>6.6928509242848624E-3</v>
      </c>
      <c r="AD80" s="83">
        <f ca="1"/>
        <v>45624</v>
      </c>
      <c r="AE80" s="55">
        <f t="shared" ca="1" si="20"/>
        <v>45624</v>
      </c>
      <c r="AF80" s="55">
        <f t="shared" ca="1" si="21"/>
        <v>13.96383912336217</v>
      </c>
      <c r="AG80" s="55">
        <f t="shared" ca="1" si="22"/>
        <v>9.3370714909214811</v>
      </c>
      <c r="AH80" s="55">
        <f t="shared" ca="1" si="23"/>
        <v>0</v>
      </c>
      <c r="AI80" s="55">
        <f t="shared" ca="1" si="17"/>
        <v>0</v>
      </c>
      <c r="AJ80" s="55">
        <f t="shared" ca="1" si="18"/>
        <v>33.276924446953927</v>
      </c>
      <c r="AK80" s="55">
        <f t="shared" ca="1" si="19"/>
        <v>7.5929353172970764</v>
      </c>
    </row>
    <row r="81" spans="18:37">
      <c r="R81" s="83">
        <f ca="1"/>
        <v>45457</v>
      </c>
      <c r="S81" s="55">
        <f t="shared" ca="1" si="11"/>
        <v>45457</v>
      </c>
      <c r="T81" s="55">
        <f t="shared" ca="1" si="0"/>
        <v>54.595724739989898</v>
      </c>
      <c r="U81" s="55">
        <f t="shared" ca="1" si="1"/>
        <v>1.3386898147826627</v>
      </c>
      <c r="V81" s="55">
        <f t="shared" ca="1" si="2"/>
        <v>0</v>
      </c>
      <c r="W81" s="55">
        <f t="shared" ca="1" si="12"/>
        <v>-26.912934686327421</v>
      </c>
      <c r="X81" s="55">
        <f t="shared" ca="1" si="13"/>
        <v>34.543560067320954</v>
      </c>
      <c r="Y81" s="55">
        <f t="shared" ca="1" si="14"/>
        <v>-2.4578109289109467</v>
      </c>
      <c r="Z81">
        <f t="shared" ca="1" si="3"/>
        <v>0</v>
      </c>
      <c r="AA81">
        <f t="shared" ca="1" si="15"/>
        <v>75.86110222967298</v>
      </c>
      <c r="AB81">
        <f t="shared" ca="1" si="4"/>
        <v>0</v>
      </c>
      <c r="AC81">
        <f t="shared" ca="1" si="5"/>
        <v>6.6928509242848624E-3</v>
      </c>
      <c r="AD81" s="83">
        <f ca="1"/>
        <v>45625</v>
      </c>
      <c r="AE81" s="55">
        <f t="shared" ca="1" si="20"/>
        <v>45625</v>
      </c>
      <c r="AF81" s="55">
        <f t="shared" ca="1" si="21"/>
        <v>14.491090886855105</v>
      </c>
      <c r="AG81" s="55">
        <f t="shared" ca="1" si="22"/>
        <v>9.7587855427405188</v>
      </c>
      <c r="AH81" s="55">
        <f t="shared" ca="1" si="23"/>
        <v>0</v>
      </c>
      <c r="AI81" s="55">
        <f t="shared" ca="1" si="17"/>
        <v>0</v>
      </c>
      <c r="AJ81" s="55">
        <f t="shared" ca="1" si="18"/>
        <v>33.822479184887683</v>
      </c>
      <c r="AK81" s="55">
        <f t="shared" ca="1" si="19"/>
        <v>7.9963463946752924</v>
      </c>
    </row>
    <row r="82" spans="18:37">
      <c r="R82" s="83">
        <f ca="1"/>
        <v>45458</v>
      </c>
      <c r="S82" s="55">
        <f t="shared" ca="1" si="11"/>
        <v>45458</v>
      </c>
      <c r="T82" s="55">
        <f t="shared" ref="T82:T145" ca="1" si="27">VLOOKUP(S82,ModelOutputs,2,FALSE)</f>
        <v>54.841675509640233</v>
      </c>
      <c r="U82" s="55">
        <f t="shared" ref="U82:U145" ca="1" si="28">VLOOKUP(S82,ModelOutputs,7,FALSE)</f>
        <v>1.3386898147826627</v>
      </c>
      <c r="V82" s="55">
        <f t="shared" ref="V82:V145" ca="1" si="29">VLOOKUP(S82,ModelOutputs,6,FALSE)</f>
        <v>0</v>
      </c>
      <c r="W82" s="55">
        <f t="shared" ca="1" si="12"/>
        <v>-27.449367519738384</v>
      </c>
      <c r="X82" s="55">
        <f t="shared" ca="1" si="13"/>
        <v>34.972329159877532</v>
      </c>
      <c r="Y82" s="55">
        <f t="shared" ca="1" si="14"/>
        <v>-2.1041964184062234</v>
      </c>
      <c r="Z82">
        <f t="shared" ref="Z82:Z145" ca="1" si="30">VLOOKUP(S82,ModelOutputs,10,FALSE)*AWC</f>
        <v>0</v>
      </c>
      <c r="AA82">
        <f t="shared" ca="1" si="15"/>
        <v>77.251102229672981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6.6928509242848624E-3</v>
      </c>
      <c r="AD82" s="83">
        <f ca="1"/>
        <v>45626</v>
      </c>
      <c r="AE82" s="55">
        <f t="shared" ca="1" si="20"/>
        <v>45626</v>
      </c>
      <c r="AF82" s="55">
        <f t="shared" ca="1" si="21"/>
        <v>15.010252497394037</v>
      </c>
      <c r="AG82" s="55">
        <f t="shared" ca="1" si="22"/>
        <v>10.225411993094003</v>
      </c>
      <c r="AH82" s="55">
        <f t="shared" ca="1" si="23"/>
        <v>0</v>
      </c>
      <c r="AI82" s="55">
        <f t="shared" ca="1" si="17"/>
        <v>0</v>
      </c>
      <c r="AJ82" s="55">
        <f t="shared" ca="1" si="18"/>
        <v>34.388079676840206</v>
      </c>
      <c r="AK82" s="55">
        <f t="shared" ca="1" si="19"/>
        <v>8.416533963615187</v>
      </c>
    </row>
    <row r="83" spans="18:37">
      <c r="R83" s="83">
        <f ca="1"/>
        <v>45459</v>
      </c>
      <c r="S83" s="55">
        <f t="shared" ref="S83:S146" ca="1" si="33">IF(R83&gt;1,R83,"")</f>
        <v>45459</v>
      </c>
      <c r="T83" s="55">
        <f t="shared" ca="1" si="27"/>
        <v>54.640043522146001</v>
      </c>
      <c r="U83" s="55">
        <f t="shared" ca="1" si="28"/>
        <v>1.3386898147826627</v>
      </c>
      <c r="V83" s="55">
        <f t="shared" ca="1" si="29"/>
        <v>0</v>
      </c>
      <c r="W83" s="55">
        <f t="shared" ref="W83:W146" ca="1" si="34">-VLOOKUP(S83,ModelOutputs,9,FALSE)+W82</f>
        <v>-28.429852745163558</v>
      </c>
      <c r="X83" s="55">
        <f t="shared" ref="X83:X146" ca="1" si="35">VLOOKUP(S83,ModelOutputs,5,FALSE)+X82</f>
        <v>35.39865648304712</v>
      </c>
      <c r="Y83" s="55">
        <f t="shared" ref="Y83:Y146" ca="1" si="36">VLOOKUP(S83,ModelOutputs,4,FALSE)+Y82</f>
        <v>-1.751670503644867</v>
      </c>
      <c r="Z83">
        <f t="shared" ca="1" si="30"/>
        <v>0</v>
      </c>
      <c r="AA83">
        <f t="shared" ref="AA83:AA146" ca="1" si="37">VLOOKUP(S83,ModelOutputs,11,FALSE)+AA82</f>
        <v>79.801102229672978</v>
      </c>
      <c r="AB83">
        <f t="shared" ca="1" si="31"/>
        <v>0</v>
      </c>
      <c r="AC83">
        <f t="shared" ca="1" si="32"/>
        <v>6.6928509242848624E-3</v>
      </c>
      <c r="AD83" s="83">
        <f ca="1"/>
        <v>45627</v>
      </c>
      <c r="AE83" s="55">
        <f t="shared" ca="1" si="20"/>
        <v>45627</v>
      </c>
      <c r="AF83" s="55">
        <f t="shared" ca="1" si="21"/>
        <v>15.502174892798733</v>
      </c>
      <c r="AG83" s="55">
        <f t="shared" ca="1" si="22"/>
        <v>10.722829890242904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34.954160388572468</v>
      </c>
      <c r="AK83" s="55">
        <f t="shared" ref="AK83:AK146" ca="1" si="40">VLOOKUP(AE83,ModelOutputs,4,FALSE)+AK82</f>
        <v>8.8397935444365245</v>
      </c>
    </row>
    <row r="84" spans="18:37">
      <c r="R84" s="83">
        <f ca="1"/>
        <v>45460</v>
      </c>
      <c r="S84" s="55">
        <f t="shared" ca="1" si="33"/>
        <v>45460</v>
      </c>
      <c r="T84" s="55">
        <f t="shared" ca="1" si="27"/>
        <v>54.7793953526945</v>
      </c>
      <c r="U84" s="55">
        <f t="shared" ca="1" si="28"/>
        <v>1.3386898147826627</v>
      </c>
      <c r="V84" s="55">
        <f t="shared" ca="1" si="29"/>
        <v>0</v>
      </c>
      <c r="W84" s="55">
        <f t="shared" ca="1" si="34"/>
        <v>-29.05048300584464</v>
      </c>
      <c r="X84" s="55">
        <f t="shared" ca="1" si="35"/>
        <v>35.812435279464239</v>
      </c>
      <c r="Y84" s="55">
        <f t="shared" ca="1" si="36"/>
        <v>-1.4054672088324036</v>
      </c>
      <c r="Z84">
        <f t="shared" ca="1" si="30"/>
        <v>0</v>
      </c>
      <c r="AA84">
        <f t="shared" ca="1" si="37"/>
        <v>81.411102229672977</v>
      </c>
      <c r="AB84">
        <f t="shared" ca="1" si="31"/>
        <v>0</v>
      </c>
      <c r="AC84">
        <f t="shared" ca="1" si="32"/>
        <v>6.6928509242848624E-3</v>
      </c>
      <c r="AD84" s="83">
        <f ca="1"/>
        <v>45628</v>
      </c>
      <c r="AE84" s="55">
        <f t="shared" ca="1" si="20"/>
        <v>45628</v>
      </c>
      <c r="AF84" s="55">
        <f t="shared" ca="1" si="21"/>
        <v>15.948621367344353</v>
      </c>
      <c r="AG84" s="55">
        <f t="shared" ca="1" si="22"/>
        <v>11.231089462195037</v>
      </c>
      <c r="AH84" s="55">
        <f t="shared" ca="1" si="23"/>
        <v>0</v>
      </c>
      <c r="AI84" s="55">
        <f t="shared" ca="1" si="38"/>
        <v>0</v>
      </c>
      <c r="AJ84" s="55">
        <f t="shared" ca="1" si="39"/>
        <v>35.498396653959176</v>
      </c>
      <c r="AK84" s="55">
        <f t="shared" ca="1" si="40"/>
        <v>9.2502633255475715</v>
      </c>
    </row>
    <row r="85" spans="18:37">
      <c r="R85" s="83">
        <f ca="1"/>
        <v>45461</v>
      </c>
      <c r="S85" s="55">
        <f t="shared" ca="1" si="33"/>
        <v>45461</v>
      </c>
      <c r="T85" s="55">
        <f t="shared" ca="1" si="27"/>
        <v>54.347185502131353</v>
      </c>
      <c r="U85" s="55">
        <f t="shared" ca="1" si="28"/>
        <v>1.3386898147826627</v>
      </c>
      <c r="V85" s="55">
        <f t="shared" ca="1" si="29"/>
        <v>0</v>
      </c>
      <c r="W85" s="55">
        <f t="shared" ca="1" si="34"/>
        <v>-30.19016361441156</v>
      </c>
      <c r="X85" s="55">
        <f t="shared" ca="1" si="35"/>
        <v>36.191399707052476</v>
      </c>
      <c r="Y85" s="55">
        <f t="shared" ca="1" si="36"/>
        <v>-1.0769608784168661</v>
      </c>
      <c r="Z85">
        <f t="shared" ca="1" si="30"/>
        <v>0</v>
      </c>
      <c r="AA85">
        <f t="shared" ca="1" si="37"/>
        <v>84.391102229672981</v>
      </c>
      <c r="AB85">
        <f t="shared" ca="1" si="31"/>
        <v>0</v>
      </c>
      <c r="AC85">
        <f t="shared" ca="1" si="32"/>
        <v>6.6928509242848624E-3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16.339451112007033</v>
      </c>
      <c r="AG85" s="55">
        <f t="shared" ref="AG85:AG148" ca="1" si="43">VLOOKUP(AE85,ModelOutputs,7,FALSE)</f>
        <v>11.769146617395705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36.016517140330322</v>
      </c>
      <c r="AK85" s="55">
        <f t="shared" ca="1" si="40"/>
        <v>9.6610297390397761</v>
      </c>
    </row>
    <row r="86" spans="18:37">
      <c r="R86" s="83">
        <f ca="1"/>
        <v>45462</v>
      </c>
      <c r="S86" s="55">
        <f t="shared" ca="1" si="33"/>
        <v>45462</v>
      </c>
      <c r="T86" s="55">
        <f t="shared" ca="1" si="27"/>
        <v>54.818011520803381</v>
      </c>
      <c r="U86" s="55">
        <f t="shared" ca="1" si="28"/>
        <v>1.3386898147826627</v>
      </c>
      <c r="V86" s="55">
        <f t="shared" ca="1" si="29"/>
        <v>0</v>
      </c>
      <c r="W86" s="55">
        <f t="shared" ca="1" si="34"/>
        <v>-30.417759877059041</v>
      </c>
      <c r="X86" s="55">
        <f t="shared" ca="1" si="35"/>
        <v>36.564536231931051</v>
      </c>
      <c r="Y86" s="55">
        <f t="shared" ca="1" si="36"/>
        <v>-0.75167512197593567</v>
      </c>
      <c r="Z86">
        <f t="shared" ca="1" si="30"/>
        <v>0</v>
      </c>
      <c r="AA86">
        <f t="shared" ca="1" si="37"/>
        <v>84.981102229672985</v>
      </c>
      <c r="AB86">
        <f t="shared" ca="1" si="31"/>
        <v>0</v>
      </c>
      <c r="AC86">
        <f t="shared" ca="1" si="32"/>
        <v>6.6928509242848624E-3</v>
      </c>
      <c r="AD86" s="83">
        <f ca="1"/>
        <v>45630</v>
      </c>
      <c r="AE86" s="55">
        <f t="shared" ca="1" si="41"/>
        <v>45630</v>
      </c>
      <c r="AF86" s="55">
        <f t="shared" ca="1" si="42"/>
        <v>16.699451693572271</v>
      </c>
      <c r="AG86" s="55">
        <f t="shared" ca="1" si="43"/>
        <v>12.332123633900959</v>
      </c>
      <c r="AH86" s="55">
        <f t="shared" ca="1" si="44"/>
        <v>0</v>
      </c>
      <c r="AI86" s="55">
        <f t="shared" ca="1" si="38"/>
        <v>0</v>
      </c>
      <c r="AJ86" s="55">
        <f t="shared" ca="1" si="39"/>
        <v>36.532916457132139</v>
      </c>
      <c r="AK86" s="55">
        <f t="shared" ca="1" si="40"/>
        <v>10.067608020308448</v>
      </c>
    </row>
    <row r="87" spans="18:37">
      <c r="R87" s="83">
        <f ca="1"/>
        <v>45463</v>
      </c>
      <c r="S87" s="55">
        <f t="shared" ca="1" si="33"/>
        <v>45463</v>
      </c>
      <c r="T87" s="55">
        <f t="shared" ca="1" si="27"/>
        <v>55.009647766439635</v>
      </c>
      <c r="U87" s="55">
        <f t="shared" ca="1" si="28"/>
        <v>1.3386898147826627</v>
      </c>
      <c r="V87" s="55">
        <f t="shared" ca="1" si="29"/>
        <v>0</v>
      </c>
      <c r="W87" s="55">
        <f t="shared" ca="1" si="34"/>
        <v>-30.901641037967536</v>
      </c>
      <c r="X87" s="55">
        <f t="shared" ca="1" si="35"/>
        <v>36.922715551201847</v>
      </c>
      <c r="Y87" s="55">
        <f t="shared" ca="1" si="36"/>
        <v>-0.43433703470198282</v>
      </c>
      <c r="Z87">
        <f t="shared" ca="1" si="30"/>
        <v>0</v>
      </c>
      <c r="AA87">
        <f t="shared" ca="1" si="37"/>
        <v>86.231102229672985</v>
      </c>
      <c r="AB87">
        <f t="shared" ca="1" si="31"/>
        <v>0</v>
      </c>
      <c r="AC87">
        <f t="shared" ca="1" si="32"/>
        <v>6.6928509242848624E-3</v>
      </c>
      <c r="AD87" s="83">
        <f ca="1"/>
        <v>45631</v>
      </c>
      <c r="AE87" s="55">
        <f t="shared" ca="1" si="41"/>
        <v>45631</v>
      </c>
      <c r="AF87" s="55">
        <f t="shared" ca="1" si="42"/>
        <v>17.00623826596312</v>
      </c>
      <c r="AG87" s="55">
        <f t="shared" ca="1" si="43"/>
        <v>12.913585649206476</v>
      </c>
      <c r="AH87" s="55">
        <f t="shared" ca="1" si="44"/>
        <v>0</v>
      </c>
      <c r="AI87" s="55">
        <f t="shared" ca="1" si="38"/>
        <v>0</v>
      </c>
      <c r="AJ87" s="55">
        <f t="shared" ca="1" si="39"/>
        <v>37.023340736105219</v>
      </c>
      <c r="AK87" s="55">
        <f t="shared" ca="1" si="40"/>
        <v>10.465432329031735</v>
      </c>
    </row>
    <row r="88" spans="18:37">
      <c r="R88" s="83">
        <f ca="1"/>
        <v>45464</v>
      </c>
      <c r="S88" s="55">
        <f t="shared" ca="1" si="33"/>
        <v>45464</v>
      </c>
      <c r="T88" s="55">
        <f t="shared" ca="1" si="27"/>
        <v>55.083795750755549</v>
      </c>
      <c r="U88" s="55">
        <f t="shared" ca="1" si="28"/>
        <v>1.3386898147826627</v>
      </c>
      <c r="V88" s="55">
        <f t="shared" ca="1" si="29"/>
        <v>0</v>
      </c>
      <c r="W88" s="55">
        <f t="shared" ca="1" si="34"/>
        <v>-31.525720042417767</v>
      </c>
      <c r="X88" s="55">
        <f t="shared" ca="1" si="35"/>
        <v>37.296298228283952</v>
      </c>
      <c r="Y88" s="55">
        <f t="shared" ca="1" si="36"/>
        <v>-0.10969272301794675</v>
      </c>
      <c r="Z88">
        <f t="shared" ca="1" si="30"/>
        <v>0</v>
      </c>
      <c r="AA88">
        <f t="shared" ca="1" si="37"/>
        <v>87.841102229672998</v>
      </c>
      <c r="AB88">
        <f t="shared" ca="1" si="31"/>
        <v>0</v>
      </c>
      <c r="AC88">
        <f t="shared" ca="1" si="32"/>
        <v>6.6928509242848624E-3</v>
      </c>
      <c r="AD88" s="83">
        <f ca="1"/>
        <v>45632</v>
      </c>
      <c r="AE88" s="55">
        <f t="shared" ca="1" si="41"/>
        <v>45632</v>
      </c>
      <c r="AF88" s="55">
        <f t="shared" ca="1" si="42"/>
        <v>17.264441055949298</v>
      </c>
      <c r="AG88" s="55">
        <f t="shared" ca="1" si="43"/>
        <v>13.517980164456967</v>
      </c>
      <c r="AH88" s="55">
        <f t="shared" ca="1" si="44"/>
        <v>0</v>
      </c>
      <c r="AI88" s="55">
        <f t="shared" ca="1" si="38"/>
        <v>0</v>
      </c>
      <c r="AJ88" s="55">
        <f t="shared" ca="1" si="39"/>
        <v>37.494387966455164</v>
      </c>
      <c r="AK88" s="55">
        <f t="shared" ca="1" si="40"/>
        <v>10.856982403918458</v>
      </c>
    </row>
    <row r="89" spans="18:37">
      <c r="R89" s="83">
        <f ca="1"/>
        <v>45465</v>
      </c>
      <c r="S89" s="55">
        <f t="shared" ca="1" si="33"/>
        <v>45465</v>
      </c>
      <c r="T89" s="55">
        <f t="shared" ca="1" si="27"/>
        <v>55.226414686697929</v>
      </c>
      <c r="U89" s="55">
        <f t="shared" ca="1" si="28"/>
        <v>1.3386898147826627</v>
      </c>
      <c r="V89" s="55">
        <f t="shared" ca="1" si="29"/>
        <v>0</v>
      </c>
      <c r="W89" s="55">
        <f t="shared" ca="1" si="34"/>
        <v>-32.108665530777358</v>
      </c>
      <c r="X89" s="55">
        <f t="shared" ca="1" si="35"/>
        <v>37.688482301144639</v>
      </c>
      <c r="Y89" s="55">
        <f t="shared" ca="1" si="36"/>
        <v>0.22368762842333823</v>
      </c>
      <c r="Z89">
        <f t="shared" ca="1" si="30"/>
        <v>0</v>
      </c>
      <c r="AA89">
        <f t="shared" ca="1" si="37"/>
        <v>89.341102229672998</v>
      </c>
      <c r="AB89">
        <f t="shared" ca="1" si="31"/>
        <v>0</v>
      </c>
      <c r="AC89">
        <f t="shared" ca="1" si="32"/>
        <v>6.6928509242848624E-3</v>
      </c>
      <c r="AD89" s="83">
        <f ca="1"/>
        <v>45633</v>
      </c>
      <c r="AE89" s="55">
        <f t="shared" ca="1" si="41"/>
        <v>45633</v>
      </c>
      <c r="AF89" s="55">
        <f t="shared" ca="1" si="42"/>
        <v>17.451988142095217</v>
      </c>
      <c r="AG89" s="55">
        <f t="shared" ca="1" si="43"/>
        <v>14.095808510938117</v>
      </c>
      <c r="AH89" s="55">
        <f t="shared" ca="1" si="44"/>
        <v>0</v>
      </c>
      <c r="AI89" s="55">
        <f t="shared" ca="1" si="38"/>
        <v>0</v>
      </c>
      <c r="AJ89" s="55">
        <f t="shared" ca="1" si="39"/>
        <v>37.908733384274612</v>
      </c>
      <c r="AK89" s="55">
        <f t="shared" ca="1" si="40"/>
        <v>11.208012418726078</v>
      </c>
    </row>
    <row r="90" spans="18:37">
      <c r="R90" s="83">
        <f ca="1"/>
        <v>45466</v>
      </c>
      <c r="S90" s="55">
        <f t="shared" ca="1" si="33"/>
        <v>45466</v>
      </c>
      <c r="T90" s="55">
        <f t="shared" ca="1" si="27"/>
        <v>55.12757488617617</v>
      </c>
      <c r="U90" s="55">
        <f t="shared" ca="1" si="28"/>
        <v>1.3386898147826627</v>
      </c>
      <c r="V90" s="55">
        <f t="shared" ca="1" si="29"/>
        <v>0</v>
      </c>
      <c r="W90" s="55">
        <f t="shared" ca="1" si="34"/>
        <v>-32.950484016909598</v>
      </c>
      <c r="X90" s="55">
        <f t="shared" ca="1" si="35"/>
        <v>38.092777279459753</v>
      </c>
      <c r="Y90" s="55">
        <f t="shared" ca="1" si="36"/>
        <v>0.56237133571870324</v>
      </c>
      <c r="Z90">
        <f t="shared" ca="1" si="30"/>
        <v>0</v>
      </c>
      <c r="AA90">
        <f t="shared" ca="1" si="37"/>
        <v>91.511102229673</v>
      </c>
      <c r="AB90">
        <f t="shared" ca="1" si="31"/>
        <v>0</v>
      </c>
      <c r="AC90">
        <f t="shared" ca="1" si="32"/>
        <v>6.6928509242848624E-3</v>
      </c>
      <c r="AD90" s="83">
        <f ca="1"/>
        <v>45634</v>
      </c>
      <c r="AE90" s="55">
        <f t="shared" ca="1" si="41"/>
        <v>45634</v>
      </c>
      <c r="AF90" s="55">
        <f t="shared" ca="1" si="42"/>
        <v>17.598232029031994</v>
      </c>
      <c r="AG90" s="55">
        <f t="shared" ca="1" si="43"/>
        <v>14.729417716088129</v>
      </c>
      <c r="AH90" s="55">
        <f t="shared" ca="1" si="44"/>
        <v>0</v>
      </c>
      <c r="AI90" s="55">
        <f t="shared" ca="1" si="38"/>
        <v>0</v>
      </c>
      <c r="AJ90" s="55">
        <f t="shared" ca="1" si="39"/>
        <v>38.338439414784709</v>
      </c>
      <c r="AK90" s="55">
        <f t="shared" ca="1" si="40"/>
        <v>11.55815948030277</v>
      </c>
    </row>
    <row r="91" spans="18:37">
      <c r="R91" s="83">
        <f ca="1"/>
        <v>45467</v>
      </c>
      <c r="S91" s="55">
        <f t="shared" ca="1" si="33"/>
        <v>45467</v>
      </c>
      <c r="T91" s="55">
        <f t="shared" ca="1" si="27"/>
        <v>54.616486387822484</v>
      </c>
      <c r="U91" s="55">
        <f t="shared" ca="1" si="28"/>
        <v>1.3386898147826627</v>
      </c>
      <c r="V91" s="55">
        <f t="shared" ca="1" si="29"/>
        <v>0</v>
      </c>
      <c r="W91" s="55">
        <f t="shared" ca="1" si="34"/>
        <v>-34.226486965555466</v>
      </c>
      <c r="X91" s="55">
        <f t="shared" ca="1" si="35"/>
        <v>38.51231676906351</v>
      </c>
      <c r="Y91" s="55">
        <f t="shared" ca="1" si="36"/>
        <v>0.90774629640712767</v>
      </c>
      <c r="Z91">
        <f t="shared" ca="1" si="30"/>
        <v>0</v>
      </c>
      <c r="AA91">
        <f t="shared" ca="1" si="37"/>
        <v>94.831102229673007</v>
      </c>
      <c r="AB91">
        <f t="shared" ca="1" si="31"/>
        <v>0</v>
      </c>
      <c r="AC91">
        <f t="shared" ca="1" si="32"/>
        <v>6.6928509242848624E-3</v>
      </c>
      <c r="AD91" s="83">
        <f ca="1"/>
        <v>45635</v>
      </c>
      <c r="AE91" s="55">
        <f t="shared" ca="1" si="41"/>
        <v>45635</v>
      </c>
      <c r="AF91" s="55">
        <f t="shared" ca="1" si="42"/>
        <v>17.70458034183622</v>
      </c>
      <c r="AG91" s="55">
        <f t="shared" ca="1" si="43"/>
        <v>15.414262136632896</v>
      </c>
      <c r="AH91" s="55">
        <f t="shared" ca="1" si="44"/>
        <v>0</v>
      </c>
      <c r="AI91" s="55">
        <f t="shared" ca="1" si="38"/>
        <v>0</v>
      </c>
      <c r="AJ91" s="55">
        <f t="shared" ca="1" si="39"/>
        <v>38.78038763463816</v>
      </c>
      <c r="AK91" s="55">
        <f t="shared" ca="1" si="40"/>
        <v>11.907403993798312</v>
      </c>
    </row>
    <row r="92" spans="18:37">
      <c r="R92" s="83">
        <f ca="1"/>
        <v>45468</v>
      </c>
      <c r="S92" s="55">
        <f t="shared" ca="1" si="33"/>
        <v>45468</v>
      </c>
      <c r="T92" s="55">
        <f t="shared" ca="1" si="27"/>
        <v>54.861356711473611</v>
      </c>
      <c r="U92" s="55">
        <f t="shared" ca="1" si="28"/>
        <v>1.3386898147826627</v>
      </c>
      <c r="V92" s="55">
        <f t="shared" ca="1" si="29"/>
        <v>0</v>
      </c>
      <c r="W92" s="55">
        <f t="shared" ca="1" si="34"/>
        <v>-34.747669854314466</v>
      </c>
      <c r="X92" s="55">
        <f t="shared" ca="1" si="35"/>
        <v>38.933304709509997</v>
      </c>
      <c r="Y92" s="55">
        <f t="shared" ca="1" si="36"/>
        <v>1.2528115683707686</v>
      </c>
      <c r="Z92">
        <f t="shared" ca="1" si="30"/>
        <v>0</v>
      </c>
      <c r="AA92">
        <f t="shared" ca="1" si="37"/>
        <v>96.181102229673002</v>
      </c>
      <c r="AB92">
        <f t="shared" ca="1" si="31"/>
        <v>0</v>
      </c>
      <c r="AC92">
        <f t="shared" ca="1" si="32"/>
        <v>6.6928509242848624E-3</v>
      </c>
      <c r="AD92" s="83">
        <f ca="1"/>
        <v>45636</v>
      </c>
      <c r="AE92" s="55">
        <f t="shared" ca="1" si="41"/>
        <v>45636</v>
      </c>
      <c r="AF92" s="55">
        <f t="shared" ca="1" si="42"/>
        <v>17.763679439174037</v>
      </c>
      <c r="AG92" s="55">
        <f t="shared" ca="1" si="43"/>
        <v>16.181863416605825</v>
      </c>
      <c r="AH92" s="55">
        <f t="shared" ca="1" si="44"/>
        <v>0</v>
      </c>
      <c r="AI92" s="55">
        <f t="shared" ca="1" si="38"/>
        <v>0</v>
      </c>
      <c r="AJ92" s="55">
        <f t="shared" ca="1" si="39"/>
        <v>39.25116839203455</v>
      </c>
      <c r="AK92" s="55">
        <f t="shared" ca="1" si="40"/>
        <v>12.263323613712664</v>
      </c>
    </row>
    <row r="93" spans="18:37">
      <c r="R93" s="83">
        <f ca="1"/>
        <v>45469</v>
      </c>
      <c r="S93" s="55">
        <f t="shared" ca="1" si="33"/>
        <v>45469</v>
      </c>
      <c r="T93" s="55">
        <f t="shared" ca="1" si="27"/>
        <v>54.859918405937663</v>
      </c>
      <c r="U93" s="55">
        <f t="shared" ca="1" si="28"/>
        <v>1.3386898147826627</v>
      </c>
      <c r="V93" s="55">
        <f t="shared" ca="1" si="29"/>
        <v>0</v>
      </c>
      <c r="W93" s="55">
        <f t="shared" ca="1" si="34"/>
        <v>-35.458004205229869</v>
      </c>
      <c r="X93" s="55">
        <f t="shared" ca="1" si="35"/>
        <v>39.316793402492578</v>
      </c>
      <c r="Y93" s="55">
        <f t="shared" ca="1" si="36"/>
        <v>1.5782189207676378</v>
      </c>
      <c r="Z93">
        <f t="shared" ca="1" si="30"/>
        <v>0</v>
      </c>
      <c r="AA93">
        <f t="shared" ca="1" si="37"/>
        <v>98.021102229673005</v>
      </c>
      <c r="AB93">
        <f t="shared" ca="1" si="31"/>
        <v>0</v>
      </c>
      <c r="AC93">
        <f t="shared" ca="1" si="32"/>
        <v>6.6928509242848624E-3</v>
      </c>
      <c r="AD93" s="83">
        <f ca="1"/>
        <v>45637</v>
      </c>
      <c r="AE93" s="55">
        <f t="shared" ca="1" si="41"/>
        <v>45637</v>
      </c>
      <c r="AF93" s="55">
        <f t="shared" ca="1" si="42"/>
        <v>17.816357674451837</v>
      </c>
      <c r="AG93" s="55">
        <f t="shared" ca="1" si="43"/>
        <v>17.011599419515591</v>
      </c>
      <c r="AH93" s="55">
        <f t="shared" ca="1" si="44"/>
        <v>0</v>
      </c>
      <c r="AI93" s="55">
        <f t="shared" ca="1" si="38"/>
        <v>0</v>
      </c>
      <c r="AJ93" s="55">
        <f t="shared" ca="1" si="39"/>
        <v>39.754350717828807</v>
      </c>
      <c r="AK93" s="55">
        <f t="shared" ca="1" si="40"/>
        <v>12.642555526105973</v>
      </c>
    </row>
    <row r="94" spans="18:37">
      <c r="R94" s="83">
        <f ca="1"/>
        <v>45470</v>
      </c>
      <c r="S94" s="55">
        <f t="shared" ca="1" si="33"/>
        <v>45470</v>
      </c>
      <c r="T94" s="55">
        <f t="shared" ca="1" si="27"/>
        <v>55.048528856975366</v>
      </c>
      <c r="U94" s="55">
        <f t="shared" ca="1" si="28"/>
        <v>1.3386898147826627</v>
      </c>
      <c r="V94" s="55">
        <f t="shared" ca="1" si="29"/>
        <v>0</v>
      </c>
      <c r="W94" s="55">
        <f t="shared" ca="1" si="34"/>
        <v>-35.957722517187079</v>
      </c>
      <c r="X94" s="55">
        <f t="shared" ca="1" si="35"/>
        <v>39.687260517387628</v>
      </c>
      <c r="Y94" s="55">
        <f t="shared" ca="1" si="36"/>
        <v>1.8960805688675002</v>
      </c>
      <c r="Z94">
        <f t="shared" ca="1" si="30"/>
        <v>0</v>
      </c>
      <c r="AA94">
        <f t="shared" ca="1" si="37"/>
        <v>99.311102229672997</v>
      </c>
      <c r="AB94">
        <f t="shared" ca="1" si="31"/>
        <v>0</v>
      </c>
      <c r="AC94">
        <f t="shared" ca="1" si="32"/>
        <v>6.6928509242848624E-3</v>
      </c>
      <c r="AD94" s="83">
        <f ca="1"/>
        <v>45638</v>
      </c>
      <c r="AE94" s="55">
        <f t="shared" ca="1" si="41"/>
        <v>45638</v>
      </c>
      <c r="AF94" s="55">
        <f t="shared" ca="1" si="42"/>
        <v>17.836621877596716</v>
      </c>
      <c r="AG94" s="55">
        <f t="shared" ca="1" si="43"/>
        <v>17.840099042548658</v>
      </c>
      <c r="AH94" s="55">
        <f t="shared" ca="1" si="44"/>
        <v>0</v>
      </c>
      <c r="AI94" s="55">
        <f t="shared" ca="1" si="38"/>
        <v>0</v>
      </c>
      <c r="AJ94" s="55">
        <f t="shared" ca="1" si="39"/>
        <v>40.237479473638281</v>
      </c>
      <c r="AK94" s="55">
        <f t="shared" ca="1" si="40"/>
        <v>13.008190596474442</v>
      </c>
    </row>
    <row r="95" spans="18:37">
      <c r="R95" s="83">
        <f ca="1"/>
        <v>45471</v>
      </c>
      <c r="S95" s="55">
        <f t="shared" ca="1" si="33"/>
        <v>45471</v>
      </c>
      <c r="T95" s="55">
        <f t="shared" ca="1" si="27"/>
        <v>55.051605463799206</v>
      </c>
      <c r="U95" s="55">
        <f t="shared" ca="1" si="28"/>
        <v>1.3386898147826627</v>
      </c>
      <c r="V95" s="55">
        <f t="shared" ca="1" si="29"/>
        <v>0</v>
      </c>
      <c r="W95" s="55">
        <f t="shared" ca="1" si="34"/>
        <v>-36.651168851195898</v>
      </c>
      <c r="X95" s="55">
        <f t="shared" ca="1" si="35"/>
        <v>40.063976278744839</v>
      </c>
      <c r="Y95" s="55">
        <f t="shared" ca="1" si="36"/>
        <v>2.2158877483429453</v>
      </c>
      <c r="Z95">
        <f t="shared" ca="1" si="30"/>
        <v>0</v>
      </c>
      <c r="AA95">
        <f t="shared" ca="1" si="37"/>
        <v>101.101102229673</v>
      </c>
      <c r="AB95">
        <f t="shared" ca="1" si="31"/>
        <v>0</v>
      </c>
      <c r="AC95">
        <f t="shared" ca="1" si="32"/>
        <v>6.6928509242848624E-3</v>
      </c>
      <c r="AD95" s="83">
        <f ca="1"/>
        <v>45639</v>
      </c>
      <c r="AE95" s="55">
        <f t="shared" ca="1" si="41"/>
        <v>45639</v>
      </c>
      <c r="AF95" s="55">
        <f t="shared" ca="1" si="42"/>
        <v>17.819832109028592</v>
      </c>
      <c r="AG95" s="55">
        <f t="shared" ca="1" si="43"/>
        <v>18.661597511680572</v>
      </c>
      <c r="AH95" s="55">
        <f t="shared" ca="1" si="44"/>
        <v>0</v>
      </c>
      <c r="AI95" s="55">
        <f t="shared" ca="1" si="38"/>
        <v>0</v>
      </c>
      <c r="AJ95" s="55">
        <f t="shared" ca="1" si="39"/>
        <v>40.695471072599119</v>
      </c>
      <c r="AK95" s="55">
        <f t="shared" ca="1" si="40"/>
        <v>13.35490769807739</v>
      </c>
    </row>
    <row r="96" spans="18:37">
      <c r="R96" s="83">
        <f ca="1"/>
        <v>45472</v>
      </c>
      <c r="S96" s="55">
        <f t="shared" ca="1" si="33"/>
        <v>45472</v>
      </c>
      <c r="T96" s="55">
        <f t="shared" ca="1" si="27"/>
        <v>55.414630390356578</v>
      </c>
      <c r="U96" s="55">
        <f t="shared" ca="1" si="28"/>
        <v>1.3386898147826627</v>
      </c>
      <c r="V96" s="55">
        <f t="shared" ca="1" si="29"/>
        <v>0</v>
      </c>
      <c r="W96" s="55">
        <f t="shared" ca="1" si="34"/>
        <v>-37.029425013453036</v>
      </c>
      <c r="X96" s="55">
        <f t="shared" ca="1" si="35"/>
        <v>40.471573949126686</v>
      </c>
      <c r="Y96" s="55">
        <f t="shared" ca="1" si="36"/>
        <v>2.5495711667756087</v>
      </c>
      <c r="Z96">
        <f t="shared" ca="1" si="30"/>
        <v>0</v>
      </c>
      <c r="AA96">
        <f t="shared" ca="1" si="37"/>
        <v>102.071102229673</v>
      </c>
      <c r="AB96">
        <f t="shared" ca="1" si="31"/>
        <v>0</v>
      </c>
      <c r="AC96">
        <f t="shared" ca="1" si="32"/>
        <v>6.6928509242848624E-3</v>
      </c>
      <c r="AD96" s="83">
        <f ca="1"/>
        <v>45640</v>
      </c>
      <c r="AE96" s="55">
        <f t="shared" ca="1" si="41"/>
        <v>45640</v>
      </c>
      <c r="AF96" s="55">
        <f t="shared" ca="1" si="42"/>
        <v>17.791349227692855</v>
      </c>
      <c r="AG96" s="55">
        <f t="shared" ca="1" si="43"/>
        <v>19.497723223548579</v>
      </c>
      <c r="AH96" s="55">
        <f t="shared" ca="1" si="44"/>
        <v>0</v>
      </c>
      <c r="AI96" s="55">
        <f t="shared" ca="1" si="38"/>
        <v>0</v>
      </c>
      <c r="AJ96" s="55">
        <f t="shared" ca="1" si="39"/>
        <v>41.154823854535771</v>
      </c>
      <c r="AK96" s="55">
        <f t="shared" ca="1" si="40"/>
        <v>13.703197746673005</v>
      </c>
    </row>
    <row r="97" spans="18:37">
      <c r="R97" s="83">
        <f ca="1"/>
        <v>45473</v>
      </c>
      <c r="S97" s="55">
        <f t="shared" ca="1" si="33"/>
        <v>45473</v>
      </c>
      <c r="T97" s="55">
        <f t="shared" ca="1" si="27"/>
        <v>55.953154991540622</v>
      </c>
      <c r="U97" s="55">
        <f t="shared" ca="1" si="28"/>
        <v>1.3386898147826627</v>
      </c>
      <c r="V97" s="55">
        <f t="shared" ca="1" si="29"/>
        <v>0</v>
      </c>
      <c r="W97" s="55">
        <f t="shared" ca="1" si="34"/>
        <v>-37.147548340657401</v>
      </c>
      <c r="X97" s="55">
        <f t="shared" ca="1" si="35"/>
        <v>40.823284731605916</v>
      </c>
      <c r="Y97" s="55">
        <f t="shared" ca="1" si="36"/>
        <v>2.8545083126847892</v>
      </c>
      <c r="Z97">
        <f t="shared" ca="1" si="30"/>
        <v>0</v>
      </c>
      <c r="AA97">
        <f t="shared" ca="1" si="37"/>
        <v>102.371102229673</v>
      </c>
      <c r="AB97">
        <f t="shared" ca="1" si="31"/>
        <v>0</v>
      </c>
      <c r="AC97">
        <f t="shared" ca="1" si="32"/>
        <v>6.6928509242848624E-3</v>
      </c>
      <c r="AD97" s="83">
        <f ca="1"/>
        <v>45641</v>
      </c>
      <c r="AE97" s="55">
        <f t="shared" ca="1" si="41"/>
        <v>45641</v>
      </c>
      <c r="AF97" s="55">
        <f t="shared" ca="1" si="42"/>
        <v>17.72465237380155</v>
      </c>
      <c r="AG97" s="55">
        <f t="shared" ca="1" si="43"/>
        <v>20.371862450135438</v>
      </c>
      <c r="AH97" s="55">
        <f t="shared" ca="1" si="44"/>
        <v>0</v>
      </c>
      <c r="AI97" s="55">
        <f t="shared" ca="1" si="38"/>
        <v>0</v>
      </c>
      <c r="AJ97" s="55">
        <f t="shared" ca="1" si="39"/>
        <v>41.617654797356749</v>
      </c>
      <c r="AK97" s="55">
        <f t="shared" ca="1" si="40"/>
        <v>14.047809176547581</v>
      </c>
    </row>
    <row r="98" spans="18:37">
      <c r="R98" s="83">
        <f ca="1"/>
        <v>45474</v>
      </c>
      <c r="S98" s="55">
        <f t="shared" ca="1" si="33"/>
        <v>45474</v>
      </c>
      <c r="T98" s="55">
        <f t="shared" ca="1" si="27"/>
        <v>55.772889187190991</v>
      </c>
      <c r="U98" s="55">
        <f t="shared" ca="1" si="28"/>
        <v>1.3386898147826627</v>
      </c>
      <c r="V98" s="55">
        <f t="shared" ca="1" si="29"/>
        <v>0</v>
      </c>
      <c r="W98" s="55">
        <f t="shared" ca="1" si="34"/>
        <v>-37.948199149877965</v>
      </c>
      <c r="X98" s="55">
        <f t="shared" ca="1" si="35"/>
        <v>41.151542786523521</v>
      </c>
      <c r="Y98" s="55">
        <f t="shared" ca="1" si="36"/>
        <v>3.1466352626381173</v>
      </c>
      <c r="Z98">
        <f t="shared" ca="1" si="30"/>
        <v>0</v>
      </c>
      <c r="AA98">
        <f t="shared" ca="1" si="37"/>
        <v>104.41110222967299</v>
      </c>
      <c r="AB98">
        <f t="shared" ca="1" si="31"/>
        <v>0</v>
      </c>
      <c r="AC98">
        <f t="shared" ca="1" si="32"/>
        <v>6.6928509242848624E-3</v>
      </c>
      <c r="AD98" s="83">
        <f ca="1"/>
        <v>45642</v>
      </c>
      <c r="AE98" s="55">
        <f t="shared" ca="1" si="41"/>
        <v>45642</v>
      </c>
      <c r="AF98" s="55">
        <f t="shared" ca="1" si="42"/>
        <v>17.586613585428616</v>
      </c>
      <c r="AG98" s="55">
        <f t="shared" ca="1" si="43"/>
        <v>21.301619731105511</v>
      </c>
      <c r="AH98" s="55">
        <f t="shared" ca="1" si="44"/>
        <v>0</v>
      </c>
      <c r="AI98" s="55">
        <f t="shared" ca="1" si="38"/>
        <v>0</v>
      </c>
      <c r="AJ98" s="55">
        <f t="shared" ca="1" si="39"/>
        <v>42.077757850402662</v>
      </c>
      <c r="AK98" s="55">
        <f t="shared" ca="1" si="40"/>
        <v>14.379424616098802</v>
      </c>
    </row>
    <row r="99" spans="18:37">
      <c r="R99" s="83">
        <f ca="1"/>
        <v>45475</v>
      </c>
      <c r="S99" s="55">
        <f t="shared" ca="1" si="33"/>
        <v>45475</v>
      </c>
      <c r="T99" s="55">
        <f t="shared" ca="1" si="27"/>
        <v>55.840115902158978</v>
      </c>
      <c r="U99" s="55">
        <f t="shared" ca="1" si="28"/>
        <v>1.3386898147826627</v>
      </c>
      <c r="V99" s="55">
        <f t="shared" ca="1" si="29"/>
        <v>0</v>
      </c>
      <c r="W99" s="55">
        <f t="shared" ca="1" si="34"/>
        <v>-38.537622595511863</v>
      </c>
      <c r="X99" s="55">
        <f t="shared" ca="1" si="35"/>
        <v>41.504970753623731</v>
      </c>
      <c r="Y99" s="55">
        <f t="shared" ca="1" si="36"/>
        <v>3.4498574561397923</v>
      </c>
      <c r="Z99">
        <f t="shared" ca="1" si="30"/>
        <v>0</v>
      </c>
      <c r="AA99">
        <f t="shared" ca="1" si="37"/>
        <v>105.91110222967299</v>
      </c>
      <c r="AB99">
        <f t="shared" ca="1" si="31"/>
        <v>0</v>
      </c>
      <c r="AC99">
        <f t="shared" ca="1" si="32"/>
        <v>6.6928509242848624E-3</v>
      </c>
      <c r="AD99" s="83">
        <f ca="1"/>
        <v>45643</v>
      </c>
      <c r="AE99" s="55">
        <f t="shared" ca="1" si="41"/>
        <v>45643</v>
      </c>
      <c r="AF99" s="55">
        <f t="shared" ca="1" si="42"/>
        <v>17.387415953080659</v>
      </c>
      <c r="AG99" s="55">
        <f t="shared" ca="1" si="43"/>
        <v>22.283569327958286</v>
      </c>
      <c r="AH99" s="55">
        <f t="shared" ca="1" si="44"/>
        <v>0</v>
      </c>
      <c r="AI99" s="55">
        <f t="shared" ca="1" si="38"/>
        <v>0</v>
      </c>
      <c r="AJ99" s="55">
        <f t="shared" ca="1" si="39"/>
        <v>42.538320397741565</v>
      </c>
      <c r="AK99" s="55">
        <f t="shared" ca="1" si="40"/>
        <v>14.701614033264718</v>
      </c>
    </row>
    <row r="100" spans="18:37">
      <c r="R100" s="83">
        <f ca="1"/>
        <v>45476</v>
      </c>
      <c r="S100" s="55">
        <f t="shared" ca="1" si="33"/>
        <v>45476</v>
      </c>
      <c r="T100" s="55">
        <f t="shared" ca="1" si="27"/>
        <v>56.05128913787577</v>
      </c>
      <c r="U100" s="55">
        <f t="shared" ca="1" si="28"/>
        <v>1.3386898147826627</v>
      </c>
      <c r="V100" s="55">
        <f t="shared" ca="1" si="29"/>
        <v>0</v>
      </c>
      <c r="W100" s="55">
        <f t="shared" ca="1" si="34"/>
        <v>-39.00305589272341</v>
      </c>
      <c r="X100" s="55">
        <f t="shared" ca="1" si="35"/>
        <v>41.872781303813497</v>
      </c>
      <c r="Y100" s="55">
        <f t="shared" ca="1" si="36"/>
        <v>3.7586534388783654</v>
      </c>
      <c r="Z100">
        <f t="shared" ca="1" si="30"/>
        <v>0</v>
      </c>
      <c r="AA100">
        <f t="shared" ca="1" si="37"/>
        <v>107.091102229673</v>
      </c>
      <c r="AB100">
        <f t="shared" ca="1" si="31"/>
        <v>0</v>
      </c>
      <c r="AC100">
        <f t="shared" ca="1" si="32"/>
        <v>6.6928509242848624E-3</v>
      </c>
      <c r="AD100" s="83">
        <f ca="1"/>
        <v>45644</v>
      </c>
      <c r="AE100" s="55">
        <f t="shared" ca="1" si="41"/>
        <v>45644</v>
      </c>
      <c r="AF100" s="55">
        <f t="shared" ca="1" si="42"/>
        <v>17.166437132898643</v>
      </c>
      <c r="AG100" s="55">
        <f t="shared" ca="1" si="43"/>
        <v>23.245285882601028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42.973167202150364</v>
      </c>
      <c r="AK100" s="55">
        <f t="shared" ca="1" si="40"/>
        <v>15.007504963316642</v>
      </c>
    </row>
    <row r="101" spans="18:37">
      <c r="R101" s="83">
        <f ca="1"/>
        <v>45477</v>
      </c>
      <c r="S101" s="55">
        <f t="shared" ca="1" si="33"/>
        <v>45477</v>
      </c>
      <c r="T101" s="55">
        <f t="shared" ca="1" si="27"/>
        <v>56.13970972012509</v>
      </c>
      <c r="U101" s="55">
        <f t="shared" ca="1" si="28"/>
        <v>1.3386898147826627</v>
      </c>
      <c r="V101" s="55">
        <f t="shared" ca="1" si="29"/>
        <v>0</v>
      </c>
      <c r="W101" s="55">
        <f t="shared" ca="1" si="34"/>
        <v>-39.591691145381461</v>
      </c>
      <c r="X101" s="55">
        <f t="shared" ca="1" si="35"/>
        <v>42.241918532205922</v>
      </c>
      <c r="Y101" s="55">
        <f t="shared" ca="1" si="36"/>
        <v>4.0665720453933112</v>
      </c>
      <c r="Z101">
        <f t="shared" ca="1" si="30"/>
        <v>0</v>
      </c>
      <c r="AA101">
        <f t="shared" ca="1" si="37"/>
        <v>108.58110222967299</v>
      </c>
      <c r="AB101">
        <f t="shared" ca="1" si="31"/>
        <v>0</v>
      </c>
      <c r="AC101">
        <f t="shared" ca="1" si="32"/>
        <v>6.6928509242848624E-3</v>
      </c>
      <c r="AD101" s="83">
        <f ca="1"/>
        <v>45645</v>
      </c>
      <c r="AE101" s="55">
        <f t="shared" ca="1" si="41"/>
        <v>45645</v>
      </c>
      <c r="AF101" s="55">
        <f t="shared" ca="1" si="42"/>
        <v>16.930448772336895</v>
      </c>
      <c r="AG101" s="55">
        <f t="shared" ca="1" si="43"/>
        <v>24.311534221138285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43.466598094730301</v>
      </c>
      <c r="AK101" s="55">
        <f t="shared" ca="1" si="40"/>
        <v>15.344334048712213</v>
      </c>
    </row>
    <row r="102" spans="18:37">
      <c r="R102" s="83">
        <f ca="1"/>
        <v>45478</v>
      </c>
      <c r="S102" s="55">
        <f t="shared" ca="1" si="33"/>
        <v>45478</v>
      </c>
      <c r="T102" s="55">
        <f t="shared" ca="1" si="27"/>
        <v>56.468173324175069</v>
      </c>
      <c r="U102" s="55">
        <f t="shared" ca="1" si="28"/>
        <v>1.3386898147826627</v>
      </c>
      <c r="V102" s="55">
        <f t="shared" ca="1" si="29"/>
        <v>0</v>
      </c>
      <c r="W102" s="55">
        <f t="shared" ca="1" si="34"/>
        <v>-39.913559733329258</v>
      </c>
      <c r="X102" s="55">
        <f t="shared" ca="1" si="35"/>
        <v>42.594058082654122</v>
      </c>
      <c r="Y102" s="55">
        <f t="shared" ca="1" si="36"/>
        <v>4.3647646869428876</v>
      </c>
      <c r="Z102">
        <f t="shared" ca="1" si="30"/>
        <v>0</v>
      </c>
      <c r="AA102">
        <f t="shared" ca="1" si="37"/>
        <v>109.39110222967298</v>
      </c>
      <c r="AB102">
        <f t="shared" ca="1" si="31"/>
        <v>0</v>
      </c>
      <c r="AC102">
        <f t="shared" ca="1" si="32"/>
        <v>6.6928509242848624E-3</v>
      </c>
      <c r="AD102" s="83">
        <f ca="1"/>
        <v>45646</v>
      </c>
      <c r="AE102" s="55">
        <f t="shared" ca="1" si="41"/>
        <v>45646</v>
      </c>
      <c r="AF102" s="55">
        <f t="shared" ca="1" si="42"/>
        <v>16.647525247139487</v>
      </c>
      <c r="AG102" s="55">
        <f t="shared" ca="1" si="43"/>
        <v>25.466330825742492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43.994751925907565</v>
      </c>
      <c r="AK102" s="55">
        <f t="shared" ca="1" si="40"/>
        <v>15.688053296941753</v>
      </c>
    </row>
    <row r="103" spans="18:37">
      <c r="R103" s="83">
        <f ca="1"/>
        <v>45479</v>
      </c>
      <c r="S103" s="55">
        <f t="shared" ca="1" si="33"/>
        <v>45479</v>
      </c>
      <c r="T103" s="55">
        <f t="shared" ca="1" si="27"/>
        <v>56.480965993783499</v>
      </c>
      <c r="U103" s="55">
        <f t="shared" ca="1" si="28"/>
        <v>1.3386898147826627</v>
      </c>
      <c r="V103" s="55">
        <f t="shared" ca="1" si="29"/>
        <v>0</v>
      </c>
      <c r="W103" s="55">
        <f t="shared" ca="1" si="34"/>
        <v>-40.505773121212222</v>
      </c>
      <c r="X103" s="55">
        <f t="shared" ca="1" si="35"/>
        <v>42.916622991528662</v>
      </c>
      <c r="Y103" s="55">
        <f t="shared" ca="1" si="36"/>
        <v>4.6472058355597419</v>
      </c>
      <c r="Z103">
        <f t="shared" ca="1" si="30"/>
        <v>0</v>
      </c>
      <c r="AA103">
        <f t="shared" ca="1" si="37"/>
        <v>110.88110222967298</v>
      </c>
      <c r="AB103">
        <f t="shared" ca="1" si="31"/>
        <v>0</v>
      </c>
      <c r="AC103">
        <f t="shared" ca="1" si="32"/>
        <v>6.6928509242848624E-3</v>
      </c>
      <c r="AD103" s="83">
        <f ca="1"/>
        <v>45647</v>
      </c>
      <c r="AE103" s="55">
        <f t="shared" ca="1" si="41"/>
        <v>45647</v>
      </c>
      <c r="AF103" s="55">
        <f t="shared" ca="1" si="42"/>
        <v>16.347960035209773</v>
      </c>
      <c r="AG103" s="55">
        <f t="shared" ca="1" si="43"/>
        <v>26.580345049331793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44.493746747991011</v>
      </c>
      <c r="AK103" s="55">
        <f t="shared" ca="1" si="40"/>
        <v>16.003507486517897</v>
      </c>
    </row>
    <row r="104" spans="18:37">
      <c r="R104" s="83">
        <f ca="1"/>
        <v>45480</v>
      </c>
      <c r="S104" s="55">
        <f t="shared" ca="1" si="33"/>
        <v>45480</v>
      </c>
      <c r="T104" s="55">
        <f t="shared" ca="1" si="27"/>
        <v>56.375918208120808</v>
      </c>
      <c r="U104" s="55">
        <f t="shared" ca="1" si="28"/>
        <v>1.3386898147826627</v>
      </c>
      <c r="V104" s="55">
        <f t="shared" ca="1" si="29"/>
        <v>0</v>
      </c>
      <c r="W104" s="55">
        <f t="shared" ca="1" si="34"/>
        <v>-41.1960649197161</v>
      </c>
      <c r="X104" s="55">
        <f t="shared" ca="1" si="35"/>
        <v>43.226820876811118</v>
      </c>
      <c r="Y104" s="55">
        <f t="shared" ca="1" si="36"/>
        <v>4.9222519631184731</v>
      </c>
      <c r="Z104">
        <f t="shared" ca="1" si="30"/>
        <v>0</v>
      </c>
      <c r="AA104">
        <f t="shared" ca="1" si="37"/>
        <v>112.62110222967297</v>
      </c>
      <c r="AB104">
        <f t="shared" ca="1" si="31"/>
        <v>0</v>
      </c>
      <c r="AC104">
        <f t="shared" ca="1" si="32"/>
        <v>6.6928509242848624E-3</v>
      </c>
      <c r="AD104" s="83">
        <f ca="1"/>
        <v>45648</v>
      </c>
      <c r="AE104" s="55">
        <f t="shared" ca="1" si="41"/>
        <v>45648</v>
      </c>
      <c r="AF104" s="55">
        <f t="shared" ca="1" si="42"/>
        <v>16.009224721166081</v>
      </c>
      <c r="AG104" s="55">
        <f t="shared" ca="1" si="43"/>
        <v>27.758898871032116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45.018002630255438</v>
      </c>
      <c r="AK104" s="55">
        <f t="shared" ca="1" si="40"/>
        <v>16.319070111910101</v>
      </c>
    </row>
    <row r="105" spans="18:37">
      <c r="R105" s="83">
        <f ca="1"/>
        <v>45481</v>
      </c>
      <c r="S105" s="55">
        <f t="shared" ca="1" si="33"/>
        <v>45481</v>
      </c>
      <c r="T105" s="55">
        <f t="shared" ca="1" si="27"/>
        <v>56.402125283098975</v>
      </c>
      <c r="U105" s="55">
        <f t="shared" ca="1" si="28"/>
        <v>1.3386898147826627</v>
      </c>
      <c r="V105" s="55">
        <f t="shared" ca="1" si="29"/>
        <v>0</v>
      </c>
      <c r="W105" s="55">
        <f t="shared" ca="1" si="34"/>
        <v>-41.799358763484953</v>
      </c>
      <c r="X105" s="55">
        <f t="shared" ca="1" si="35"/>
        <v>43.567926537075756</v>
      </c>
      <c r="Y105" s="55">
        <f t="shared" ca="1" si="36"/>
        <v>5.210647221600853</v>
      </c>
      <c r="Z105">
        <f t="shared" ca="1" si="30"/>
        <v>0</v>
      </c>
      <c r="AA105">
        <f t="shared" ca="1" si="37"/>
        <v>114.14110222967297</v>
      </c>
      <c r="AB105">
        <f t="shared" ca="1" si="31"/>
        <v>0</v>
      </c>
      <c r="AC105">
        <f t="shared" ca="1" si="32"/>
        <v>6.6928509242848624E-3</v>
      </c>
      <c r="AD105" s="83">
        <f ca="1"/>
        <v>45649</v>
      </c>
      <c r="AE105" s="55">
        <f t="shared" ca="1" si="41"/>
        <v>45649</v>
      </c>
      <c r="AF105" s="55">
        <f t="shared" ca="1" si="42"/>
        <v>15.614207048250595</v>
      </c>
      <c r="AG105" s="55">
        <f t="shared" ca="1" si="43"/>
        <v>29.033964207673112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45.575989718977659</v>
      </c>
      <c r="AK105" s="55">
        <f t="shared" ca="1" si="40"/>
        <v>16.641130686913392</v>
      </c>
    </row>
    <row r="106" spans="18:37">
      <c r="R106" s="83">
        <f ca="1"/>
        <v>45482</v>
      </c>
      <c r="S106" s="55">
        <f t="shared" ca="1" si="33"/>
        <v>45482</v>
      </c>
      <c r="T106" s="55">
        <f t="shared" ca="1" si="27"/>
        <v>56.503010104033152</v>
      </c>
      <c r="U106" s="55">
        <f t="shared" ca="1" si="28"/>
        <v>1.3386898147826627</v>
      </c>
      <c r="V106" s="55">
        <f t="shared" ca="1" si="29"/>
        <v>0</v>
      </c>
      <c r="W106" s="55">
        <f t="shared" ca="1" si="34"/>
        <v>-42.3122805329849</v>
      </c>
      <c r="X106" s="55">
        <f t="shared" ca="1" si="35"/>
        <v>43.899468188191264</v>
      </c>
      <c r="Y106" s="55">
        <f t="shared" ca="1" si="36"/>
        <v>5.4929121609194702</v>
      </c>
      <c r="Z106">
        <f t="shared" ca="1" si="30"/>
        <v>0</v>
      </c>
      <c r="AA106">
        <f t="shared" ca="1" si="37"/>
        <v>115.43110222967297</v>
      </c>
      <c r="AB106">
        <f t="shared" ca="1" si="31"/>
        <v>0</v>
      </c>
      <c r="AC106">
        <f t="shared" ca="1" si="32"/>
        <v>6.6928509242848624E-3</v>
      </c>
      <c r="AD106" s="83">
        <f ca="1"/>
        <v>45650</v>
      </c>
      <c r="AE106" s="55">
        <f t="shared" ca="1" si="41"/>
        <v>45650</v>
      </c>
      <c r="AF106" s="55">
        <f t="shared" ca="1" si="42"/>
        <v>15.175204596584866</v>
      </c>
      <c r="AG106" s="55">
        <f t="shared" ca="1" si="43"/>
        <v>30.331124392304815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46.123750511221786</v>
      </c>
      <c r="AK106" s="55">
        <f t="shared" ca="1" si="40"/>
        <v>16.951527627635237</v>
      </c>
    </row>
    <row r="107" spans="18:37">
      <c r="R107" s="83">
        <f ca="1"/>
        <v>45483</v>
      </c>
      <c r="S107" s="55">
        <f t="shared" ca="1" si="33"/>
        <v>45483</v>
      </c>
      <c r="T107" s="55">
        <f t="shared" ca="1" si="27"/>
        <v>56.871012731699587</v>
      </c>
      <c r="U107" s="55">
        <f t="shared" ca="1" si="28"/>
        <v>1.3386898147826627</v>
      </c>
      <c r="V107" s="55">
        <f t="shared" ca="1" si="29"/>
        <v>0</v>
      </c>
      <c r="W107" s="55">
        <f t="shared" ca="1" si="34"/>
        <v>-42.564408689428767</v>
      </c>
      <c r="X107" s="55">
        <f t="shared" ca="1" si="35"/>
        <v>44.236392981136774</v>
      </c>
      <c r="Y107" s="55">
        <f t="shared" ca="1" si="36"/>
        <v>5.7761181520842637</v>
      </c>
      <c r="Z107">
        <f t="shared" ca="1" si="30"/>
        <v>0</v>
      </c>
      <c r="AA107">
        <f t="shared" ca="1" si="37"/>
        <v>116.06110222967297</v>
      </c>
      <c r="AB107">
        <f t="shared" ca="1" si="31"/>
        <v>0</v>
      </c>
      <c r="AC107">
        <f t="shared" ca="1" si="32"/>
        <v>6.6928509242848624E-3</v>
      </c>
      <c r="AD107" s="83">
        <f ca="1"/>
        <v>45651</v>
      </c>
      <c r="AE107" s="55">
        <f t="shared" ca="1" si="41"/>
        <v>45651</v>
      </c>
      <c r="AF107" s="55">
        <f t="shared" ca="1" si="42"/>
        <v>14.669549339440596</v>
      </c>
      <c r="AG107" s="55">
        <f t="shared" ca="1" si="43"/>
        <v>31.747776166154164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46.714958811055212</v>
      </c>
      <c r="AK107" s="55">
        <f t="shared" ca="1" si="40"/>
        <v>17.271315844506887</v>
      </c>
    </row>
    <row r="108" spans="18:37">
      <c r="R108" s="83">
        <f ca="1"/>
        <v>45484</v>
      </c>
      <c r="S108" s="55">
        <f t="shared" ca="1" si="33"/>
        <v>45484</v>
      </c>
      <c r="T108" s="55">
        <f t="shared" ca="1" si="27"/>
        <v>57.080307813265122</v>
      </c>
      <c r="U108" s="55">
        <f t="shared" ca="1" si="28"/>
        <v>1.3386898147826627</v>
      </c>
      <c r="V108" s="55">
        <f t="shared" ca="1" si="29"/>
        <v>0</v>
      </c>
      <c r="W108" s="55">
        <f t="shared" ca="1" si="34"/>
        <v>-42.962068167194516</v>
      </c>
      <c r="X108" s="55">
        <f t="shared" ca="1" si="35"/>
        <v>44.565469860596359</v>
      </c>
      <c r="Y108" s="55">
        <f t="shared" ca="1" si="36"/>
        <v>6.0539958319559641</v>
      </c>
      <c r="Z108">
        <f t="shared" ca="1" si="30"/>
        <v>0</v>
      </c>
      <c r="AA108">
        <f t="shared" ca="1" si="37"/>
        <v>117.05110222967298</v>
      </c>
      <c r="AB108">
        <f t="shared" ca="1" si="31"/>
        <v>0</v>
      </c>
      <c r="AC108">
        <f t="shared" ca="1" si="32"/>
        <v>6.6928509242848624E-3</v>
      </c>
      <c r="AD108" s="83">
        <f ca="1"/>
        <v>45652</v>
      </c>
      <c r="AE108" s="55">
        <f t="shared" ca="1" si="41"/>
        <v>45652</v>
      </c>
      <c r="AF108" s="55">
        <f t="shared" ca="1" si="42"/>
        <v>14.096970058231067</v>
      </c>
      <c r="AG108" s="55">
        <f t="shared" ca="1" si="43"/>
        <v>33.288364591901328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47.354810541349885</v>
      </c>
      <c r="AK108" s="55">
        <f t="shared" ca="1" si="40"/>
        <v>17.599473258749846</v>
      </c>
    </row>
    <row r="109" spans="18:37">
      <c r="R109" s="83">
        <f ca="1"/>
        <v>45485</v>
      </c>
      <c r="S109" s="55">
        <f t="shared" ca="1" si="33"/>
        <v>45485</v>
      </c>
      <c r="T109" s="55">
        <f t="shared" ca="1" si="27"/>
        <v>57.715003393147128</v>
      </c>
      <c r="U109" s="55">
        <f t="shared" ca="1" si="28"/>
        <v>1.3386898147826627</v>
      </c>
      <c r="V109" s="55">
        <f t="shared" ca="1" si="29"/>
        <v>0</v>
      </c>
      <c r="W109" s="55">
        <f t="shared" ca="1" si="34"/>
        <v>-42.962068167194516</v>
      </c>
      <c r="X109" s="55">
        <f t="shared" ca="1" si="35"/>
        <v>44.91461542180042</v>
      </c>
      <c r="Y109" s="55">
        <f t="shared" ca="1" si="36"/>
        <v>6.3395458506339093</v>
      </c>
      <c r="Z109">
        <f t="shared" ca="1" si="30"/>
        <v>0</v>
      </c>
      <c r="AA109">
        <f t="shared" ca="1" si="37"/>
        <v>117.05110222967298</v>
      </c>
      <c r="AB109">
        <f t="shared" ca="1" si="31"/>
        <v>0</v>
      </c>
      <c r="AC109">
        <f t="shared" ca="1" si="32"/>
        <v>6.6928509242848624E-3</v>
      </c>
      <c r="AD109" s="83">
        <f ca="1"/>
        <v>45653</v>
      </c>
      <c r="AE109" s="55">
        <f t="shared" ca="1" si="41"/>
        <v>45653</v>
      </c>
      <c r="AF109" s="55">
        <f t="shared" ca="1" si="42"/>
        <v>13.488209443202228</v>
      </c>
      <c r="AG109" s="55">
        <f t="shared" ca="1" si="43"/>
        <v>34.802525203544647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47.955507581278383</v>
      </c>
      <c r="AK109" s="55">
        <f t="shared" ca="1" si="40"/>
        <v>17.904176215435825</v>
      </c>
    </row>
    <row r="110" spans="18:37">
      <c r="R110" s="83">
        <f ca="1"/>
        <v>45486</v>
      </c>
      <c r="S110" s="55">
        <f t="shared" ca="1" si="33"/>
        <v>45486</v>
      </c>
      <c r="T110" s="55">
        <f t="shared" ca="1" si="27"/>
        <v>58.36600247145028</v>
      </c>
      <c r="U110" s="55">
        <f t="shared" ca="1" si="28"/>
        <v>1.3386898147826627</v>
      </c>
      <c r="V110" s="55">
        <f t="shared" ca="1" si="29"/>
        <v>0</v>
      </c>
      <c r="W110" s="55">
        <f t="shared" ca="1" si="34"/>
        <v>-42.971196807390932</v>
      </c>
      <c r="X110" s="55">
        <f t="shared" ca="1" si="35"/>
        <v>45.282425971990186</v>
      </c>
      <c r="Y110" s="55">
        <f t="shared" ca="1" si="36"/>
        <v>6.6318630189437116</v>
      </c>
      <c r="Z110">
        <f t="shared" ca="1" si="30"/>
        <v>0</v>
      </c>
      <c r="AA110">
        <f t="shared" ca="1" si="37"/>
        <v>117.07332797346999</v>
      </c>
      <c r="AB110">
        <f t="shared" ca="1" si="31"/>
        <v>0</v>
      </c>
      <c r="AC110">
        <f t="shared" ca="1" si="32"/>
        <v>6.6928509242848624E-3</v>
      </c>
      <c r="AD110" s="83">
        <f ca="1"/>
        <v>45654</v>
      </c>
      <c r="AE110" s="55">
        <f t="shared" ca="1" si="41"/>
        <v>45654</v>
      </c>
      <c r="AF110" s="55">
        <f t="shared" ca="1" si="42"/>
        <v>12.803906930324153</v>
      </c>
      <c r="AG110" s="55">
        <f t="shared" ca="1" si="43"/>
        <v>36.386982113169786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48.55404061570961</v>
      </c>
      <c r="AK110" s="55">
        <f t="shared" ca="1" si="40"/>
        <v>18.20579757775166</v>
      </c>
    </row>
    <row r="111" spans="18:37">
      <c r="R111" s="83">
        <f ca="1"/>
        <v>45487</v>
      </c>
      <c r="S111" s="55">
        <f t="shared" ca="1" si="33"/>
        <v>45487</v>
      </c>
      <c r="T111" s="55">
        <f t="shared" ca="1" si="27"/>
        <v>59.058937988303839</v>
      </c>
      <c r="U111" s="55">
        <f t="shared" ca="1" si="28"/>
        <v>1.3386898147826627</v>
      </c>
      <c r="V111" s="55">
        <f t="shared" ca="1" si="29"/>
        <v>0</v>
      </c>
      <c r="W111" s="55">
        <f t="shared" ca="1" si="34"/>
        <v>-42.971196807390932</v>
      </c>
      <c r="X111" s="55">
        <f t="shared" ca="1" si="35"/>
        <v>45.674149141010602</v>
      </c>
      <c r="Y111" s="55">
        <f t="shared" ca="1" si="36"/>
        <v>6.9330753667768548</v>
      </c>
      <c r="Z111">
        <f t="shared" ca="1" si="30"/>
        <v>0</v>
      </c>
      <c r="AA111">
        <f t="shared" ca="1" si="37"/>
        <v>117.07332797346999</v>
      </c>
      <c r="AB111">
        <f t="shared" ca="1" si="31"/>
        <v>0</v>
      </c>
      <c r="AC111">
        <f t="shared" ca="1" si="32"/>
        <v>6.6928509242848624E-3</v>
      </c>
      <c r="AD111" s="83">
        <f ca="1"/>
        <v>45655</v>
      </c>
      <c r="AE111" s="55">
        <f t="shared" ca="1" si="41"/>
        <v>45655</v>
      </c>
      <c r="AF111" s="55">
        <f t="shared" ca="1" si="42"/>
        <v>12.055759194989825</v>
      </c>
      <c r="AG111" s="55">
        <f t="shared" ca="1" si="43"/>
        <v>38.000259035985984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49.128207591978494</v>
      </c>
      <c r="AK111" s="55">
        <f t="shared" ca="1" si="40"/>
        <v>18.496759788964646</v>
      </c>
    </row>
    <row r="112" spans="18:37">
      <c r="R112" s="83">
        <f ca="1"/>
        <v>45488</v>
      </c>
      <c r="S112" s="55">
        <f t="shared" ca="1" si="33"/>
        <v>45488</v>
      </c>
      <c r="T112" s="55">
        <f t="shared" ca="1" si="27"/>
        <v>59.13905594848697</v>
      </c>
      <c r="U112" s="55">
        <f t="shared" ca="1" si="28"/>
        <v>1.3386898147826627</v>
      </c>
      <c r="V112" s="55">
        <f t="shared" ca="1" si="29"/>
        <v>0</v>
      </c>
      <c r="W112" s="55">
        <f t="shared" ca="1" si="34"/>
        <v>-43.528856201631108</v>
      </c>
      <c r="X112" s="55">
        <f t="shared" ca="1" si="35"/>
        <v>46.029299931011757</v>
      </c>
      <c r="Y112" s="55">
        <f t="shared" ca="1" si="36"/>
        <v>7.2157019311990052</v>
      </c>
      <c r="Z112">
        <f t="shared" ca="1" si="30"/>
        <v>0</v>
      </c>
      <c r="AA112">
        <f t="shared" ca="1" si="37"/>
        <v>118.41332797346999</v>
      </c>
      <c r="AB112">
        <f t="shared" ca="1" si="31"/>
        <v>0</v>
      </c>
      <c r="AC112">
        <f t="shared" ca="1" si="32"/>
        <v>6.6928509242848624E-3</v>
      </c>
      <c r="AD112" s="83">
        <f ca="1"/>
        <v>45656</v>
      </c>
      <c r="AE112" s="55">
        <f t="shared" ca="1" si="41"/>
        <v>45656</v>
      </c>
      <c r="AF112" s="55">
        <f t="shared" ca="1" si="42"/>
        <v>11.266406532469434</v>
      </c>
      <c r="AG112" s="55">
        <f t="shared" ca="1" si="43"/>
        <v>39.617005210963548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49.678526064873296</v>
      </c>
      <c r="AK112" s="55">
        <f t="shared" ca="1" si="40"/>
        <v>18.773834828527015</v>
      </c>
    </row>
    <row r="113" spans="18:37">
      <c r="R113" s="83">
        <f ca="1"/>
        <v>45489</v>
      </c>
      <c r="S113" s="55">
        <f t="shared" ca="1" si="33"/>
        <v>45489</v>
      </c>
      <c r="T113" s="55">
        <f t="shared" ca="1" si="27"/>
        <v>59.827846935305217</v>
      </c>
      <c r="U113" s="55">
        <f t="shared" ca="1" si="28"/>
        <v>1.3386898147826627</v>
      </c>
      <c r="V113" s="55">
        <f t="shared" ca="1" si="29"/>
        <v>0</v>
      </c>
      <c r="W113" s="55">
        <f t="shared" ca="1" si="34"/>
        <v>-43.528856201631108</v>
      </c>
      <c r="X113" s="55">
        <f t="shared" ca="1" si="35"/>
        <v>46.421023100032173</v>
      </c>
      <c r="Y113" s="55">
        <f t="shared" ca="1" si="36"/>
        <v>7.512769748996833</v>
      </c>
      <c r="Z113">
        <f t="shared" ca="1" si="30"/>
        <v>0</v>
      </c>
      <c r="AA113">
        <f t="shared" ca="1" si="37"/>
        <v>118.41332797346999</v>
      </c>
      <c r="AB113">
        <f t="shared" ca="1" si="31"/>
        <v>0</v>
      </c>
      <c r="AC113">
        <f t="shared" ca="1" si="32"/>
        <v>6.6928509242848624E-3</v>
      </c>
      <c r="AD113" s="83">
        <f ca="1"/>
        <v>45657</v>
      </c>
      <c r="AE113" s="55">
        <f t="shared" ca="1" si="41"/>
        <v>45657</v>
      </c>
      <c r="AF113" s="55">
        <f t="shared" ca="1" si="42"/>
        <v>10.598058253691431</v>
      </c>
      <c r="AG113" s="55">
        <f t="shared" ca="1" si="43"/>
        <v>41.015105666449784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50.174050754771173</v>
      </c>
      <c r="AK113" s="55">
        <f t="shared" ca="1" si="40"/>
        <v>19.008062315337369</v>
      </c>
    </row>
    <row r="114" spans="18:37">
      <c r="R114" s="83">
        <f ca="1"/>
        <v>45490</v>
      </c>
      <c r="S114" s="55">
        <f t="shared" ca="1" si="33"/>
        <v>45490</v>
      </c>
      <c r="T114" s="55">
        <f t="shared" ca="1" si="27"/>
        <v>60.309766306566011</v>
      </c>
      <c r="U114" s="55">
        <f t="shared" ca="1" si="28"/>
        <v>1.3386898147826627</v>
      </c>
      <c r="V114" s="55">
        <f t="shared" ca="1" si="29"/>
        <v>0</v>
      </c>
      <c r="W114" s="55">
        <f t="shared" ca="1" si="34"/>
        <v>-43.729573159698184</v>
      </c>
      <c r="X114" s="55">
        <f t="shared" ca="1" si="35"/>
        <v>46.80998844374151</v>
      </c>
      <c r="Y114" s="55">
        <f t="shared" ca="1" si="36"/>
        <v>7.8064407346153679</v>
      </c>
      <c r="Z114">
        <f t="shared" ca="1" si="30"/>
        <v>0</v>
      </c>
      <c r="AA114">
        <f t="shared" ca="1" si="37"/>
        <v>118.88626855827323</v>
      </c>
      <c r="AB114">
        <f t="shared" ca="1" si="31"/>
        <v>0</v>
      </c>
      <c r="AC114">
        <f t="shared" ca="1" si="32"/>
        <v>6.6928509242848624E-3</v>
      </c>
      <c r="AD114" s="83">
        <f ca="1"/>
        <v>45658</v>
      </c>
      <c r="AE114" s="55">
        <f t="shared" ca="1" si="41"/>
        <v>45658</v>
      </c>
      <c r="AF114" s="55">
        <f t="shared" ca="1" si="42"/>
        <v>9.6795297138513252</v>
      </c>
      <c r="AG114" s="55">
        <f t="shared" ca="1" si="43"/>
        <v>42.852187732559578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50.807148090309134</v>
      </c>
      <c r="AK114" s="55">
        <f t="shared" ca="1" si="40"/>
        <v>19.293518506069098</v>
      </c>
    </row>
    <row r="115" spans="18:37">
      <c r="R115" s="83">
        <f ca="1"/>
        <v>45491</v>
      </c>
      <c r="S115" s="55">
        <f t="shared" ca="1" si="33"/>
        <v>45491</v>
      </c>
      <c r="T115" s="55">
        <f t="shared" ca="1" si="27"/>
        <v>60.917683536953341</v>
      </c>
      <c r="U115" s="55">
        <f t="shared" ca="1" si="28"/>
        <v>1.3386898147826627</v>
      </c>
      <c r="V115" s="55">
        <f t="shared" ca="1" si="29"/>
        <v>0</v>
      </c>
      <c r="W115" s="55">
        <f t="shared" ca="1" si="34"/>
        <v>-43.806735558844991</v>
      </c>
      <c r="X115" s="55">
        <f t="shared" ca="1" si="35"/>
        <v>47.202172516602197</v>
      </c>
      <c r="Y115" s="55">
        <f t="shared" ca="1" si="36"/>
        <v>8.0993362912888163</v>
      </c>
      <c r="Z115">
        <f t="shared" ca="1" si="30"/>
        <v>0</v>
      </c>
      <c r="AA115">
        <f t="shared" ca="1" si="37"/>
        <v>119.06626855827324</v>
      </c>
      <c r="AB115">
        <f t="shared" ca="1" si="31"/>
        <v>0</v>
      </c>
      <c r="AC115">
        <f t="shared" ca="1" si="32"/>
        <v>6.6928509242848624E-3</v>
      </c>
      <c r="AD115" s="83">
        <f ca="1"/>
        <v>45659</v>
      </c>
      <c r="AE115" s="55">
        <f t="shared" ca="1" si="41"/>
        <v>45659</v>
      </c>
      <c r="AF115" s="55">
        <f t="shared" ca="1" si="42"/>
        <v>8.7448514870553566</v>
      </c>
      <c r="AG115" s="55">
        <f t="shared" ca="1" si="43"/>
        <v>44.700817600974233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51.448529972302644</v>
      </c>
      <c r="AK115" s="55">
        <f t="shared" ca="1" si="40"/>
        <v>19.566088265694276</v>
      </c>
    </row>
    <row r="116" spans="18:37">
      <c r="R116" s="83">
        <f ca="1"/>
        <v>45492</v>
      </c>
      <c r="S116" s="55">
        <f t="shared" ca="1" si="33"/>
        <v>45492</v>
      </c>
      <c r="T116" s="55">
        <f t="shared" ca="1" si="27"/>
        <v>61.448992671807112</v>
      </c>
      <c r="U116" s="55">
        <f t="shared" ca="1" si="28"/>
        <v>1.3386898147826627</v>
      </c>
      <c r="V116" s="55">
        <f t="shared" ca="1" si="29"/>
        <v>0</v>
      </c>
      <c r="W116" s="55">
        <f t="shared" ca="1" si="34"/>
        <v>-43.992675658892644</v>
      </c>
      <c r="X116" s="55">
        <f t="shared" ca="1" si="35"/>
        <v>47.618345169786203</v>
      </c>
      <c r="Y116" s="55">
        <f t="shared" ca="1" si="36"/>
        <v>8.4004128730062373</v>
      </c>
      <c r="Z116">
        <f t="shared" ca="1" si="30"/>
        <v>0</v>
      </c>
      <c r="AA116">
        <f t="shared" ca="1" si="37"/>
        <v>119.49626855827324</v>
      </c>
      <c r="AB116">
        <f t="shared" ca="1" si="31"/>
        <v>0</v>
      </c>
      <c r="AC116">
        <f t="shared" ca="1" si="32"/>
        <v>6.6928509242848624E-3</v>
      </c>
      <c r="AD116" s="83">
        <f ca="1"/>
        <v>45660</v>
      </c>
      <c r="AE116" s="55">
        <f t="shared" ca="1" si="41"/>
        <v>45660</v>
      </c>
      <c r="AF116" s="55">
        <f t="shared" ca="1" si="42"/>
        <v>7.7531920388040163</v>
      </c>
      <c r="AG116" s="55">
        <f t="shared" ca="1" si="43"/>
        <v>46.601689575177403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52.091430229238789</v>
      </c>
      <c r="AK116" s="55">
        <f t="shared" ca="1" si="40"/>
        <v>19.832400534709961</v>
      </c>
    </row>
    <row r="117" spans="18:37">
      <c r="R117" s="83">
        <f ca="1"/>
        <v>45493</v>
      </c>
      <c r="S117" s="55">
        <f t="shared" ca="1" si="33"/>
        <v>45493</v>
      </c>
      <c r="T117" s="55">
        <f t="shared" ca="1" si="27"/>
        <v>61.779948459839652</v>
      </c>
      <c r="U117" s="55">
        <f t="shared" ca="1" si="28"/>
        <v>1.3386898147826627</v>
      </c>
      <c r="V117" s="55">
        <f t="shared" ca="1" si="29"/>
        <v>0</v>
      </c>
      <c r="W117" s="55">
        <f t="shared" ca="1" si="34"/>
        <v>-44.353516320822891</v>
      </c>
      <c r="X117" s="55">
        <f t="shared" ca="1" si="35"/>
        <v>48.018420094604139</v>
      </c>
      <c r="Y117" s="55">
        <f t="shared" ca="1" si="36"/>
        <v>8.6921343981510883</v>
      </c>
      <c r="Z117">
        <f t="shared" ca="1" si="30"/>
        <v>0</v>
      </c>
      <c r="AA117">
        <f t="shared" ca="1" si="37"/>
        <v>120.32626855827324</v>
      </c>
      <c r="AB117">
        <f t="shared" ca="1" si="31"/>
        <v>0</v>
      </c>
      <c r="AC117">
        <f t="shared" ca="1" si="32"/>
        <v>6.6928509242848624E-3</v>
      </c>
      <c r="AD117" s="83">
        <f ca="1"/>
        <v>45661</v>
      </c>
      <c r="AE117" s="55">
        <f t="shared" ca="1" si="41"/>
        <v>45661</v>
      </c>
      <c r="AF117" s="55">
        <f t="shared" ca="1" si="42"/>
        <v>6.6860294752739868</v>
      </c>
      <c r="AG117" s="55">
        <f t="shared" ca="1" si="43"/>
        <v>48.610307635586224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52.765494522136919</v>
      </c>
      <c r="AK117" s="55">
        <f t="shared" ca="1" si="40"/>
        <v>20.099791738690627</v>
      </c>
    </row>
    <row r="118" spans="18:37">
      <c r="R118" s="83">
        <f ca="1"/>
        <v>45494</v>
      </c>
      <c r="S118" s="55">
        <f t="shared" ca="1" si="33"/>
        <v>45494</v>
      </c>
      <c r="T118" s="55">
        <f t="shared" ca="1" si="27"/>
        <v>62.180102031125571</v>
      </c>
      <c r="U118" s="55">
        <f t="shared" ca="1" si="28"/>
        <v>1.3386898147826627</v>
      </c>
      <c r="V118" s="55">
        <f t="shared" ca="1" si="29"/>
        <v>0</v>
      </c>
      <c r="W118" s="55">
        <f t="shared" ca="1" si="34"/>
        <v>-44.620430166208351</v>
      </c>
      <c r="X118" s="55">
        <f t="shared" ca="1" si="35"/>
        <v>48.402817957406512</v>
      </c>
      <c r="Y118" s="55">
        <f t="shared" ca="1" si="36"/>
        <v>8.9748039520200908</v>
      </c>
      <c r="Z118">
        <f t="shared" ca="1" si="30"/>
        <v>0</v>
      </c>
      <c r="AA118">
        <f t="shared" ca="1" si="37"/>
        <v>120.93626855827324</v>
      </c>
      <c r="AB118">
        <f t="shared" ca="1" si="31"/>
        <v>0</v>
      </c>
      <c r="AC118">
        <f t="shared" ca="1" si="32"/>
        <v>6.6928509242848624E-3</v>
      </c>
      <c r="AD118" s="83">
        <f ca="1"/>
        <v>45662</v>
      </c>
      <c r="AE118" s="55">
        <f t="shared" ca="1" si="41"/>
        <v>45662</v>
      </c>
      <c r="AF118" s="55">
        <f t="shared" ca="1" si="42"/>
        <v>5.4975605616177008</v>
      </c>
      <c r="AG118" s="55">
        <f t="shared" ca="1" si="43"/>
        <v>50.746323340631875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53.442746933923985</v>
      </c>
      <c r="AK118" s="55">
        <f t="shared" ca="1" si="40"/>
        <v>20.370086118292924</v>
      </c>
    </row>
    <row r="119" spans="18:37">
      <c r="R119" s="83">
        <f ca="1"/>
        <v>45495</v>
      </c>
      <c r="S119" s="55">
        <f t="shared" ca="1" si="33"/>
        <v>45495</v>
      </c>
      <c r="T119" s="55">
        <f t="shared" ca="1" si="27"/>
        <v>62.64180106495813</v>
      </c>
      <c r="U119" s="55">
        <f t="shared" ca="1" si="28"/>
        <v>1.3386898147826627</v>
      </c>
      <c r="V119" s="55">
        <f t="shared" ca="1" si="29"/>
        <v>0</v>
      </c>
      <c r="W119" s="55">
        <f t="shared" ca="1" si="34"/>
        <v>-44.832020249805538</v>
      </c>
      <c r="X119" s="55">
        <f t="shared" ca="1" si="35"/>
        <v>48.793160586334842</v>
      </c>
      <c r="Y119" s="55">
        <f t="shared" ca="1" si="36"/>
        <v>9.2577504405215105</v>
      </c>
      <c r="Z119">
        <f t="shared" ca="1" si="30"/>
        <v>0</v>
      </c>
      <c r="AA119">
        <f t="shared" ca="1" si="37"/>
        <v>121.41626855827323</v>
      </c>
      <c r="AB119">
        <f t="shared" ca="1" si="31"/>
        <v>0</v>
      </c>
      <c r="AC119">
        <f t="shared" ca="1" si="32"/>
        <v>6.6928509242848624E-3</v>
      </c>
      <c r="AD119" s="83">
        <f ca="1"/>
        <v>45663</v>
      </c>
      <c r="AE119" s="55">
        <f t="shared" ca="1" si="41"/>
        <v>45663</v>
      </c>
      <c r="AF119" s="55">
        <f t="shared" ca="1" si="42"/>
        <v>4.247200785143165</v>
      </c>
      <c r="AG119" s="55">
        <f t="shared" ca="1" si="43"/>
        <v>52.919480476930602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54.104290750124377</v>
      </c>
      <c r="AK119" s="55">
        <f t="shared" ca="1" si="40"/>
        <v>20.631339661916719</v>
      </c>
    </row>
    <row r="120" spans="18:37">
      <c r="R120" s="83">
        <f ca="1"/>
        <v>45496</v>
      </c>
      <c r="S120" s="55">
        <f t="shared" ca="1" si="33"/>
        <v>45496</v>
      </c>
      <c r="T120" s="55">
        <f t="shared" ca="1" si="27"/>
        <v>62.967809720248113</v>
      </c>
      <c r="U120" s="55">
        <f t="shared" ca="1" si="28"/>
        <v>1.3386898147826627</v>
      </c>
      <c r="V120" s="55">
        <f t="shared" ca="1" si="29"/>
        <v>0</v>
      </c>
      <c r="W120" s="55">
        <f t="shared" ca="1" si="34"/>
        <v>-45.17764356093668</v>
      </c>
      <c r="X120" s="55">
        <f t="shared" ca="1" si="35"/>
        <v>49.183963033497093</v>
      </c>
      <c r="Y120" s="55">
        <f t="shared" ca="1" si="36"/>
        <v>9.5385799597803853</v>
      </c>
      <c r="Z120">
        <f t="shared" ca="1" si="30"/>
        <v>0</v>
      </c>
      <c r="AA120">
        <f t="shared" ca="1" si="37"/>
        <v>122.19626855827323</v>
      </c>
      <c r="AB120">
        <f t="shared" ca="1" si="31"/>
        <v>0</v>
      </c>
      <c r="AC120">
        <f t="shared" ca="1" si="32"/>
        <v>6.6928509242848624E-3</v>
      </c>
      <c r="AD120" s="83">
        <f ca="1"/>
        <v>45664</v>
      </c>
      <c r="AE120" s="55">
        <f t="shared" ca="1" si="41"/>
        <v>45664</v>
      </c>
      <c r="AF120" s="55">
        <f t="shared" ca="1" si="42"/>
        <v>2.987564098084472</v>
      </c>
      <c r="AG120" s="55">
        <f t="shared" ca="1" si="43"/>
        <v>55.075009983755777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54.753465880832728</v>
      </c>
      <c r="AK120" s="55">
        <f t="shared" ca="1" si="40"/>
        <v>20.878057350974849</v>
      </c>
    </row>
    <row r="121" spans="18:37">
      <c r="R121" s="83">
        <f ca="1"/>
        <v>45497</v>
      </c>
      <c r="S121" s="55">
        <f t="shared" ca="1" si="33"/>
        <v>45497</v>
      </c>
      <c r="T121" s="55">
        <f t="shared" ca="1" si="27"/>
        <v>62.688654424619926</v>
      </c>
      <c r="U121" s="55">
        <f t="shared" ca="1" si="28"/>
        <v>1.3386898147826627</v>
      </c>
      <c r="V121" s="55">
        <f t="shared" ca="1" si="29"/>
        <v>0</v>
      </c>
      <c r="W121" s="55">
        <f t="shared" ca="1" si="34"/>
        <v>-46.126099684361023</v>
      </c>
      <c r="X121" s="55">
        <f t="shared" ca="1" si="35"/>
        <v>49.574765480659345</v>
      </c>
      <c r="Y121" s="55">
        <f t="shared" ca="1" si="36"/>
        <v>9.8170783404142892</v>
      </c>
      <c r="Z121">
        <f t="shared" ca="1" si="30"/>
        <v>0</v>
      </c>
      <c r="AA121">
        <f t="shared" ca="1" si="37"/>
        <v>124.34626855827324</v>
      </c>
      <c r="AB121">
        <f t="shared" ca="1" si="31"/>
        <v>0</v>
      </c>
      <c r="AC121">
        <f t="shared" ca="1" si="32"/>
        <v>6.6928509242848624E-3</v>
      </c>
      <c r="AD121" s="83">
        <f ca="1"/>
        <v>45665</v>
      </c>
      <c r="AE121" s="55">
        <f t="shared" ca="1" si="41"/>
        <v>45665</v>
      </c>
      <c r="AF121" s="55">
        <f t="shared" ca="1" si="42"/>
        <v>1.7214302465102209</v>
      </c>
      <c r="AG121" s="55">
        <f t="shared" ca="1" si="43"/>
        <v>57.210805125363386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55.389512297872379</v>
      </c>
      <c r="AK121" s="55">
        <f t="shared" ca="1" si="40"/>
        <v>21.111672223968554</v>
      </c>
    </row>
    <row r="122" spans="18:37">
      <c r="R122" s="83">
        <f ca="1"/>
        <v>45498</v>
      </c>
      <c r="S122" s="55">
        <f t="shared" ca="1" si="33"/>
        <v>45498</v>
      </c>
      <c r="T122" s="55">
        <f t="shared" ca="1" si="27"/>
        <v>63.225428580684977</v>
      </c>
      <c r="U122" s="55">
        <f t="shared" ca="1" si="28"/>
        <v>1.3386898147826627</v>
      </c>
      <c r="V122" s="55">
        <f t="shared" ca="1" si="29"/>
        <v>0</v>
      </c>
      <c r="W122" s="55">
        <f t="shared" ca="1" si="34"/>
        <v>-46.2996183605769</v>
      </c>
      <c r="X122" s="55">
        <f t="shared" ca="1" si="35"/>
        <v>49.996236974935563</v>
      </c>
      <c r="Y122" s="55">
        <f t="shared" ca="1" si="36"/>
        <v>10.105899678419</v>
      </c>
      <c r="Z122">
        <f t="shared" ca="1" si="30"/>
        <v>0</v>
      </c>
      <c r="AA122">
        <f t="shared" ca="1" si="37"/>
        <v>124.73626855827322</v>
      </c>
      <c r="AB122">
        <f t="shared" ca="1" si="31"/>
        <v>0</v>
      </c>
      <c r="AC122">
        <f t="shared" ca="1" si="32"/>
        <v>6.6928509242848624E-3</v>
      </c>
      <c r="AD122" s="83">
        <f ca="1"/>
        <v>45666</v>
      </c>
      <c r="AE122" s="55">
        <f t="shared" ca="1" si="41"/>
        <v>45666</v>
      </c>
      <c r="AF122" s="55">
        <f t="shared" ca="1" si="42"/>
        <v>0.47972341190262746</v>
      </c>
      <c r="AG122" s="55">
        <f t="shared" ca="1" si="43"/>
        <v>59.349235623874023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56.062154082085044</v>
      </c>
      <c r="AK122" s="55">
        <f t="shared" ca="1" si="40"/>
        <v>21.335754103658935</v>
      </c>
    </row>
    <row r="123" spans="18:37">
      <c r="R123" s="83">
        <f ca="1"/>
        <v>45499</v>
      </c>
      <c r="S123" s="55">
        <f t="shared" ca="1" si="33"/>
        <v>45499</v>
      </c>
      <c r="T123" s="55">
        <f t="shared" ca="1" si="27"/>
        <v>63.916426099410216</v>
      </c>
      <c r="U123" s="55">
        <f t="shared" ca="1" si="28"/>
        <v>1.3386898147826627</v>
      </c>
      <c r="V123" s="55">
        <f t="shared" ca="1" si="29"/>
        <v>0</v>
      </c>
      <c r="W123" s="55">
        <f t="shared" ca="1" si="34"/>
        <v>-46.326605296041095</v>
      </c>
      <c r="X123" s="55">
        <f t="shared" ca="1" si="35"/>
        <v>50.425006067492141</v>
      </c>
      <c r="Y123" s="55">
        <f t="shared" ca="1" si="36"/>
        <v>10.395115040051854</v>
      </c>
      <c r="Z123">
        <f t="shared" ca="1" si="30"/>
        <v>0</v>
      </c>
      <c r="AA123">
        <f t="shared" ca="1" si="37"/>
        <v>124.79626855827323</v>
      </c>
      <c r="AB123">
        <f t="shared" ca="1" si="31"/>
        <v>0</v>
      </c>
      <c r="AC123">
        <f t="shared" ca="1" si="32"/>
        <v>6.6928509242848624E-3</v>
      </c>
      <c r="AD123" s="83">
        <f ca="1"/>
        <v>45667</v>
      </c>
      <c r="AE123" s="55">
        <f t="shared" ca="1" si="41"/>
        <v>45667</v>
      </c>
      <c r="AF123" s="55">
        <f t="shared" ca="1" si="42"/>
        <v>-0.81424212689067232</v>
      </c>
      <c r="AG123" s="55">
        <f t="shared" ca="1" si="43"/>
        <v>61.520003092169816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56.720837402818233</v>
      </c>
      <c r="AK123" s="55">
        <f t="shared" ca="1" si="40"/>
        <v>21.553872712428237</v>
      </c>
    </row>
    <row r="124" spans="18:37">
      <c r="R124" s="83">
        <f ca="1"/>
        <v>45500</v>
      </c>
      <c r="S124" s="55">
        <f t="shared" ca="1" si="33"/>
        <v>45500</v>
      </c>
      <c r="T124" s="55">
        <f t="shared" ca="1" si="27"/>
        <v>64.642119651938799</v>
      </c>
      <c r="U124" s="55">
        <f t="shared" ca="1" si="28"/>
        <v>1.3386898147826627</v>
      </c>
      <c r="V124" s="55">
        <f t="shared" ca="1" si="29"/>
        <v>0</v>
      </c>
      <c r="W124" s="55">
        <f t="shared" ca="1" si="34"/>
        <v>-46.326605296041095</v>
      </c>
      <c r="X124" s="55">
        <f t="shared" ca="1" si="35"/>
        <v>50.861156040324303</v>
      </c>
      <c r="Y124" s="55">
        <f t="shared" ca="1" si="36"/>
        <v>10.684658619748273</v>
      </c>
      <c r="Z124">
        <f t="shared" ca="1" si="30"/>
        <v>0</v>
      </c>
      <c r="AA124">
        <f t="shared" ca="1" si="37"/>
        <v>124.79626855827323</v>
      </c>
      <c r="AB124">
        <f t="shared" ca="1" si="31"/>
        <v>0</v>
      </c>
      <c r="AC124">
        <f t="shared" ca="1" si="32"/>
        <v>6.6928509242848624E-3</v>
      </c>
      <c r="AD124" s="83">
        <f ca="1"/>
        <v>45668</v>
      </c>
      <c r="AE124" s="55">
        <f t="shared" ca="1" si="41"/>
        <v>45668</v>
      </c>
      <c r="AF124" s="55">
        <f t="shared" ca="1" si="42"/>
        <v>-2.2348334784653363</v>
      </c>
      <c r="AG124" s="55">
        <f t="shared" ca="1" si="43"/>
        <v>63.846170426520601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57.402753792765807</v>
      </c>
      <c r="AK124" s="55">
        <f t="shared" ca="1" si="40"/>
        <v>21.777532305256784</v>
      </c>
    </row>
    <row r="125" spans="18:37">
      <c r="R125" s="83">
        <f ca="1"/>
        <v>45501</v>
      </c>
      <c r="S125" s="55">
        <f t="shared" ca="1" si="33"/>
        <v>45501</v>
      </c>
      <c r="T125" s="55">
        <f t="shared" ca="1" si="27"/>
        <v>65.318744792587168</v>
      </c>
      <c r="U125" s="55">
        <f t="shared" ca="1" si="28"/>
        <v>1.3386898147826627</v>
      </c>
      <c r="V125" s="55">
        <f t="shared" ca="1" si="29"/>
        <v>0</v>
      </c>
      <c r="W125" s="55">
        <f t="shared" ca="1" si="34"/>
        <v>-46.379207052553873</v>
      </c>
      <c r="X125" s="55">
        <f t="shared" ca="1" si="35"/>
        <v>51.301774658432699</v>
      </c>
      <c r="Y125" s="55">
        <f t="shared" ca="1" si="36"/>
        <v>10.973266898801024</v>
      </c>
      <c r="Z125">
        <f t="shared" ca="1" si="30"/>
        <v>0</v>
      </c>
      <c r="AA125">
        <f t="shared" ca="1" si="37"/>
        <v>124.91070716966345</v>
      </c>
      <c r="AB125">
        <f t="shared" ca="1" si="31"/>
        <v>0</v>
      </c>
      <c r="AC125">
        <f t="shared" ca="1" si="32"/>
        <v>6.6928509242848624E-3</v>
      </c>
      <c r="AD125" s="83">
        <f ca="1"/>
        <v>45669</v>
      </c>
      <c r="AE125" s="55">
        <f t="shared" ca="1" si="41"/>
        <v>45669</v>
      </c>
      <c r="AF125" s="55">
        <f t="shared" ca="1" si="42"/>
        <v>-3.7231285146229824</v>
      </c>
      <c r="AG125" s="55">
        <f t="shared" ca="1" si="43"/>
        <v>66.234450451970645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58.082604718038631</v>
      </c>
      <c r="AK125" s="55">
        <f t="shared" ca="1" si="40"/>
        <v>21.997666369276359</v>
      </c>
    </row>
    <row r="126" spans="18:37">
      <c r="R126" s="83">
        <f ca="1"/>
        <v>45502</v>
      </c>
      <c r="S126" s="55">
        <f t="shared" ca="1" si="33"/>
        <v>45502</v>
      </c>
      <c r="T126" s="55">
        <f t="shared" ca="1" si="27"/>
        <v>65.742139052843015</v>
      </c>
      <c r="U126" s="55">
        <f t="shared" ca="1" si="28"/>
        <v>1.3386898147826627</v>
      </c>
      <c r="V126" s="55">
        <f t="shared" ca="1" si="29"/>
        <v>0</v>
      </c>
      <c r="W126" s="55">
        <f t="shared" ca="1" si="34"/>
        <v>-46.6197745836065</v>
      </c>
      <c r="X126" s="55">
        <f t="shared" ca="1" si="35"/>
        <v>51.697659006109056</v>
      </c>
      <c r="Y126" s="55">
        <f t="shared" ca="1" si="36"/>
        <v>11.241344342433141</v>
      </c>
      <c r="Z126">
        <f t="shared" ca="1" si="30"/>
        <v>0</v>
      </c>
      <c r="AA126">
        <f t="shared" ca="1" si="37"/>
        <v>125.43070716966346</v>
      </c>
      <c r="AB126">
        <f t="shared" ca="1" si="31"/>
        <v>0</v>
      </c>
      <c r="AC126">
        <f t="shared" ca="1" si="32"/>
        <v>6.6928509242848624E-3</v>
      </c>
      <c r="AD126" s="83">
        <f ca="1"/>
        <v>45670</v>
      </c>
      <c r="AE126" s="55">
        <f t="shared" ca="1" si="41"/>
        <v>45670</v>
      </c>
      <c r="AF126" s="55">
        <f t="shared" ca="1" si="42"/>
        <v>-5.2283534610409887</v>
      </c>
      <c r="AG126" s="55">
        <f t="shared" ca="1" si="43"/>
        <v>68.623496972743013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58.754961686488095</v>
      </c>
      <c r="AK126" s="55">
        <f t="shared" ca="1" si="40"/>
        <v>22.20913097518126</v>
      </c>
    </row>
    <row r="127" spans="18:37">
      <c r="R127" s="83">
        <f ca="1"/>
        <v>45503</v>
      </c>
      <c r="S127" s="55">
        <f t="shared" ca="1" si="33"/>
        <v>45503</v>
      </c>
      <c r="T127" s="55">
        <f t="shared" ca="1" si="27"/>
        <v>66.442706090083078</v>
      </c>
      <c r="U127" s="55">
        <f t="shared" ca="1" si="28"/>
        <v>1.3386898147826627</v>
      </c>
      <c r="V127" s="55">
        <f t="shared" ca="1" si="29"/>
        <v>0</v>
      </c>
      <c r="W127" s="55">
        <f t="shared" ca="1" si="34"/>
        <v>-46.6197745836065</v>
      </c>
      <c r="X127" s="55">
        <f t="shared" ca="1" si="35"/>
        <v>52.121553800772276</v>
      </c>
      <c r="Y127" s="55">
        <f t="shared" ca="1" si="36"/>
        <v>11.518016585009981</v>
      </c>
      <c r="Z127">
        <f t="shared" ca="1" si="30"/>
        <v>0</v>
      </c>
      <c r="AA127">
        <f t="shared" ca="1" si="37"/>
        <v>125.43070716966346</v>
      </c>
      <c r="AB127">
        <f t="shared" ca="1" si="31"/>
        <v>0</v>
      </c>
      <c r="AC127">
        <f t="shared" ca="1" si="32"/>
        <v>6.6928509242848624E-3</v>
      </c>
      <c r="AD127" s="83">
        <f ca="1"/>
        <v>45671</v>
      </c>
      <c r="AE127" s="55">
        <f t="shared" ca="1" si="41"/>
        <v>45671</v>
      </c>
      <c r="AF127" s="55">
        <f t="shared" ca="1" si="42"/>
        <v>-6.776161634322114</v>
      </c>
      <c r="AG127" s="55">
        <f t="shared" ca="1" si="43"/>
        <v>71.053839674205022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59.430654900212524</v>
      </c>
      <c r="AK127" s="55">
        <f t="shared" ca="1" si="40"/>
        <v>22.415972289637715</v>
      </c>
    </row>
    <row r="128" spans="18:37">
      <c r="R128" s="83">
        <f ca="1"/>
        <v>45504</v>
      </c>
      <c r="S128" s="55">
        <f t="shared" ca="1" si="33"/>
        <v>45504</v>
      </c>
      <c r="T128" s="55">
        <f t="shared" ca="1" si="27"/>
        <v>66.94758191030499</v>
      </c>
      <c r="U128" s="55">
        <f t="shared" ca="1" si="28"/>
        <v>1.3386898147826627</v>
      </c>
      <c r="V128" s="55">
        <f t="shared" ca="1" si="29"/>
        <v>0</v>
      </c>
      <c r="W128" s="55">
        <f t="shared" ca="1" si="34"/>
        <v>-46.829143953641157</v>
      </c>
      <c r="X128" s="55">
        <f t="shared" ca="1" si="35"/>
        <v>52.557209117077981</v>
      </c>
      <c r="Y128" s="55">
        <f t="shared" ca="1" si="36"/>
        <v>11.796606458960852</v>
      </c>
      <c r="Z128">
        <f t="shared" ca="1" si="30"/>
        <v>0</v>
      </c>
      <c r="AA128">
        <f t="shared" ca="1" si="37"/>
        <v>125.8751218681038</v>
      </c>
      <c r="AB128">
        <f t="shared" ca="1" si="31"/>
        <v>0</v>
      </c>
      <c r="AC128">
        <f t="shared" ca="1" si="32"/>
        <v>6.6928509242848624E-3</v>
      </c>
      <c r="AD128" s="83">
        <f ca="1"/>
        <v>45672</v>
      </c>
      <c r="AE128" s="55">
        <f t="shared" ca="1" si="41"/>
        <v>45672</v>
      </c>
      <c r="AF128" s="55">
        <f t="shared" ca="1" si="42"/>
        <v>-8.358371324153083</v>
      </c>
      <c r="AG128" s="55">
        <f t="shared" ca="1" si="43"/>
        <v>73.492940968275377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60.087601151390821</v>
      </c>
      <c r="AK128" s="55">
        <f t="shared" ca="1" si="40"/>
        <v>22.615917642698804</v>
      </c>
    </row>
    <row r="129" spans="18:37">
      <c r="R129" s="83">
        <f ca="1"/>
        <v>45505</v>
      </c>
      <c r="S129" s="55">
        <f t="shared" ca="1" si="33"/>
        <v>45505</v>
      </c>
      <c r="T129" s="55">
        <f t="shared" ca="1" si="27"/>
        <v>66.788218872714467</v>
      </c>
      <c r="U129" s="55">
        <f t="shared" ca="1" si="28"/>
        <v>1.3386898147826627</v>
      </c>
      <c r="V129" s="55">
        <f t="shared" ca="1" si="29"/>
        <v>0</v>
      </c>
      <c r="W129" s="55">
        <f t="shared" ca="1" si="34"/>
        <v>-47.665728235965311</v>
      </c>
      <c r="X129" s="55">
        <f t="shared" ca="1" si="35"/>
        <v>52.968127393848263</v>
      </c>
      <c r="Y129" s="55">
        <f t="shared" ca="1" si="36"/>
        <v>12.062909426924186</v>
      </c>
      <c r="Z129">
        <f t="shared" ca="1" si="30"/>
        <v>0</v>
      </c>
      <c r="AA129">
        <f t="shared" ca="1" si="37"/>
        <v>127.65512186810381</v>
      </c>
      <c r="AB129">
        <f t="shared" ca="1" si="31"/>
        <v>0</v>
      </c>
      <c r="AC129">
        <f t="shared" ca="1" si="32"/>
        <v>6.6928509242848624E-3</v>
      </c>
      <c r="AD129" s="83">
        <f ca="1"/>
        <v>45673</v>
      </c>
      <c r="AE129" s="55">
        <f t="shared" ca="1" si="41"/>
        <v>45673</v>
      </c>
      <c r="AF129" s="55">
        <f t="shared" ca="1" si="42"/>
        <v>-9.9738447760447162</v>
      </c>
      <c r="AG129" s="55">
        <f t="shared" ca="1" si="43"/>
        <v>75.931516135358322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60.717796182000697</v>
      </c>
      <c r="AK129" s="55">
        <f t="shared" ca="1" si="40"/>
        <v>22.808824327280242</v>
      </c>
    </row>
    <row r="130" spans="18:37">
      <c r="R130" s="83">
        <f ca="1"/>
        <v>45506</v>
      </c>
      <c r="S130" s="55">
        <f t="shared" ca="1" si="33"/>
        <v>45506</v>
      </c>
      <c r="T130" s="55">
        <f t="shared" ca="1" si="27"/>
        <v>67.483492754081581</v>
      </c>
      <c r="U130" s="55">
        <f t="shared" ca="1" si="28"/>
        <v>1.3386898147826627</v>
      </c>
      <c r="V130" s="55">
        <f t="shared" ca="1" si="29"/>
        <v>0</v>
      </c>
      <c r="W130" s="55">
        <f t="shared" ca="1" si="34"/>
        <v>-47.665728235965311</v>
      </c>
      <c r="X130" s="55">
        <f t="shared" ca="1" si="35"/>
        <v>53.393967472453738</v>
      </c>
      <c r="Y130" s="55">
        <f t="shared" ca="1" si="36"/>
        <v>12.332343229685828</v>
      </c>
      <c r="Z130">
        <f t="shared" ca="1" si="30"/>
        <v>0</v>
      </c>
      <c r="AA130">
        <f t="shared" ca="1" si="37"/>
        <v>127.65512186810381</v>
      </c>
      <c r="AB130">
        <f t="shared" ca="1" si="31"/>
        <v>0</v>
      </c>
      <c r="AC130">
        <f t="shared" ca="1" si="32"/>
        <v>6.6928509242848624E-3</v>
      </c>
      <c r="AD130" s="83">
        <f ca="1"/>
        <v>45674</v>
      </c>
      <c r="AE130" s="55">
        <f t="shared" ca="1" si="41"/>
        <v>45674</v>
      </c>
      <c r="AF130" s="55">
        <f t="shared" ca="1" si="42"/>
        <v>-11.631220736913736</v>
      </c>
      <c r="AG130" s="55">
        <f t="shared" ca="1" si="43"/>
        <v>78.475244629757825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61.41005668700042</v>
      </c>
      <c r="AK130" s="55">
        <f t="shared" ca="1" si="40"/>
        <v>23.002916355811003</v>
      </c>
    </row>
    <row r="131" spans="18:37">
      <c r="R131" s="83">
        <f ca="1"/>
        <v>45507</v>
      </c>
      <c r="S131" s="55">
        <f t="shared" ca="1" si="33"/>
        <v>45507</v>
      </c>
      <c r="T131" s="55">
        <f t="shared" ca="1" si="27"/>
        <v>68.129077402225036</v>
      </c>
      <c r="U131" s="55">
        <f t="shared" ca="1" si="28"/>
        <v>1.3386898147826627</v>
      </c>
      <c r="V131" s="55">
        <f t="shared" ca="1" si="29"/>
        <v>0</v>
      </c>
      <c r="W131" s="55">
        <f t="shared" ca="1" si="34"/>
        <v>-47.696111224222498</v>
      </c>
      <c r="X131" s="55">
        <f t="shared" ca="1" si="35"/>
        <v>53.807746268870858</v>
      </c>
      <c r="Y131" s="55">
        <f t="shared" ca="1" si="36"/>
        <v>12.594532069669345</v>
      </c>
      <c r="Z131">
        <f t="shared" ca="1" si="30"/>
        <v>0</v>
      </c>
      <c r="AA131">
        <f t="shared" ca="1" si="37"/>
        <v>127.71849543349529</v>
      </c>
      <c r="AB131">
        <f t="shared" ca="1" si="31"/>
        <v>0</v>
      </c>
      <c r="AC131">
        <f t="shared" ca="1" si="32"/>
        <v>6.6928509242848624E-3</v>
      </c>
      <c r="AD131" s="83">
        <f ca="1"/>
        <v>45675</v>
      </c>
      <c r="AE131" s="55">
        <f t="shared" ca="1" si="41"/>
        <v>45675</v>
      </c>
      <c r="AF131" s="55">
        <f t="shared" ca="1" si="42"/>
        <v>-13.387723343501715</v>
      </c>
      <c r="AG131" s="55">
        <f t="shared" ca="1" si="43"/>
        <v>81.103277850464934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62.087929086559967</v>
      </c>
      <c r="AK131" s="55">
        <f t="shared" ca="1" si="40"/>
        <v>23.196574570370586</v>
      </c>
    </row>
    <row r="132" spans="18:37">
      <c r="R132" s="83">
        <f ca="1"/>
        <v>45508</v>
      </c>
      <c r="S132" s="55">
        <f t="shared" ca="1" si="33"/>
        <v>45508</v>
      </c>
      <c r="T132" s="55">
        <f t="shared" ca="1" si="27"/>
        <v>68.862173668689465</v>
      </c>
      <c r="U132" s="55">
        <f t="shared" ca="1" si="28"/>
        <v>1.3386898147826627</v>
      </c>
      <c r="V132" s="55">
        <f t="shared" ca="1" si="29"/>
        <v>0</v>
      </c>
      <c r="W132" s="55">
        <f t="shared" ca="1" si="34"/>
        <v>-47.696111224222498</v>
      </c>
      <c r="X132" s="55">
        <f t="shared" ca="1" si="35"/>
        <v>54.265008647362663</v>
      </c>
      <c r="Y132" s="55">
        <f t="shared" ca="1" si="36"/>
        <v>12.870365957641971</v>
      </c>
      <c r="Z132">
        <f t="shared" ca="1" si="30"/>
        <v>0</v>
      </c>
      <c r="AA132">
        <f t="shared" ca="1" si="37"/>
        <v>127.71849543349529</v>
      </c>
      <c r="AB132">
        <f t="shared" ca="1" si="31"/>
        <v>0</v>
      </c>
      <c r="AC132">
        <f t="shared" ca="1" si="32"/>
        <v>6.6928509242848624E-3</v>
      </c>
      <c r="AD132" s="83">
        <f ca="1"/>
        <v>45676</v>
      </c>
      <c r="AE132" s="55">
        <f t="shared" ca="1" si="41"/>
        <v>45676</v>
      </c>
      <c r="AF132" s="55">
        <f t="shared" ca="1" si="42"/>
        <v>-15.022437872080138</v>
      </c>
      <c r="AG132" s="55">
        <f t="shared" ca="1" si="43"/>
        <v>83.538758817445483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62.714449114388131</v>
      </c>
      <c r="AK132" s="55">
        <f t="shared" ca="1" si="40"/>
        <v>23.370820980944551</v>
      </c>
    </row>
    <row r="133" spans="18:37">
      <c r="R133" s="83">
        <f ca="1"/>
        <v>45509</v>
      </c>
      <c r="S133" s="55">
        <f t="shared" ca="1" si="33"/>
        <v>45509</v>
      </c>
      <c r="T133" s="55">
        <f t="shared" ca="1" si="27"/>
        <v>69.578463991311978</v>
      </c>
      <c r="U133" s="55">
        <f t="shared" ca="1" si="28"/>
        <v>1.3386898147826627</v>
      </c>
      <c r="V133" s="55">
        <f t="shared" ca="1" si="29"/>
        <v>0</v>
      </c>
      <c r="W133" s="55">
        <f t="shared" ca="1" si="34"/>
        <v>-47.696111224222498</v>
      </c>
      <c r="X133" s="55">
        <f t="shared" ca="1" si="35"/>
        <v>54.71213526949154</v>
      </c>
      <c r="Y133" s="55">
        <f t="shared" ca="1" si="36"/>
        <v>13.139529658135602</v>
      </c>
      <c r="Z133">
        <f t="shared" ca="1" si="30"/>
        <v>0</v>
      </c>
      <c r="AA133">
        <f t="shared" ca="1" si="37"/>
        <v>127.71849543349529</v>
      </c>
      <c r="AB133">
        <f t="shared" ca="1" si="31"/>
        <v>0</v>
      </c>
      <c r="AC133">
        <f t="shared" ca="1" si="32"/>
        <v>6.6928509242848624E-3</v>
      </c>
      <c r="AD133" s="83">
        <f ca="1"/>
        <v>45677</v>
      </c>
      <c r="AE133" s="55">
        <f t="shared" ca="1" si="41"/>
        <v>45677</v>
      </c>
      <c r="AF133" s="55">
        <f t="shared" ca="1" si="42"/>
        <v>-16.806110533815961</v>
      </c>
      <c r="AG133" s="55">
        <f t="shared" ca="1" si="43"/>
        <v>86.114573978151043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63.328301485343204</v>
      </c>
      <c r="AK133" s="55">
        <f t="shared" ca="1" si="40"/>
        <v>23.549111108959217</v>
      </c>
    </row>
    <row r="134" spans="18:37">
      <c r="R134" s="83">
        <f ca="1"/>
        <v>45510</v>
      </c>
      <c r="S134" s="55">
        <f t="shared" ca="1" si="33"/>
        <v>45510</v>
      </c>
      <c r="T134" s="55">
        <f t="shared" ca="1" si="27"/>
        <v>70.138424586931976</v>
      </c>
      <c r="U134" s="55">
        <f t="shared" ca="1" si="28"/>
        <v>1.3386898147826627</v>
      </c>
      <c r="V134" s="55">
        <f t="shared" ca="1" si="29"/>
        <v>0</v>
      </c>
      <c r="W134" s="55">
        <f t="shared" ca="1" si="34"/>
        <v>-47.816539380215602</v>
      </c>
      <c r="X134" s="55">
        <f t="shared" ca="1" si="35"/>
        <v>55.135059637342017</v>
      </c>
      <c r="Y134" s="55">
        <f t="shared" ca="1" si="36"/>
        <v>13.396994041898228</v>
      </c>
      <c r="Z134">
        <f t="shared" ca="1" si="30"/>
        <v>0</v>
      </c>
      <c r="AA134">
        <f t="shared" ca="1" si="37"/>
        <v>127.96249114483052</v>
      </c>
      <c r="AB134">
        <f t="shared" ca="1" si="31"/>
        <v>0</v>
      </c>
      <c r="AC134">
        <f t="shared" ca="1" si="32"/>
        <v>6.6928509242848624E-3</v>
      </c>
      <c r="AD134" s="83">
        <f ca="1"/>
        <v>45678</v>
      </c>
      <c r="AE134" s="55">
        <f t="shared" ca="1" si="41"/>
        <v>45678</v>
      </c>
      <c r="AF134" s="55">
        <f t="shared" ca="1" si="42"/>
        <v>-18.78842923661994</v>
      </c>
      <c r="AG134" s="55">
        <f t="shared" ca="1" si="43"/>
        <v>88.935116462755602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63.977073906841689</v>
      </c>
      <c r="AK134" s="55">
        <f t="shared" ca="1" si="40"/>
        <v>23.738562469261311</v>
      </c>
    </row>
    <row r="135" spans="18:37">
      <c r="R135" s="83">
        <f ca="1"/>
        <v>45511</v>
      </c>
      <c r="S135" s="55">
        <f t="shared" ca="1" si="33"/>
        <v>45511</v>
      </c>
      <c r="T135" s="55">
        <f t="shared" ca="1" si="27"/>
        <v>70.747414503969708</v>
      </c>
      <c r="U135" s="55">
        <f t="shared" ca="1" si="28"/>
        <v>1.3386898147826627</v>
      </c>
      <c r="V135" s="55">
        <f t="shared" ca="1" si="29"/>
        <v>0</v>
      </c>
      <c r="W135" s="55">
        <f t="shared" ca="1" si="34"/>
        <v>-47.866324597829511</v>
      </c>
      <c r="X135" s="55">
        <f t="shared" ca="1" si="35"/>
        <v>55.544078229055856</v>
      </c>
      <c r="Y135" s="55">
        <f t="shared" ca="1" si="36"/>
        <v>13.646750584836031</v>
      </c>
      <c r="Z135">
        <f t="shared" ca="1" si="30"/>
        <v>0</v>
      </c>
      <c r="AA135">
        <f t="shared" ca="1" si="37"/>
        <v>128.06249114483052</v>
      </c>
      <c r="AB135">
        <f t="shared" ca="1" si="31"/>
        <v>0</v>
      </c>
      <c r="AC135">
        <f t="shared" ca="1" si="32"/>
        <v>6.6928509242848624E-3</v>
      </c>
      <c r="AD135" s="83">
        <f ca="1"/>
        <v>45679</v>
      </c>
      <c r="AE135" s="55">
        <f t="shared" ca="1" si="41"/>
        <v>45679</v>
      </c>
      <c r="AF135" s="55">
        <f t="shared" ca="1" si="42"/>
        <v>-20.711753351231987</v>
      </c>
      <c r="AG135" s="55">
        <f t="shared" ca="1" si="43"/>
        <v>91.668195512015799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64.60901200899248</v>
      </c>
      <c r="AK135" s="55">
        <f t="shared" ca="1" si="40"/>
        <v>23.916379301758667</v>
      </c>
    </row>
    <row r="136" spans="18:37">
      <c r="R136" s="83">
        <f ca="1"/>
        <v>45512</v>
      </c>
      <c r="S136" s="55">
        <f t="shared" ca="1" si="33"/>
        <v>45512</v>
      </c>
      <c r="T136" s="55">
        <f t="shared" ca="1" si="27"/>
        <v>71.188508144893788</v>
      </c>
      <c r="U136" s="55">
        <f t="shared" ca="1" si="28"/>
        <v>1.3386898147826627</v>
      </c>
      <c r="V136" s="55">
        <f t="shared" ca="1" si="29"/>
        <v>0</v>
      </c>
      <c r="W136" s="55">
        <f t="shared" ca="1" si="34"/>
        <v>-48.061697503516051</v>
      </c>
      <c r="X136" s="55">
        <f t="shared" ca="1" si="35"/>
        <v>55.938572254542848</v>
      </c>
      <c r="Y136" s="55">
        <f t="shared" ca="1" si="36"/>
        <v>13.888723105959654</v>
      </c>
      <c r="Z136">
        <f t="shared" ca="1" si="30"/>
        <v>0</v>
      </c>
      <c r="AA136">
        <f t="shared" ca="1" si="37"/>
        <v>128.4524911448305</v>
      </c>
      <c r="AB136">
        <f t="shared" ca="1" si="31"/>
        <v>0</v>
      </c>
      <c r="AC136">
        <f t="shared" ca="1" si="32"/>
        <v>6.6928509242848624E-3</v>
      </c>
      <c r="AD136" s="83">
        <f ca="1"/>
        <v>45680</v>
      </c>
      <c r="AE136" s="55">
        <f t="shared" ca="1" si="41"/>
        <v>45680</v>
      </c>
      <c r="AF136" s="55">
        <f t="shared" ca="1" si="42"/>
        <v>-22.571754917659188</v>
      </c>
      <c r="AG136" s="55">
        <f t="shared" ca="1" si="43"/>
        <v>94.289711063954456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65.204627173448955</v>
      </c>
      <c r="AK136" s="55">
        <f t="shared" ca="1" si="40"/>
        <v>24.082278122813641</v>
      </c>
    </row>
    <row r="137" spans="18:37">
      <c r="R137" s="83">
        <f ca="1"/>
        <v>45513</v>
      </c>
      <c r="S137" s="55">
        <f t="shared" ca="1" si="33"/>
        <v>45513</v>
      </c>
      <c r="T137" s="55">
        <f t="shared" ca="1" si="27"/>
        <v>71.505787104507107</v>
      </c>
      <c r="U137" s="55">
        <f t="shared" ca="1" si="28"/>
        <v>1.3386898147826627</v>
      </c>
      <c r="V137" s="55">
        <f t="shared" ca="1" si="29"/>
        <v>0</v>
      </c>
      <c r="W137" s="55">
        <f t="shared" ca="1" si="34"/>
        <v>-48.418961602790048</v>
      </c>
      <c r="X137" s="55">
        <f t="shared" ca="1" si="35"/>
        <v>56.362952816248679</v>
      </c>
      <c r="Y137" s="55">
        <f t="shared" ca="1" si="36"/>
        <v>14.13888560314115</v>
      </c>
      <c r="Z137">
        <f t="shared" ca="1" si="30"/>
        <v>0</v>
      </c>
      <c r="AA137">
        <f t="shared" ca="1" si="37"/>
        <v>129.16249114483051</v>
      </c>
      <c r="AB137">
        <f t="shared" ca="1" si="31"/>
        <v>0</v>
      </c>
      <c r="AC137">
        <f t="shared" ca="1" si="32"/>
        <v>6.6928509242848624E-3</v>
      </c>
      <c r="AD137" s="83">
        <f ca="1"/>
        <v>45681</v>
      </c>
      <c r="AE137" s="55">
        <f t="shared" ca="1" si="41"/>
        <v>45681</v>
      </c>
      <c r="AF137" s="55">
        <f t="shared" ca="1" si="42"/>
        <v>-24.460426886371003</v>
      </c>
      <c r="AG137" s="55">
        <f t="shared" ca="1" si="43"/>
        <v>96.923727495746931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65.787541496444959</v>
      </c>
      <c r="AK137" s="55">
        <f t="shared" ca="1" si="40"/>
        <v>24.244708262898293</v>
      </c>
    </row>
    <row r="138" spans="18:37">
      <c r="R138" s="83">
        <f ca="1"/>
        <v>45514</v>
      </c>
      <c r="S138" s="55">
        <f t="shared" ca="1" si="33"/>
        <v>45514</v>
      </c>
      <c r="T138" s="55">
        <f t="shared" ca="1" si="27"/>
        <v>72.172497385738069</v>
      </c>
      <c r="U138" s="55">
        <f t="shared" ca="1" si="28"/>
        <v>1.3386898147826627</v>
      </c>
      <c r="V138" s="55">
        <f t="shared" ca="1" si="29"/>
        <v>0</v>
      </c>
      <c r="W138" s="55">
        <f t="shared" ca="1" si="34"/>
        <v>-48.449434435019583</v>
      </c>
      <c r="X138" s="55">
        <f t="shared" ca="1" si="35"/>
        <v>56.806067049830141</v>
      </c>
      <c r="Y138" s="55">
        <f t="shared" ca="1" si="36"/>
        <v>14.392954483020175</v>
      </c>
      <c r="Z138">
        <f t="shared" ca="1" si="30"/>
        <v>0</v>
      </c>
      <c r="AA138">
        <f t="shared" ca="1" si="37"/>
        <v>129.22249114483051</v>
      </c>
      <c r="AB138">
        <f t="shared" ca="1" si="31"/>
        <v>0</v>
      </c>
      <c r="AC138">
        <f t="shared" ca="1" si="32"/>
        <v>6.6928509242848624E-3</v>
      </c>
      <c r="AD138" s="83">
        <f ca="1"/>
        <v>45682</v>
      </c>
      <c r="AE138" s="55">
        <f t="shared" ca="1" si="41"/>
        <v>45682</v>
      </c>
      <c r="AF138" s="55">
        <f t="shared" ca="1" si="42"/>
        <v>-26.346362699136044</v>
      </c>
      <c r="AG138" s="55">
        <f t="shared" ca="1" si="43"/>
        <v>99.521631523663842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66.343095305855286</v>
      </c>
      <c r="AK138" s="55">
        <f t="shared" ca="1" si="40"/>
        <v>24.401122668639836</v>
      </c>
    </row>
    <row r="139" spans="18:37">
      <c r="R139" s="83">
        <f ca="1"/>
        <v>45515</v>
      </c>
      <c r="S139" s="55">
        <f t="shared" ca="1" si="33"/>
        <v>45515</v>
      </c>
      <c r="T139" s="55">
        <f t="shared" ca="1" si="27"/>
        <v>72.434944116108227</v>
      </c>
      <c r="U139" s="55">
        <f t="shared" ca="1" si="28"/>
        <v>1.3386898147826627</v>
      </c>
      <c r="V139" s="55">
        <f t="shared" ca="1" si="29"/>
        <v>0</v>
      </c>
      <c r="W139" s="55">
        <f t="shared" ca="1" si="34"/>
        <v>-48.847021794945775</v>
      </c>
      <c r="X139" s="55">
        <f t="shared" ca="1" si="35"/>
        <v>57.223680425973896</v>
      </c>
      <c r="Y139" s="55">
        <f t="shared" ca="1" si="36"/>
        <v>14.635375197172756</v>
      </c>
      <c r="Z139">
        <f t="shared" ca="1" si="30"/>
        <v>0</v>
      </c>
      <c r="AA139">
        <f t="shared" ca="1" si="37"/>
        <v>130.00249114483051</v>
      </c>
      <c r="AB139">
        <f t="shared" ca="1" si="31"/>
        <v>0</v>
      </c>
      <c r="AC139">
        <f t="shared" ca="1" si="32"/>
        <v>6.6928509242848624E-3</v>
      </c>
      <c r="AD139" s="83">
        <f ca="1"/>
        <v>45683</v>
      </c>
      <c r="AE139" s="55">
        <f t="shared" ca="1" si="41"/>
        <v>45683</v>
      </c>
      <c r="AF139" s="55">
        <f t="shared" ca="1" si="42"/>
        <v>-28.242085455378955</v>
      </c>
      <c r="AG139" s="55">
        <f t="shared" ca="1" si="43"/>
        <v>102.14107241748101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66.912713831472288</v>
      </c>
      <c r="AK139" s="55">
        <f t="shared" ca="1" si="40"/>
        <v>24.555222280597093</v>
      </c>
    </row>
    <row r="140" spans="18:37">
      <c r="R140" s="83">
        <f ca="1"/>
        <v>45516</v>
      </c>
      <c r="S140" s="55">
        <f t="shared" ca="1" si="33"/>
        <v>45516</v>
      </c>
      <c r="T140" s="55">
        <f t="shared" ca="1" si="27"/>
        <v>72.456231392277346</v>
      </c>
      <c r="U140" s="55">
        <f t="shared" ca="1" si="28"/>
        <v>1.3386898147826627</v>
      </c>
      <c r="V140" s="55">
        <f t="shared" ca="1" si="29"/>
        <v>0</v>
      </c>
      <c r="W140" s="55">
        <f t="shared" ca="1" si="34"/>
        <v>-49.474170731107819</v>
      </c>
      <c r="X140" s="55">
        <f t="shared" ca="1" si="35"/>
        <v>57.634598702744178</v>
      </c>
      <c r="Y140" s="55">
        <f t="shared" ca="1" si="36"/>
        <v>14.872893132733633</v>
      </c>
      <c r="Z140">
        <f t="shared" ca="1" si="30"/>
        <v>0</v>
      </c>
      <c r="AA140">
        <f t="shared" ca="1" si="37"/>
        <v>131.2324911448305</v>
      </c>
      <c r="AB140">
        <f t="shared" ca="1" si="31"/>
        <v>0</v>
      </c>
      <c r="AC140">
        <f t="shared" ca="1" si="32"/>
        <v>6.6928509242848624E-3</v>
      </c>
      <c r="AD140" s="83">
        <f ca="1"/>
        <v>45684</v>
      </c>
      <c r="AE140" s="55">
        <f t="shared" ca="1" si="41"/>
        <v>45684</v>
      </c>
      <c r="AF140" s="55">
        <f t="shared" ca="1" si="42"/>
        <v>-30.148608671965977</v>
      </c>
      <c r="AG140" s="55">
        <f t="shared" ca="1" si="43"/>
        <v>104.74839340272298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67.463395326041294</v>
      </c>
      <c r="AK140" s="55">
        <f t="shared" ca="1" si="40"/>
        <v>24.705338554683031</v>
      </c>
    </row>
    <row r="141" spans="18:37">
      <c r="R141" s="83">
        <f ca="1"/>
        <v>45517</v>
      </c>
      <c r="S141" s="55">
        <f t="shared" ca="1" si="33"/>
        <v>45517</v>
      </c>
      <c r="T141" s="55">
        <f t="shared" ca="1" si="27"/>
        <v>72.70306651603191</v>
      </c>
      <c r="U141" s="55">
        <f t="shared" ca="1" si="28"/>
        <v>1.3386898147826627</v>
      </c>
      <c r="V141" s="55">
        <f t="shared" ca="1" si="29"/>
        <v>0</v>
      </c>
      <c r="W141" s="55">
        <f t="shared" ca="1" si="34"/>
        <v>-49.873229785095816</v>
      </c>
      <c r="X141" s="55">
        <f t="shared" ca="1" si="35"/>
        <v>58.04551697951446</v>
      </c>
      <c r="Y141" s="55">
        <f t="shared" ca="1" si="36"/>
        <v>15.107869033705907</v>
      </c>
      <c r="Z141">
        <f t="shared" ca="1" si="30"/>
        <v>0</v>
      </c>
      <c r="AA141">
        <f t="shared" ca="1" si="37"/>
        <v>132.01249114483051</v>
      </c>
      <c r="AB141">
        <f t="shared" ca="1" si="31"/>
        <v>0</v>
      </c>
      <c r="AC141">
        <f t="shared" ca="1" si="32"/>
        <v>6.6928509242848624E-3</v>
      </c>
      <c r="AD141" s="83">
        <f ca="1"/>
        <v>45685</v>
      </c>
      <c r="AE141" s="55">
        <f t="shared" ca="1" si="41"/>
        <v>45685</v>
      </c>
      <c r="AF141" s="55">
        <f t="shared" ca="1" si="42"/>
        <v>-32.163439289893816</v>
      </c>
      <c r="AG141" s="55">
        <f t="shared" ca="1" si="43"/>
        <v>107.47050816175476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68.017170353399109</v>
      </c>
      <c r="AK141" s="55">
        <f t="shared" ca="1" si="40"/>
        <v>24.858847668429171</v>
      </c>
    </row>
    <row r="142" spans="18:37">
      <c r="R142" s="83">
        <f ca="1"/>
        <v>45518</v>
      </c>
      <c r="S142" s="55">
        <f t="shared" ca="1" si="33"/>
        <v>45518</v>
      </c>
      <c r="T142" s="55">
        <f t="shared" ca="1" si="27"/>
        <v>72.885279066877956</v>
      </c>
      <c r="U142" s="55">
        <f t="shared" ca="1" si="28"/>
        <v>1.3386898147826627</v>
      </c>
      <c r="V142" s="55">
        <f t="shared" ca="1" si="29"/>
        <v>0</v>
      </c>
      <c r="W142" s="55">
        <f t="shared" ca="1" si="34"/>
        <v>-50.370739301096762</v>
      </c>
      <c r="X142" s="55">
        <f t="shared" ca="1" si="35"/>
        <v>58.483649296017127</v>
      </c>
      <c r="Y142" s="55">
        <f t="shared" ca="1" si="36"/>
        <v>15.349458784050235</v>
      </c>
      <c r="Z142">
        <f t="shared" ca="1" si="30"/>
        <v>0</v>
      </c>
      <c r="AA142">
        <f t="shared" ca="1" si="37"/>
        <v>132.9824911448305</v>
      </c>
      <c r="AB142">
        <f t="shared" ca="1" si="31"/>
        <v>0</v>
      </c>
      <c r="AC142">
        <f t="shared" ca="1" si="32"/>
        <v>6.6928509242848624E-3</v>
      </c>
      <c r="AD142" s="83">
        <f ca="1"/>
        <v>45686</v>
      </c>
      <c r="AE142" s="55">
        <f t="shared" ca="1" si="41"/>
        <v>45686</v>
      </c>
      <c r="AF142" s="55">
        <f t="shared" ca="1" si="42"/>
        <v>-34.255486338231719</v>
      </c>
      <c r="AG142" s="55">
        <f t="shared" ca="1" si="43"/>
        <v>110.26623886029364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68.57403379994058</v>
      </c>
      <c r="AK142" s="55">
        <f t="shared" ca="1" si="40"/>
        <v>25.005667872088665</v>
      </c>
    </row>
    <row r="143" spans="18:37">
      <c r="R143" s="83">
        <f ca="1"/>
        <v>45519</v>
      </c>
      <c r="S143" s="55">
        <f t="shared" ca="1" si="33"/>
        <v>45519</v>
      </c>
      <c r="T143" s="55">
        <f t="shared" ca="1" si="27"/>
        <v>73.554229876471624</v>
      </c>
      <c r="U143" s="55">
        <f t="shared" ca="1" si="28"/>
        <v>1.3386898147826627</v>
      </c>
      <c r="V143" s="55">
        <f t="shared" ca="1" si="29"/>
        <v>0</v>
      </c>
      <c r="W143" s="55">
        <f t="shared" ca="1" si="34"/>
        <v>-50.406971569887766</v>
      </c>
      <c r="X143" s="55">
        <f t="shared" ca="1" si="35"/>
        <v>58.942956838902667</v>
      </c>
      <c r="Y143" s="55">
        <f t="shared" ca="1" si="36"/>
        <v>15.595334319549361</v>
      </c>
      <c r="Z143">
        <f t="shared" ca="1" si="30"/>
        <v>0</v>
      </c>
      <c r="AA143">
        <f t="shared" ca="1" si="37"/>
        <v>133.0524911448305</v>
      </c>
      <c r="AB143">
        <f t="shared" ca="1" si="31"/>
        <v>0</v>
      </c>
      <c r="AC143">
        <f t="shared" ca="1" si="32"/>
        <v>6.6928509242848624E-3</v>
      </c>
      <c r="AD143" s="83">
        <f ca="1"/>
        <v>45687</v>
      </c>
      <c r="AE143" s="55">
        <f t="shared" ca="1" si="41"/>
        <v>45687</v>
      </c>
      <c r="AF143" s="55">
        <f t="shared" ca="1" si="42"/>
        <v>-36.339690812347122</v>
      </c>
      <c r="AG143" s="55">
        <f t="shared" ca="1" si="43"/>
        <v>113.05652735453808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69.135887329947252</v>
      </c>
      <c r="AK143" s="55">
        <f t="shared" ca="1" si="40"/>
        <v>25.149898362211026</v>
      </c>
    </row>
    <row r="144" spans="18:37">
      <c r="R144" s="83">
        <f ca="1"/>
        <v>45520</v>
      </c>
      <c r="S144" s="55">
        <f t="shared" ca="1" si="33"/>
        <v>45520</v>
      </c>
      <c r="T144" s="55">
        <f t="shared" ca="1" si="27"/>
        <v>73.559755147510955</v>
      </c>
      <c r="U144" s="55">
        <f t="shared" ca="1" si="28"/>
        <v>1.3386898147826627</v>
      </c>
      <c r="V144" s="55">
        <f t="shared" ca="1" si="29"/>
        <v>0</v>
      </c>
      <c r="W144" s="55">
        <f t="shared" ca="1" si="34"/>
        <v>-51.105789243789118</v>
      </c>
      <c r="X144" s="55">
        <f t="shared" ca="1" si="35"/>
        <v>59.403802204609057</v>
      </c>
      <c r="Y144" s="55">
        <f t="shared" ca="1" si="36"/>
        <v>15.838831898783656</v>
      </c>
      <c r="Z144">
        <f t="shared" ca="1" si="30"/>
        <v>0</v>
      </c>
      <c r="AA144">
        <f t="shared" ca="1" si="37"/>
        <v>134.40249114483049</v>
      </c>
      <c r="AB144">
        <f t="shared" ca="1" si="31"/>
        <v>0</v>
      </c>
      <c r="AC144">
        <f t="shared" ca="1" si="32"/>
        <v>6.6928509242848624E-3</v>
      </c>
      <c r="AD144" s="83">
        <f ca="1"/>
        <v>45688</v>
      </c>
      <c r="AE144" s="55">
        <f t="shared" ca="1" si="41"/>
        <v>45688</v>
      </c>
      <c r="AF144" s="55">
        <f t="shared" ca="1" si="42"/>
        <v>-38.328406729434278</v>
      </c>
      <c r="AG144" s="55">
        <f t="shared" ca="1" si="43"/>
        <v>115.73074807078412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69.682645417573667</v>
      </c>
      <c r="AK144" s="55">
        <f t="shared" ca="1" si="40"/>
        <v>25.288645073743496</v>
      </c>
    </row>
    <row r="145" spans="18:37">
      <c r="R145" s="83">
        <f ca="1"/>
        <v>45521</v>
      </c>
      <c r="S145" s="55">
        <f t="shared" ca="1" si="33"/>
        <v>45521</v>
      </c>
      <c r="T145" s="55">
        <f t="shared" ca="1" si="27"/>
        <v>73.722358634294778</v>
      </c>
      <c r="U145" s="55">
        <f t="shared" ca="1" si="28"/>
        <v>1.3386898147826627</v>
      </c>
      <c r="V145" s="55">
        <f t="shared" ca="1" si="29"/>
        <v>0</v>
      </c>
      <c r="W145" s="55">
        <f t="shared" ca="1" si="34"/>
        <v>-51.645327690683061</v>
      </c>
      <c r="X145" s="55">
        <f t="shared" ca="1" si="35"/>
        <v>59.865160930726539</v>
      </c>
      <c r="Y145" s="55">
        <f t="shared" ca="1" si="36"/>
        <v>16.07961510634394</v>
      </c>
      <c r="Z145">
        <f t="shared" ca="1" si="30"/>
        <v>0</v>
      </c>
      <c r="AA145">
        <f t="shared" ca="1" si="37"/>
        <v>135.44249114483048</v>
      </c>
      <c r="AB145">
        <f t="shared" ca="1" si="31"/>
        <v>0</v>
      </c>
      <c r="AC145">
        <f t="shared" ca="1" si="32"/>
        <v>6.6928509242848624E-3</v>
      </c>
      <c r="AD145" s="83">
        <f ca="1"/>
        <v>45689</v>
      </c>
      <c r="AE145" s="55">
        <f t="shared" ca="1" si="41"/>
        <v>45689</v>
      </c>
      <c r="AF145" s="55">
        <f t="shared" ca="1" si="42"/>
        <v>-40.264471587725495</v>
      </c>
      <c r="AG145" s="55">
        <f t="shared" ca="1" si="43"/>
        <v>118.34081963219987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70.222523157842446</v>
      </c>
      <c r="AK145" s="55">
        <f t="shared" ca="1" si="40"/>
        <v>25.422774036599257</v>
      </c>
    </row>
    <row r="146" spans="18:37">
      <c r="R146" s="83">
        <f ca="1"/>
        <v>45522</v>
      </c>
      <c r="S146" s="55">
        <f t="shared" ca="1" si="33"/>
        <v>45522</v>
      </c>
      <c r="T146" s="55">
        <f t="shared" ref="T146:T209" ca="1" si="45">VLOOKUP(S146,ModelOutputs,2,FALSE)</f>
        <v>74.39032582483901</v>
      </c>
      <c r="U146" s="55">
        <f t="shared" ref="U146:U209" ca="1" si="46">VLOOKUP(S146,ModelOutputs,7,FALSE)</f>
        <v>1.3386898147826627</v>
      </c>
      <c r="V146" s="55">
        <f t="shared" ref="V146:V209" ca="1" si="47">VLOOKUP(S146,ModelOutputs,6,FALSE)</f>
        <v>0</v>
      </c>
      <c r="W146" s="55">
        <f t="shared" ca="1" si="34"/>
        <v>-51.645327690683061</v>
      </c>
      <c r="X146" s="55">
        <f t="shared" ca="1" si="35"/>
        <v>60.302797103476706</v>
      </c>
      <c r="Y146" s="55">
        <f t="shared" ca="1" si="36"/>
        <v>16.309946124138005</v>
      </c>
      <c r="Z146">
        <f t="shared" ref="Z146:Z209" ca="1" si="48">VLOOKUP(S146,ModelOutputs,10,FALSE)*AWC</f>
        <v>0</v>
      </c>
      <c r="AA146">
        <f t="shared" ca="1" si="37"/>
        <v>135.44249114483048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6.6928509242848624E-3</v>
      </c>
      <c r="AD146" s="83">
        <f ca="1"/>
        <v>45690</v>
      </c>
      <c r="AE146" s="55">
        <f t="shared" ca="1" si="41"/>
        <v>45690</v>
      </c>
      <c r="AF146" s="55">
        <f t="shared" ca="1" si="42"/>
        <v>-42.104223937988223</v>
      </c>
      <c r="AG146" s="55">
        <f t="shared" ca="1" si="43"/>
        <v>120.8075678373381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70.72708758305852</v>
      </c>
      <c r="AK146" s="55">
        <f t="shared" ca="1" si="40"/>
        <v>25.545205466258686</v>
      </c>
    </row>
    <row r="147" spans="18:37">
      <c r="R147" s="83">
        <f ca="1"/>
        <v>45523</v>
      </c>
      <c r="S147" s="55">
        <f t="shared" ref="S147:S210" ca="1" si="51">IF(R147&gt;1,R147,"")</f>
        <v>45523</v>
      </c>
      <c r="T147" s="55">
        <f t="shared" ca="1" si="45"/>
        <v>75.067444996290419</v>
      </c>
      <c r="U147" s="55">
        <f t="shared" ca="1" si="46"/>
        <v>1.3386898147826627</v>
      </c>
      <c r="V147" s="55">
        <f t="shared" ca="1" si="47"/>
        <v>0</v>
      </c>
      <c r="W147" s="55">
        <f t="shared" ref="W147:W210" ca="1" si="52">-VLOOKUP(S147,ModelOutputs,9,FALSE)+W146</f>
        <v>-51.645327690683061</v>
      </c>
      <c r="X147" s="55">
        <f t="shared" ref="X147:X210" ca="1" si="53">VLOOKUP(S147,ModelOutputs,5,FALSE)+X146</f>
        <v>60.749420869629155</v>
      </c>
      <c r="Y147" s="55">
        <f t="shared" ref="Y147:Y210" ca="1" si="54">VLOOKUP(S147,ModelOutputs,4,FALSE)+Y146</f>
        <v>16.540441529436951</v>
      </c>
      <c r="Z147">
        <f t="shared" ca="1" si="48"/>
        <v>0</v>
      </c>
      <c r="AA147">
        <f t="shared" ref="AA147:AA210" ca="1" si="55">VLOOKUP(S147,ModelOutputs,11,FALSE)+AA146</f>
        <v>135.44249114483048</v>
      </c>
      <c r="AB147">
        <f t="shared" ca="1" si="49"/>
        <v>0</v>
      </c>
      <c r="AC147">
        <f t="shared" ca="1" si="50"/>
        <v>6.6928509242848624E-3</v>
      </c>
      <c r="AD147" s="83">
        <f ca="1"/>
        <v>45691</v>
      </c>
      <c r="AE147" s="55">
        <f t="shared" ca="1" si="41"/>
        <v>45691</v>
      </c>
      <c r="AF147" s="55">
        <f t="shared" ca="1" si="42"/>
        <v>-44.000776715028501</v>
      </c>
      <c r="AG147" s="55">
        <f t="shared" ca="1" si="43"/>
        <v>123.35421834489223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71.254458769600177</v>
      </c>
      <c r="AK147" s="55">
        <f t="shared" ref="AK147:AK210" ca="1" si="58">VLOOKUP(AE147,ModelOutputs,4,FALSE)+AK146</f>
        <v>25.667932010230885</v>
      </c>
    </row>
    <row r="148" spans="18:37">
      <c r="R148" s="83">
        <f ca="1"/>
        <v>45524</v>
      </c>
      <c r="S148" s="55">
        <f t="shared" ca="1" si="51"/>
        <v>45524</v>
      </c>
      <c r="T148" s="55">
        <f t="shared" ca="1" si="45"/>
        <v>75.723552978172336</v>
      </c>
      <c r="U148" s="55">
        <f t="shared" ca="1" si="46"/>
        <v>1.3386898147826627</v>
      </c>
      <c r="V148" s="55">
        <f t="shared" ca="1" si="47"/>
        <v>0</v>
      </c>
      <c r="W148" s="55">
        <f t="shared" ca="1" si="52"/>
        <v>-51.645327690683061</v>
      </c>
      <c r="X148" s="55">
        <f t="shared" ca="1" si="53"/>
        <v>61.182116045939161</v>
      </c>
      <c r="Y148" s="55">
        <f t="shared" ca="1" si="54"/>
        <v>16.763854335008858</v>
      </c>
      <c r="Z148">
        <f t="shared" ca="1" si="48"/>
        <v>0</v>
      </c>
      <c r="AA148">
        <f t="shared" ca="1" si="55"/>
        <v>135.44249114483048</v>
      </c>
      <c r="AB148">
        <f t="shared" ca="1" si="49"/>
        <v>0</v>
      </c>
      <c r="AC148">
        <f t="shared" ca="1" si="50"/>
        <v>6.6928509242848624E-3</v>
      </c>
      <c r="AD148" s="83">
        <f ca="1"/>
        <v>45692</v>
      </c>
      <c r="AE148" s="55">
        <f t="shared" ca="1" si="41"/>
        <v>45692</v>
      </c>
      <c r="AF148" s="55">
        <f t="shared" ca="1" si="42"/>
        <v>-45.841852024356129</v>
      </c>
      <c r="AG148" s="55">
        <f t="shared" ca="1" si="43"/>
        <v>125.85741497355036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71.792739934636671</v>
      </c>
      <c r="AK148" s="55">
        <f t="shared" ca="1" si="58"/>
        <v>25.791772164524893</v>
      </c>
    </row>
    <row r="149" spans="18:37">
      <c r="R149" s="83">
        <f ca="1"/>
        <v>45525</v>
      </c>
      <c r="S149" s="55">
        <f t="shared" ca="1" si="51"/>
        <v>45525</v>
      </c>
      <c r="T149" s="55">
        <f t="shared" ca="1" si="45"/>
        <v>76.371908508594061</v>
      </c>
      <c r="U149" s="55">
        <f t="shared" ca="1" si="46"/>
        <v>1.3386898147826627</v>
      </c>
      <c r="V149" s="55">
        <f t="shared" ca="1" si="47"/>
        <v>0</v>
      </c>
      <c r="W149" s="55">
        <f t="shared" ca="1" si="52"/>
        <v>-51.645327690683061</v>
      </c>
      <c r="X149" s="55">
        <f t="shared" ca="1" si="53"/>
        <v>61.610885138495739</v>
      </c>
      <c r="Y149" s="55">
        <f t="shared" ca="1" si="54"/>
        <v>16.983440772874005</v>
      </c>
      <c r="Z149">
        <f t="shared" ca="1" si="48"/>
        <v>0</v>
      </c>
      <c r="AA149">
        <f t="shared" ca="1" si="55"/>
        <v>135.44249114483048</v>
      </c>
      <c r="AB149">
        <f t="shared" ca="1" si="49"/>
        <v>0</v>
      </c>
      <c r="AC149">
        <f t="shared" ca="1" si="50"/>
        <v>6.6928509242848624E-3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-47.503156023469735</v>
      </c>
      <c r="AG149" s="55">
        <f t="shared" ref="AG149:AG212" ca="1" si="61">VLOOKUP(AE149,ModelOutputs,7,FALSE)</f>
        <v>128.08495302708275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72.254892484262356</v>
      </c>
      <c r="AK149" s="55">
        <f t="shared" ca="1" si="58"/>
        <v>25.895853669317994</v>
      </c>
    </row>
    <row r="150" spans="18:37">
      <c r="R150" s="83">
        <f ca="1"/>
        <v>45526</v>
      </c>
      <c r="S150" s="55">
        <f t="shared" ca="1" si="51"/>
        <v>45526</v>
      </c>
      <c r="T150" s="55">
        <f t="shared" ca="1" si="45"/>
        <v>77.047582828645091</v>
      </c>
      <c r="U150" s="55">
        <f t="shared" ca="1" si="46"/>
        <v>1.3386898147826627</v>
      </c>
      <c r="V150" s="55">
        <f t="shared" ca="1" si="47"/>
        <v>0</v>
      </c>
      <c r="W150" s="55">
        <f t="shared" ca="1" si="52"/>
        <v>-51.645327690683061</v>
      </c>
      <c r="X150" s="55">
        <f t="shared" ca="1" si="53"/>
        <v>62.062554299028399</v>
      </c>
      <c r="Y150" s="55">
        <f t="shared" ca="1" si="54"/>
        <v>17.207445932392368</v>
      </c>
      <c r="Z150">
        <f t="shared" ca="1" si="48"/>
        <v>0</v>
      </c>
      <c r="AA150">
        <f t="shared" ca="1" si="55"/>
        <v>135.44249114483048</v>
      </c>
      <c r="AB150">
        <f t="shared" ca="1" si="49"/>
        <v>0</v>
      </c>
      <c r="AC150">
        <f t="shared" ca="1" si="50"/>
        <v>6.6928509242848624E-3</v>
      </c>
      <c r="AD150" s="83">
        <f ca="1"/>
        <v>45694</v>
      </c>
      <c r="AE150" s="55">
        <f t="shared" ca="1" si="59"/>
        <v>45694</v>
      </c>
      <c r="AF150" s="55">
        <f t="shared" ca="1" si="60"/>
        <v>-49.212364933918458</v>
      </c>
      <c r="AG150" s="55">
        <f t="shared" ca="1" si="61"/>
        <v>130.44028332839443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72.783462658276193</v>
      </c>
      <c r="AK150" s="55">
        <f t="shared" ca="1" si="58"/>
        <v>26.013404886167123</v>
      </c>
    </row>
    <row r="151" spans="18:37">
      <c r="R151" s="83">
        <f ca="1"/>
        <v>45527</v>
      </c>
      <c r="S151" s="55">
        <f t="shared" ca="1" si="51"/>
        <v>45527</v>
      </c>
      <c r="T151" s="55">
        <f t="shared" ca="1" si="45"/>
        <v>77.745918555835772</v>
      </c>
      <c r="U151" s="55">
        <f t="shared" ca="1" si="46"/>
        <v>1.3386898147826627</v>
      </c>
      <c r="V151" s="55">
        <f t="shared" ca="1" si="47"/>
        <v>0</v>
      </c>
      <c r="W151" s="55">
        <f t="shared" ca="1" si="52"/>
        <v>-51.645327690683061</v>
      </c>
      <c r="X151" s="55">
        <f t="shared" ca="1" si="53"/>
        <v>62.533738528791439</v>
      </c>
      <c r="Y151" s="55">
        <f t="shared" ca="1" si="54"/>
        <v>17.434597429820002</v>
      </c>
      <c r="Z151">
        <f t="shared" ca="1" si="48"/>
        <v>0</v>
      </c>
      <c r="AA151">
        <f t="shared" ca="1" si="55"/>
        <v>135.44249114483048</v>
      </c>
      <c r="AB151">
        <f t="shared" ca="1" si="49"/>
        <v>0</v>
      </c>
      <c r="AC151">
        <f t="shared" ca="1" si="50"/>
        <v>6.6928509242848624E-3</v>
      </c>
      <c r="AD151" s="83">
        <f ca="1"/>
        <v>45695</v>
      </c>
      <c r="AE151" s="55">
        <f t="shared" ca="1" si="59"/>
        <v>45695</v>
      </c>
      <c r="AF151" s="55">
        <f t="shared" ca="1" si="60"/>
        <v>-50.808161177235085</v>
      </c>
      <c r="AG151" s="55">
        <f t="shared" ca="1" si="61"/>
        <v>132.65734038106737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73.293625060988745</v>
      </c>
      <c r="AK151" s="55">
        <f t="shared" ca="1" si="58"/>
        <v>26.124503292810878</v>
      </c>
    </row>
    <row r="152" spans="18:37">
      <c r="R152" s="83">
        <f ca="1"/>
        <v>45528</v>
      </c>
      <c r="S152" s="55">
        <f t="shared" ca="1" si="51"/>
        <v>45528</v>
      </c>
      <c r="T152" s="55">
        <f t="shared" ca="1" si="45"/>
        <v>78.470190587114061</v>
      </c>
      <c r="U152" s="55">
        <f t="shared" ca="1" si="46"/>
        <v>1.3386898147826627</v>
      </c>
      <c r="V152" s="55">
        <f t="shared" ca="1" si="47"/>
        <v>0</v>
      </c>
      <c r="W152" s="55">
        <f t="shared" ca="1" si="52"/>
        <v>-51.645327690683061</v>
      </c>
      <c r="X152" s="55">
        <f t="shared" ca="1" si="53"/>
        <v>63.027127902161325</v>
      </c>
      <c r="Y152" s="55">
        <f t="shared" ca="1" si="54"/>
        <v>17.665480087728401</v>
      </c>
      <c r="Z152">
        <f t="shared" ca="1" si="48"/>
        <v>0</v>
      </c>
      <c r="AA152">
        <f t="shared" ca="1" si="55"/>
        <v>135.44249114483048</v>
      </c>
      <c r="AB152">
        <f t="shared" ca="1" si="49"/>
        <v>0</v>
      </c>
      <c r="AC152">
        <f t="shared" ca="1" si="50"/>
        <v>6.6928509242848624E-3</v>
      </c>
      <c r="AD152" s="83">
        <f ca="1"/>
        <v>45696</v>
      </c>
      <c r="AE152" s="55">
        <f t="shared" ca="1" si="59"/>
        <v>45696</v>
      </c>
      <c r="AF152" s="55">
        <f t="shared" ca="1" si="60"/>
        <v>-52.484273087117565</v>
      </c>
      <c r="AG152" s="55">
        <f t="shared" ca="1" si="61"/>
        <v>135.00000000000003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73.844640691705834</v>
      </c>
      <c r="AK152" s="55">
        <f t="shared" ca="1" si="58"/>
        <v>26.240035371143968</v>
      </c>
    </row>
    <row r="153" spans="18:37">
      <c r="R153" s="83">
        <f ca="1"/>
        <v>45529</v>
      </c>
      <c r="S153" s="55">
        <f t="shared" ca="1" si="51"/>
        <v>45529</v>
      </c>
      <c r="T153" s="55">
        <f t="shared" ca="1" si="45"/>
        <v>79.21674929371548</v>
      </c>
      <c r="U153" s="55">
        <f t="shared" ca="1" si="46"/>
        <v>1.3386898147826627</v>
      </c>
      <c r="V153" s="55">
        <f t="shared" ca="1" si="47"/>
        <v>0</v>
      </c>
      <c r="W153" s="55">
        <f t="shared" ca="1" si="52"/>
        <v>-51.645327690683061</v>
      </c>
      <c r="X153" s="55">
        <f t="shared" ca="1" si="53"/>
        <v>63.540086682373307</v>
      </c>
      <c r="Y153" s="55">
        <f t="shared" ca="1" si="54"/>
        <v>17.899080014117843</v>
      </c>
      <c r="Z153">
        <f t="shared" ca="1" si="48"/>
        <v>0</v>
      </c>
      <c r="AA153">
        <f t="shared" ca="1" si="55"/>
        <v>135.44249114483048</v>
      </c>
      <c r="AB153">
        <f t="shared" ca="1" si="49"/>
        <v>0</v>
      </c>
      <c r="AC153">
        <f t="shared" ca="1" si="50"/>
        <v>6.6928509242848624E-3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45530</v>
      </c>
      <c r="S154" s="55">
        <f t="shared" ca="1" si="51"/>
        <v>45530</v>
      </c>
      <c r="T154" s="55">
        <f t="shared" ca="1" si="45"/>
        <v>79.918507665347121</v>
      </c>
      <c r="U154" s="55">
        <f t="shared" ca="1" si="46"/>
        <v>1.3386898147826627</v>
      </c>
      <c r="V154" s="55">
        <f t="shared" ca="1" si="47"/>
        <v>0</v>
      </c>
      <c r="W154" s="55">
        <f t="shared" ca="1" si="52"/>
        <v>-51.645327690683061</v>
      </c>
      <c r="X154" s="55">
        <f t="shared" ca="1" si="53"/>
        <v>64.020705270425779</v>
      </c>
      <c r="Y154" s="55">
        <f t="shared" ca="1" si="54"/>
        <v>18.120219797697001</v>
      </c>
      <c r="Z154">
        <f t="shared" ca="1" si="48"/>
        <v>0</v>
      </c>
      <c r="AA154">
        <f t="shared" ca="1" si="55"/>
        <v>135.44249114483048</v>
      </c>
      <c r="AB154">
        <f t="shared" ca="1" si="49"/>
        <v>0</v>
      </c>
      <c r="AC154">
        <f t="shared" ca="1" si="50"/>
        <v>6.6928509242848624E-3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45531</v>
      </c>
      <c r="S155" s="55">
        <f t="shared" ca="1" si="51"/>
        <v>45531</v>
      </c>
      <c r="T155" s="55">
        <f t="shared" ca="1" si="45"/>
        <v>80.649799438382971</v>
      </c>
      <c r="U155" s="55">
        <f t="shared" ca="1" si="46"/>
        <v>1.3386898147826627</v>
      </c>
      <c r="V155" s="55">
        <f t="shared" ca="1" si="47"/>
        <v>0</v>
      </c>
      <c r="W155" s="55">
        <f t="shared" ca="1" si="52"/>
        <v>-51.645327690683061</v>
      </c>
      <c r="X155" s="55">
        <f t="shared" ca="1" si="53"/>
        <v>64.5265399076698</v>
      </c>
      <c r="Y155" s="55">
        <f t="shared" ca="1" si="54"/>
        <v>18.345676933488825</v>
      </c>
      <c r="Z155">
        <f t="shared" ca="1" si="48"/>
        <v>0</v>
      </c>
      <c r="AA155">
        <f t="shared" ca="1" si="55"/>
        <v>135.44249114483048</v>
      </c>
      <c r="AB155">
        <f t="shared" ca="1" si="49"/>
        <v>0</v>
      </c>
      <c r="AC155">
        <f t="shared" ca="1" si="50"/>
        <v>6.6928509242848624E-3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45532</v>
      </c>
      <c r="S156" s="55">
        <f t="shared" ca="1" si="51"/>
        <v>45532</v>
      </c>
      <c r="T156" s="55">
        <f t="shared" ca="1" si="45"/>
        <v>81.382962286532816</v>
      </c>
      <c r="U156" s="55">
        <f t="shared" ca="1" si="46"/>
        <v>1.3386898147826627</v>
      </c>
      <c r="V156" s="55">
        <f t="shared" ca="1" si="47"/>
        <v>0</v>
      </c>
      <c r="W156" s="55">
        <f t="shared" ca="1" si="52"/>
        <v>-51.645327690683061</v>
      </c>
      <c r="X156" s="55">
        <f t="shared" ca="1" si="53"/>
        <v>65.036202538542838</v>
      </c>
      <c r="Y156" s="55">
        <f t="shared" ca="1" si="54"/>
        <v>18.569177150765633</v>
      </c>
      <c r="Z156">
        <f t="shared" ca="1" si="48"/>
        <v>0</v>
      </c>
      <c r="AA156">
        <f t="shared" ca="1" si="55"/>
        <v>135.44249114483048</v>
      </c>
      <c r="AB156">
        <f t="shared" ca="1" si="49"/>
        <v>0</v>
      </c>
      <c r="AC156">
        <f t="shared" ca="1" si="50"/>
        <v>6.6928509242848624E-3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45533</v>
      </c>
      <c r="S157" s="55">
        <f t="shared" ca="1" si="51"/>
        <v>45533</v>
      </c>
      <c r="T157" s="55">
        <f t="shared" ca="1" si="45"/>
        <v>82.128672067893234</v>
      </c>
      <c r="U157" s="55">
        <f t="shared" ca="1" si="46"/>
        <v>1.3386898147826627</v>
      </c>
      <c r="V157" s="55">
        <f t="shared" ca="1" si="47"/>
        <v>0</v>
      </c>
      <c r="W157" s="55">
        <f t="shared" ca="1" si="52"/>
        <v>-51.645327690683061</v>
      </c>
      <c r="X157" s="55">
        <f t="shared" ca="1" si="53"/>
        <v>65.557622016295483</v>
      </c>
      <c r="Y157" s="55">
        <f t="shared" ca="1" si="54"/>
        <v>18.793467454373413</v>
      </c>
      <c r="Z157">
        <f t="shared" ca="1" si="48"/>
        <v>0</v>
      </c>
      <c r="AA157">
        <f t="shared" ca="1" si="55"/>
        <v>135.44249114483048</v>
      </c>
      <c r="AB157">
        <f t="shared" ca="1" si="49"/>
        <v>0</v>
      </c>
      <c r="AC157">
        <f t="shared" ca="1" si="50"/>
        <v>6.6928509242848624E-3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45534</v>
      </c>
      <c r="S158" s="55">
        <f t="shared" ca="1" si="51"/>
        <v>45534</v>
      </c>
      <c r="T158" s="55">
        <f t="shared" ca="1" si="45"/>
        <v>82.799375180804759</v>
      </c>
      <c r="U158" s="55">
        <f t="shared" ca="1" si="46"/>
        <v>1.3386898147826627</v>
      </c>
      <c r="V158" s="55">
        <f t="shared" ca="1" si="47"/>
        <v>0</v>
      </c>
      <c r="W158" s="55">
        <f t="shared" ca="1" si="52"/>
        <v>-51.645327690683061</v>
      </c>
      <c r="X158" s="55">
        <f t="shared" ca="1" si="53"/>
        <v>66.020153849773905</v>
      </c>
      <c r="Y158" s="55">
        <f t="shared" ca="1" si="54"/>
        <v>19.001638733806523</v>
      </c>
      <c r="Z158">
        <f t="shared" ca="1" si="48"/>
        <v>0</v>
      </c>
      <c r="AA158">
        <f t="shared" ca="1" si="55"/>
        <v>135.44249114483048</v>
      </c>
      <c r="AB158">
        <f t="shared" ca="1" si="49"/>
        <v>0</v>
      </c>
      <c r="AC158">
        <f t="shared" ca="1" si="50"/>
        <v>6.6928509242848624E-3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45535</v>
      </c>
      <c r="S159" s="55">
        <f t="shared" ca="1" si="51"/>
        <v>45535</v>
      </c>
      <c r="T159" s="55">
        <f t="shared" ca="1" si="45"/>
        <v>83.461861099668127</v>
      </c>
      <c r="U159" s="55">
        <f t="shared" ca="1" si="46"/>
        <v>1.3386898147826627</v>
      </c>
      <c r="V159" s="55">
        <f t="shared" ca="1" si="47"/>
        <v>0</v>
      </c>
      <c r="W159" s="55">
        <f t="shared" ca="1" si="52"/>
        <v>-51.645327690683061</v>
      </c>
      <c r="X159" s="55">
        <f t="shared" ca="1" si="53"/>
        <v>66.479456887779563</v>
      </c>
      <c r="Y159" s="55">
        <f t="shared" ca="1" si="54"/>
        <v>19.20482161466423</v>
      </c>
      <c r="Z159">
        <f t="shared" ca="1" si="48"/>
        <v>0</v>
      </c>
      <c r="AA159">
        <f t="shared" ca="1" si="55"/>
        <v>135.44249114483048</v>
      </c>
      <c r="AB159">
        <f t="shared" ca="1" si="49"/>
        <v>0</v>
      </c>
      <c r="AC159">
        <f t="shared" ca="1" si="50"/>
        <v>6.6928509242848624E-3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45536</v>
      </c>
      <c r="S160" s="55">
        <f t="shared" ca="1" si="51"/>
        <v>45536</v>
      </c>
      <c r="T160" s="55">
        <f t="shared" ca="1" si="45"/>
        <v>84.175785178808766</v>
      </c>
      <c r="U160" s="55">
        <f t="shared" ca="1" si="46"/>
        <v>1.3386898147826627</v>
      </c>
      <c r="V160" s="55">
        <f t="shared" ca="1" si="47"/>
        <v>0</v>
      </c>
      <c r="W160" s="55">
        <f t="shared" ca="1" si="52"/>
        <v>-51.645327690683061</v>
      </c>
      <c r="X160" s="55">
        <f t="shared" ca="1" si="53"/>
        <v>66.981207793774303</v>
      </c>
      <c r="Y160" s="55">
        <f t="shared" ca="1" si="54"/>
        <v>19.416994787810133</v>
      </c>
      <c r="Z160">
        <f t="shared" ca="1" si="48"/>
        <v>0</v>
      </c>
      <c r="AA160">
        <f t="shared" ca="1" si="55"/>
        <v>135.44249114483048</v>
      </c>
      <c r="AB160">
        <f t="shared" ca="1" si="49"/>
        <v>0</v>
      </c>
      <c r="AC160">
        <f t="shared" ca="1" si="50"/>
        <v>6.6928509242848624E-3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45537</v>
      </c>
      <c r="S161" s="55">
        <f t="shared" ca="1" si="51"/>
        <v>45537</v>
      </c>
      <c r="T161" s="55">
        <f t="shared" ca="1" si="45"/>
        <v>84.896161042003783</v>
      </c>
      <c r="U161" s="55">
        <f t="shared" ca="1" si="46"/>
        <v>1.3386898147826627</v>
      </c>
      <c r="V161" s="55">
        <f t="shared" ca="1" si="47"/>
        <v>0</v>
      </c>
      <c r="W161" s="55">
        <f t="shared" ca="1" si="52"/>
        <v>-51.645327690683061</v>
      </c>
      <c r="X161" s="55">
        <f t="shared" ca="1" si="53"/>
        <v>67.491927216969245</v>
      </c>
      <c r="Y161" s="55">
        <f t="shared" ca="1" si="54"/>
        <v>19.626651227810207</v>
      </c>
      <c r="Z161">
        <f t="shared" ca="1" si="48"/>
        <v>0</v>
      </c>
      <c r="AA161">
        <f t="shared" ca="1" si="55"/>
        <v>135.44249114483048</v>
      </c>
      <c r="AB161">
        <f t="shared" ca="1" si="49"/>
        <v>0</v>
      </c>
      <c r="AC161">
        <f t="shared" ca="1" si="50"/>
        <v>6.6928509242848624E-3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45538</v>
      </c>
      <c r="S162" s="55">
        <f t="shared" ca="1" si="51"/>
        <v>45538</v>
      </c>
      <c r="T162" s="55">
        <f t="shared" ca="1" si="45"/>
        <v>85.624065877538314</v>
      </c>
      <c r="U162" s="55">
        <f t="shared" ca="1" si="46"/>
        <v>1.3386898147826627</v>
      </c>
      <c r="V162" s="55">
        <f t="shared" ca="1" si="47"/>
        <v>0</v>
      </c>
      <c r="W162" s="55">
        <f t="shared" ca="1" si="52"/>
        <v>-51.645327690683061</v>
      </c>
      <c r="X162" s="55">
        <f t="shared" ca="1" si="53"/>
        <v>68.008797984597507</v>
      </c>
      <c r="Y162" s="55">
        <f t="shared" ca="1" si="54"/>
        <v>19.837685295716472</v>
      </c>
      <c r="Z162">
        <f t="shared" ca="1" si="48"/>
        <v>0</v>
      </c>
      <c r="AA162">
        <f t="shared" ca="1" si="55"/>
        <v>135.44249114483048</v>
      </c>
      <c r="AB162">
        <f t="shared" ca="1" si="49"/>
        <v>0</v>
      </c>
      <c r="AC162">
        <f t="shared" ca="1" si="50"/>
        <v>6.6928509242848624E-3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45539</v>
      </c>
      <c r="S163" s="55">
        <f t="shared" ca="1" si="51"/>
        <v>45539</v>
      </c>
      <c r="T163" s="55">
        <f t="shared" ca="1" si="45"/>
        <v>86.370714985822687</v>
      </c>
      <c r="U163" s="55">
        <f t="shared" ca="1" si="46"/>
        <v>1.3386898147826627</v>
      </c>
      <c r="V163" s="55">
        <f t="shared" ca="1" si="47"/>
        <v>0</v>
      </c>
      <c r="W163" s="55">
        <f t="shared" ca="1" si="52"/>
        <v>-51.645327690683061</v>
      </c>
      <c r="X163" s="55">
        <f t="shared" ca="1" si="53"/>
        <v>68.540902567438025</v>
      </c>
      <c r="Y163" s="55">
        <f t="shared" ca="1" si="54"/>
        <v>20.052229821160324</v>
      </c>
      <c r="Z163">
        <f t="shared" ca="1" si="48"/>
        <v>0</v>
      </c>
      <c r="AA163">
        <f t="shared" ca="1" si="55"/>
        <v>135.44249114483048</v>
      </c>
      <c r="AB163">
        <f t="shared" ca="1" si="49"/>
        <v>0</v>
      </c>
      <c r="AC163">
        <f t="shared" ca="1" si="50"/>
        <v>6.6928509242848624E-3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45540</v>
      </c>
      <c r="S164" s="55">
        <f t="shared" ca="1" si="51"/>
        <v>45540</v>
      </c>
      <c r="T164" s="55">
        <f t="shared" ca="1" si="45"/>
        <v>87.107250436147538</v>
      </c>
      <c r="U164" s="55">
        <f t="shared" ca="1" si="46"/>
        <v>1.3386898147826627</v>
      </c>
      <c r="V164" s="55">
        <f t="shared" ca="1" si="47"/>
        <v>0</v>
      </c>
      <c r="W164" s="55">
        <f t="shared" ca="1" si="52"/>
        <v>-51.645327690683061</v>
      </c>
      <c r="X164" s="55">
        <f t="shared" ca="1" si="53"/>
        <v>69.069691189321702</v>
      </c>
      <c r="Y164" s="55">
        <f t="shared" ca="1" si="54"/>
        <v>20.259976649601494</v>
      </c>
      <c r="Z164">
        <f t="shared" ca="1" si="48"/>
        <v>0</v>
      </c>
      <c r="AA164">
        <f t="shared" ca="1" si="55"/>
        <v>135.44249114483048</v>
      </c>
      <c r="AB164">
        <f t="shared" ca="1" si="49"/>
        <v>0</v>
      </c>
      <c r="AC164">
        <f t="shared" ca="1" si="50"/>
        <v>6.6928509242848624E-3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45541</v>
      </c>
      <c r="S165" s="55">
        <f t="shared" ca="1" si="51"/>
        <v>45541</v>
      </c>
      <c r="T165" s="55">
        <f t="shared" ca="1" si="45"/>
        <v>87.844644769679604</v>
      </c>
      <c r="U165" s="55">
        <f t="shared" ca="1" si="46"/>
        <v>1.3386898147826627</v>
      </c>
      <c r="V165" s="55">
        <f t="shared" ca="1" si="47"/>
        <v>0</v>
      </c>
      <c r="W165" s="55">
        <f t="shared" ca="1" si="52"/>
        <v>-51.645327690683061</v>
      </c>
      <c r="X165" s="55">
        <f t="shared" ca="1" si="53"/>
        <v>69.602251900370405</v>
      </c>
      <c r="Y165" s="55">
        <f t="shared" ca="1" si="54"/>
        <v>20.464810272084854</v>
      </c>
      <c r="Z165">
        <f t="shared" ca="1" si="48"/>
        <v>0</v>
      </c>
      <c r="AA165">
        <f t="shared" ca="1" si="55"/>
        <v>135.44249114483048</v>
      </c>
      <c r="AB165">
        <f t="shared" ca="1" si="49"/>
        <v>0</v>
      </c>
      <c r="AC165">
        <f t="shared" ca="1" si="50"/>
        <v>6.6928509242848624E-3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45542</v>
      </c>
      <c r="S166" s="55">
        <f t="shared" ca="1" si="51"/>
        <v>45542</v>
      </c>
      <c r="T166" s="55">
        <f t="shared" ca="1" si="45"/>
        <v>88.518814164261613</v>
      </c>
      <c r="U166" s="55">
        <f t="shared" ca="1" si="46"/>
        <v>1.3386898147826627</v>
      </c>
      <c r="V166" s="55">
        <f t="shared" ca="1" si="47"/>
        <v>0</v>
      </c>
      <c r="W166" s="55">
        <f t="shared" ca="1" si="52"/>
        <v>-51.645327690683061</v>
      </c>
      <c r="X166" s="55">
        <f t="shared" ca="1" si="53"/>
        <v>70.088164971697495</v>
      </c>
      <c r="Y166" s="55">
        <f t="shared" ca="1" si="54"/>
        <v>20.653066595339773</v>
      </c>
      <c r="Z166">
        <f t="shared" ca="1" si="48"/>
        <v>0</v>
      </c>
      <c r="AA166">
        <f t="shared" ca="1" si="55"/>
        <v>135.44249114483048</v>
      </c>
      <c r="AB166">
        <f t="shared" ca="1" si="49"/>
        <v>0</v>
      </c>
      <c r="AC166">
        <f t="shared" ca="1" si="50"/>
        <v>6.6928509242848624E-3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45543</v>
      </c>
      <c r="S167" s="55">
        <f t="shared" ca="1" si="51"/>
        <v>45543</v>
      </c>
      <c r="T167" s="55">
        <f t="shared" ca="1" si="45"/>
        <v>89.192492651883995</v>
      </c>
      <c r="U167" s="55">
        <f t="shared" ca="1" si="46"/>
        <v>1.3386898147826627</v>
      </c>
      <c r="V167" s="55">
        <f t="shared" ca="1" si="47"/>
        <v>0</v>
      </c>
      <c r="W167" s="55">
        <f t="shared" ca="1" si="52"/>
        <v>-51.645327690683061</v>
      </c>
      <c r="X167" s="55">
        <f t="shared" ca="1" si="53"/>
        <v>70.574137690707147</v>
      </c>
      <c r="Y167" s="55">
        <f t="shared" ca="1" si="54"/>
        <v>20.840772363952503</v>
      </c>
      <c r="Z167">
        <f t="shared" ca="1" si="48"/>
        <v>0</v>
      </c>
      <c r="AA167">
        <f t="shared" ca="1" si="55"/>
        <v>135.44249114483048</v>
      </c>
      <c r="AB167">
        <f t="shared" ca="1" si="49"/>
        <v>0</v>
      </c>
      <c r="AC167">
        <f t="shared" ca="1" si="50"/>
        <v>6.6928509242848624E-3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45544</v>
      </c>
      <c r="S168" s="55">
        <f t="shared" ca="1" si="51"/>
        <v>45544</v>
      </c>
      <c r="T168" s="55">
        <f t="shared" ca="1" si="45"/>
        <v>89.938583648560723</v>
      </c>
      <c r="U168" s="55">
        <f t="shared" ca="1" si="46"/>
        <v>1.3386898147826627</v>
      </c>
      <c r="V168" s="55">
        <f t="shared" ca="1" si="47"/>
        <v>0</v>
      </c>
      <c r="W168" s="55">
        <f t="shared" ca="1" si="52"/>
        <v>-51.645327690683061</v>
      </c>
      <c r="X168" s="55">
        <f t="shared" ca="1" si="53"/>
        <v>71.120748005707753</v>
      </c>
      <c r="Y168" s="55">
        <f t="shared" ca="1" si="54"/>
        <v>21.040253045628617</v>
      </c>
      <c r="Z168">
        <f t="shared" ca="1" si="48"/>
        <v>0</v>
      </c>
      <c r="AA168">
        <f t="shared" ca="1" si="55"/>
        <v>135.44249114483048</v>
      </c>
      <c r="AB168">
        <f t="shared" ca="1" si="49"/>
        <v>0</v>
      </c>
      <c r="AC168">
        <f t="shared" ca="1" si="50"/>
        <v>6.6928509242848624E-3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45545</v>
      </c>
      <c r="S169" s="55">
        <f t="shared" ca="1" si="51"/>
        <v>45545</v>
      </c>
      <c r="T169" s="55">
        <f t="shared" ca="1" si="45"/>
        <v>90.696176590052801</v>
      </c>
      <c r="U169" s="55">
        <f t="shared" ca="1" si="46"/>
        <v>1.3386898147826627</v>
      </c>
      <c r="V169" s="55">
        <f t="shared" ca="1" si="47"/>
        <v>0</v>
      </c>
      <c r="W169" s="55">
        <f t="shared" ca="1" si="52"/>
        <v>-51.645327690683061</v>
      </c>
      <c r="X169" s="55">
        <f t="shared" ca="1" si="53"/>
        <v>71.677662300072896</v>
      </c>
      <c r="Y169" s="55">
        <f t="shared" ca="1" si="54"/>
        <v>21.240931692755559</v>
      </c>
      <c r="Z169">
        <f t="shared" ca="1" si="48"/>
        <v>0</v>
      </c>
      <c r="AA169">
        <f t="shared" ca="1" si="55"/>
        <v>135.44249114483048</v>
      </c>
      <c r="AB169">
        <f t="shared" ca="1" si="49"/>
        <v>0</v>
      </c>
      <c r="AC169">
        <f t="shared" ca="1" si="50"/>
        <v>6.6928509242848624E-3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45546</v>
      </c>
      <c r="S170" s="55">
        <f t="shared" ca="1" si="51"/>
        <v>45546</v>
      </c>
      <c r="T170" s="55">
        <f t="shared" ca="1" si="45"/>
        <v>91.426004375509763</v>
      </c>
      <c r="U170" s="55">
        <f t="shared" ca="1" si="46"/>
        <v>1.3386898147826627</v>
      </c>
      <c r="V170" s="55">
        <f t="shared" ca="1" si="47"/>
        <v>0</v>
      </c>
      <c r="W170" s="55">
        <f t="shared" ca="1" si="52"/>
        <v>-51.645327690683061</v>
      </c>
      <c r="X170" s="55">
        <f t="shared" ca="1" si="53"/>
        <v>72.215832992769165</v>
      </c>
      <c r="Y170" s="55">
        <f t="shared" ca="1" si="54"/>
        <v>21.432588785516259</v>
      </c>
      <c r="Z170">
        <f t="shared" ca="1" si="48"/>
        <v>0</v>
      </c>
      <c r="AA170">
        <f t="shared" ca="1" si="55"/>
        <v>135.44249114483048</v>
      </c>
      <c r="AB170">
        <f t="shared" ca="1" si="49"/>
        <v>0</v>
      </c>
      <c r="AC170">
        <f t="shared" ca="1" si="50"/>
        <v>6.6928509242848624E-3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45547</v>
      </c>
      <c r="S171" s="55">
        <f t="shared" ca="1" si="51"/>
        <v>45547</v>
      </c>
      <c r="T171" s="55">
        <f t="shared" ca="1" si="45"/>
        <v>92.168910328459091</v>
      </c>
      <c r="U171" s="55">
        <f t="shared" ca="1" si="46"/>
        <v>1.3386898147826627</v>
      </c>
      <c r="V171" s="55">
        <f t="shared" ca="1" si="47"/>
        <v>0</v>
      </c>
      <c r="W171" s="55">
        <f t="shared" ca="1" si="52"/>
        <v>-51.645327690683061</v>
      </c>
      <c r="X171" s="55">
        <f t="shared" ca="1" si="53"/>
        <v>72.765398136891605</v>
      </c>
      <c r="Y171" s="55">
        <f t="shared" ca="1" si="54"/>
        <v>21.625929594343148</v>
      </c>
      <c r="Z171">
        <f t="shared" ca="1" si="48"/>
        <v>0</v>
      </c>
      <c r="AA171">
        <f t="shared" ca="1" si="55"/>
        <v>135.44249114483048</v>
      </c>
      <c r="AB171">
        <f t="shared" ca="1" si="49"/>
        <v>0</v>
      </c>
      <c r="AC171">
        <f t="shared" ca="1" si="50"/>
        <v>6.6928509242848624E-3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45548</v>
      </c>
      <c r="S172" s="55">
        <f t="shared" ca="1" si="51"/>
        <v>45548</v>
      </c>
      <c r="T172" s="55">
        <f t="shared" ca="1" si="45"/>
        <v>92.886822861301397</v>
      </c>
      <c r="U172" s="55">
        <f t="shared" ca="1" si="46"/>
        <v>1.3386898147826627</v>
      </c>
      <c r="V172" s="55">
        <f t="shared" ca="1" si="47"/>
        <v>0</v>
      </c>
      <c r="W172" s="55">
        <f t="shared" ca="1" si="52"/>
        <v>-51.645327690683061</v>
      </c>
      <c r="X172" s="55">
        <f t="shared" ca="1" si="53"/>
        <v>73.293125054663392</v>
      </c>
      <c r="Y172" s="55">
        <f t="shared" ca="1" si="54"/>
        <v>21.816115209413663</v>
      </c>
      <c r="Z172">
        <f t="shared" ca="1" si="48"/>
        <v>0</v>
      </c>
      <c r="AA172">
        <f t="shared" ca="1" si="55"/>
        <v>135.44249114483048</v>
      </c>
      <c r="AB172">
        <f t="shared" ca="1" si="49"/>
        <v>0</v>
      </c>
      <c r="AC172">
        <f t="shared" ca="1" si="50"/>
        <v>6.6928509242848624E-3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45549</v>
      </c>
      <c r="S173" s="55">
        <f t="shared" ca="1" si="51"/>
        <v>45549</v>
      </c>
      <c r="T173" s="55">
        <f t="shared" ca="1" si="45"/>
        <v>93.630857137818666</v>
      </c>
      <c r="U173" s="55">
        <f t="shared" ca="1" si="46"/>
        <v>1.3386898147826627</v>
      </c>
      <c r="V173" s="55">
        <f t="shared" ca="1" si="47"/>
        <v>0</v>
      </c>
      <c r="W173" s="55">
        <f t="shared" ca="1" si="52"/>
        <v>-51.645327690683061</v>
      </c>
      <c r="X173" s="55">
        <f t="shared" ca="1" si="53"/>
        <v>73.844208477277803</v>
      </c>
      <c r="Y173" s="55">
        <f t="shared" ca="1" si="54"/>
        <v>22.009066063316524</v>
      </c>
      <c r="Z173">
        <f t="shared" ca="1" si="48"/>
        <v>0</v>
      </c>
      <c r="AA173">
        <f t="shared" ca="1" si="55"/>
        <v>135.44249114483048</v>
      </c>
      <c r="AB173">
        <f t="shared" ca="1" si="49"/>
        <v>0</v>
      </c>
      <c r="AC173">
        <f t="shared" ca="1" si="50"/>
        <v>6.6928509242848624E-3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45550</v>
      </c>
      <c r="S174" s="55">
        <f t="shared" ca="1" si="51"/>
        <v>45550</v>
      </c>
      <c r="T174" s="55">
        <f t="shared" ca="1" si="45"/>
        <v>94.334062717134003</v>
      </c>
      <c r="U174" s="55">
        <f t="shared" ca="1" si="46"/>
        <v>1.3386898147826627</v>
      </c>
      <c r="V174" s="55">
        <f t="shared" ca="1" si="47"/>
        <v>0</v>
      </c>
      <c r="W174" s="55">
        <f t="shared" ca="1" si="52"/>
        <v>-51.645327690683061</v>
      </c>
      <c r="X174" s="55">
        <f t="shared" ca="1" si="53"/>
        <v>74.364515403841722</v>
      </c>
      <c r="Y174" s="55">
        <f t="shared" ca="1" si="54"/>
        <v>22.191964716067947</v>
      </c>
      <c r="Z174">
        <f t="shared" ca="1" si="48"/>
        <v>0</v>
      </c>
      <c r="AA174">
        <f t="shared" ca="1" si="55"/>
        <v>135.44249114483048</v>
      </c>
      <c r="AB174">
        <f t="shared" ca="1" si="49"/>
        <v>0</v>
      </c>
      <c r="AC174">
        <f t="shared" ca="1" si="50"/>
        <v>6.6928509242848624E-3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45551</v>
      </c>
      <c r="S175" s="55">
        <f t="shared" ca="1" si="51"/>
        <v>45551</v>
      </c>
      <c r="T175" s="55">
        <f t="shared" ca="1" si="45"/>
        <v>95.020108385231921</v>
      </c>
      <c r="U175" s="55">
        <f t="shared" ca="1" si="46"/>
        <v>1.3386898147826627</v>
      </c>
      <c r="V175" s="55">
        <f t="shared" ca="1" si="47"/>
        <v>0</v>
      </c>
      <c r="W175" s="55">
        <f t="shared" ca="1" si="52"/>
        <v>-51.645327690683061</v>
      </c>
      <c r="X175" s="55">
        <f t="shared" ca="1" si="53"/>
        <v>74.871769067051758</v>
      </c>
      <c r="Y175" s="55">
        <f t="shared" ca="1" si="54"/>
        <v>22.370756720955825</v>
      </c>
      <c r="Z175">
        <f t="shared" ca="1" si="48"/>
        <v>0</v>
      </c>
      <c r="AA175">
        <f t="shared" ca="1" si="55"/>
        <v>135.44249114483048</v>
      </c>
      <c r="AB175">
        <f t="shared" ca="1" si="49"/>
        <v>0</v>
      </c>
      <c r="AC175">
        <f t="shared" ca="1" si="50"/>
        <v>6.6928509242848624E-3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45552</v>
      </c>
      <c r="S176" s="55">
        <f t="shared" ca="1" si="51"/>
        <v>45552</v>
      </c>
      <c r="T176" s="55">
        <f t="shared" ca="1" si="45"/>
        <v>95.670678638123661</v>
      </c>
      <c r="U176" s="55">
        <f t="shared" ca="1" si="46"/>
        <v>1.3386898147826627</v>
      </c>
      <c r="V176" s="55">
        <f t="shared" ca="1" si="47"/>
        <v>0</v>
      </c>
      <c r="W176" s="55">
        <f t="shared" ca="1" si="52"/>
        <v>-51.645327690683061</v>
      </c>
      <c r="X176" s="55">
        <f t="shared" ca="1" si="53"/>
        <v>75.351827360841753</v>
      </c>
      <c r="Y176" s="55">
        <f t="shared" ca="1" si="54"/>
        <v>22.54126868005757</v>
      </c>
      <c r="Z176">
        <f t="shared" ca="1" si="48"/>
        <v>0</v>
      </c>
      <c r="AA176">
        <f t="shared" ca="1" si="55"/>
        <v>135.44249114483048</v>
      </c>
      <c r="AB176">
        <f t="shared" ca="1" si="49"/>
        <v>0</v>
      </c>
      <c r="AC176">
        <f t="shared" ca="1" si="50"/>
        <v>6.6928509242848624E-3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45553</v>
      </c>
      <c r="S177" s="55">
        <f t="shared" ca="1" si="51"/>
        <v>45553</v>
      </c>
      <c r="T177" s="55">
        <f t="shared" ca="1" si="45"/>
        <v>96.367936144834559</v>
      </c>
      <c r="U177" s="55">
        <f t="shared" ca="1" si="46"/>
        <v>1.3386898147826627</v>
      </c>
      <c r="V177" s="55">
        <f t="shared" ca="1" si="47"/>
        <v>0</v>
      </c>
      <c r="W177" s="55">
        <f t="shared" ca="1" si="52"/>
        <v>-51.645327690683061</v>
      </c>
      <c r="X177" s="55">
        <f t="shared" ca="1" si="53"/>
        <v>75.872401969364361</v>
      </c>
      <c r="Y177" s="55">
        <f t="shared" ca="1" si="54"/>
        <v>22.717951578245859</v>
      </c>
      <c r="Z177">
        <f t="shared" ca="1" si="48"/>
        <v>0</v>
      </c>
      <c r="AA177">
        <f t="shared" ca="1" si="55"/>
        <v>135.44249114483048</v>
      </c>
      <c r="AB177">
        <f t="shared" ca="1" si="49"/>
        <v>0</v>
      </c>
      <c r="AC177">
        <f t="shared" ca="1" si="50"/>
        <v>6.6928509242848624E-3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45554</v>
      </c>
      <c r="S178" s="55">
        <f t="shared" ca="1" si="51"/>
        <v>45554</v>
      </c>
      <c r="T178" s="55">
        <f t="shared" ca="1" si="45"/>
        <v>97.067708654858933</v>
      </c>
      <c r="U178" s="55">
        <f t="shared" ca="1" si="46"/>
        <v>1.3386898147826627</v>
      </c>
      <c r="V178" s="55">
        <f t="shared" ca="1" si="47"/>
        <v>0</v>
      </c>
      <c r="W178" s="55">
        <f t="shared" ca="1" si="52"/>
        <v>-51.645327690683061</v>
      </c>
      <c r="X178" s="55">
        <f t="shared" ca="1" si="53"/>
        <v>76.394586647071179</v>
      </c>
      <c r="Y178" s="55">
        <f t="shared" ca="1" si="54"/>
        <v>22.895539410563423</v>
      </c>
      <c r="Z178">
        <f t="shared" ca="1" si="48"/>
        <v>0</v>
      </c>
      <c r="AA178">
        <f t="shared" ca="1" si="55"/>
        <v>135.44249114483048</v>
      </c>
      <c r="AB178">
        <f t="shared" ca="1" si="49"/>
        <v>0</v>
      </c>
      <c r="AC178">
        <f t="shared" ca="1" si="50"/>
        <v>6.6928509242848624E-3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45555</v>
      </c>
      <c r="S179" s="55">
        <f t="shared" ca="1" si="51"/>
        <v>45555</v>
      </c>
      <c r="T179" s="55">
        <f t="shared" ca="1" si="45"/>
        <v>97.736648346864982</v>
      </c>
      <c r="U179" s="55">
        <f t="shared" ca="1" si="46"/>
        <v>1.3386898147826627</v>
      </c>
      <c r="V179" s="55">
        <f t="shared" ca="1" si="47"/>
        <v>0</v>
      </c>
      <c r="W179" s="55">
        <f t="shared" ca="1" si="52"/>
        <v>-51.645327690683061</v>
      </c>
      <c r="X179" s="55">
        <f t="shared" ca="1" si="53"/>
        <v>76.894068752475093</v>
      </c>
      <c r="Y179" s="55">
        <f t="shared" ca="1" si="54"/>
        <v>23.064996997165554</v>
      </c>
      <c r="Z179">
        <f t="shared" ca="1" si="48"/>
        <v>0</v>
      </c>
      <c r="AA179">
        <f t="shared" ca="1" si="55"/>
        <v>135.44249114483048</v>
      </c>
      <c r="AB179">
        <f t="shared" ca="1" si="49"/>
        <v>0</v>
      </c>
      <c r="AC179">
        <f t="shared" ca="1" si="50"/>
        <v>6.6928509242848624E-3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45556</v>
      </c>
      <c r="S180" s="55">
        <f t="shared" ca="1" si="51"/>
        <v>45556</v>
      </c>
      <c r="T180" s="55">
        <f t="shared" ca="1" si="45"/>
        <v>97.338766122887307</v>
      </c>
      <c r="U180" s="55">
        <f t="shared" ca="1" si="46"/>
        <v>2.3740187071640033</v>
      </c>
      <c r="V180" s="55">
        <f t="shared" ca="1" si="47"/>
        <v>0</v>
      </c>
      <c r="W180" s="55">
        <f t="shared" ca="1" si="52"/>
        <v>-51.645327690683061</v>
      </c>
      <c r="X180" s="55">
        <f t="shared" ca="1" si="53"/>
        <v>77.372064615785931</v>
      </c>
      <c r="Y180" s="55">
        <f t="shared" ca="1" si="54"/>
        <v>23.224447802258389</v>
      </c>
      <c r="Z180">
        <f t="shared" ca="1" si="48"/>
        <v>0</v>
      </c>
      <c r="AA180">
        <f t="shared" ca="1" si="55"/>
        <v>135.44249114483048</v>
      </c>
      <c r="AB180">
        <f t="shared" ca="1" si="49"/>
        <v>0</v>
      </c>
      <c r="AC180">
        <f t="shared" ca="1" si="50"/>
        <v>2.7795114167965325E-2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45557</v>
      </c>
      <c r="S181" s="55">
        <f t="shared" ca="1" si="51"/>
        <v>45557</v>
      </c>
      <c r="T181" s="55">
        <f t="shared" ca="1" si="45"/>
        <v>94.247451328965724</v>
      </c>
      <c r="U181" s="55">
        <f t="shared" ca="1" si="46"/>
        <v>6.1273137131684887</v>
      </c>
      <c r="V181" s="55">
        <f t="shared" ca="1" si="47"/>
        <v>0</v>
      </c>
      <c r="W181" s="55">
        <f t="shared" ca="1" si="52"/>
        <v>-51.645327690683061</v>
      </c>
      <c r="X181" s="55">
        <f t="shared" ca="1" si="53"/>
        <v>77.871331495675776</v>
      </c>
      <c r="Y181" s="55">
        <f t="shared" ca="1" si="54"/>
        <v>23.387161134451439</v>
      </c>
      <c r="Z181">
        <f t="shared" ca="1" si="48"/>
        <v>0</v>
      </c>
      <c r="AA181">
        <f t="shared" ca="1" si="55"/>
        <v>135.44249114483048</v>
      </c>
      <c r="AB181">
        <f t="shared" ca="1" si="49"/>
        <v>0</v>
      </c>
      <c r="AC181">
        <f t="shared" ca="1" si="50"/>
        <v>0.24299231051914963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45558</v>
      </c>
      <c r="S182" s="55">
        <f t="shared" ca="1" si="51"/>
        <v>45558</v>
      </c>
      <c r="T182" s="55">
        <f t="shared" ca="1" si="45"/>
        <v>85.151547488307401</v>
      </c>
      <c r="U182" s="55">
        <f t="shared" ca="1" si="46"/>
        <v>15.889323052464961</v>
      </c>
      <c r="V182" s="55">
        <f t="shared" ca="1" si="47"/>
        <v>0</v>
      </c>
      <c r="W182" s="55">
        <f t="shared" ca="1" si="52"/>
        <v>-51.645327690683061</v>
      </c>
      <c r="X182" s="55">
        <f t="shared" ca="1" si="53"/>
        <v>78.375888865764153</v>
      </c>
      <c r="Y182" s="55">
        <f t="shared" ca="1" si="54"/>
        <v>23.548709263001204</v>
      </c>
      <c r="Z182">
        <f t="shared" ca="1" si="48"/>
        <v>0</v>
      </c>
      <c r="AA182">
        <f t="shared" ca="1" si="55"/>
        <v>135.44249114483048</v>
      </c>
      <c r="AB182">
        <f t="shared" ca="1" si="49"/>
        <v>0</v>
      </c>
      <c r="AC182">
        <f t="shared" ca="1" si="50"/>
        <v>0.79819209986710826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45559</v>
      </c>
      <c r="S183" s="55">
        <f t="shared" ca="1" si="51"/>
        <v>45559</v>
      </c>
      <c r="T183" s="55">
        <f t="shared" ca="1" si="45"/>
        <v>65.771146606841086</v>
      </c>
      <c r="U183" s="55">
        <f t="shared" ca="1" si="46"/>
        <v>35.900009908888997</v>
      </c>
      <c r="V183" s="55">
        <f t="shared" ca="1" si="47"/>
        <v>0</v>
      </c>
      <c r="W183" s="55">
        <f t="shared" ca="1" si="52"/>
        <v>-51.645327690683061</v>
      </c>
      <c r="X183" s="55">
        <f t="shared" ca="1" si="53"/>
        <v>78.850057913009053</v>
      </c>
      <c r="Y183" s="55">
        <f t="shared" ca="1" si="54"/>
        <v>23.704826190714023</v>
      </c>
      <c r="Z183">
        <f t="shared" ca="1" si="48"/>
        <v>0</v>
      </c>
      <c r="AA183">
        <f t="shared" ca="1" si="55"/>
        <v>135.44249114483048</v>
      </c>
      <c r="AB183">
        <f t="shared" ca="1" si="49"/>
        <v>0</v>
      </c>
      <c r="AC183">
        <f t="shared" ca="1" si="50"/>
        <v>0.97588196619475664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45560</v>
      </c>
      <c r="S184" s="55">
        <f t="shared" ca="1" si="51"/>
        <v>45560</v>
      </c>
      <c r="T184" s="55">
        <f t="shared" ca="1" si="45"/>
        <v>36.053178299335784</v>
      </c>
      <c r="U184" s="55">
        <f t="shared" ca="1" si="46"/>
        <v>84.388500311436175</v>
      </c>
      <c r="V184" s="55">
        <f t="shared" ca="1" si="47"/>
        <v>18.096098369849908</v>
      </c>
      <c r="W184" s="55">
        <f t="shared" ca="1" si="52"/>
        <v>-51.645327690683061</v>
      </c>
      <c r="X184" s="55">
        <f t="shared" ca="1" si="53"/>
        <v>79.360375010187767</v>
      </c>
      <c r="Y184" s="55">
        <f t="shared" ca="1" si="54"/>
        <v>23.868932818727281</v>
      </c>
      <c r="Z184">
        <f t="shared" ca="1" si="48"/>
        <v>0</v>
      </c>
      <c r="AA184">
        <f t="shared" ca="1" si="55"/>
        <v>135.44249114483048</v>
      </c>
      <c r="AB184">
        <f t="shared" ca="1" si="49"/>
        <v>0</v>
      </c>
      <c r="AC184">
        <f t="shared" ca="1" si="50"/>
        <v>0.99878597931553936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45561</v>
      </c>
      <c r="S185" s="55">
        <f t="shared" ca="1" si="51"/>
        <v>45561</v>
      </c>
      <c r="T185" s="55">
        <f t="shared" ca="1" si="45"/>
        <v>-18.909540535405917</v>
      </c>
      <c r="U185" s="55">
        <f t="shared" ca="1" si="46"/>
        <v>140</v>
      </c>
      <c r="V185" s="55">
        <f t="shared" ca="1" si="47"/>
        <v>0</v>
      </c>
      <c r="W185" s="55">
        <f t="shared" ca="1" si="52"/>
        <v>-51.645327690683061</v>
      </c>
      <c r="X185" s="55">
        <f t="shared" ca="1" si="53"/>
        <v>79.849508104643263</v>
      </c>
      <c r="Y185" s="55">
        <f t="shared" ca="1" si="54"/>
        <v>24.028580578093901</v>
      </c>
      <c r="Z185">
        <f t="shared" ca="1" si="48"/>
        <v>0</v>
      </c>
      <c r="AA185">
        <f t="shared" ca="1" si="55"/>
        <v>135.44249114483048</v>
      </c>
      <c r="AB185">
        <f t="shared" ca="1" si="49"/>
        <v>0</v>
      </c>
      <c r="AC185">
        <f t="shared" ca="1" si="50"/>
        <v>0.99993345063478134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9" xr:uid="{F7066995-07A6-4604-9C29-9BAAA59B1CB1}">
      <formula1>INDIRECT(E48)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62:E63 E51:E52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zoomScale="105" workbookViewId="0">
      <selection activeCell="B3" sqref="B3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8" t="s">
        <v>111</v>
      </c>
      <c r="B1" s="139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177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245</v>
      </c>
      <c r="B2" s="13" t="str">
        <f>Location</f>
        <v>gore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225</v>
      </c>
      <c r="B3" s="13" t="str">
        <f>SoilOrder</f>
        <v>Clay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45395</v>
      </c>
      <c r="K3" s="3">
        <v>50</v>
      </c>
      <c r="L3" s="3"/>
      <c r="M3" s="3">
        <f ca="1">SUMIF($I$8:$I$1001,TRUE,M8:M1001)</f>
        <v>24.028580578093901</v>
      </c>
      <c r="N3" s="3">
        <f ca="1">SUMIF($I$8:$I$1001,TRUE,N8:N1001)</f>
        <v>79.272418392550591</v>
      </c>
      <c r="O3" s="3">
        <f ca="1">SUMIF($I$8:$I$1001,TRUE,O8:O1001)</f>
        <v>18.096098369849908</v>
      </c>
      <c r="P3" s="3">
        <f ca="1">VLOOKUP(B32,ModelOutputs,P5,FALSE)-Q3</f>
        <v>0</v>
      </c>
      <c r="Q3">
        <f ca="1">VLOOKUP(B32,ModelOutputs,P5,FALSE)</f>
        <v>1.3386898147826627</v>
      </c>
      <c r="R3" s="13"/>
      <c r="W3" s="3">
        <f ca="1">MAX(0,X4-X3)</f>
        <v>5.6843418860808015E-14</v>
      </c>
      <c r="X3" s="3">
        <f ca="1">SUM(K3:R3)</f>
        <v>172.73578715527708</v>
      </c>
      <c r="AA3" s="3"/>
    </row>
    <row r="4" spans="1:31" ht="15" thickBot="1">
      <c r="A4" s="12" t="s">
        <v>208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>B34</f>
        <v>45561</v>
      </c>
      <c r="K4" s="24">
        <f ca="1">VLOOKUP(J4,ModelOutputs,2,FALSE)</f>
        <v>-18.909540535405917</v>
      </c>
      <c r="L4" s="27"/>
      <c r="M4" s="25"/>
      <c r="N4" s="25"/>
      <c r="O4" s="25"/>
      <c r="P4" s="24">
        <f ca="1">(VLOOKUP($J$4,ModelOutputs,P5,FALSE)-VLOOKUP($J$3+1,ModelOutputs,P5,FALSE))-Q4</f>
        <v>140</v>
      </c>
      <c r="Q4" s="26">
        <f ca="1">VLOOKUP($J$4,ModelOutputs,Q5,FALSE)-VLOOKUP($J$3+1,ModelOutputs,Q5,FALSE)</f>
        <v>0</v>
      </c>
      <c r="R4" s="27">
        <f ca="1">SUMIF($I$8:$I$1001,TRUE,R8:R1001)</f>
        <v>51.645327690683061</v>
      </c>
      <c r="S4" s="3"/>
      <c r="T4" s="3"/>
      <c r="U4" s="3"/>
      <c r="V4" s="3"/>
      <c r="W4" s="3">
        <f ca="1">MAX(0,X3-X4)</f>
        <v>0</v>
      </c>
      <c r="X4" s="3">
        <f ca="1">SUM(K4:R4)</f>
        <v>172.73578715527714</v>
      </c>
    </row>
    <row r="5" spans="1:31">
      <c r="A5" s="12" t="s">
        <v>235</v>
      </c>
      <c r="B5" s="13" t="str">
        <f>SoilCategory</f>
        <v>Sedimentary</v>
      </c>
      <c r="D5" s="37" t="str">
        <f>IF(ConceptDemo!C29="","",ConceptDemo!C29)</f>
        <v/>
      </c>
      <c r="E5" s="38" t="str">
        <f>IF(ConceptDemo!D29="","",ConceptDemo!D29)</f>
        <v/>
      </c>
      <c r="L5">
        <f ca="1">SUMIF(H7:H1000,FALSE,L7:L1000)</f>
        <v>189.27090830312531</v>
      </c>
      <c r="M5">
        <f ca="1">SUMIF(H7:H1000,TRUE,M7:M1000)</f>
        <v>23.868932818727281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70</v>
      </c>
      <c r="D6" s="18" t="str">
        <f>IF(ConceptDemo!C30="","",ConceptDemo!C30)</f>
        <v/>
      </c>
      <c r="E6" s="17" t="str">
        <f>IF(ConceptDemo!D30="","",ConceptDemo!D30)</f>
        <v/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45394</v>
      </c>
      <c r="K7">
        <f ca="1"/>
        <v>0</v>
      </c>
      <c r="L7">
        <f ca="1"/>
        <v>1.851450352270831</v>
      </c>
      <c r="M7">
        <f ca="1"/>
        <v>0</v>
      </c>
      <c r="N7" s="4">
        <f ca="1"/>
        <v>0.57708971209268001</v>
      </c>
      <c r="O7">
        <f ca="1"/>
        <v>0</v>
      </c>
      <c r="P7">
        <f ca="1"/>
        <v>210.00000000000003</v>
      </c>
      <c r="Q7">
        <f ca="1"/>
        <v>0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0.99993345063478134</v>
      </c>
      <c r="X7" s="2">
        <f t="shared" ref="X7:X70" ca="1" si="1">IFERROR(J7,$X$5)</f>
        <v>45394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226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45395</v>
      </c>
      <c r="K8">
        <f ca="1"/>
        <v>49.113614223126362</v>
      </c>
      <c r="L8">
        <f ca="1"/>
        <v>0</v>
      </c>
      <c r="M8">
        <f ca="1"/>
        <v>-1.512695943919155</v>
      </c>
      <c r="N8" s="4">
        <f ca="1"/>
        <v>0.62631016704551978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0.89227777777777773</v>
      </c>
      <c r="T8">
        <f ca="1"/>
        <v>0</v>
      </c>
      <c r="U8">
        <f ca="1"/>
        <v>0</v>
      </c>
      <c r="V8">
        <f ca="1"/>
        <v>0</v>
      </c>
      <c r="X8" s="2">
        <f t="shared" ca="1" si="1"/>
        <v>45395</v>
      </c>
      <c r="Y8">
        <f t="shared" ca="1" si="2"/>
        <v>0</v>
      </c>
      <c r="Z8" s="3"/>
      <c r="AA8" s="63">
        <f ca="1">K7+M8+N8+O8</f>
        <v>-0.88638577687363518</v>
      </c>
      <c r="AB8" s="63">
        <f ca="1">K8+L8+R8</f>
        <v>49.113614223126362</v>
      </c>
      <c r="AC8" s="3">
        <f ca="1">AB8-AA8</f>
        <v>50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45396</v>
      </c>
      <c r="K9">
        <f ca="1"/>
        <v>48.322014434618893</v>
      </c>
      <c r="L9">
        <f ca="1"/>
        <v>0</v>
      </c>
      <c r="M9">
        <f ca="1"/>
        <v>-1.4270311238501929</v>
      </c>
      <c r="N9" s="4">
        <f ca="1"/>
        <v>0.63543133534272012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>
        <f ca="1"/>
        <v>0.87866924897119347</v>
      </c>
      <c r="T9">
        <f ca="1"/>
        <v>0</v>
      </c>
      <c r="U9">
        <f ca="1"/>
        <v>0</v>
      </c>
      <c r="V9">
        <f ca="1"/>
        <v>0</v>
      </c>
      <c r="X9" s="2">
        <f t="shared" ca="1" si="1"/>
        <v>45396</v>
      </c>
      <c r="Y9">
        <f t="shared" ca="1" si="2"/>
        <v>0</v>
      </c>
      <c r="AA9" s="63">
        <f t="shared" ref="AA9:AA72" ca="1" si="4">K8+M9+N9+O9</f>
        <v>48.322014434618893</v>
      </c>
      <c r="AB9" s="63">
        <f t="shared" ref="AB9:AB72" ca="1" si="5">K9+L9+R9</f>
        <v>48.322014434618893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45397</v>
      </c>
      <c r="K10">
        <f ca="1"/>
        <v>47.652489686759409</v>
      </c>
      <c r="L10">
        <f ca="1"/>
        <v>0</v>
      </c>
      <c r="M10">
        <f ca="1"/>
        <v>-1.3092974912501889</v>
      </c>
      <c r="N10" s="4">
        <f ca="1"/>
        <v>0.63977274339070977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>
        <f ca="1"/>
        <v>0.88550914280978521</v>
      </c>
      <c r="T10">
        <f ca="1"/>
        <v>0</v>
      </c>
      <c r="U10">
        <f ca="1"/>
        <v>0</v>
      </c>
      <c r="V10">
        <f ca="1"/>
        <v>0</v>
      </c>
      <c r="X10" s="2">
        <f t="shared" ca="1" si="1"/>
        <v>45397</v>
      </c>
      <c r="Y10">
        <f t="shared" ca="1" si="2"/>
        <v>0</v>
      </c>
      <c r="AA10" s="63">
        <f t="shared" ca="1" si="4"/>
        <v>47.652489686759409</v>
      </c>
      <c r="AB10" s="63">
        <f t="shared" ca="1" si="5"/>
        <v>47.652489686759409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45398</v>
      </c>
      <c r="K11">
        <f ca="1"/>
        <v>47.147903972636676</v>
      </c>
      <c r="L11">
        <f ca="1"/>
        <v>0</v>
      </c>
      <c r="M11">
        <f ca="1"/>
        <v>-1.1549433134201852</v>
      </c>
      <c r="N11" s="4">
        <f ca="1"/>
        <v>0.65035759929745163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>
        <f ca="1"/>
        <v>0.94218245762613484</v>
      </c>
      <c r="T11">
        <f ca="1"/>
        <v>0</v>
      </c>
      <c r="U11">
        <f ca="1"/>
        <v>0</v>
      </c>
      <c r="V11">
        <f ca="1"/>
        <v>0</v>
      </c>
      <c r="X11" s="2">
        <f t="shared" ca="1" si="1"/>
        <v>45398</v>
      </c>
      <c r="Y11">
        <f t="shared" ca="1" si="2"/>
        <v>0</v>
      </c>
      <c r="AA11" s="63">
        <f t="shared" ca="1" si="4"/>
        <v>47.147903972636676</v>
      </c>
      <c r="AB11" s="63">
        <f t="shared" ca="1" si="5"/>
        <v>47.147903972636676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Lupin Green manure General</v>
      </c>
      <c r="D12" s="136" t="str">
        <f>ConceptDemo!C36</f>
        <v>Soil Mineral N Test Results</v>
      </c>
      <c r="E12" s="137"/>
      <c r="H12" t="b">
        <f t="shared" ca="1" si="3"/>
        <v>1</v>
      </c>
      <c r="I12" t="b">
        <f t="shared" ca="1" si="0"/>
        <v>1</v>
      </c>
      <c r="J12" s="2">
        <f ca="1"/>
        <v>45399</v>
      </c>
      <c r="K12">
        <f ca="1"/>
        <v>46.756432188894657</v>
      </c>
      <c r="L12">
        <f ca="1"/>
        <v>0</v>
      </c>
      <c r="M12">
        <f ca="1"/>
        <v>-1.0382114532439513</v>
      </c>
      <c r="N12" s="4">
        <f ca="1"/>
        <v>0.64673966950193562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0.97219361547299643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45399</v>
      </c>
      <c r="Y12">
        <f t="shared" ca="1" si="2"/>
        <v>0</v>
      </c>
      <c r="AA12" s="63">
        <f t="shared" ca="1" si="4"/>
        <v>46.756432188894657</v>
      </c>
      <c r="AB12" s="63">
        <f t="shared" ca="1" si="5"/>
        <v>46.756432188894657</v>
      </c>
      <c r="AC12" s="3">
        <f t="shared" ca="1" si="6"/>
        <v>0</v>
      </c>
    </row>
    <row r="13" spans="1:31" ht="15" thickBot="1">
      <c r="A13" s="6" t="s">
        <v>236</v>
      </c>
      <c r="B13" s="32">
        <f>PriorYield</f>
        <v>12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45400</v>
      </c>
      <c r="K13">
        <f ca="1"/>
        <v>46.453418324433926</v>
      </c>
      <c r="L13">
        <f ca="1"/>
        <v>0</v>
      </c>
      <c r="M13">
        <f ca="1"/>
        <v>-0.95809865736936928</v>
      </c>
      <c r="N13" s="4">
        <f ca="1"/>
        <v>0.65508479290863542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0.97171110410229977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45400</v>
      </c>
      <c r="Y13">
        <f t="shared" ca="1" si="2"/>
        <v>0</v>
      </c>
      <c r="AA13" s="63">
        <f t="shared" ca="1" si="4"/>
        <v>46.453418324433926</v>
      </c>
      <c r="AB13" s="63">
        <f t="shared" ca="1" si="5"/>
        <v>46.453418324433926</v>
      </c>
      <c r="AC13" s="3">
        <f t="shared" ca="1" si="6"/>
        <v>0</v>
      </c>
    </row>
    <row r="14" spans="1:31">
      <c r="A14" s="6" t="s">
        <v>229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H14" t="b">
        <f t="shared" ca="1" si="3"/>
        <v>1</v>
      </c>
      <c r="I14" t="b">
        <f t="shared" ca="1" si="0"/>
        <v>1</v>
      </c>
      <c r="J14" s="2">
        <f ca="1"/>
        <v>45401</v>
      </c>
      <c r="K14">
        <f ca="1"/>
        <v>46.234586896752219</v>
      </c>
      <c r="L14">
        <f ca="1"/>
        <v>0</v>
      </c>
      <c r="M14">
        <f ca="1"/>
        <v>-0.86110579648752683</v>
      </c>
      <c r="N14" s="4">
        <f ca="1"/>
        <v>0.64227436880582112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0.98897131833288809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45401</v>
      </c>
      <c r="Y14">
        <f t="shared" ca="1" si="2"/>
        <v>0</v>
      </c>
      <c r="AA14" s="63">
        <f t="shared" ca="1" si="4"/>
        <v>46.234586896752219</v>
      </c>
      <c r="AB14" s="63">
        <f t="shared" ca="1" si="5"/>
        <v>46.234586896752219</v>
      </c>
      <c r="AC14" s="3">
        <f t="shared" ca="1" si="6"/>
        <v>0</v>
      </c>
    </row>
    <row r="15" spans="1:31">
      <c r="A15" s="6" t="s">
        <v>230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45402</v>
      </c>
      <c r="K15">
        <f ca="1"/>
        <v>46.042400353830985</v>
      </c>
      <c r="L15">
        <f ca="1"/>
        <v>0</v>
      </c>
      <c r="M15">
        <f ca="1"/>
        <v>-0.7397523519887983</v>
      </c>
      <c r="N15" s="4">
        <f ca="1"/>
        <v>0.59022260487357403</v>
      </c>
      <c r="O15">
        <f ca="1"/>
        <v>0</v>
      </c>
      <c r="P15">
        <f ca="1"/>
        <v>0</v>
      </c>
      <c r="Q15">
        <f ca="1"/>
        <v>0</v>
      </c>
      <c r="R15">
        <f ca="1"/>
        <v>4.2656795806007716E-2</v>
      </c>
      <c r="S15">
        <f ca="1"/>
        <v>1</v>
      </c>
      <c r="T15">
        <f ca="1"/>
        <v>0.13165593337665626</v>
      </c>
      <c r="U15">
        <f ca="1"/>
        <v>0</v>
      </c>
      <c r="V15">
        <f ca="1"/>
        <v>0</v>
      </c>
      <c r="X15" s="2">
        <f t="shared" ca="1" si="1"/>
        <v>45402</v>
      </c>
      <c r="Y15">
        <f t="shared" ca="1" si="2"/>
        <v>0</v>
      </c>
      <c r="AA15" s="63">
        <f t="shared" ca="1" si="4"/>
        <v>46.085057149636995</v>
      </c>
      <c r="AB15" s="63">
        <f t="shared" ca="1" si="5"/>
        <v>46.085057149636995</v>
      </c>
      <c r="AC15" s="3">
        <f t="shared" ca="1" si="6"/>
        <v>0</v>
      </c>
    </row>
    <row r="16" spans="1:31">
      <c r="A16" s="6" t="s">
        <v>113</v>
      </c>
      <c r="B16" s="32">
        <f>PriorFieldLoss</f>
        <v>1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45403</v>
      </c>
      <c r="K16">
        <f ca="1"/>
        <v>45.964596067675309</v>
      </c>
      <c r="L16">
        <f ca="1"/>
        <v>0</v>
      </c>
      <c r="M16">
        <f ca="1"/>
        <v>-0.68506444446714276</v>
      </c>
      <c r="N16" s="4">
        <f ca="1"/>
        <v>0.6072601583114704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0.99111111111111116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45403</v>
      </c>
      <c r="Y16">
        <f t="shared" ca="1" si="2"/>
        <v>0</v>
      </c>
      <c r="AA16" s="63">
        <f t="shared" ca="1" si="4"/>
        <v>45.964596067675309</v>
      </c>
      <c r="AB16" s="63">
        <f t="shared" ca="1" si="5"/>
        <v>45.964596067675309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45404</v>
      </c>
      <c r="K17">
        <f ca="1"/>
        <v>45.718409876060399</v>
      </c>
      <c r="L17">
        <f ca="1"/>
        <v>0</v>
      </c>
      <c r="M17">
        <f ca="1"/>
        <v>-0.6270825287483266</v>
      </c>
      <c r="N17" s="4">
        <f ca="1"/>
        <v>0.62024331318925707</v>
      </c>
      <c r="O17">
        <f ca="1"/>
        <v>0</v>
      </c>
      <c r="P17">
        <f ca="1"/>
        <v>0</v>
      </c>
      <c r="Q17">
        <f ca="1"/>
        <v>0</v>
      </c>
      <c r="R17">
        <f ca="1"/>
        <v>0.23934697605583846</v>
      </c>
      <c r="S17">
        <f ca="1"/>
        <v>1</v>
      </c>
      <c r="T17">
        <f ca="1"/>
        <v>0.74395555555555859</v>
      </c>
      <c r="U17">
        <f ca="1"/>
        <v>0</v>
      </c>
      <c r="V17">
        <f ca="1"/>
        <v>0</v>
      </c>
      <c r="X17" s="2">
        <f t="shared" ca="1" si="1"/>
        <v>45404</v>
      </c>
      <c r="Y17">
        <f t="shared" ca="1" si="2"/>
        <v>0</v>
      </c>
      <c r="AA17" s="63">
        <f t="shared" ca="1" si="4"/>
        <v>45.957756852116241</v>
      </c>
      <c r="AB17" s="63">
        <f t="shared" ca="1" si="5"/>
        <v>45.957756852116241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45405</v>
      </c>
      <c r="K18">
        <f ca="1"/>
        <v>45.629353221842727</v>
      </c>
      <c r="L18">
        <f ca="1"/>
        <v>0</v>
      </c>
      <c r="M18">
        <f ca="1"/>
        <v>-0.57149309248004521</v>
      </c>
      <c r="N18" s="4">
        <f ca="1"/>
        <v>0.63656225358948637</v>
      </c>
      <c r="O18">
        <f ca="1"/>
        <v>0</v>
      </c>
      <c r="P18">
        <f ca="1"/>
        <v>0</v>
      </c>
      <c r="Q18">
        <f ca="1"/>
        <v>0</v>
      </c>
      <c r="R18">
        <f ca="1"/>
        <v>0.1541258153271145</v>
      </c>
      <c r="S18">
        <f ca="1"/>
        <v>1</v>
      </c>
      <c r="T18">
        <f ca="1"/>
        <v>0.48000000000000398</v>
      </c>
      <c r="U18">
        <f ca="1"/>
        <v>0</v>
      </c>
      <c r="V18">
        <f ca="1"/>
        <v>0</v>
      </c>
      <c r="X18" s="2">
        <f t="shared" ca="1" si="1"/>
        <v>45405</v>
      </c>
      <c r="Y18">
        <f t="shared" ca="1" si="2"/>
        <v>0</v>
      </c>
      <c r="AA18" s="63">
        <f t="shared" ca="1" si="4"/>
        <v>45.78347903716984</v>
      </c>
      <c r="AB18" s="63">
        <f t="shared" ca="1" si="5"/>
        <v>45.78347903716984</v>
      </c>
      <c r="AC18" s="3">
        <f t="shared" ca="1" si="6"/>
        <v>0</v>
      </c>
    </row>
    <row r="19" spans="1:29" ht="15" thickBot="1">
      <c r="A19" s="6" t="s">
        <v>116</v>
      </c>
      <c r="B19" s="34">
        <f>PriorEstablishDate</f>
        <v>45269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45406</v>
      </c>
      <c r="K19">
        <f ca="1"/>
        <v>45.316794884736581</v>
      </c>
      <c r="L19">
        <f ca="1"/>
        <v>0</v>
      </c>
      <c r="M19">
        <f ca="1"/>
        <v>-0.50525417655829052</v>
      </c>
      <c r="N19" s="4">
        <f ca="1"/>
        <v>0.63277226977724599</v>
      </c>
      <c r="O19">
        <f ca="1"/>
        <v>0</v>
      </c>
      <c r="P19">
        <f ca="1"/>
        <v>0</v>
      </c>
      <c r="Q19">
        <f ca="1"/>
        <v>0</v>
      </c>
      <c r="R19">
        <f ca="1"/>
        <v>0.44007643032510929</v>
      </c>
      <c r="S19">
        <f ca="1"/>
        <v>1</v>
      </c>
      <c r="T19">
        <f ca="1"/>
        <v>1.3800000000000026</v>
      </c>
      <c r="U19">
        <f ca="1"/>
        <v>0</v>
      </c>
      <c r="V19">
        <f ca="1"/>
        <v>0</v>
      </c>
      <c r="X19" s="2">
        <f t="shared" ca="1" si="1"/>
        <v>45406</v>
      </c>
      <c r="Y19">
        <f t="shared" ca="1" si="2"/>
        <v>0</v>
      </c>
      <c r="AA19" s="63">
        <f t="shared" ca="1" si="4"/>
        <v>45.756871315061687</v>
      </c>
      <c r="AB19" s="63">
        <f t="shared" ca="1" si="5"/>
        <v>45.756871315061687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45407</v>
      </c>
      <c r="K20">
        <f ca="1"/>
        <v>45.212160004713205</v>
      </c>
      <c r="L20">
        <f ca="1"/>
        <v>0</v>
      </c>
      <c r="M20">
        <f ca="1"/>
        <v>-0.4447002768812176</v>
      </c>
      <c r="N20" s="4">
        <f ca="1"/>
        <v>0.63277226977724599</v>
      </c>
      <c r="O20">
        <f ca="1"/>
        <v>0</v>
      </c>
      <c r="P20">
        <f ca="1"/>
        <v>0</v>
      </c>
      <c r="Q20">
        <f ca="1"/>
        <v>0</v>
      </c>
      <c r="R20">
        <f ca="1"/>
        <v>0.29270687291940306</v>
      </c>
      <c r="S20">
        <f ca="1"/>
        <v>1</v>
      </c>
      <c r="T20">
        <f ca="1"/>
        <v>0.92000000000000171</v>
      </c>
      <c r="U20">
        <f ca="1"/>
        <v>0</v>
      </c>
      <c r="V20">
        <f ca="1"/>
        <v>0</v>
      </c>
      <c r="X20" s="2">
        <f t="shared" ca="1" si="1"/>
        <v>45407</v>
      </c>
      <c r="Y20">
        <f t="shared" ca="1" si="2"/>
        <v>0</v>
      </c>
      <c r="AA20" s="63">
        <f t="shared" ca="1" si="4"/>
        <v>45.504866877632608</v>
      </c>
      <c r="AB20" s="63">
        <f t="shared" ca="1" si="5"/>
        <v>45.504866877632608</v>
      </c>
      <c r="AC20" s="3">
        <f t="shared" ca="1" si="6"/>
        <v>0</v>
      </c>
    </row>
    <row r="21" spans="1:29">
      <c r="A21" s="6" t="s">
        <v>118</v>
      </c>
      <c r="B21" s="34">
        <f>PriorHarvestDate</f>
        <v>45394</v>
      </c>
      <c r="H21" t="b">
        <f t="shared" ca="1" si="3"/>
        <v>1</v>
      </c>
      <c r="I21" t="b">
        <f t="shared" ca="1" si="0"/>
        <v>1</v>
      </c>
      <c r="J21" s="2">
        <f ca="1"/>
        <v>45408</v>
      </c>
      <c r="K21">
        <f ca="1"/>
        <v>45.359915682209007</v>
      </c>
      <c r="L21">
        <f ca="1"/>
        <v>0</v>
      </c>
      <c r="M21">
        <f ca="1"/>
        <v>-0.39625408173963628</v>
      </c>
      <c r="N21" s="4">
        <f ca="1"/>
        <v>0.65572955156383528</v>
      </c>
      <c r="O21">
        <f ca="1"/>
        <v>0</v>
      </c>
      <c r="P21">
        <f ca="1"/>
        <v>0</v>
      </c>
      <c r="Q21">
        <f ca="1"/>
        <v>0</v>
      </c>
      <c r="R21">
        <f ca="1"/>
        <v>0.11171979232840414</v>
      </c>
      <c r="S21">
        <f ca="1"/>
        <v>1</v>
      </c>
      <c r="T21">
        <f ca="1"/>
        <v>0.35000000000000142</v>
      </c>
      <c r="U21">
        <f ca="1"/>
        <v>0</v>
      </c>
      <c r="V21">
        <f ca="1"/>
        <v>0</v>
      </c>
      <c r="X21" s="2">
        <f t="shared" ca="1" si="1"/>
        <v>45408</v>
      </c>
      <c r="Y21">
        <f t="shared" ca="1" si="2"/>
        <v>0</v>
      </c>
      <c r="AA21" s="63">
        <f t="shared" ca="1" si="4"/>
        <v>45.471635474537408</v>
      </c>
      <c r="AB21" s="63">
        <f t="shared" ca="1" si="5"/>
        <v>45.471635474537408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45409</v>
      </c>
      <c r="K22">
        <f ca="1"/>
        <v>45.437402803184121</v>
      </c>
      <c r="L22">
        <f ca="1"/>
        <v>0</v>
      </c>
      <c r="M22">
        <f ca="1"/>
        <v>-0.34241015945804598</v>
      </c>
      <c r="N22" s="4">
        <f ca="1"/>
        <v>0.66610068895560182</v>
      </c>
      <c r="O22">
        <f ca="1"/>
        <v>0</v>
      </c>
      <c r="P22">
        <f ca="1"/>
        <v>0</v>
      </c>
      <c r="Q22">
        <f ca="1"/>
        <v>0</v>
      </c>
      <c r="R22">
        <f ca="1"/>
        <v>0.24620340852243713</v>
      </c>
      <c r="S22">
        <f ca="1"/>
        <v>1</v>
      </c>
      <c r="T22">
        <f ca="1"/>
        <v>0.76999999999999602</v>
      </c>
      <c r="U22">
        <f ca="1"/>
        <v>0</v>
      </c>
      <c r="V22">
        <f ca="1"/>
        <v>0</v>
      </c>
      <c r="X22" s="2">
        <f t="shared" ca="1" si="1"/>
        <v>45409</v>
      </c>
      <c r="Y22">
        <f t="shared" ca="1" si="2"/>
        <v>0</v>
      </c>
      <c r="AA22" s="63">
        <f t="shared" ca="1" si="4"/>
        <v>45.683606211706561</v>
      </c>
      <c r="AB22" s="63">
        <f t="shared" ca="1" si="5"/>
        <v>45.683606211706561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45410</v>
      </c>
      <c r="K23">
        <f ca="1"/>
        <v>45.537053046138347</v>
      </c>
      <c r="L23">
        <f ca="1"/>
        <v>0</v>
      </c>
      <c r="M23">
        <f ca="1"/>
        <v>-0.2780270046373019</v>
      </c>
      <c r="N23" s="4">
        <f ca="1"/>
        <v>0.6340339906660829</v>
      </c>
      <c r="O23">
        <f ca="1"/>
        <v>0</v>
      </c>
      <c r="P23">
        <f ca="1"/>
        <v>0</v>
      </c>
      <c r="Q23">
        <f ca="1"/>
        <v>0</v>
      </c>
      <c r="R23">
        <f ca="1"/>
        <v>0.25635674307455569</v>
      </c>
      <c r="S23">
        <f ca="1"/>
        <v>1</v>
      </c>
      <c r="T23">
        <f ca="1"/>
        <v>0.79999999999999716</v>
      </c>
      <c r="U23">
        <f ca="1"/>
        <v>0</v>
      </c>
      <c r="V23">
        <f ca="1"/>
        <v>0</v>
      </c>
      <c r="X23" s="2">
        <f t="shared" ca="1" si="1"/>
        <v>45410</v>
      </c>
      <c r="Y23">
        <f t="shared" ca="1" si="2"/>
        <v>0</v>
      </c>
      <c r="AA23" s="63">
        <f t="shared" ca="1" si="4"/>
        <v>45.793409789212902</v>
      </c>
      <c r="AB23" s="63">
        <f t="shared" ca="1" si="5"/>
        <v>45.793409789212902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45411</v>
      </c>
      <c r="K24">
        <f ca="1"/>
        <v>45.900375786019659</v>
      </c>
      <c r="L24">
        <f ca="1"/>
        <v>0</v>
      </c>
      <c r="M24">
        <f ca="1"/>
        <v>-0.2167074003453866</v>
      </c>
      <c r="N24" s="4">
        <f ca="1"/>
        <v>0.58003014022669941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0.99222222222222223</v>
      </c>
      <c r="T24">
        <f ca="1"/>
        <v>0</v>
      </c>
      <c r="U24">
        <f ca="1"/>
        <v>0</v>
      </c>
      <c r="V24">
        <f ca="1"/>
        <v>0</v>
      </c>
      <c r="X24" s="2">
        <f t="shared" ca="1" si="1"/>
        <v>45411</v>
      </c>
      <c r="Y24">
        <f t="shared" ca="1" si="2"/>
        <v>0</v>
      </c>
      <c r="AA24" s="63">
        <f t="shared" ca="1" si="4"/>
        <v>45.900375786019659</v>
      </c>
      <c r="AB24" s="63">
        <f t="shared" ca="1" si="5"/>
        <v>45.900375786019659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Lupin Green manure General</v>
      </c>
      <c r="H25" t="b">
        <f t="shared" ca="1" si="3"/>
        <v>1</v>
      </c>
      <c r="I25" t="b">
        <f t="shared" ca="1" si="0"/>
        <v>1</v>
      </c>
      <c r="J25" s="2">
        <f ca="1"/>
        <v>45412</v>
      </c>
      <c r="K25">
        <f ca="1"/>
        <v>45.928230022870807</v>
      </c>
      <c r="L25">
        <f ca="1"/>
        <v>0</v>
      </c>
      <c r="M25">
        <f ca="1"/>
        <v>-0.17018272272257384</v>
      </c>
      <c r="N25" s="4">
        <f ca="1"/>
        <v>0.55128949917567882</v>
      </c>
      <c r="O25">
        <f ca="1"/>
        <v>0</v>
      </c>
      <c r="P25">
        <f ca="1"/>
        <v>0</v>
      </c>
      <c r="Q25">
        <f ca="1"/>
        <v>0</v>
      </c>
      <c r="R25">
        <f ca="1"/>
        <v>0.35325253960195824</v>
      </c>
      <c r="S25">
        <f ca="1"/>
        <v>1</v>
      </c>
      <c r="T25">
        <f ca="1"/>
        <v>1.0929888888888897</v>
      </c>
      <c r="U25">
        <f ca="1"/>
        <v>0</v>
      </c>
      <c r="V25">
        <f ca="1"/>
        <v>0</v>
      </c>
      <c r="X25" s="2">
        <f t="shared" ca="1" si="1"/>
        <v>45412</v>
      </c>
      <c r="Y25">
        <f t="shared" ca="1" si="2"/>
        <v>0</v>
      </c>
      <c r="AA25" s="63">
        <f t="shared" ca="1" si="4"/>
        <v>46.281482562472767</v>
      </c>
      <c r="AB25" s="63">
        <f t="shared" ca="1" si="5"/>
        <v>46.281482562472767</v>
      </c>
      <c r="AC25" s="3">
        <f t="shared" ca="1" si="6"/>
        <v>0</v>
      </c>
    </row>
    <row r="26" spans="1:29">
      <c r="A26" s="9" t="s">
        <v>237</v>
      </c>
      <c r="B26" s="11">
        <f>CurrentYield</f>
        <v>8</v>
      </c>
      <c r="H26" t="b">
        <f t="shared" ca="1" si="3"/>
        <v>1</v>
      </c>
      <c r="I26" t="b">
        <f t="shared" ca="1" si="0"/>
        <v>1</v>
      </c>
      <c r="J26" s="2">
        <f ca="1"/>
        <v>45413</v>
      </c>
      <c r="K26">
        <f ca="1"/>
        <v>46.007372944369621</v>
      </c>
      <c r="L26">
        <f ca="1"/>
        <v>0</v>
      </c>
      <c r="M26">
        <f ca="1"/>
        <v>-0.13676160396578219</v>
      </c>
      <c r="N26" s="4">
        <f ca="1"/>
        <v>0.5752732274633916</v>
      </c>
      <c r="O26">
        <f ca="1"/>
        <v>0</v>
      </c>
      <c r="P26">
        <f ca="1"/>
        <v>0</v>
      </c>
      <c r="Q26">
        <f ca="1"/>
        <v>0</v>
      </c>
      <c r="R26">
        <f ca="1"/>
        <v>0.359368701998798</v>
      </c>
      <c r="S26">
        <f ca="1"/>
        <v>1</v>
      </c>
      <c r="T26">
        <f ca="1"/>
        <v>1.1099999999999994</v>
      </c>
      <c r="U26">
        <f ca="1"/>
        <v>0</v>
      </c>
      <c r="V26">
        <f ca="1"/>
        <v>0</v>
      </c>
      <c r="X26" s="2">
        <f t="shared" ca="1" si="1"/>
        <v>45413</v>
      </c>
      <c r="Y26">
        <f t="shared" ca="1" si="2"/>
        <v>0</v>
      </c>
      <c r="AA26" s="63">
        <f t="shared" ca="1" si="4"/>
        <v>46.366741646368418</v>
      </c>
      <c r="AB26" s="63">
        <f t="shared" ca="1" si="5"/>
        <v>46.366741646368418</v>
      </c>
      <c r="AC26" s="3">
        <f t="shared" ca="1" si="6"/>
        <v>0</v>
      </c>
    </row>
    <row r="27" spans="1:29">
      <c r="A27" s="9" t="s">
        <v>231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45414</v>
      </c>
      <c r="K27">
        <f ca="1"/>
        <v>46.204577883737223</v>
      </c>
      <c r="L27">
        <f ca="1"/>
        <v>0</v>
      </c>
      <c r="M27">
        <f ca="1"/>
        <v>-0.10572623175909435</v>
      </c>
      <c r="N27" s="4">
        <f ca="1"/>
        <v>0.63782879675066995</v>
      </c>
      <c r="O27">
        <f ca="1"/>
        <v>0</v>
      </c>
      <c r="P27">
        <f ca="1"/>
        <v>0</v>
      </c>
      <c r="Q27">
        <f ca="1"/>
        <v>0</v>
      </c>
      <c r="R27">
        <f ca="1"/>
        <v>0.33489762562397718</v>
      </c>
      <c r="S27">
        <f ca="1"/>
        <v>1</v>
      </c>
      <c r="T27">
        <f ca="1"/>
        <v>1.0300000000000011</v>
      </c>
      <c r="U27">
        <f ca="1"/>
        <v>0</v>
      </c>
      <c r="V27">
        <f ca="1"/>
        <v>0</v>
      </c>
      <c r="X27" s="2">
        <f t="shared" ca="1" si="1"/>
        <v>45414</v>
      </c>
      <c r="Y27">
        <f t="shared" ca="1" si="2"/>
        <v>0</v>
      </c>
      <c r="AA27" s="63">
        <f t="shared" ca="1" si="4"/>
        <v>46.539475509361196</v>
      </c>
      <c r="AB27" s="63">
        <f t="shared" ca="1" si="5"/>
        <v>46.539475509361196</v>
      </c>
      <c r="AC27" s="3">
        <f t="shared" ca="1" si="6"/>
        <v>0</v>
      </c>
    </row>
    <row r="28" spans="1:29">
      <c r="A28" s="9" t="s">
        <v>232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45415</v>
      </c>
      <c r="K28">
        <f ca="1"/>
        <v>46.361686013685819</v>
      </c>
      <c r="L28">
        <f ca="1"/>
        <v>0</v>
      </c>
      <c r="M28">
        <f ca="1"/>
        <v>-6.4195991360659121E-2</v>
      </c>
      <c r="N28" s="4">
        <f ca="1"/>
        <v>0.61280280320260427</v>
      </c>
      <c r="O28">
        <f ca="1"/>
        <v>0</v>
      </c>
      <c r="P28">
        <f ca="1"/>
        <v>0</v>
      </c>
      <c r="Q28">
        <f ca="1"/>
        <v>0</v>
      </c>
      <c r="R28">
        <f ca="1"/>
        <v>0.39149868189334547</v>
      </c>
      <c r="S28">
        <f ca="1"/>
        <v>1</v>
      </c>
      <c r="T28">
        <f ca="1"/>
        <v>1.1999999999999957</v>
      </c>
      <c r="U28">
        <f ca="1"/>
        <v>0</v>
      </c>
      <c r="V28">
        <f ca="1"/>
        <v>0</v>
      </c>
      <c r="X28" s="2">
        <f t="shared" ca="1" si="1"/>
        <v>45415</v>
      </c>
      <c r="Y28">
        <f t="shared" ca="1" si="2"/>
        <v>0</v>
      </c>
      <c r="AA28" s="63">
        <f t="shared" ca="1" si="4"/>
        <v>46.753184695579172</v>
      </c>
      <c r="AB28" s="63">
        <f t="shared" ca="1" si="5"/>
        <v>46.753184695579165</v>
      </c>
      <c r="AC28" s="3">
        <f t="shared" ca="1" si="6"/>
        <v>0</v>
      </c>
    </row>
    <row r="29" spans="1:29">
      <c r="A29" s="9" t="s">
        <v>120</v>
      </c>
      <c r="B29" s="10">
        <f>CurrentFieldLoss</f>
        <v>1</v>
      </c>
      <c r="H29" t="b">
        <f t="shared" ca="1" si="3"/>
        <v>1</v>
      </c>
      <c r="I29" t="b">
        <f t="shared" ca="1" si="0"/>
        <v>1</v>
      </c>
      <c r="J29" s="2">
        <f ca="1"/>
        <v>45416</v>
      </c>
      <c r="K29">
        <f ca="1"/>
        <v>46.524199483591751</v>
      </c>
      <c r="L29">
        <f ca="1"/>
        <v>0</v>
      </c>
      <c r="M29">
        <f ca="1"/>
        <v>-2.8223407235927311E-2</v>
      </c>
      <c r="N29" s="4">
        <f ca="1"/>
        <v>0.61962107164060043</v>
      </c>
      <c r="O29">
        <f ca="1"/>
        <v>0</v>
      </c>
      <c r="P29">
        <f ca="1"/>
        <v>0</v>
      </c>
      <c r="Q29">
        <f ca="1"/>
        <v>0</v>
      </c>
      <c r="R29">
        <f ca="1"/>
        <v>0.42888419449874099</v>
      </c>
      <c r="S29">
        <f ca="1"/>
        <v>1</v>
      </c>
      <c r="T29">
        <f ca="1"/>
        <v>1.3100000000000023</v>
      </c>
      <c r="U29">
        <f ca="1"/>
        <v>0</v>
      </c>
      <c r="V29">
        <f ca="1"/>
        <v>0</v>
      </c>
      <c r="X29" s="2">
        <f t="shared" ca="1" si="1"/>
        <v>45416</v>
      </c>
      <c r="Y29">
        <f t="shared" ca="1" si="2"/>
        <v>0</v>
      </c>
      <c r="AA29" s="63">
        <f t="shared" ca="1" si="4"/>
        <v>46.953083678090493</v>
      </c>
      <c r="AB29" s="63">
        <f t="shared" ca="1" si="5"/>
        <v>46.953083678090493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45417</v>
      </c>
      <c r="K30">
        <f ca="1"/>
        <v>46.904176844464445</v>
      </c>
      <c r="L30">
        <f ca="1"/>
        <v>0</v>
      </c>
      <c r="M30">
        <f ca="1"/>
        <v>6.268318859021349E-3</v>
      </c>
      <c r="N30" s="4">
        <f ca="1"/>
        <v>0.61465753565542147</v>
      </c>
      <c r="O30">
        <f ca="1"/>
        <v>0</v>
      </c>
      <c r="P30">
        <f ca="1"/>
        <v>0</v>
      </c>
      <c r="Q30">
        <f ca="1"/>
        <v>0</v>
      </c>
      <c r="R30">
        <f ca="1"/>
        <v>0.24094849364174784</v>
      </c>
      <c r="S30">
        <f ca="1"/>
        <v>1</v>
      </c>
      <c r="T30">
        <f ca="1"/>
        <v>0.72999999999999687</v>
      </c>
      <c r="U30">
        <f ca="1"/>
        <v>0</v>
      </c>
      <c r="V30">
        <f ca="1"/>
        <v>0</v>
      </c>
      <c r="X30" s="2">
        <f t="shared" ca="1" si="1"/>
        <v>45417</v>
      </c>
      <c r="Y30">
        <f t="shared" ca="1" si="2"/>
        <v>0</v>
      </c>
      <c r="AA30" s="63">
        <f t="shared" ca="1" si="4"/>
        <v>47.14512533810619</v>
      </c>
      <c r="AB30" s="63">
        <f t="shared" ca="1" si="5"/>
        <v>47.14512533810619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0</v>
      </c>
      <c r="H31" t="b">
        <f t="shared" ca="1" si="3"/>
        <v>1</v>
      </c>
      <c r="I31" t="b">
        <f t="shared" ca="1" si="0"/>
        <v>1</v>
      </c>
      <c r="J31" s="2">
        <f ca="1"/>
        <v>45418</v>
      </c>
      <c r="K31">
        <f ca="1"/>
        <v>47.170905246833804</v>
      </c>
      <c r="L31">
        <f ca="1"/>
        <v>0</v>
      </c>
      <c r="M31">
        <f ca="1"/>
        <v>3.7413364476162059E-2</v>
      </c>
      <c r="N31" s="4">
        <f ca="1"/>
        <v>0.59445278591497908</v>
      </c>
      <c r="O31">
        <f ca="1"/>
        <v>0</v>
      </c>
      <c r="P31">
        <f ca="1"/>
        <v>0</v>
      </c>
      <c r="Q31">
        <f ca="1"/>
        <v>0</v>
      </c>
      <c r="R31">
        <f ca="1"/>
        <v>0.365137748021788</v>
      </c>
      <c r="S31">
        <f ca="1"/>
        <v>1</v>
      </c>
      <c r="T31">
        <f ca="1"/>
        <v>1.1000000000000014</v>
      </c>
      <c r="U31">
        <f ca="1"/>
        <v>0</v>
      </c>
      <c r="V31">
        <f ca="1"/>
        <v>0</v>
      </c>
      <c r="X31" s="2">
        <f t="shared" ca="1" si="1"/>
        <v>45418</v>
      </c>
      <c r="Y31">
        <f t="shared" ca="1" si="2"/>
        <v>0</v>
      </c>
      <c r="AA31" s="63">
        <f t="shared" ca="1" si="4"/>
        <v>47.536042994855592</v>
      </c>
      <c r="AB31" s="63">
        <f t="shared" ca="1" si="5"/>
        <v>47.536042994855592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45436</v>
      </c>
      <c r="H32" t="b">
        <f t="shared" ca="1" si="3"/>
        <v>1</v>
      </c>
      <c r="I32" t="b">
        <f t="shared" ca="1" si="0"/>
        <v>1</v>
      </c>
      <c r="J32" s="2">
        <f ca="1"/>
        <v>45419</v>
      </c>
      <c r="K32">
        <f ca="1"/>
        <v>47.708454059641888</v>
      </c>
      <c r="L32">
        <f ca="1"/>
        <v>0</v>
      </c>
      <c r="M32">
        <f ca="1"/>
        <v>6.6708806351769567E-2</v>
      </c>
      <c r="N32" s="4">
        <f ca="1"/>
        <v>0.59505868498938541</v>
      </c>
      <c r="O32">
        <f ca="1"/>
        <v>0</v>
      </c>
      <c r="P32">
        <f ca="1"/>
        <v>0</v>
      </c>
      <c r="Q32">
        <f ca="1"/>
        <v>0</v>
      </c>
      <c r="R32">
        <f ca="1"/>
        <v>0.12421867853306673</v>
      </c>
      <c r="S32">
        <f ca="1"/>
        <v>1</v>
      </c>
      <c r="T32">
        <f ca="1"/>
        <v>0.36999999999999744</v>
      </c>
      <c r="U32">
        <f ca="1"/>
        <v>0</v>
      </c>
      <c r="V32">
        <f ca="1"/>
        <v>0</v>
      </c>
      <c r="X32" s="2">
        <f t="shared" ca="1" si="1"/>
        <v>45419</v>
      </c>
      <c r="Y32">
        <f t="shared" ca="1" si="2"/>
        <v>0</v>
      </c>
      <c r="AA32" s="63">
        <f t="shared" ca="1" si="4"/>
        <v>47.832672738174956</v>
      </c>
      <c r="AB32" s="63">
        <f t="shared" ca="1" si="5"/>
        <v>47.832672738174956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45420</v>
      </c>
      <c r="K33">
        <f ca="1"/>
        <v>48.21026881917637</v>
      </c>
      <c r="L33">
        <f ca="1"/>
        <v>0</v>
      </c>
      <c r="M33">
        <f ca="1"/>
        <v>9.6877798144401339E-2</v>
      </c>
      <c r="N33" s="4">
        <f ca="1"/>
        <v>0.61527657868262953</v>
      </c>
      <c r="O33">
        <f ca="1"/>
        <v>0</v>
      </c>
      <c r="P33">
        <f ca="1"/>
        <v>0</v>
      </c>
      <c r="Q33">
        <f ca="1"/>
        <v>0</v>
      </c>
      <c r="R33">
        <f ca="1"/>
        <v>0.21033961729255626</v>
      </c>
      <c r="S33">
        <f ca="1"/>
        <v>1</v>
      </c>
      <c r="T33">
        <f ca="1"/>
        <v>0.62000000000000455</v>
      </c>
      <c r="U33">
        <f ca="1"/>
        <v>0</v>
      </c>
      <c r="V33">
        <f ca="1"/>
        <v>0</v>
      </c>
      <c r="X33" s="2">
        <f t="shared" ca="1" si="1"/>
        <v>45420</v>
      </c>
      <c r="Y33">
        <f t="shared" ca="1" si="2"/>
        <v>0</v>
      </c>
      <c r="AA33" s="63">
        <f t="shared" ca="1" si="4"/>
        <v>48.420608436468918</v>
      </c>
      <c r="AB33" s="63">
        <f t="shared" ca="1" si="5"/>
        <v>48.420608436468925</v>
      </c>
      <c r="AC33" s="3">
        <f t="shared" ca="1" si="6"/>
        <v>0</v>
      </c>
    </row>
    <row r="34" spans="1:29">
      <c r="A34" s="9" t="s">
        <v>125</v>
      </c>
      <c r="B34" s="36">
        <f>CurrentHarvestDate</f>
        <v>45561</v>
      </c>
      <c r="H34" t="b">
        <f t="shared" ca="1" si="3"/>
        <v>1</v>
      </c>
      <c r="I34" t="b">
        <f t="shared" ca="1" si="0"/>
        <v>1</v>
      </c>
      <c r="J34" s="2">
        <f ca="1"/>
        <v>45421</v>
      </c>
      <c r="K34">
        <f ca="1"/>
        <v>48.902936655982437</v>
      </c>
      <c r="L34">
        <f ca="1"/>
        <v>0</v>
      </c>
      <c r="M34">
        <f ca="1"/>
        <v>0.11798744712532105</v>
      </c>
      <c r="N34" s="4">
        <f ca="1"/>
        <v>0.57468038968074198</v>
      </c>
      <c r="O34">
        <f ca="1"/>
        <v>0</v>
      </c>
      <c r="P34">
        <f ca="1"/>
        <v>0</v>
      </c>
      <c r="Q34">
        <f ca="1"/>
        <v>0</v>
      </c>
      <c r="R34">
        <f ca="1"/>
        <v>0</v>
      </c>
      <c r="S34">
        <f ca="1"/>
        <v>0.99203703703703705</v>
      </c>
      <c r="T34">
        <f ca="1"/>
        <v>0</v>
      </c>
      <c r="U34">
        <f ca="1"/>
        <v>0</v>
      </c>
      <c r="V34">
        <f ca="1"/>
        <v>0</v>
      </c>
      <c r="X34" s="2">
        <f t="shared" ca="1" si="1"/>
        <v>45421</v>
      </c>
      <c r="Y34">
        <f t="shared" ca="1" si="2"/>
        <v>0</v>
      </c>
      <c r="AA34" s="63">
        <f t="shared" ca="1" si="4"/>
        <v>48.902936655982437</v>
      </c>
      <c r="AB34" s="63">
        <f t="shared" ca="1" si="5"/>
        <v>48.902936655982437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EarlyReproductive</v>
      </c>
      <c r="H35" t="b">
        <f t="shared" ca="1" si="3"/>
        <v>1</v>
      </c>
      <c r="I35" t="b">
        <f t="shared" ca="1" si="0"/>
        <v>1</v>
      </c>
      <c r="J35" s="2">
        <f ca="1"/>
        <v>45422</v>
      </c>
      <c r="K35">
        <f ca="1"/>
        <v>49.482725901704498</v>
      </c>
      <c r="L35">
        <f ca="1"/>
        <v>0</v>
      </c>
      <c r="M35">
        <f ca="1"/>
        <v>0.14471824813812795</v>
      </c>
      <c r="N35" s="4">
        <f ca="1"/>
        <v>0.59263747054644456</v>
      </c>
      <c r="O35">
        <f ca="1"/>
        <v>0</v>
      </c>
      <c r="P35">
        <f ca="1"/>
        <v>0</v>
      </c>
      <c r="Q35">
        <f ca="1"/>
        <v>0</v>
      </c>
      <c r="R35">
        <f ca="1"/>
        <v>0.15756647296250975</v>
      </c>
      <c r="S35">
        <f ca="1"/>
        <v>1</v>
      </c>
      <c r="T35">
        <f ca="1"/>
        <v>0.45250185185184932</v>
      </c>
      <c r="U35">
        <f ca="1"/>
        <v>0</v>
      </c>
      <c r="V35">
        <f ca="1"/>
        <v>0</v>
      </c>
      <c r="X35" s="2">
        <f t="shared" ca="1" si="1"/>
        <v>45422</v>
      </c>
      <c r="Y35">
        <f t="shared" ca="1" si="2"/>
        <v>0</v>
      </c>
      <c r="AA35" s="63">
        <f t="shared" ca="1" si="4"/>
        <v>49.640292374667006</v>
      </c>
      <c r="AB35" s="63">
        <f t="shared" ca="1" si="5"/>
        <v>49.640292374667006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45423</v>
      </c>
      <c r="K36">
        <f ca="1"/>
        <v>49.972820197013888</v>
      </c>
      <c r="L36">
        <f ca="1"/>
        <v>0</v>
      </c>
      <c r="M36">
        <f ca="1"/>
        <v>0.17570612315322087</v>
      </c>
      <c r="N36" s="4">
        <f ca="1"/>
        <v>0.630882700070591</v>
      </c>
      <c r="O36">
        <f ca="1"/>
        <v>0</v>
      </c>
      <c r="P36">
        <f ca="1"/>
        <v>0</v>
      </c>
      <c r="Q36">
        <f ca="1"/>
        <v>0</v>
      </c>
      <c r="R36">
        <f ca="1"/>
        <v>0.31649452791442079</v>
      </c>
      <c r="S36">
        <f ca="1"/>
        <v>1</v>
      </c>
      <c r="T36">
        <f ca="1"/>
        <v>0.89999999999999858</v>
      </c>
      <c r="U36">
        <f ca="1"/>
        <v>0</v>
      </c>
      <c r="V36">
        <f ca="1"/>
        <v>0</v>
      </c>
      <c r="X36" s="2">
        <f t="shared" ca="1" si="1"/>
        <v>45423</v>
      </c>
      <c r="Y36">
        <f t="shared" ca="1" si="2"/>
        <v>0</v>
      </c>
      <c r="AA36" s="63">
        <f t="shared" ca="1" si="4"/>
        <v>50.28931472492831</v>
      </c>
      <c r="AB36" s="63">
        <f t="shared" ca="1" si="5"/>
        <v>50.28931472492831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45424</v>
      </c>
      <c r="K37">
        <f ca="1"/>
        <v>49.838489313891166</v>
      </c>
      <c r="L37">
        <f ca="1"/>
        <v>0</v>
      </c>
      <c r="M37">
        <f ca="1"/>
        <v>0.18422308079777494</v>
      </c>
      <c r="N37">
        <f ca="1"/>
        <v>0.56524857991250999</v>
      </c>
      <c r="O37">
        <f ca="1"/>
        <v>0</v>
      </c>
      <c r="P37">
        <f ca="1"/>
        <v>0</v>
      </c>
      <c r="Q37">
        <f ca="1"/>
        <v>0</v>
      </c>
      <c r="R37">
        <f ca="1"/>
        <v>0.88380254383300438</v>
      </c>
      <c r="S37">
        <f ca="1"/>
        <v>1</v>
      </c>
      <c r="T37">
        <f ca="1"/>
        <v>2.5200000000000031</v>
      </c>
      <c r="U37">
        <f ca="1"/>
        <v>0</v>
      </c>
      <c r="V37">
        <f ca="1"/>
        <v>0</v>
      </c>
      <c r="X37" s="2">
        <f t="shared" ca="1" si="1"/>
        <v>45424</v>
      </c>
      <c r="Y37">
        <f t="shared" ca="1" si="2"/>
        <v>0</v>
      </c>
      <c r="AA37" s="63">
        <f t="shared" ca="1" si="4"/>
        <v>50.72229185772418</v>
      </c>
      <c r="AB37" s="63">
        <f t="shared" ca="1" si="5"/>
        <v>50.722291857724173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45425</v>
      </c>
      <c r="K38">
        <f ca="1"/>
        <v>50.201374815081536</v>
      </c>
      <c r="L38">
        <f ca="1"/>
        <v>0</v>
      </c>
      <c r="M38">
        <f ca="1"/>
        <v>0.21062438467822808</v>
      </c>
      <c r="N38">
        <f ca="1"/>
        <v>0.59384728386702723</v>
      </c>
      <c r="O38">
        <f ca="1"/>
        <v>0</v>
      </c>
      <c r="P38">
        <f ca="1"/>
        <v>0</v>
      </c>
      <c r="Q38">
        <f ca="1"/>
        <v>0</v>
      </c>
      <c r="R38">
        <f ca="1"/>
        <v>0.44158616735488387</v>
      </c>
      <c r="S38">
        <f ca="1"/>
        <v>1</v>
      </c>
      <c r="T38">
        <f ca="1"/>
        <v>1.25</v>
      </c>
      <c r="U38">
        <f ca="1"/>
        <v>0</v>
      </c>
      <c r="V38">
        <f ca="1"/>
        <v>0</v>
      </c>
      <c r="X38" s="2">
        <f t="shared" ca="1" si="1"/>
        <v>45425</v>
      </c>
      <c r="Y38">
        <f t="shared" ca="1" si="2"/>
        <v>0</v>
      </c>
      <c r="AA38" s="63">
        <f t="shared" ca="1" si="4"/>
        <v>50.642960982436421</v>
      </c>
      <c r="AB38" s="63">
        <f t="shared" ca="1" si="5"/>
        <v>50.642960982436421</v>
      </c>
      <c r="AC38" s="3">
        <f t="shared" ca="1" si="6"/>
        <v>0</v>
      </c>
    </row>
    <row r="39" spans="1:29">
      <c r="A39" s="6" t="s">
        <v>238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45426</v>
      </c>
      <c r="K39">
        <f ca="1"/>
        <v>50.411912369503078</v>
      </c>
      <c r="L39">
        <f ca="1"/>
        <v>0</v>
      </c>
      <c r="M39">
        <f ca="1"/>
        <v>0.21859920298293645</v>
      </c>
      <c r="N39">
        <f ca="1"/>
        <v>0.55244413267286341</v>
      </c>
      <c r="O39">
        <f ca="1"/>
        <v>0</v>
      </c>
      <c r="P39">
        <f ca="1"/>
        <v>0</v>
      </c>
      <c r="Q39">
        <f ca="1"/>
        <v>0</v>
      </c>
      <c r="R39">
        <f ca="1"/>
        <v>0.56050578123425221</v>
      </c>
      <c r="S39">
        <f ca="1"/>
        <v>1</v>
      </c>
      <c r="T39">
        <f ca="1"/>
        <v>1.5799999999999983</v>
      </c>
      <c r="U39">
        <f ca="1"/>
        <v>0</v>
      </c>
      <c r="V39">
        <f ca="1"/>
        <v>0</v>
      </c>
      <c r="X39" s="2">
        <f t="shared" ca="1" si="1"/>
        <v>45426</v>
      </c>
      <c r="Y39">
        <f t="shared" ca="1" si="2"/>
        <v>0</v>
      </c>
      <c r="AA39" s="63">
        <f t="shared" ca="1" si="4"/>
        <v>50.972418150737333</v>
      </c>
      <c r="AB39" s="63">
        <f t="shared" ca="1" si="5"/>
        <v>50.972418150737333</v>
      </c>
      <c r="AC39" s="3">
        <f t="shared" ca="1" si="6"/>
        <v>0</v>
      </c>
    </row>
    <row r="40" spans="1:29">
      <c r="A40" s="6" t="s">
        <v>233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45427</v>
      </c>
      <c r="K40">
        <f ca="1"/>
        <v>50.028221727867553</v>
      </c>
      <c r="L40">
        <f ca="1"/>
        <v>0</v>
      </c>
      <c r="M40">
        <f ca="1"/>
        <v>0.22342132800593539</v>
      </c>
      <c r="N40">
        <f ca="1"/>
        <v>0.51240845880215469</v>
      </c>
      <c r="O40">
        <f ca="1"/>
        <v>0</v>
      </c>
      <c r="P40">
        <f ca="1"/>
        <v>0</v>
      </c>
      <c r="Q40">
        <f ca="1"/>
        <v>0</v>
      </c>
      <c r="R40">
        <f ca="1"/>
        <v>1.1195204284436138</v>
      </c>
      <c r="S40">
        <f ca="1"/>
        <v>1</v>
      </c>
      <c r="T40">
        <f ca="1"/>
        <v>3.1799999999999997</v>
      </c>
      <c r="U40">
        <f ca="1"/>
        <v>0</v>
      </c>
      <c r="V40">
        <f ca="1"/>
        <v>0</v>
      </c>
      <c r="X40" s="2">
        <f t="shared" ca="1" si="1"/>
        <v>45427</v>
      </c>
      <c r="Y40">
        <f t="shared" ca="1" si="2"/>
        <v>0</v>
      </c>
      <c r="AA40" s="63">
        <f t="shared" ca="1" si="4"/>
        <v>51.147742156311168</v>
      </c>
      <c r="AB40" s="63">
        <f t="shared" ca="1" si="5"/>
        <v>51.147742156311168</v>
      </c>
      <c r="AC40" s="3">
        <f t="shared" ca="1" si="6"/>
        <v>0</v>
      </c>
    </row>
    <row r="41" spans="1:29">
      <c r="A41" s="6" t="s">
        <v>234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45428</v>
      </c>
      <c r="K41">
        <f ca="1"/>
        <v>49.651935645540107</v>
      </c>
      <c r="L41">
        <f ca="1"/>
        <v>0</v>
      </c>
      <c r="M41">
        <f ca="1"/>
        <v>0.23066171517275968</v>
      </c>
      <c r="N41">
        <f ca="1"/>
        <v>0.49017608420828068</v>
      </c>
      <c r="O41">
        <f ca="1"/>
        <v>0</v>
      </c>
      <c r="P41">
        <f ca="1"/>
        <v>0</v>
      </c>
      <c r="Q41">
        <f ca="1"/>
        <v>0</v>
      </c>
      <c r="R41">
        <f ca="1"/>
        <v>1.0971238817084874</v>
      </c>
      <c r="S41">
        <f ca="1"/>
        <v>1</v>
      </c>
      <c r="T41">
        <f ca="1"/>
        <v>3.1399999999999935</v>
      </c>
      <c r="U41">
        <f ca="1"/>
        <v>0</v>
      </c>
      <c r="V41">
        <f ca="1"/>
        <v>0</v>
      </c>
      <c r="X41" s="2">
        <f t="shared" ca="1" si="1"/>
        <v>45428</v>
      </c>
      <c r="Y41">
        <f t="shared" ca="1" si="2"/>
        <v>0</v>
      </c>
      <c r="AA41" s="63">
        <f t="shared" ca="1" si="4"/>
        <v>50.74905952724859</v>
      </c>
      <c r="AB41" s="63">
        <f t="shared" ca="1" si="5"/>
        <v>50.74905952724859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45429</v>
      </c>
      <c r="K42">
        <f ca="1"/>
        <v>50.01655791098807</v>
      </c>
      <c r="L42">
        <f ca="1"/>
        <v>0</v>
      </c>
      <c r="M42">
        <f ca="1"/>
        <v>0.25201065537284073</v>
      </c>
      <c r="N42">
        <f ca="1"/>
        <v>0.51737523613255532</v>
      </c>
      <c r="O42">
        <f ca="1"/>
        <v>0</v>
      </c>
      <c r="P42">
        <f ca="1"/>
        <v>0</v>
      </c>
      <c r="Q42">
        <f ca="1"/>
        <v>0</v>
      </c>
      <c r="R42">
        <f ca="1"/>
        <v>0.4047636260574401</v>
      </c>
      <c r="S42">
        <f ca="1"/>
        <v>1</v>
      </c>
      <c r="T42">
        <f ca="1"/>
        <v>1.1499999999999986</v>
      </c>
      <c r="U42">
        <f ca="1"/>
        <v>0</v>
      </c>
      <c r="V42">
        <f ca="1"/>
        <v>0</v>
      </c>
      <c r="X42" s="2">
        <f t="shared" ca="1" si="1"/>
        <v>45429</v>
      </c>
      <c r="Y42">
        <f t="shared" ca="1" si="2"/>
        <v>0</v>
      </c>
      <c r="AA42" s="63">
        <f t="shared" ca="1" si="4"/>
        <v>50.421321537045507</v>
      </c>
      <c r="AB42" s="63">
        <f t="shared" ca="1" si="5"/>
        <v>50.421321537045507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45430</v>
      </c>
      <c r="K43">
        <f ca="1"/>
        <v>50.347892267724802</v>
      </c>
      <c r="L43">
        <f ca="1"/>
        <v>0</v>
      </c>
      <c r="M43">
        <f ca="1"/>
        <v>0.26806463831943894</v>
      </c>
      <c r="N43">
        <f ca="1"/>
        <v>0.52740269565569808</v>
      </c>
      <c r="O43">
        <f ca="1"/>
        <v>0</v>
      </c>
      <c r="P43">
        <f ca="1"/>
        <v>0</v>
      </c>
      <c r="Q43">
        <f ca="1"/>
        <v>0</v>
      </c>
      <c r="R43">
        <f ca="1"/>
        <v>0.46413297723839725</v>
      </c>
      <c r="S43">
        <f ca="1"/>
        <v>1</v>
      </c>
      <c r="T43">
        <f ca="1"/>
        <v>1.3100000000000023</v>
      </c>
      <c r="U43">
        <f ca="1"/>
        <v>0</v>
      </c>
      <c r="V43">
        <f ca="1"/>
        <v>0</v>
      </c>
      <c r="X43" s="2">
        <f t="shared" ca="1" si="1"/>
        <v>45430</v>
      </c>
      <c r="Y43">
        <f t="shared" ca="1" si="2"/>
        <v>0</v>
      </c>
      <c r="AA43" s="63">
        <f t="shared" ca="1" si="4"/>
        <v>50.812025244963202</v>
      </c>
      <c r="AB43" s="63">
        <f t="shared" ca="1" si="5"/>
        <v>50.812025244963202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45431</v>
      </c>
      <c r="K44">
        <f ca="1"/>
        <v>50.120607956421338</v>
      </c>
      <c r="L44">
        <f ca="1"/>
        <v>0</v>
      </c>
      <c r="M44">
        <f ca="1"/>
        <v>0.27984603310700962</v>
      </c>
      <c r="N44">
        <f ca="1"/>
        <v>0.52628233889840481</v>
      </c>
      <c r="O44">
        <f ca="1"/>
        <v>0</v>
      </c>
      <c r="P44">
        <f ca="1"/>
        <v>0</v>
      </c>
      <c r="Q44">
        <f ca="1"/>
        <v>0</v>
      </c>
      <c r="R44">
        <f ca="1"/>
        <v>1.0334126833088824</v>
      </c>
      <c r="S44">
        <f ca="1"/>
        <v>1</v>
      </c>
      <c r="T44">
        <f ca="1"/>
        <v>2.9300000000000068</v>
      </c>
      <c r="U44">
        <f ca="1"/>
        <v>0</v>
      </c>
      <c r="V44">
        <f ca="1"/>
        <v>0</v>
      </c>
      <c r="X44" s="2">
        <f t="shared" ca="1" si="1"/>
        <v>45431</v>
      </c>
      <c r="Y44">
        <f t="shared" ca="1" si="2"/>
        <v>0</v>
      </c>
      <c r="AA44" s="63">
        <f t="shared" ca="1" si="4"/>
        <v>51.154020639730213</v>
      </c>
      <c r="AB44" s="63">
        <f t="shared" ca="1" si="5"/>
        <v>51.15402063973022</v>
      </c>
      <c r="AC44" s="3">
        <f t="shared" ca="1" si="6"/>
        <v>0</v>
      </c>
    </row>
    <row r="45" spans="1:29">
      <c r="A45" s="6" t="s">
        <v>130</v>
      </c>
      <c r="B45" s="34">
        <f>FollowingEstablishDate</f>
        <v>45576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45432</v>
      </c>
      <c r="K45">
        <f ca="1"/>
        <v>50.337339364512175</v>
      </c>
      <c r="L45">
        <f ca="1"/>
        <v>0</v>
      </c>
      <c r="M45">
        <f ca="1"/>
        <v>0.27543568873463009</v>
      </c>
      <c r="N45">
        <f ca="1"/>
        <v>0.48326107318078637</v>
      </c>
      <c r="O45">
        <f ca="1"/>
        <v>0</v>
      </c>
      <c r="P45">
        <f ca="1"/>
        <v>0</v>
      </c>
      <c r="Q45">
        <f ca="1"/>
        <v>0</v>
      </c>
      <c r="R45">
        <f ca="1"/>
        <v>0.54196535382458155</v>
      </c>
      <c r="S45">
        <f ca="1"/>
        <v>1</v>
      </c>
      <c r="T45">
        <f ca="1"/>
        <v>1.5300000000000011</v>
      </c>
      <c r="U45">
        <f ca="1"/>
        <v>0</v>
      </c>
      <c r="V45">
        <f ca="1"/>
        <v>0</v>
      </c>
      <c r="X45" s="2">
        <f t="shared" ca="1" si="1"/>
        <v>45432</v>
      </c>
      <c r="Y45">
        <f t="shared" ca="1" si="2"/>
        <v>0</v>
      </c>
      <c r="AA45" s="63">
        <f t="shared" ca="1" si="4"/>
        <v>50.879304718336755</v>
      </c>
      <c r="AB45" s="63">
        <f t="shared" ca="1" si="5"/>
        <v>50.879304718336755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45433</v>
      </c>
      <c r="K46">
        <f ca="1"/>
        <v>50.868126946768982</v>
      </c>
      <c r="L46">
        <f ca="1"/>
        <v>0</v>
      </c>
      <c r="M46">
        <f ca="1"/>
        <v>0.2964875919517862</v>
      </c>
      <c r="N46">
        <f ca="1"/>
        <v>0.51350948710173039</v>
      </c>
      <c r="O46">
        <f ca="1"/>
        <v>0</v>
      </c>
      <c r="P46">
        <f ca="1"/>
        <v>0</v>
      </c>
      <c r="Q46">
        <f ca="1"/>
        <v>0</v>
      </c>
      <c r="R46">
        <f ca="1"/>
        <v>0.2792094967967102</v>
      </c>
      <c r="S46">
        <f ca="1"/>
        <v>1</v>
      </c>
      <c r="T46">
        <f ca="1"/>
        <v>0.78000000000000114</v>
      </c>
      <c r="U46">
        <f ca="1"/>
        <v>0</v>
      </c>
      <c r="V46">
        <f ca="1"/>
        <v>0</v>
      </c>
      <c r="X46" s="2">
        <f t="shared" ca="1" si="1"/>
        <v>45433</v>
      </c>
      <c r="Y46">
        <f t="shared" ca="1" si="2"/>
        <v>0</v>
      </c>
      <c r="AA46" s="63">
        <f t="shared" ca="1" si="4"/>
        <v>51.147336443565692</v>
      </c>
      <c r="AB46" s="63">
        <f t="shared" ca="1" si="5"/>
        <v>51.147336443565692</v>
      </c>
      <c r="AC46" s="3">
        <f t="shared" ca="1" si="6"/>
        <v>0</v>
      </c>
    </row>
    <row r="47" spans="1:29">
      <c r="A47" s="6" t="s">
        <v>132</v>
      </c>
      <c r="B47" s="34">
        <f>FollowingHarvestDate</f>
        <v>45696</v>
      </c>
      <c r="H47" t="b">
        <f t="shared" ca="1" si="3"/>
        <v>1</v>
      </c>
      <c r="I47" t="b">
        <f t="shared" ca="1" si="0"/>
        <v>1</v>
      </c>
      <c r="J47" s="2">
        <f ca="1"/>
        <v>45434</v>
      </c>
      <c r="K47">
        <f ca="1"/>
        <v>50.791488807632412</v>
      </c>
      <c r="L47">
        <f ca="1"/>
        <v>0</v>
      </c>
      <c r="M47">
        <f ca="1"/>
        <v>0.30338705909534269</v>
      </c>
      <c r="N47">
        <f ca="1"/>
        <v>0.50638033977388308</v>
      </c>
      <c r="O47">
        <f ca="1"/>
        <v>0</v>
      </c>
      <c r="P47">
        <f ca="1"/>
        <v>0</v>
      </c>
      <c r="Q47">
        <f ca="1"/>
        <v>0</v>
      </c>
      <c r="R47">
        <f ca="1"/>
        <v>0.8864055380057938</v>
      </c>
      <c r="S47">
        <f ca="1"/>
        <v>1</v>
      </c>
      <c r="T47">
        <f ca="1"/>
        <v>2.480000000000004</v>
      </c>
      <c r="U47">
        <f ca="1"/>
        <v>0</v>
      </c>
      <c r="V47">
        <f ca="1"/>
        <v>0</v>
      </c>
      <c r="X47" s="2">
        <f t="shared" ca="1" si="1"/>
        <v>45434</v>
      </c>
      <c r="Y47">
        <f t="shared" ca="1" si="2"/>
        <v>0</v>
      </c>
      <c r="AA47" s="63">
        <f t="shared" ca="1" si="4"/>
        <v>51.677894345638208</v>
      </c>
      <c r="AB47" s="63">
        <f t="shared" ca="1" si="5"/>
        <v>51.677894345638208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45435</v>
      </c>
      <c r="K48">
        <f ca="1"/>
        <v>51.412431025642029</v>
      </c>
      <c r="L48">
        <f ca="1"/>
        <v>0</v>
      </c>
      <c r="M48">
        <f ca="1"/>
        <v>0.29604485209515374</v>
      </c>
      <c r="N48">
        <f ca="1"/>
        <v>0.46599592661816358</v>
      </c>
      <c r="O48">
        <f ca="1"/>
        <v>0</v>
      </c>
      <c r="P48">
        <f ca="1"/>
        <v>0</v>
      </c>
      <c r="Q48">
        <f ca="1"/>
        <v>0</v>
      </c>
      <c r="R48">
        <f ca="1"/>
        <v>0.14109856070370666</v>
      </c>
      <c r="S48">
        <f ca="1"/>
        <v>1</v>
      </c>
      <c r="T48">
        <f ca="1"/>
        <v>0.39000000000000057</v>
      </c>
      <c r="U48">
        <f ca="1"/>
        <v>0</v>
      </c>
      <c r="V48">
        <f ca="1"/>
        <v>0</v>
      </c>
      <c r="X48" s="2">
        <f t="shared" ca="1" si="1"/>
        <v>45435</v>
      </c>
      <c r="Y48">
        <f t="shared" ca="1" si="2"/>
        <v>0</v>
      </c>
      <c r="AA48" s="63">
        <f t="shared" ca="1" si="4"/>
        <v>51.553529586345732</v>
      </c>
      <c r="AB48" s="63">
        <f t="shared" ca="1" si="5"/>
        <v>51.553529586345732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45436</v>
      </c>
      <c r="K49">
        <f ca="1"/>
        <v>51.389471158837516</v>
      </c>
      <c r="L49">
        <f ca="1"/>
        <v>0</v>
      </c>
      <c r="M49">
        <f ca="1"/>
        <v>0.31392629159357099</v>
      </c>
      <c r="N49">
        <f ca="1"/>
        <v>0.49124565275785625</v>
      </c>
      <c r="O49">
        <f ca="1"/>
        <v>0</v>
      </c>
      <c r="P49">
        <f ca="1"/>
        <v>1.3386898147826627</v>
      </c>
      <c r="Q49">
        <f ca="1"/>
        <v>0</v>
      </c>
      <c r="R49">
        <f ca="1"/>
        <v>0.82813181115593315</v>
      </c>
      <c r="S49">
        <f ca="1"/>
        <v>1</v>
      </c>
      <c r="T49">
        <f ca="1"/>
        <v>2.2899999999999991</v>
      </c>
      <c r="U49">
        <f ca="1"/>
        <v>0</v>
      </c>
      <c r="V49">
        <f ca="1"/>
        <v>6.6928509242848624E-3</v>
      </c>
      <c r="X49" s="2">
        <f t="shared" ca="1" si="1"/>
        <v>45436</v>
      </c>
      <c r="Y49">
        <f t="shared" ca="1" si="2"/>
        <v>0</v>
      </c>
      <c r="AA49" s="63">
        <f t="shared" ca="1" si="4"/>
        <v>52.21760296999345</v>
      </c>
      <c r="AB49" s="63">
        <f t="shared" ca="1" si="5"/>
        <v>52.21760296999345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45437</v>
      </c>
      <c r="K50">
        <f ca="1"/>
        <v>51.007424802811599</v>
      </c>
      <c r="L50">
        <f ca="1"/>
        <v>0</v>
      </c>
      <c r="M50">
        <f ca="1"/>
        <v>0.29922116066635418</v>
      </c>
      <c r="N50">
        <f ca="1"/>
        <v>0.43862883231168043</v>
      </c>
      <c r="O50">
        <f ca="1"/>
        <v>0</v>
      </c>
      <c r="P50">
        <f ca="1"/>
        <v>1.3386898147826627</v>
      </c>
      <c r="Q50">
        <f ca="1"/>
        <v>0</v>
      </c>
      <c r="R50">
        <f ca="1"/>
        <v>1.1198963490039542</v>
      </c>
      <c r="S50">
        <f ca="1"/>
        <v>1</v>
      </c>
      <c r="T50">
        <f ca="1"/>
        <v>3.1200000000000045</v>
      </c>
      <c r="U50">
        <f ca="1"/>
        <v>0</v>
      </c>
      <c r="V50">
        <f ca="1"/>
        <v>6.6928509242848624E-3</v>
      </c>
      <c r="X50" s="2">
        <f t="shared" ca="1" si="1"/>
        <v>45437</v>
      </c>
      <c r="Y50">
        <f t="shared" ca="1" si="2"/>
        <v>0</v>
      </c>
      <c r="AA50" s="63">
        <f t="shared" ca="1" si="4"/>
        <v>52.127321151815551</v>
      </c>
      <c r="AB50" s="63">
        <f t="shared" ca="1" si="5"/>
        <v>52.127321151815551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45438</v>
      </c>
      <c r="K51">
        <f ca="1"/>
        <v>51.186721329650361</v>
      </c>
      <c r="L51">
        <f ca="1"/>
        <v>0</v>
      </c>
      <c r="M51">
        <f ca="1"/>
        <v>0.30229749001846429</v>
      </c>
      <c r="N51">
        <f ca="1"/>
        <v>0.43171143167421894</v>
      </c>
      <c r="O51">
        <f ca="1"/>
        <v>0</v>
      </c>
      <c r="P51">
        <f ca="1"/>
        <v>1.3386898147826627</v>
      </c>
      <c r="Q51">
        <f ca="1"/>
        <v>0</v>
      </c>
      <c r="R51">
        <f ca="1"/>
        <v>0.55471239485391177</v>
      </c>
      <c r="S51">
        <f ca="1"/>
        <v>1</v>
      </c>
      <c r="T51">
        <f ca="1"/>
        <v>1.539999999999992</v>
      </c>
      <c r="U51">
        <f ca="1"/>
        <v>0</v>
      </c>
      <c r="V51">
        <f ca="1"/>
        <v>6.6928509242848624E-3</v>
      </c>
      <c r="X51" s="2">
        <f t="shared" ca="1" si="1"/>
        <v>45438</v>
      </c>
      <c r="Y51">
        <f t="shared" ca="1" si="2"/>
        <v>0</v>
      </c>
      <c r="AA51" s="63">
        <f t="shared" ca="1" si="4"/>
        <v>51.741433724504276</v>
      </c>
      <c r="AB51" s="63">
        <f t="shared" ca="1" si="5"/>
        <v>51.741433724504276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45439</v>
      </c>
      <c r="K52">
        <f ca="1"/>
        <v>51.552339241910218</v>
      </c>
      <c r="L52">
        <f ca="1"/>
        <v>0</v>
      </c>
      <c r="M52">
        <f ca="1"/>
        <v>0.31217218735484664</v>
      </c>
      <c r="N52">
        <f ca="1"/>
        <v>0.44161574593761788</v>
      </c>
      <c r="O52">
        <f ca="1"/>
        <v>0</v>
      </c>
      <c r="P52">
        <f ca="1"/>
        <v>1.3386898147826627</v>
      </c>
      <c r="Q52">
        <f ca="1"/>
        <v>0</v>
      </c>
      <c r="R52">
        <f ca="1"/>
        <v>0.38817002103260817</v>
      </c>
      <c r="S52">
        <f ca="1"/>
        <v>1</v>
      </c>
      <c r="T52">
        <f ca="1"/>
        <v>1.0700000000000074</v>
      </c>
      <c r="U52">
        <f ca="1"/>
        <v>0</v>
      </c>
      <c r="V52">
        <f ca="1"/>
        <v>6.6928509242848624E-3</v>
      </c>
      <c r="X52" s="2">
        <f t="shared" ca="1" si="1"/>
        <v>45439</v>
      </c>
      <c r="Y52">
        <f t="shared" ca="1" si="2"/>
        <v>0</v>
      </c>
      <c r="AA52" s="63">
        <f t="shared" ca="1" si="4"/>
        <v>51.940509262942825</v>
      </c>
      <c r="AB52" s="63">
        <f t="shared" ca="1" si="5"/>
        <v>51.940509262942825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45440</v>
      </c>
      <c r="K53">
        <f ca="1"/>
        <v>51.695377128159869</v>
      </c>
      <c r="L53">
        <f ca="1"/>
        <v>0</v>
      </c>
      <c r="M53">
        <f ca="1"/>
        <v>0.32715441652610266</v>
      </c>
      <c r="N53">
        <f ca="1"/>
        <v>0.46341593434368439</v>
      </c>
      <c r="O53">
        <f ca="1"/>
        <v>0</v>
      </c>
      <c r="P53">
        <f ca="1"/>
        <v>1.3386898147826627</v>
      </c>
      <c r="Q53">
        <f ca="1"/>
        <v>0</v>
      </c>
      <c r="R53">
        <f ca="1"/>
        <v>0.64753246462013636</v>
      </c>
      <c r="S53">
        <f ca="1"/>
        <v>1</v>
      </c>
      <c r="T53">
        <f ca="1"/>
        <v>1.7800000000000011</v>
      </c>
      <c r="U53">
        <f ca="1"/>
        <v>0</v>
      </c>
      <c r="V53">
        <f ca="1"/>
        <v>6.6928509242848624E-3</v>
      </c>
      <c r="X53" s="2">
        <f t="shared" ca="1" si="1"/>
        <v>45440</v>
      </c>
      <c r="Y53">
        <f t="shared" ca="1" si="2"/>
        <v>0</v>
      </c>
      <c r="AA53" s="63">
        <f t="shared" ca="1" si="4"/>
        <v>52.342909592780003</v>
      </c>
      <c r="AB53" s="63">
        <f t="shared" ca="1" si="5"/>
        <v>52.342909592780003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45441</v>
      </c>
      <c r="K54">
        <f ca="1"/>
        <v>52.040791766576966</v>
      </c>
      <c r="L54">
        <f ca="1"/>
        <v>0</v>
      </c>
      <c r="M54">
        <f ca="1"/>
        <v>0.34489437765074804</v>
      </c>
      <c r="N54">
        <f ca="1"/>
        <v>0.49124565275785625</v>
      </c>
      <c r="O54">
        <f ca="1"/>
        <v>0</v>
      </c>
      <c r="P54">
        <f ca="1"/>
        <v>1.3386898147826627</v>
      </c>
      <c r="Q54">
        <f ca="1"/>
        <v>0</v>
      </c>
      <c r="R54">
        <f ca="1"/>
        <v>0.49072539199150106</v>
      </c>
      <c r="S54">
        <f ca="1"/>
        <v>1</v>
      </c>
      <c r="T54">
        <f ca="1"/>
        <v>1.3400000000000034</v>
      </c>
      <c r="U54">
        <f ca="1"/>
        <v>0</v>
      </c>
      <c r="V54">
        <f ca="1"/>
        <v>6.6928509242848624E-3</v>
      </c>
      <c r="X54" s="2">
        <f t="shared" ca="1" si="1"/>
        <v>45441</v>
      </c>
      <c r="Y54">
        <f t="shared" ca="1" si="2"/>
        <v>0</v>
      </c>
      <c r="AA54" s="63">
        <f t="shared" ca="1" si="4"/>
        <v>52.531517158568469</v>
      </c>
      <c r="AB54" s="63">
        <f t="shared" ca="1" si="5"/>
        <v>52.531517158568469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45442</v>
      </c>
      <c r="K55">
        <f ca="1"/>
        <v>52.031075670428805</v>
      </c>
      <c r="L55">
        <f ca="1"/>
        <v>0</v>
      </c>
      <c r="M55">
        <f ca="1"/>
        <v>0.34956330688523352</v>
      </c>
      <c r="N55">
        <f ca="1"/>
        <v>0.49017608420828068</v>
      </c>
      <c r="O55">
        <f ca="1"/>
        <v>0</v>
      </c>
      <c r="P55">
        <f ca="1"/>
        <v>1.3386898147826627</v>
      </c>
      <c r="Q55">
        <f ca="1"/>
        <v>0</v>
      </c>
      <c r="R55">
        <f ca="1"/>
        <v>0.84945548724166753</v>
      </c>
      <c r="S55">
        <f ca="1"/>
        <v>1</v>
      </c>
      <c r="T55">
        <f ca="1"/>
        <v>2.3200000000000003</v>
      </c>
      <c r="U55">
        <f ca="1"/>
        <v>0</v>
      </c>
      <c r="V55">
        <f ca="1"/>
        <v>6.6928509242848624E-3</v>
      </c>
      <c r="X55" s="2">
        <f t="shared" ca="1" si="1"/>
        <v>45442</v>
      </c>
      <c r="Y55">
        <f t="shared" ca="1" si="2"/>
        <v>0</v>
      </c>
      <c r="AA55" s="63">
        <f t="shared" ca="1" si="4"/>
        <v>52.880531157670482</v>
      </c>
      <c r="AB55" s="63">
        <f t="shared" ca="1" si="5"/>
        <v>52.880531157670475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45443</v>
      </c>
      <c r="K56">
        <f ca="1"/>
        <v>51.652486282674019</v>
      </c>
      <c r="L56">
        <f ca="1"/>
        <v>0</v>
      </c>
      <c r="M56">
        <f ca="1"/>
        <v>0.34912807780611566</v>
      </c>
      <c r="N56">
        <f ca="1"/>
        <v>0.47903765840616702</v>
      </c>
      <c r="O56">
        <f ca="1"/>
        <v>0</v>
      </c>
      <c r="P56">
        <f ca="1"/>
        <v>1.3386898147826627</v>
      </c>
      <c r="Q56">
        <f ca="1"/>
        <v>0</v>
      </c>
      <c r="R56">
        <f ca="1"/>
        <v>1.2067551239670684</v>
      </c>
      <c r="S56">
        <f ca="1"/>
        <v>1</v>
      </c>
      <c r="T56">
        <f ca="1"/>
        <v>3.3200000000000074</v>
      </c>
      <c r="U56">
        <f ca="1"/>
        <v>0</v>
      </c>
      <c r="V56">
        <f ca="1"/>
        <v>6.6928509242848624E-3</v>
      </c>
      <c r="X56" s="2">
        <f t="shared" ca="1" si="1"/>
        <v>45443</v>
      </c>
      <c r="Y56">
        <f t="shared" ca="1" si="2"/>
        <v>0</v>
      </c>
      <c r="AA56" s="63">
        <f t="shared" ca="1" si="4"/>
        <v>52.85924140664109</v>
      </c>
      <c r="AB56" s="63">
        <f t="shared" ca="1" si="5"/>
        <v>52.85924140664109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45444</v>
      </c>
      <c r="K57">
        <f ca="1"/>
        <v>51.042852543209079</v>
      </c>
      <c r="L57">
        <f ca="1"/>
        <v>0</v>
      </c>
      <c r="M57">
        <f ca="1"/>
        <v>0.33790389864831205</v>
      </c>
      <c r="N57">
        <f ca="1"/>
        <v>0.44612128391836869</v>
      </c>
      <c r="O57">
        <f ca="1"/>
        <v>0</v>
      </c>
      <c r="P57">
        <f ca="1"/>
        <v>1.3386898147826627</v>
      </c>
      <c r="Q57">
        <f ca="1"/>
        <v>0</v>
      </c>
      <c r="R57">
        <f ca="1"/>
        <v>1.3936589220316182</v>
      </c>
      <c r="S57">
        <f ca="1"/>
        <v>1</v>
      </c>
      <c r="T57">
        <f ca="1"/>
        <v>3.8799999999999955</v>
      </c>
      <c r="U57">
        <f ca="1"/>
        <v>0</v>
      </c>
      <c r="V57">
        <f ca="1"/>
        <v>6.6928509242848624E-3</v>
      </c>
      <c r="X57" s="2">
        <f t="shared" ca="1" si="1"/>
        <v>45444</v>
      </c>
      <c r="Y57">
        <f t="shared" ca="1" si="2"/>
        <v>0</v>
      </c>
      <c r="AA57" s="63">
        <f t="shared" ca="1" si="4"/>
        <v>52.436511465240699</v>
      </c>
      <c r="AB57" s="63">
        <f t="shared" ca="1" si="5"/>
        <v>52.436511465240699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45445</v>
      </c>
      <c r="K58">
        <f ca="1"/>
        <v>51.344548359067133</v>
      </c>
      <c r="L58">
        <f ca="1"/>
        <v>0</v>
      </c>
      <c r="M58">
        <f ca="1"/>
        <v>0.3304133085734442</v>
      </c>
      <c r="N58">
        <f ca="1"/>
        <v>0.42292436785047749</v>
      </c>
      <c r="O58">
        <f ca="1"/>
        <v>0</v>
      </c>
      <c r="P58">
        <f ca="1"/>
        <v>1.3386898147826627</v>
      </c>
      <c r="Q58">
        <f ca="1"/>
        <v>0</v>
      </c>
      <c r="R58">
        <f ca="1"/>
        <v>0.4516418605658708</v>
      </c>
      <c r="S58">
        <f ca="1"/>
        <v>1</v>
      </c>
      <c r="T58">
        <f ca="1"/>
        <v>1.2500000000000071</v>
      </c>
      <c r="U58">
        <f ca="1"/>
        <v>0</v>
      </c>
      <c r="V58">
        <f ca="1"/>
        <v>6.6928509242848624E-3</v>
      </c>
      <c r="X58" s="2">
        <f t="shared" ca="1" si="1"/>
        <v>45445</v>
      </c>
      <c r="Y58">
        <f t="shared" ca="1" si="2"/>
        <v>0</v>
      </c>
      <c r="AA58" s="63">
        <f t="shared" ca="1" si="4"/>
        <v>51.796190219632997</v>
      </c>
      <c r="AB58" s="63">
        <f t="shared" ca="1" si="5"/>
        <v>51.796190219633004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45446</v>
      </c>
      <c r="K59">
        <f ca="1"/>
        <v>51.496614884888629</v>
      </c>
      <c r="L59">
        <f ca="1"/>
        <v>0</v>
      </c>
      <c r="M59">
        <f ca="1"/>
        <v>0.35595645101285811</v>
      </c>
      <c r="N59">
        <f ca="1"/>
        <v>0.47014354519084051</v>
      </c>
      <c r="O59">
        <f ca="1"/>
        <v>0</v>
      </c>
      <c r="P59">
        <f ca="1"/>
        <v>1.3386898147826627</v>
      </c>
      <c r="Q59">
        <f ca="1"/>
        <v>0</v>
      </c>
      <c r="R59">
        <f ca="1"/>
        <v>0.67403347038220873</v>
      </c>
      <c r="S59">
        <f ca="1"/>
        <v>1</v>
      </c>
      <c r="T59">
        <f ca="1"/>
        <v>1.8599999999999994</v>
      </c>
      <c r="U59">
        <f ca="1"/>
        <v>0</v>
      </c>
      <c r="V59">
        <f ca="1"/>
        <v>6.6928509242848624E-3</v>
      </c>
      <c r="X59" s="2">
        <f t="shared" ca="1" si="1"/>
        <v>45446</v>
      </c>
      <c r="Y59">
        <f t="shared" ca="1" si="2"/>
        <v>0</v>
      </c>
      <c r="AA59" s="63">
        <f t="shared" ca="1" si="4"/>
        <v>52.170648355270835</v>
      </c>
      <c r="AB59" s="63">
        <f t="shared" ca="1" si="5"/>
        <v>52.170648355270835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45447</v>
      </c>
      <c r="K60">
        <f ca="1"/>
        <v>52.019677815811818</v>
      </c>
      <c r="L60">
        <f ca="1"/>
        <v>0</v>
      </c>
      <c r="M60">
        <f ca="1"/>
        <v>0.35235111106036676</v>
      </c>
      <c r="N60">
        <f ca="1"/>
        <v>0.45624205142961261</v>
      </c>
      <c r="O60">
        <f ca="1"/>
        <v>0</v>
      </c>
      <c r="P60">
        <f ca="1"/>
        <v>1.3386898147826627</v>
      </c>
      <c r="Q60">
        <f ca="1"/>
        <v>0</v>
      </c>
      <c r="R60">
        <f ca="1"/>
        <v>0.28553023156678708</v>
      </c>
      <c r="S60">
        <f ca="1"/>
        <v>1</v>
      </c>
      <c r="T60">
        <f ca="1"/>
        <v>0.77999999999999403</v>
      </c>
      <c r="U60">
        <f ca="1"/>
        <v>0</v>
      </c>
      <c r="V60">
        <f ca="1"/>
        <v>6.6928509242848624E-3</v>
      </c>
      <c r="X60" s="2">
        <f t="shared" ca="1" si="1"/>
        <v>45447</v>
      </c>
      <c r="Y60">
        <f t="shared" ca="1" si="2"/>
        <v>0</v>
      </c>
      <c r="AA60" s="63">
        <f t="shared" ca="1" si="4"/>
        <v>52.305208047378606</v>
      </c>
      <c r="AB60" s="63">
        <f t="shared" ca="1" si="5"/>
        <v>52.305208047378606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45448</v>
      </c>
      <c r="K61">
        <f ca="1"/>
        <v>52.418986235566713</v>
      </c>
      <c r="L61">
        <f ca="1"/>
        <v>0</v>
      </c>
      <c r="M61">
        <f ca="1"/>
        <v>0.33370341979573048</v>
      </c>
      <c r="N61">
        <f ca="1"/>
        <v>0.4123468866877667</v>
      </c>
      <c r="O61">
        <f ca="1"/>
        <v>0</v>
      </c>
      <c r="P61">
        <f ca="1"/>
        <v>1.3386898147826627</v>
      </c>
      <c r="Q61">
        <f ca="1"/>
        <v>0</v>
      </c>
      <c r="R61">
        <f ca="1"/>
        <v>0.34674188672860229</v>
      </c>
      <c r="S61">
        <f ca="1"/>
        <v>1</v>
      </c>
      <c r="T61">
        <f ca="1"/>
        <v>0.94000000000000483</v>
      </c>
      <c r="U61">
        <f ca="1"/>
        <v>0</v>
      </c>
      <c r="V61">
        <f ca="1"/>
        <v>6.6928509242848624E-3</v>
      </c>
      <c r="X61" s="2">
        <f t="shared" ca="1" si="1"/>
        <v>45448</v>
      </c>
      <c r="Y61">
        <f t="shared" ca="1" si="2"/>
        <v>0</v>
      </c>
      <c r="AA61" s="63">
        <f t="shared" ca="1" si="4"/>
        <v>52.765728122295315</v>
      </c>
      <c r="AB61" s="63">
        <f t="shared" ca="1" si="5"/>
        <v>52.765728122295315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45449</v>
      </c>
      <c r="K62">
        <f ca="1"/>
        <v>52.703649714130457</v>
      </c>
      <c r="L62">
        <f ca="1"/>
        <v>0</v>
      </c>
      <c r="M62">
        <f ca="1"/>
        <v>0.34193757612106701</v>
      </c>
      <c r="N62">
        <f ca="1"/>
        <v>0.42486669797564464</v>
      </c>
      <c r="O62">
        <f ca="1"/>
        <v>0</v>
      </c>
      <c r="P62">
        <f ca="1"/>
        <v>1.3386898147826627</v>
      </c>
      <c r="Q62">
        <f ca="1"/>
        <v>0</v>
      </c>
      <c r="R62">
        <f ca="1"/>
        <v>0.48214079553297023</v>
      </c>
      <c r="S62">
        <f ca="1"/>
        <v>1</v>
      </c>
      <c r="T62">
        <f ca="1"/>
        <v>1.2999999999999972</v>
      </c>
      <c r="U62">
        <f ca="1"/>
        <v>0</v>
      </c>
      <c r="V62">
        <f ca="1"/>
        <v>6.6928509242848624E-3</v>
      </c>
      <c r="X62" s="2">
        <f t="shared" ca="1" si="1"/>
        <v>45449</v>
      </c>
      <c r="Y62">
        <f t="shared" ca="1" si="2"/>
        <v>0</v>
      </c>
      <c r="AA62" s="63">
        <f t="shared" ca="1" si="4"/>
        <v>53.185790509663427</v>
      </c>
      <c r="AB62" s="63">
        <f t="shared" ca="1" si="5"/>
        <v>53.185790509663427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45450</v>
      </c>
      <c r="K63">
        <f ca="1"/>
        <v>52.900262073567269</v>
      </c>
      <c r="L63">
        <f ca="1"/>
        <v>0</v>
      </c>
      <c r="M63">
        <f ca="1"/>
        <v>0.35161150689746812</v>
      </c>
      <c r="N63">
        <f ca="1"/>
        <v>0.44061861810839431</v>
      </c>
      <c r="O63">
        <f ca="1"/>
        <v>0</v>
      </c>
      <c r="P63">
        <f ca="1"/>
        <v>1.3386898147826627</v>
      </c>
      <c r="Q63">
        <f ca="1"/>
        <v>0</v>
      </c>
      <c r="R63">
        <f ca="1"/>
        <v>0.59561776556905421</v>
      </c>
      <c r="S63">
        <f ca="1"/>
        <v>1</v>
      </c>
      <c r="T63">
        <f ca="1"/>
        <v>1.6000000000000014</v>
      </c>
      <c r="U63">
        <f ca="1"/>
        <v>0</v>
      </c>
      <c r="V63">
        <f ca="1"/>
        <v>6.6928509242848624E-3</v>
      </c>
      <c r="X63" s="2">
        <f t="shared" ca="1" si="1"/>
        <v>45450</v>
      </c>
      <c r="Y63">
        <f t="shared" ca="1" si="2"/>
        <v>0</v>
      </c>
      <c r="AA63" s="63">
        <f t="shared" ca="1" si="4"/>
        <v>53.495879839136322</v>
      </c>
      <c r="AB63" s="63">
        <f t="shared" ca="1" si="5"/>
        <v>53.495879839136322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45451</v>
      </c>
      <c r="K64">
        <f ca="1"/>
        <v>52.894012512090228</v>
      </c>
      <c r="L64">
        <f ca="1"/>
        <v>0</v>
      </c>
      <c r="M64">
        <f ca="1"/>
        <v>0.35216276970236393</v>
      </c>
      <c r="N64">
        <f ca="1"/>
        <v>0.43813231650266443</v>
      </c>
      <c r="O64">
        <f ca="1"/>
        <v>0</v>
      </c>
      <c r="P64">
        <f ca="1"/>
        <v>1.3386898147826627</v>
      </c>
      <c r="Q64">
        <f ca="1"/>
        <v>0</v>
      </c>
      <c r="R64">
        <f ca="1"/>
        <v>0.79654464768207001</v>
      </c>
      <c r="S64">
        <f ca="1"/>
        <v>1</v>
      </c>
      <c r="T64">
        <f ca="1"/>
        <v>2.1400000000000006</v>
      </c>
      <c r="U64">
        <f ca="1"/>
        <v>0</v>
      </c>
      <c r="V64">
        <f ca="1"/>
        <v>6.6928509242848624E-3</v>
      </c>
      <c r="X64" s="2">
        <f t="shared" ca="1" si="1"/>
        <v>45451</v>
      </c>
      <c r="Y64">
        <f t="shared" ca="1" si="2"/>
        <v>0</v>
      </c>
      <c r="AA64" s="63">
        <f t="shared" ca="1" si="4"/>
        <v>53.690557159772304</v>
      </c>
      <c r="AB64" s="63">
        <f t="shared" ca="1" si="5"/>
        <v>53.690557159772297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45452</v>
      </c>
      <c r="K65">
        <f ca="1"/>
        <v>53.193147323405277</v>
      </c>
      <c r="L65">
        <f ca="1"/>
        <v>0</v>
      </c>
      <c r="M65">
        <f ca="1"/>
        <v>0.34423686543069287</v>
      </c>
      <c r="N65">
        <f ca="1"/>
        <v>0.41905740919525536</v>
      </c>
      <c r="O65">
        <f ca="1"/>
        <v>0</v>
      </c>
      <c r="P65">
        <f ca="1"/>
        <v>1.3386898147826627</v>
      </c>
      <c r="Q65">
        <f ca="1"/>
        <v>0</v>
      </c>
      <c r="R65">
        <f ca="1"/>
        <v>0.46415946331090013</v>
      </c>
      <c r="S65">
        <f ca="1"/>
        <v>1</v>
      </c>
      <c r="T65">
        <f ca="1"/>
        <v>1.240000000000002</v>
      </c>
      <c r="U65">
        <f ca="1"/>
        <v>0</v>
      </c>
      <c r="V65">
        <f ca="1"/>
        <v>6.6928509242848624E-3</v>
      </c>
      <c r="X65" s="2">
        <f t="shared" ca="1" si="1"/>
        <v>45452</v>
      </c>
      <c r="Y65">
        <f t="shared" ca="1" si="2"/>
        <v>0</v>
      </c>
      <c r="AA65" s="63">
        <f t="shared" ca="1" si="4"/>
        <v>53.657306786716177</v>
      </c>
      <c r="AB65" s="63">
        <f t="shared" ca="1" si="5"/>
        <v>53.657306786716177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45453</v>
      </c>
      <c r="K66">
        <f ca="1"/>
        <v>53.617376294326291</v>
      </c>
      <c r="L66">
        <f ca="1"/>
        <v>0</v>
      </c>
      <c r="M66">
        <f ca="1"/>
        <v>0.34522999056719605</v>
      </c>
      <c r="N66">
        <f ca="1"/>
        <v>0.41857569688455271</v>
      </c>
      <c r="O66">
        <f ca="1"/>
        <v>0</v>
      </c>
      <c r="P66">
        <f ca="1"/>
        <v>1.3386898147826627</v>
      </c>
      <c r="Q66">
        <f ca="1"/>
        <v>0</v>
      </c>
      <c r="R66">
        <f ca="1"/>
        <v>0.33957671653073263</v>
      </c>
      <c r="S66">
        <f ca="1"/>
        <v>1</v>
      </c>
      <c r="T66">
        <f ca="1"/>
        <v>0.89999999999999858</v>
      </c>
      <c r="U66">
        <f ca="1"/>
        <v>0</v>
      </c>
      <c r="V66">
        <f ca="1"/>
        <v>6.6928509242848624E-3</v>
      </c>
      <c r="X66" s="2">
        <f t="shared" ca="1" si="1"/>
        <v>45453</v>
      </c>
      <c r="Y66">
        <f t="shared" ca="1" si="2"/>
        <v>0</v>
      </c>
      <c r="AA66" s="63">
        <f t="shared" ca="1" si="4"/>
        <v>53.956953010857028</v>
      </c>
      <c r="AB66" s="63">
        <f t="shared" ca="1" si="5"/>
        <v>53.956953010857021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45454</v>
      </c>
      <c r="K67">
        <f ca="1"/>
        <v>53.58830758149837</v>
      </c>
      <c r="L67">
        <f ca="1"/>
        <v>0</v>
      </c>
      <c r="M67">
        <f ca="1"/>
        <v>0.34434112152526986</v>
      </c>
      <c r="N67">
        <f ca="1"/>
        <v>0.41473523752136759</v>
      </c>
      <c r="O67">
        <f ca="1"/>
        <v>0</v>
      </c>
      <c r="P67">
        <f ca="1"/>
        <v>1.3386898147826627</v>
      </c>
      <c r="Q67">
        <f ca="1"/>
        <v>0</v>
      </c>
      <c r="R67">
        <f ca="1"/>
        <v>0.78814507187455696</v>
      </c>
      <c r="S67">
        <f ca="1"/>
        <v>1</v>
      </c>
      <c r="T67">
        <f ca="1"/>
        <v>2.0900000000000034</v>
      </c>
      <c r="U67">
        <f ca="1"/>
        <v>0</v>
      </c>
      <c r="V67">
        <f ca="1"/>
        <v>6.6928509242848624E-3</v>
      </c>
      <c r="X67" s="2">
        <f t="shared" ca="1" si="1"/>
        <v>45454</v>
      </c>
      <c r="Y67">
        <f t="shared" ca="1" si="2"/>
        <v>0</v>
      </c>
      <c r="AA67" s="63">
        <f t="shared" ca="1" si="4"/>
        <v>54.37645265337293</v>
      </c>
      <c r="AB67" s="63">
        <f t="shared" ca="1" si="5"/>
        <v>54.37645265337293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45455</v>
      </c>
      <c r="K68">
        <f ca="1"/>
        <v>53.986397721787391</v>
      </c>
      <c r="L68">
        <f ca="1"/>
        <v>0</v>
      </c>
      <c r="M68">
        <f ca="1"/>
        <v>0.33852566219046132</v>
      </c>
      <c r="N68">
        <f ca="1"/>
        <v>0.40147833033654362</v>
      </c>
      <c r="O68">
        <f ca="1"/>
        <v>0</v>
      </c>
      <c r="P68">
        <f ca="1"/>
        <v>1.3386898147826627</v>
      </c>
      <c r="Q68">
        <f ca="1"/>
        <v>0</v>
      </c>
      <c r="R68">
        <f ca="1"/>
        <v>0.34191385223798626</v>
      </c>
      <c r="S68">
        <f ca="1"/>
        <v>1</v>
      </c>
      <c r="T68">
        <f ca="1"/>
        <v>0.89999999999999858</v>
      </c>
      <c r="U68">
        <f ca="1"/>
        <v>0</v>
      </c>
      <c r="V68">
        <f ca="1"/>
        <v>6.6928509242848624E-3</v>
      </c>
      <c r="X68" s="2">
        <f t="shared" ca="1" si="1"/>
        <v>45455</v>
      </c>
      <c r="Y68">
        <f t="shared" ca="1" si="2"/>
        <v>0</v>
      </c>
      <c r="AA68" s="63">
        <f t="shared" ca="1" si="4"/>
        <v>54.328311574025378</v>
      </c>
      <c r="AB68" s="63">
        <f t="shared" ca="1" si="5"/>
        <v>54.328311574025378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45456</v>
      </c>
      <c r="K69">
        <f ca="1"/>
        <v>54.507006788868637</v>
      </c>
      <c r="L69">
        <f ca="1"/>
        <v>0</v>
      </c>
      <c r="M69">
        <f ca="1"/>
        <v>0.35405075117829021</v>
      </c>
      <c r="N69">
        <f ca="1"/>
        <v>0.43122011553335127</v>
      </c>
      <c r="O69">
        <f ca="1"/>
        <v>0</v>
      </c>
      <c r="P69">
        <f ca="1"/>
        <v>1.3386898147826627</v>
      </c>
      <c r="Q69">
        <f ca="1"/>
        <v>0</v>
      </c>
      <c r="R69">
        <f ca="1"/>
        <v>0.2646617996303946</v>
      </c>
      <c r="S69">
        <f ca="1"/>
        <v>1</v>
      </c>
      <c r="T69">
        <f ca="1"/>
        <v>0.68999999999999773</v>
      </c>
      <c r="U69">
        <f ca="1"/>
        <v>0</v>
      </c>
      <c r="V69">
        <f ca="1"/>
        <v>6.6928509242848624E-3</v>
      </c>
      <c r="X69" s="2">
        <f t="shared" ca="1" si="1"/>
        <v>45456</v>
      </c>
      <c r="Y69">
        <f t="shared" ca="1" si="2"/>
        <v>0</v>
      </c>
      <c r="AA69" s="63">
        <f t="shared" ca="1" si="4"/>
        <v>54.771668588499033</v>
      </c>
      <c r="AB69" s="63">
        <f t="shared" ca="1" si="5"/>
        <v>54.771668588499033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45457</v>
      </c>
      <c r="K70">
        <f ca="1"/>
        <v>54.595724739989898</v>
      </c>
      <c r="L70">
        <f ca="1"/>
        <v>0</v>
      </c>
      <c r="M70">
        <f ca="1"/>
        <v>0.35014024721103354</v>
      </c>
      <c r="N70">
        <f ca="1"/>
        <v>0.42243970787558432</v>
      </c>
      <c r="O70">
        <f ca="1"/>
        <v>0</v>
      </c>
      <c r="P70">
        <f ca="1"/>
        <v>1.3386898147826627</v>
      </c>
      <c r="Q70">
        <f ca="1"/>
        <v>0</v>
      </c>
      <c r="R70">
        <f ca="1"/>
        <v>0.68386200396535546</v>
      </c>
      <c r="S70">
        <f ca="1"/>
        <v>1</v>
      </c>
      <c r="T70">
        <f ca="1"/>
        <v>1.7800000000000011</v>
      </c>
      <c r="U70">
        <f ca="1"/>
        <v>0</v>
      </c>
      <c r="V70">
        <f ca="1"/>
        <v>6.6928509242848624E-3</v>
      </c>
      <c r="X70" s="2">
        <f t="shared" ca="1" si="1"/>
        <v>45457</v>
      </c>
      <c r="Y70">
        <f t="shared" ca="1" si="2"/>
        <v>0</v>
      </c>
      <c r="AA70" s="63">
        <f t="shared" ca="1" si="4"/>
        <v>55.27958674395525</v>
      </c>
      <c r="AB70" s="63">
        <f t="shared" ca="1" si="5"/>
        <v>55.27958674395525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45458</v>
      </c>
      <c r="K71">
        <f ca="1"/>
        <v>54.841675509640233</v>
      </c>
      <c r="L71">
        <f ca="1"/>
        <v>0</v>
      </c>
      <c r="M71">
        <f ca="1"/>
        <v>0.35361451050472326</v>
      </c>
      <c r="N71">
        <f ca="1"/>
        <v>0.42876909255657741</v>
      </c>
      <c r="O71">
        <f ca="1"/>
        <v>0</v>
      </c>
      <c r="P71">
        <f ca="1"/>
        <v>1.3386898147826627</v>
      </c>
      <c r="Q71">
        <f ca="1"/>
        <v>0</v>
      </c>
      <c r="R71">
        <f ca="1"/>
        <v>0.53643283341096282</v>
      </c>
      <c r="S71">
        <f ca="1"/>
        <v>1</v>
      </c>
      <c r="T71">
        <f ca="1"/>
        <v>1.3900000000000006</v>
      </c>
      <c r="U71">
        <f ca="1"/>
        <v>0</v>
      </c>
      <c r="V71">
        <f ca="1"/>
        <v>6.6928509242848624E-3</v>
      </c>
      <c r="X71" s="2">
        <f t="shared" ref="X71:X134" ca="1" si="8">IFERROR(J71,$X$5)</f>
        <v>45458</v>
      </c>
      <c r="Y71">
        <f t="shared" ref="Y71:Y134" ca="1" si="9">IFERROR(O71,0)</f>
        <v>0</v>
      </c>
      <c r="AA71" s="63">
        <f t="shared" ca="1" si="4"/>
        <v>55.378108343051196</v>
      </c>
      <c r="AB71" s="63">
        <f t="shared" ca="1" si="5"/>
        <v>55.378108343051196</v>
      </c>
      <c r="AC71" s="3">
        <f t="shared" ca="1" si="6"/>
        <v>0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45459</v>
      </c>
      <c r="K72">
        <f ca="1"/>
        <v>54.640043522146001</v>
      </c>
      <c r="L72">
        <f ca="1"/>
        <v>0</v>
      </c>
      <c r="M72">
        <f ca="1"/>
        <v>0.35252591476135642</v>
      </c>
      <c r="N72">
        <f ca="1"/>
        <v>0.4263273231695861</v>
      </c>
      <c r="O72">
        <f ca="1"/>
        <v>0</v>
      </c>
      <c r="P72">
        <f ca="1"/>
        <v>1.3386898147826627</v>
      </c>
      <c r="Q72">
        <f ca="1"/>
        <v>0</v>
      </c>
      <c r="R72">
        <f ca="1"/>
        <v>0.98048522542517458</v>
      </c>
      <c r="S72">
        <f ca="1"/>
        <v>1</v>
      </c>
      <c r="T72">
        <f ca="1"/>
        <v>2.5499999999999972</v>
      </c>
      <c r="U72">
        <f ca="1"/>
        <v>0</v>
      </c>
      <c r="V72">
        <f ca="1"/>
        <v>6.6928509242848624E-3</v>
      </c>
      <c r="X72" s="2">
        <f t="shared" ca="1" si="8"/>
        <v>45459</v>
      </c>
      <c r="Y72">
        <f t="shared" ca="1" si="9"/>
        <v>0</v>
      </c>
      <c r="AA72" s="63">
        <f t="shared" ca="1" si="4"/>
        <v>55.620528747571178</v>
      </c>
      <c r="AB72" s="63">
        <f t="shared" ca="1" si="5"/>
        <v>55.620528747571178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45460</v>
      </c>
      <c r="K73">
        <f ca="1"/>
        <v>54.7793953526945</v>
      </c>
      <c r="L73">
        <f ca="1"/>
        <v>0</v>
      </c>
      <c r="M73">
        <f ca="1"/>
        <v>0.34620329481246337</v>
      </c>
      <c r="N73">
        <f ca="1"/>
        <v>0.41377879641711834</v>
      </c>
      <c r="O73">
        <f ca="1"/>
        <v>0</v>
      </c>
      <c r="P73">
        <f ca="1"/>
        <v>1.3386898147826627</v>
      </c>
      <c r="Q73">
        <f ca="1"/>
        <v>0</v>
      </c>
      <c r="R73">
        <f ca="1"/>
        <v>0.62063026068108296</v>
      </c>
      <c r="S73">
        <f ca="1"/>
        <v>1</v>
      </c>
      <c r="T73">
        <f ca="1"/>
        <v>1.6099999999999994</v>
      </c>
      <c r="U73">
        <f ca="1"/>
        <v>0</v>
      </c>
      <c r="V73">
        <f ca="1"/>
        <v>6.6928509242848624E-3</v>
      </c>
      <c r="X73" s="2">
        <f t="shared" ca="1" si="8"/>
        <v>45460</v>
      </c>
      <c r="Y73">
        <f t="shared" ca="1" si="9"/>
        <v>0</v>
      </c>
      <c r="AA73" s="63">
        <f t="shared" ref="AA73:AA136" ca="1" si="11">K72+M73+N73+O73</f>
        <v>55.400025613375583</v>
      </c>
      <c r="AB73" s="63">
        <f t="shared" ref="AB73:AB136" ca="1" si="12">K73+L73+R73</f>
        <v>55.400025613375583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45461</v>
      </c>
      <c r="K74">
        <f ca="1"/>
        <v>54.347185502131353</v>
      </c>
      <c r="L74">
        <f ca="1"/>
        <v>0</v>
      </c>
      <c r="M74">
        <f ca="1"/>
        <v>0.32850633041553756</v>
      </c>
      <c r="N74">
        <f ca="1"/>
        <v>0.37896442758823456</v>
      </c>
      <c r="O74">
        <f ca="1"/>
        <v>0</v>
      </c>
      <c r="P74">
        <f ca="1"/>
        <v>1.3386898147826627</v>
      </c>
      <c r="Q74">
        <f ca="1"/>
        <v>0</v>
      </c>
      <c r="R74">
        <f ca="1"/>
        <v>1.1396806085669191</v>
      </c>
      <c r="S74">
        <f ca="1"/>
        <v>1</v>
      </c>
      <c r="T74">
        <f ca="1"/>
        <v>2.980000000000004</v>
      </c>
      <c r="U74">
        <f ca="1"/>
        <v>0</v>
      </c>
      <c r="V74">
        <f ca="1"/>
        <v>6.6928509242848624E-3</v>
      </c>
      <c r="X74" s="2">
        <f t="shared" ca="1" si="8"/>
        <v>45461</v>
      </c>
      <c r="Y74">
        <f t="shared" ca="1" si="9"/>
        <v>0</v>
      </c>
      <c r="AA74" s="63">
        <f t="shared" ca="1" si="11"/>
        <v>55.486866110698273</v>
      </c>
      <c r="AB74" s="63">
        <f t="shared" ca="1" si="12"/>
        <v>55.486866110698273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45462</v>
      </c>
      <c r="K75">
        <f ca="1"/>
        <v>54.818011520803381</v>
      </c>
      <c r="L75">
        <f ca="1"/>
        <v>0</v>
      </c>
      <c r="M75">
        <f ca="1"/>
        <v>0.32528575644093038</v>
      </c>
      <c r="N75">
        <f ca="1"/>
        <v>0.37313652487857801</v>
      </c>
      <c r="O75">
        <f ca="1"/>
        <v>0</v>
      </c>
      <c r="P75">
        <f ca="1"/>
        <v>1.3386898147826627</v>
      </c>
      <c r="Q75">
        <f ca="1"/>
        <v>0</v>
      </c>
      <c r="R75">
        <f ca="1"/>
        <v>0.22759626264748226</v>
      </c>
      <c r="S75">
        <f ca="1"/>
        <v>1</v>
      </c>
      <c r="T75">
        <f ca="1"/>
        <v>0.58999999999999631</v>
      </c>
      <c r="U75">
        <f ca="1"/>
        <v>0</v>
      </c>
      <c r="V75">
        <f ca="1"/>
        <v>6.6928509242848624E-3</v>
      </c>
      <c r="X75" s="2">
        <f t="shared" ca="1" si="8"/>
        <v>45462</v>
      </c>
      <c r="Y75">
        <f t="shared" ca="1" si="9"/>
        <v>0</v>
      </c>
      <c r="AA75" s="63">
        <f t="shared" ca="1" si="11"/>
        <v>55.045607783450862</v>
      </c>
      <c r="AB75" s="63">
        <f t="shared" ca="1" si="12"/>
        <v>55.045607783450862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45463</v>
      </c>
      <c r="K76">
        <f ca="1"/>
        <v>55.009647766439635</v>
      </c>
      <c r="L76">
        <f ca="1"/>
        <v>0</v>
      </c>
      <c r="M76">
        <f ca="1"/>
        <v>0.31733808727395285</v>
      </c>
      <c r="N76">
        <f ca="1"/>
        <v>0.3581793192707946</v>
      </c>
      <c r="O76">
        <f ca="1"/>
        <v>0</v>
      </c>
      <c r="P76">
        <f ca="1"/>
        <v>1.3386898147826627</v>
      </c>
      <c r="Q76">
        <f ca="1"/>
        <v>0</v>
      </c>
      <c r="R76">
        <f ca="1"/>
        <v>0.48388116090849675</v>
      </c>
      <c r="S76">
        <f ca="1"/>
        <v>1</v>
      </c>
      <c r="T76">
        <f ca="1"/>
        <v>1.25</v>
      </c>
      <c r="U76">
        <f ca="1"/>
        <v>0</v>
      </c>
      <c r="V76">
        <f ca="1"/>
        <v>6.6928509242848624E-3</v>
      </c>
      <c r="X76" s="2">
        <f t="shared" ca="1" si="8"/>
        <v>45463</v>
      </c>
      <c r="Y76">
        <f t="shared" ca="1" si="9"/>
        <v>0</v>
      </c>
      <c r="AA76" s="63">
        <f t="shared" ca="1" si="11"/>
        <v>55.49352892734813</v>
      </c>
      <c r="AB76" s="63">
        <f t="shared" ca="1" si="12"/>
        <v>55.49352892734813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45464</v>
      </c>
      <c r="K77">
        <f ca="1"/>
        <v>55.083795750755549</v>
      </c>
      <c r="L77">
        <f ca="1"/>
        <v>0</v>
      </c>
      <c r="M77">
        <f ca="1"/>
        <v>0.32464431168403607</v>
      </c>
      <c r="N77">
        <f ca="1"/>
        <v>0.37358267708210452</v>
      </c>
      <c r="O77">
        <f ca="1"/>
        <v>0</v>
      </c>
      <c r="P77">
        <f ca="1"/>
        <v>1.3386898147826627</v>
      </c>
      <c r="Q77">
        <f ca="1"/>
        <v>0</v>
      </c>
      <c r="R77">
        <f ca="1"/>
        <v>0.62407900445022924</v>
      </c>
      <c r="S77">
        <f ca="1"/>
        <v>1</v>
      </c>
      <c r="T77">
        <f ca="1"/>
        <v>1.6100000000000065</v>
      </c>
      <c r="U77">
        <f ca="1"/>
        <v>0</v>
      </c>
      <c r="V77">
        <f ca="1"/>
        <v>6.6928509242848624E-3</v>
      </c>
      <c r="X77" s="2">
        <f t="shared" ca="1" si="8"/>
        <v>45464</v>
      </c>
      <c r="Y77">
        <f t="shared" ca="1" si="9"/>
        <v>0</v>
      </c>
      <c r="AA77" s="63">
        <f t="shared" ca="1" si="11"/>
        <v>55.707874755205772</v>
      </c>
      <c r="AB77" s="63">
        <f t="shared" ca="1" si="12"/>
        <v>55.707874755205779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45465</v>
      </c>
      <c r="K78">
        <f ca="1"/>
        <v>55.226414686697929</v>
      </c>
      <c r="L78">
        <f ca="1"/>
        <v>0</v>
      </c>
      <c r="M78">
        <f ca="1"/>
        <v>0.33338035144128497</v>
      </c>
      <c r="N78">
        <f ca="1"/>
        <v>0.39218407286068874</v>
      </c>
      <c r="O78">
        <f ca="1"/>
        <v>0</v>
      </c>
      <c r="P78">
        <f ca="1"/>
        <v>1.3386898147826627</v>
      </c>
      <c r="Q78">
        <f ca="1"/>
        <v>0</v>
      </c>
      <c r="R78">
        <f ca="1"/>
        <v>0.58294548835958926</v>
      </c>
      <c r="S78">
        <f ca="1"/>
        <v>1</v>
      </c>
      <c r="T78">
        <f ca="1"/>
        <v>1.5</v>
      </c>
      <c r="U78">
        <f ca="1"/>
        <v>0</v>
      </c>
      <c r="V78">
        <f ca="1"/>
        <v>6.6928509242848624E-3</v>
      </c>
      <c r="X78" s="2">
        <f t="shared" ca="1" si="8"/>
        <v>45465</v>
      </c>
      <c r="Y78">
        <f t="shared" ca="1" si="9"/>
        <v>0</v>
      </c>
      <c r="AA78" s="63">
        <f t="shared" ca="1" si="11"/>
        <v>55.80936017505752</v>
      </c>
      <c r="AB78" s="63">
        <f t="shared" ca="1" si="12"/>
        <v>55.80936017505752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45466</v>
      </c>
      <c r="K79">
        <f ca="1"/>
        <v>55.12757488617617</v>
      </c>
      <c r="L79">
        <f ca="1"/>
        <v>0</v>
      </c>
      <c r="M79">
        <f ca="1"/>
        <v>0.33868370729536501</v>
      </c>
      <c r="N79">
        <f ca="1"/>
        <v>0.40429497831511191</v>
      </c>
      <c r="O79">
        <f ca="1"/>
        <v>0</v>
      </c>
      <c r="P79">
        <f ca="1"/>
        <v>1.3386898147826627</v>
      </c>
      <c r="Q79">
        <f ca="1"/>
        <v>0</v>
      </c>
      <c r="R79">
        <f ca="1"/>
        <v>0.84181848613223897</v>
      </c>
      <c r="S79">
        <f ca="1"/>
        <v>1</v>
      </c>
      <c r="T79">
        <f ca="1"/>
        <v>2.1700000000000017</v>
      </c>
      <c r="U79">
        <f ca="1"/>
        <v>0</v>
      </c>
      <c r="V79">
        <f ca="1"/>
        <v>6.6928509242848624E-3</v>
      </c>
      <c r="X79" s="2">
        <f t="shared" ca="1" si="8"/>
        <v>45466</v>
      </c>
      <c r="Y79">
        <f t="shared" ca="1" si="9"/>
        <v>0</v>
      </c>
      <c r="AA79" s="63">
        <f t="shared" ca="1" si="11"/>
        <v>55.96939337230841</v>
      </c>
      <c r="AB79" s="63">
        <f t="shared" ca="1" si="12"/>
        <v>55.96939337230841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45467</v>
      </c>
      <c r="K80">
        <f ca="1"/>
        <v>54.616486387822484</v>
      </c>
      <c r="L80">
        <f ca="1"/>
        <v>0</v>
      </c>
      <c r="M80">
        <f ca="1"/>
        <v>0.34537496068842444</v>
      </c>
      <c r="N80">
        <f ca="1"/>
        <v>0.41953948960375498</v>
      </c>
      <c r="O80">
        <f ca="1"/>
        <v>0</v>
      </c>
      <c r="P80">
        <f ca="1"/>
        <v>1.3386898147826627</v>
      </c>
      <c r="Q80">
        <f ca="1"/>
        <v>0</v>
      </c>
      <c r="R80">
        <f ca="1"/>
        <v>1.2760029486458675</v>
      </c>
      <c r="S80">
        <f ca="1"/>
        <v>1</v>
      </c>
      <c r="T80">
        <f ca="1"/>
        <v>3.3200000000000003</v>
      </c>
      <c r="U80">
        <f ca="1"/>
        <v>0</v>
      </c>
      <c r="V80">
        <f ca="1"/>
        <v>6.6928509242848624E-3</v>
      </c>
      <c r="X80" s="2">
        <f t="shared" ca="1" si="8"/>
        <v>45467</v>
      </c>
      <c r="Y80">
        <f t="shared" ca="1" si="9"/>
        <v>0</v>
      </c>
      <c r="AA80" s="63">
        <f t="shared" ca="1" si="11"/>
        <v>55.892489336468351</v>
      </c>
      <c r="AB80" s="63">
        <f t="shared" ca="1" si="12"/>
        <v>55.892489336468351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45468</v>
      </c>
      <c r="K81">
        <f ca="1"/>
        <v>54.861356711473611</v>
      </c>
      <c r="L81">
        <f ca="1"/>
        <v>0</v>
      </c>
      <c r="M81">
        <f ca="1"/>
        <v>0.3450652719636409</v>
      </c>
      <c r="N81">
        <f ca="1"/>
        <v>0.42098794044648535</v>
      </c>
      <c r="O81">
        <f ca="1"/>
        <v>0</v>
      </c>
      <c r="P81">
        <f ca="1"/>
        <v>1.3386898147826627</v>
      </c>
      <c r="Q81">
        <f ca="1"/>
        <v>0</v>
      </c>
      <c r="R81">
        <f ca="1"/>
        <v>0.5211828887589971</v>
      </c>
      <c r="S81">
        <f ca="1"/>
        <v>1</v>
      </c>
      <c r="T81">
        <f ca="1"/>
        <v>1.3499999999999943</v>
      </c>
      <c r="U81">
        <f ca="1"/>
        <v>0</v>
      </c>
      <c r="V81">
        <f ca="1"/>
        <v>6.6928509242848624E-3</v>
      </c>
      <c r="X81" s="2">
        <f t="shared" ca="1" si="8"/>
        <v>45468</v>
      </c>
      <c r="Y81">
        <f t="shared" ca="1" si="9"/>
        <v>0</v>
      </c>
      <c r="AA81" s="63">
        <f t="shared" ca="1" si="11"/>
        <v>55.382539600232612</v>
      </c>
      <c r="AB81" s="63">
        <f t="shared" ca="1" si="12"/>
        <v>55.382539600232612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45469</v>
      </c>
      <c r="K82">
        <f ca="1"/>
        <v>54.859918405937663</v>
      </c>
      <c r="L82">
        <f ca="1"/>
        <v>0</v>
      </c>
      <c r="M82">
        <f ca="1"/>
        <v>0.32540735239686924</v>
      </c>
      <c r="N82">
        <f ca="1"/>
        <v>0.38348869298257937</v>
      </c>
      <c r="O82">
        <f ca="1"/>
        <v>0</v>
      </c>
      <c r="P82">
        <f ca="1"/>
        <v>1.3386898147826627</v>
      </c>
      <c r="Q82">
        <f ca="1"/>
        <v>0</v>
      </c>
      <c r="R82">
        <f ca="1"/>
        <v>0.71033435091540165</v>
      </c>
      <c r="S82">
        <f ca="1"/>
        <v>1</v>
      </c>
      <c r="T82">
        <f ca="1"/>
        <v>1.8400000000000034</v>
      </c>
      <c r="U82">
        <f ca="1"/>
        <v>0</v>
      </c>
      <c r="V82">
        <f ca="1"/>
        <v>6.6928509242848624E-3</v>
      </c>
      <c r="X82" s="2">
        <f t="shared" ca="1" si="8"/>
        <v>45469</v>
      </c>
      <c r="Y82">
        <f t="shared" ca="1" si="9"/>
        <v>0</v>
      </c>
      <c r="AA82" s="63">
        <f t="shared" ca="1" si="11"/>
        <v>55.570252756853066</v>
      </c>
      <c r="AB82" s="63">
        <f t="shared" ca="1" si="12"/>
        <v>55.570252756853066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45470</v>
      </c>
      <c r="K83">
        <f ca="1"/>
        <v>55.048528856975366</v>
      </c>
      <c r="L83">
        <f ca="1"/>
        <v>0</v>
      </c>
      <c r="M83">
        <f ca="1"/>
        <v>0.31786164809986239</v>
      </c>
      <c r="N83">
        <f ca="1"/>
        <v>0.37046711489505141</v>
      </c>
      <c r="O83">
        <f ca="1"/>
        <v>0</v>
      </c>
      <c r="P83">
        <f ca="1"/>
        <v>1.3386898147826627</v>
      </c>
      <c r="Q83">
        <f ca="1"/>
        <v>0</v>
      </c>
      <c r="R83">
        <f ca="1"/>
        <v>0.49971831195720934</v>
      </c>
      <c r="S83">
        <f ca="1"/>
        <v>1</v>
      </c>
      <c r="T83">
        <f ca="1"/>
        <v>1.2899999999999991</v>
      </c>
      <c r="U83">
        <f ca="1"/>
        <v>0</v>
      </c>
      <c r="V83">
        <f ca="1"/>
        <v>6.6928509242848624E-3</v>
      </c>
      <c r="X83" s="2">
        <f t="shared" ca="1" si="8"/>
        <v>45470</v>
      </c>
      <c r="Y83">
        <f t="shared" ca="1" si="9"/>
        <v>0</v>
      </c>
      <c r="AA83" s="63">
        <f t="shared" ca="1" si="11"/>
        <v>55.548247168932576</v>
      </c>
      <c r="AB83" s="63">
        <f t="shared" ca="1" si="12"/>
        <v>55.548247168932576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45471</v>
      </c>
      <c r="K84">
        <f ca="1"/>
        <v>55.051605463799206</v>
      </c>
      <c r="L84">
        <f ca="1"/>
        <v>0</v>
      </c>
      <c r="M84">
        <f ca="1"/>
        <v>0.31980717947544512</v>
      </c>
      <c r="N84">
        <f ca="1"/>
        <v>0.37671576135721141</v>
      </c>
      <c r="O84">
        <f ca="1"/>
        <v>0</v>
      </c>
      <c r="P84">
        <f ca="1"/>
        <v>1.3386898147826627</v>
      </c>
      <c r="Q84">
        <f ca="1"/>
        <v>0</v>
      </c>
      <c r="R84">
        <f ca="1"/>
        <v>0.69344633400882127</v>
      </c>
      <c r="S84">
        <f ca="1"/>
        <v>1</v>
      </c>
      <c r="T84">
        <f ca="1"/>
        <v>1.7900000000000063</v>
      </c>
      <c r="U84">
        <f ca="1"/>
        <v>0</v>
      </c>
      <c r="V84">
        <f ca="1"/>
        <v>6.6928509242848624E-3</v>
      </c>
      <c r="X84" s="2">
        <f t="shared" ca="1" si="8"/>
        <v>45471</v>
      </c>
      <c r="Y84">
        <f t="shared" ca="1" si="9"/>
        <v>0</v>
      </c>
      <c r="AA84" s="63">
        <f t="shared" ca="1" si="11"/>
        <v>55.745051797808024</v>
      </c>
      <c r="AB84" s="63">
        <f t="shared" ca="1" si="12"/>
        <v>55.745051797808024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45472</v>
      </c>
      <c r="K85">
        <f ca="1"/>
        <v>55.414630390356578</v>
      </c>
      <c r="L85">
        <f ca="1"/>
        <v>0</v>
      </c>
      <c r="M85">
        <f ca="1"/>
        <v>0.33368341843266336</v>
      </c>
      <c r="N85">
        <f ca="1"/>
        <v>0.40759767038184797</v>
      </c>
      <c r="O85">
        <f ca="1"/>
        <v>0</v>
      </c>
      <c r="P85">
        <f ca="1"/>
        <v>1.3386898147826627</v>
      </c>
      <c r="Q85">
        <f ca="1"/>
        <v>0</v>
      </c>
      <c r="R85">
        <f ca="1"/>
        <v>0.37825616225713715</v>
      </c>
      <c r="S85">
        <f ca="1"/>
        <v>1</v>
      </c>
      <c r="T85">
        <f ca="1"/>
        <v>0.96999999999999886</v>
      </c>
      <c r="U85">
        <f ca="1"/>
        <v>0</v>
      </c>
      <c r="V85">
        <f ca="1"/>
        <v>6.6928509242848624E-3</v>
      </c>
      <c r="X85" s="2">
        <f t="shared" ca="1" si="8"/>
        <v>45472</v>
      </c>
      <c r="Y85">
        <f t="shared" ca="1" si="9"/>
        <v>0</v>
      </c>
      <c r="AA85" s="63">
        <f t="shared" ca="1" si="11"/>
        <v>55.792886552613716</v>
      </c>
      <c r="AB85" s="63">
        <f t="shared" ca="1" si="12"/>
        <v>55.792886552613716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45473</v>
      </c>
      <c r="K86">
        <f ca="1"/>
        <v>55.953154991540622</v>
      </c>
      <c r="L86">
        <f ca="1"/>
        <v>0</v>
      </c>
      <c r="M86">
        <f ca="1"/>
        <v>0.30493714590918053</v>
      </c>
      <c r="N86">
        <f ca="1"/>
        <v>0.35171078247923182</v>
      </c>
      <c r="O86">
        <f ca="1"/>
        <v>0</v>
      </c>
      <c r="P86">
        <f ca="1"/>
        <v>1.3386898147826627</v>
      </c>
      <c r="Q86">
        <f ca="1"/>
        <v>0</v>
      </c>
      <c r="R86">
        <f ca="1"/>
        <v>0.11812332720436522</v>
      </c>
      <c r="S86">
        <f ca="1"/>
        <v>1</v>
      </c>
      <c r="T86">
        <f ca="1"/>
        <v>0.30000000000000426</v>
      </c>
      <c r="U86">
        <f ca="1"/>
        <v>0</v>
      </c>
      <c r="V86">
        <f ca="1"/>
        <v>6.6928509242848624E-3</v>
      </c>
      <c r="X86" s="2">
        <f t="shared" ca="1" si="8"/>
        <v>45473</v>
      </c>
      <c r="Y86">
        <f t="shared" ca="1" si="9"/>
        <v>0</v>
      </c>
      <c r="AA86" s="63">
        <f t="shared" ca="1" si="11"/>
        <v>56.071278318744987</v>
      </c>
      <c r="AB86" s="63">
        <f t="shared" ca="1" si="12"/>
        <v>56.071278318744987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45474</v>
      </c>
      <c r="K87">
        <f ca="1"/>
        <v>55.772889187190991</v>
      </c>
      <c r="L87">
        <f ca="1"/>
        <v>0</v>
      </c>
      <c r="M87">
        <f ca="1"/>
        <v>0.29212694995332811</v>
      </c>
      <c r="N87">
        <f ca="1"/>
        <v>0.32825805491760235</v>
      </c>
      <c r="O87">
        <f ca="1"/>
        <v>0</v>
      </c>
      <c r="P87">
        <f ca="1"/>
        <v>1.3386898147826627</v>
      </c>
      <c r="Q87">
        <f ca="1"/>
        <v>0</v>
      </c>
      <c r="R87">
        <f ca="1"/>
        <v>0.80065080922056386</v>
      </c>
      <c r="S87">
        <f ca="1"/>
        <v>1</v>
      </c>
      <c r="T87">
        <f ca="1"/>
        <v>2.0399999999999991</v>
      </c>
      <c r="U87">
        <f ca="1"/>
        <v>0</v>
      </c>
      <c r="V87">
        <f ca="1"/>
        <v>6.6928509242848624E-3</v>
      </c>
      <c r="X87" s="2">
        <f t="shared" ca="1" si="8"/>
        <v>45474</v>
      </c>
      <c r="Y87">
        <f t="shared" ca="1" si="9"/>
        <v>0</v>
      </c>
      <c r="AA87" s="63">
        <f t="shared" ca="1" si="11"/>
        <v>56.573539996411554</v>
      </c>
      <c r="AB87" s="63">
        <f t="shared" ca="1" si="12"/>
        <v>56.573539996411554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45475</v>
      </c>
      <c r="K88">
        <f ca="1"/>
        <v>55.840115902158978</v>
      </c>
      <c r="L88">
        <f ca="1"/>
        <v>0</v>
      </c>
      <c r="M88">
        <f ca="1"/>
        <v>0.30322219350167501</v>
      </c>
      <c r="N88">
        <f ca="1"/>
        <v>0.35342796710020807</v>
      </c>
      <c r="O88">
        <f ca="1"/>
        <v>0</v>
      </c>
      <c r="P88">
        <f ca="1"/>
        <v>1.3386898147826627</v>
      </c>
      <c r="Q88">
        <f ca="1"/>
        <v>0</v>
      </c>
      <c r="R88">
        <f ca="1"/>
        <v>0.58942344563389759</v>
      </c>
      <c r="S88">
        <f ca="1"/>
        <v>1</v>
      </c>
      <c r="T88">
        <f ca="1"/>
        <v>1.4999999999999929</v>
      </c>
      <c r="U88">
        <f ca="1"/>
        <v>0</v>
      </c>
      <c r="V88">
        <f ca="1"/>
        <v>6.6928509242848624E-3</v>
      </c>
      <c r="X88" s="2">
        <f t="shared" ca="1" si="8"/>
        <v>45475</v>
      </c>
      <c r="Y88">
        <f t="shared" ca="1" si="9"/>
        <v>0</v>
      </c>
      <c r="AA88" s="63">
        <f t="shared" ca="1" si="11"/>
        <v>56.429539347792876</v>
      </c>
      <c r="AB88" s="63">
        <f t="shared" ca="1" si="12"/>
        <v>56.429539347792876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45476</v>
      </c>
      <c r="K89">
        <f ca="1"/>
        <v>56.05128913787577</v>
      </c>
      <c r="L89">
        <f ca="1"/>
        <v>0</v>
      </c>
      <c r="M89">
        <f ca="1"/>
        <v>0.30879598273857312</v>
      </c>
      <c r="N89">
        <f ca="1"/>
        <v>0.36781055018976938</v>
      </c>
      <c r="O89">
        <f ca="1"/>
        <v>0</v>
      </c>
      <c r="P89">
        <f ca="1"/>
        <v>1.3386898147826627</v>
      </c>
      <c r="Q89">
        <f ca="1"/>
        <v>0</v>
      </c>
      <c r="R89">
        <f ca="1"/>
        <v>0.46543329721154891</v>
      </c>
      <c r="S89">
        <f ca="1"/>
        <v>1</v>
      </c>
      <c r="T89">
        <f ca="1"/>
        <v>1.1800000000000068</v>
      </c>
      <c r="U89">
        <f ca="1"/>
        <v>0</v>
      </c>
      <c r="V89">
        <f ca="1"/>
        <v>6.6928509242848624E-3</v>
      </c>
      <c r="X89" s="2">
        <f t="shared" ca="1" si="8"/>
        <v>45476</v>
      </c>
      <c r="Y89">
        <f t="shared" ca="1" si="9"/>
        <v>0</v>
      </c>
      <c r="AA89" s="63">
        <f t="shared" ca="1" si="11"/>
        <v>56.516722435087317</v>
      </c>
      <c r="AB89" s="63">
        <f t="shared" ca="1" si="12"/>
        <v>56.516722435087317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45477</v>
      </c>
      <c r="K90">
        <f ca="1"/>
        <v>56.13970972012509</v>
      </c>
      <c r="L90">
        <f ca="1"/>
        <v>0</v>
      </c>
      <c r="M90">
        <f ca="1"/>
        <v>0.30791860651494574</v>
      </c>
      <c r="N90">
        <f ca="1"/>
        <v>0.36913722839242841</v>
      </c>
      <c r="O90">
        <f ca="1"/>
        <v>0</v>
      </c>
      <c r="P90">
        <f ca="1"/>
        <v>1.3386898147826627</v>
      </c>
      <c r="Q90">
        <f ca="1"/>
        <v>0</v>
      </c>
      <c r="R90">
        <f ca="1"/>
        <v>0.58863525265805039</v>
      </c>
      <c r="S90">
        <f ca="1"/>
        <v>1</v>
      </c>
      <c r="T90">
        <f ca="1"/>
        <v>1.4899999999999949</v>
      </c>
      <c r="U90">
        <f ca="1"/>
        <v>0</v>
      </c>
      <c r="V90">
        <f ca="1"/>
        <v>6.6928509242848624E-3</v>
      </c>
      <c r="X90" s="2">
        <f t="shared" ca="1" si="8"/>
        <v>45477</v>
      </c>
      <c r="Y90">
        <f t="shared" ca="1" si="9"/>
        <v>0</v>
      </c>
      <c r="AA90" s="63">
        <f t="shared" ca="1" si="11"/>
        <v>56.728344972783141</v>
      </c>
      <c r="AB90" s="63">
        <f t="shared" ca="1" si="12"/>
        <v>56.728344972783141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45478</v>
      </c>
      <c r="K91">
        <f ca="1"/>
        <v>56.468173324175069</v>
      </c>
      <c r="L91">
        <f ca="1"/>
        <v>0</v>
      </c>
      <c r="M91">
        <f ca="1"/>
        <v>0.29819264154957636</v>
      </c>
      <c r="N91">
        <f ca="1"/>
        <v>0.35213955044820239</v>
      </c>
      <c r="O91">
        <f ca="1"/>
        <v>0</v>
      </c>
      <c r="P91">
        <f ca="1"/>
        <v>1.3386898147826627</v>
      </c>
      <c r="Q91">
        <f ca="1"/>
        <v>0</v>
      </c>
      <c r="R91">
        <f ca="1"/>
        <v>0.32186858794779599</v>
      </c>
      <c r="S91">
        <f ca="1"/>
        <v>1</v>
      </c>
      <c r="T91">
        <f ca="1"/>
        <v>0.80999999999999517</v>
      </c>
      <c r="U91">
        <f ca="1"/>
        <v>0</v>
      </c>
      <c r="V91">
        <f ca="1"/>
        <v>6.6928509242848624E-3</v>
      </c>
      <c r="X91" s="2">
        <f t="shared" ca="1" si="8"/>
        <v>45478</v>
      </c>
      <c r="Y91">
        <f t="shared" ca="1" si="9"/>
        <v>0</v>
      </c>
      <c r="AA91" s="63">
        <f t="shared" ca="1" si="11"/>
        <v>56.790041912122867</v>
      </c>
      <c r="AB91" s="63">
        <f t="shared" ca="1" si="12"/>
        <v>56.790041912122867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45479</v>
      </c>
      <c r="K92">
        <f ca="1"/>
        <v>56.480965993783499</v>
      </c>
      <c r="L92">
        <f ca="1"/>
        <v>0</v>
      </c>
      <c r="M92">
        <f ca="1"/>
        <v>0.28244114861685432</v>
      </c>
      <c r="N92">
        <f ca="1"/>
        <v>0.32256490887454309</v>
      </c>
      <c r="O92">
        <f ca="1"/>
        <v>0</v>
      </c>
      <c r="P92">
        <f ca="1"/>
        <v>1.3386898147826627</v>
      </c>
      <c r="Q92">
        <f ca="1"/>
        <v>0</v>
      </c>
      <c r="R92">
        <f ca="1"/>
        <v>0.59221338788296496</v>
      </c>
      <c r="S92">
        <f ca="1"/>
        <v>1</v>
      </c>
      <c r="T92">
        <f ca="1"/>
        <v>1.4899999999999949</v>
      </c>
      <c r="U92">
        <f ca="1"/>
        <v>0</v>
      </c>
      <c r="V92">
        <f ca="1"/>
        <v>6.6928509242848624E-3</v>
      </c>
      <c r="X92" s="2">
        <f t="shared" ca="1" si="8"/>
        <v>45479</v>
      </c>
      <c r="Y92">
        <f t="shared" ca="1" si="9"/>
        <v>0</v>
      </c>
      <c r="AA92" s="63">
        <f t="shared" ca="1" si="11"/>
        <v>57.073179381666463</v>
      </c>
      <c r="AB92" s="63">
        <f t="shared" ca="1" si="12"/>
        <v>57.073179381666463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45480</v>
      </c>
      <c r="K93">
        <f ca="1"/>
        <v>56.375918208120808</v>
      </c>
      <c r="L93">
        <f ca="1"/>
        <v>0</v>
      </c>
      <c r="M93">
        <f ca="1"/>
        <v>0.27504612755873126</v>
      </c>
      <c r="N93">
        <f ca="1"/>
        <v>0.31019788528245335</v>
      </c>
      <c r="O93">
        <f ca="1"/>
        <v>0</v>
      </c>
      <c r="P93">
        <f ca="1"/>
        <v>1.3386898147826627</v>
      </c>
      <c r="Q93">
        <f ca="1"/>
        <v>0</v>
      </c>
      <c r="R93">
        <f ca="1"/>
        <v>0.69029179850387712</v>
      </c>
      <c r="S93">
        <f ca="1"/>
        <v>1</v>
      </c>
      <c r="T93">
        <f ca="1"/>
        <v>1.7399999999999949</v>
      </c>
      <c r="U93">
        <f ca="1"/>
        <v>0</v>
      </c>
      <c r="V93">
        <f ca="1"/>
        <v>6.6928509242848624E-3</v>
      </c>
      <c r="X93" s="2">
        <f t="shared" ca="1" si="8"/>
        <v>45480</v>
      </c>
      <c r="Y93">
        <f t="shared" ca="1" si="9"/>
        <v>0</v>
      </c>
      <c r="AA93" s="63">
        <f t="shared" ca="1" si="11"/>
        <v>57.066210006624686</v>
      </c>
      <c r="AB93" s="63">
        <f t="shared" ca="1" si="12"/>
        <v>57.066210006624686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45481</v>
      </c>
      <c r="K94">
        <f ca="1"/>
        <v>56.402125283098975</v>
      </c>
      <c r="L94">
        <f ca="1"/>
        <v>0</v>
      </c>
      <c r="M94">
        <f ca="1"/>
        <v>0.2883952584823799</v>
      </c>
      <c r="N94">
        <f ca="1"/>
        <v>0.34110566026464101</v>
      </c>
      <c r="O94">
        <f ca="1"/>
        <v>0</v>
      </c>
      <c r="P94">
        <f ca="1"/>
        <v>1.3386898147826627</v>
      </c>
      <c r="Q94">
        <f ca="1"/>
        <v>0</v>
      </c>
      <c r="R94">
        <f ca="1"/>
        <v>0.60329384376884976</v>
      </c>
      <c r="S94">
        <f ca="1"/>
        <v>1</v>
      </c>
      <c r="T94">
        <f ca="1"/>
        <v>1.519999999999996</v>
      </c>
      <c r="U94">
        <f ca="1"/>
        <v>0</v>
      </c>
      <c r="V94">
        <f ca="1"/>
        <v>6.6928509242848624E-3</v>
      </c>
      <c r="X94" s="2">
        <f t="shared" ca="1" si="8"/>
        <v>45481</v>
      </c>
      <c r="Y94">
        <f t="shared" ca="1" si="9"/>
        <v>0</v>
      </c>
      <c r="AA94" s="63">
        <f t="shared" ca="1" si="11"/>
        <v>57.005419126867828</v>
      </c>
      <c r="AB94" s="63">
        <f t="shared" ca="1" si="12"/>
        <v>57.005419126867828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45482</v>
      </c>
      <c r="K95">
        <f ca="1"/>
        <v>56.503010104033152</v>
      </c>
      <c r="L95">
        <f ca="1"/>
        <v>0</v>
      </c>
      <c r="M95">
        <f ca="1"/>
        <v>0.28226493931861718</v>
      </c>
      <c r="N95">
        <f ca="1"/>
        <v>0.33154165111550454</v>
      </c>
      <c r="O95">
        <f ca="1"/>
        <v>0</v>
      </c>
      <c r="P95">
        <f ca="1"/>
        <v>1.3386898147826627</v>
      </c>
      <c r="Q95">
        <f ca="1"/>
        <v>0</v>
      </c>
      <c r="R95">
        <f ca="1"/>
        <v>0.51292176949994794</v>
      </c>
      <c r="S95">
        <f ca="1"/>
        <v>1</v>
      </c>
      <c r="T95">
        <f ca="1"/>
        <v>1.2900000000000063</v>
      </c>
      <c r="U95">
        <f ca="1"/>
        <v>0</v>
      </c>
      <c r="V95">
        <f ca="1"/>
        <v>6.6928509242848624E-3</v>
      </c>
      <c r="X95" s="2">
        <f t="shared" ca="1" si="8"/>
        <v>45482</v>
      </c>
      <c r="Y95">
        <f t="shared" ca="1" si="9"/>
        <v>0</v>
      </c>
      <c r="AA95" s="63">
        <f t="shared" ca="1" si="11"/>
        <v>57.015931873533098</v>
      </c>
      <c r="AB95" s="63">
        <f t="shared" ca="1" si="12"/>
        <v>57.015931873533098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45483</v>
      </c>
      <c r="K96">
        <f ca="1"/>
        <v>56.871012731699587</v>
      </c>
      <c r="L96">
        <f ca="1"/>
        <v>0</v>
      </c>
      <c r="M96">
        <f ca="1"/>
        <v>0.2832059911647935</v>
      </c>
      <c r="N96">
        <f ca="1"/>
        <v>0.33692479294551281</v>
      </c>
      <c r="O96">
        <f ca="1"/>
        <v>0</v>
      </c>
      <c r="P96">
        <f ca="1"/>
        <v>1.3386898147826627</v>
      </c>
      <c r="Q96">
        <f ca="1"/>
        <v>0</v>
      </c>
      <c r="R96">
        <f ca="1"/>
        <v>0.25212815644386921</v>
      </c>
      <c r="S96">
        <f ca="1"/>
        <v>1</v>
      </c>
      <c r="T96">
        <f ca="1"/>
        <v>0.63000000000000256</v>
      </c>
      <c r="U96">
        <f ca="1"/>
        <v>0</v>
      </c>
      <c r="V96">
        <f ca="1"/>
        <v>6.6928509242848624E-3</v>
      </c>
      <c r="X96" s="2">
        <f t="shared" ca="1" si="8"/>
        <v>45483</v>
      </c>
      <c r="Y96">
        <f t="shared" ca="1" si="9"/>
        <v>0</v>
      </c>
      <c r="AA96" s="63">
        <f t="shared" ca="1" si="11"/>
        <v>57.123140888143453</v>
      </c>
      <c r="AB96" s="63">
        <f t="shared" ca="1" si="12"/>
        <v>57.123140888143453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45484</v>
      </c>
      <c r="K97">
        <f ca="1"/>
        <v>57.080307813265122</v>
      </c>
      <c r="L97">
        <f ca="1"/>
        <v>0</v>
      </c>
      <c r="M97">
        <f ca="1"/>
        <v>0.27787767987170042</v>
      </c>
      <c r="N97">
        <f ca="1"/>
        <v>0.32907687945958242</v>
      </c>
      <c r="O97">
        <f ca="1"/>
        <v>0</v>
      </c>
      <c r="P97">
        <f ca="1"/>
        <v>1.3386898147826627</v>
      </c>
      <c r="Q97">
        <f ca="1"/>
        <v>0</v>
      </c>
      <c r="R97">
        <f ca="1"/>
        <v>0.39765947776574784</v>
      </c>
      <c r="S97">
        <f ca="1"/>
        <v>1</v>
      </c>
      <c r="T97">
        <f ca="1"/>
        <v>0.99000000000000199</v>
      </c>
      <c r="U97">
        <f ca="1"/>
        <v>0</v>
      </c>
      <c r="V97">
        <f ca="1"/>
        <v>6.6928509242848624E-3</v>
      </c>
      <c r="X97" s="2">
        <f t="shared" ca="1" si="8"/>
        <v>45484</v>
      </c>
      <c r="Y97">
        <f t="shared" ca="1" si="9"/>
        <v>0</v>
      </c>
      <c r="AA97" s="63">
        <f t="shared" ca="1" si="11"/>
        <v>57.477967291030872</v>
      </c>
      <c r="AB97" s="63">
        <f t="shared" ca="1" si="12"/>
        <v>57.477967291030872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45485</v>
      </c>
      <c r="K98">
        <f ca="1"/>
        <v>57.715003393147128</v>
      </c>
      <c r="L98">
        <f ca="1"/>
        <v>0</v>
      </c>
      <c r="M98">
        <f ca="1"/>
        <v>0.28555001867794516</v>
      </c>
      <c r="N98">
        <f ca="1"/>
        <v>0.34914556120406076</v>
      </c>
      <c r="O98">
        <f ca="1"/>
        <v>0</v>
      </c>
      <c r="P98">
        <f ca="1"/>
        <v>1.3386898147826627</v>
      </c>
      <c r="Q98">
        <f ca="1"/>
        <v>0</v>
      </c>
      <c r="R98">
        <f ca="1"/>
        <v>0</v>
      </c>
      <c r="S98">
        <f ca="1"/>
        <v>0.99814814814814812</v>
      </c>
      <c r="T98">
        <f ca="1"/>
        <v>0</v>
      </c>
      <c r="U98">
        <f ca="1"/>
        <v>0</v>
      </c>
      <c r="V98">
        <f ca="1"/>
        <v>6.6928509242848624E-3</v>
      </c>
      <c r="X98" s="2">
        <f t="shared" ca="1" si="8"/>
        <v>45485</v>
      </c>
      <c r="Y98">
        <f t="shared" ca="1" si="9"/>
        <v>0</v>
      </c>
      <c r="AA98" s="63">
        <f t="shared" ca="1" si="11"/>
        <v>57.715003393147128</v>
      </c>
      <c r="AB98" s="63">
        <f t="shared" ca="1" si="12"/>
        <v>57.715003393147128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45486</v>
      </c>
      <c r="K99">
        <f ca="1"/>
        <v>58.36600247145028</v>
      </c>
      <c r="L99">
        <f ca="1"/>
        <v>0</v>
      </c>
      <c r="M99">
        <f ca="1"/>
        <v>0.29231716830980226</v>
      </c>
      <c r="N99">
        <f ca="1"/>
        <v>0.36781055018976938</v>
      </c>
      <c r="O99">
        <f ca="1"/>
        <v>0</v>
      </c>
      <c r="P99">
        <f ca="1"/>
        <v>1.3386898147826627</v>
      </c>
      <c r="Q99">
        <f ca="1"/>
        <v>0</v>
      </c>
      <c r="R99">
        <f ca="1"/>
        <v>9.1286401964172509E-3</v>
      </c>
      <c r="S99">
        <f ca="1"/>
        <v>1</v>
      </c>
      <c r="T99">
        <f ca="1"/>
        <v>2.2225743797001485E-2</v>
      </c>
      <c r="U99">
        <f ca="1"/>
        <v>0</v>
      </c>
      <c r="V99">
        <f ca="1"/>
        <v>6.6928509242848624E-3</v>
      </c>
      <c r="X99" s="2">
        <f t="shared" ca="1" si="8"/>
        <v>45486</v>
      </c>
      <c r="Y99">
        <f t="shared" ca="1" si="9"/>
        <v>0</v>
      </c>
      <c r="AA99" s="63">
        <f t="shared" ca="1" si="11"/>
        <v>58.375131111646695</v>
      </c>
      <c r="AB99" s="63">
        <f t="shared" ca="1" si="12"/>
        <v>58.375131111646695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45487</v>
      </c>
      <c r="K100">
        <f ca="1"/>
        <v>59.058937988303839</v>
      </c>
      <c r="L100">
        <f ca="1"/>
        <v>0</v>
      </c>
      <c r="M100">
        <f ca="1"/>
        <v>0.30121234783314321</v>
      </c>
      <c r="N100">
        <f ca="1"/>
        <v>0.39172316902041893</v>
      </c>
      <c r="O100">
        <f ca="1"/>
        <v>0</v>
      </c>
      <c r="P100">
        <f ca="1"/>
        <v>1.3386898147826627</v>
      </c>
      <c r="Q100">
        <f ca="1"/>
        <v>0</v>
      </c>
      <c r="R100">
        <f ca="1"/>
        <v>2.9530151408022772E-15</v>
      </c>
      <c r="S100">
        <f ca="1"/>
        <v>1</v>
      </c>
      <c r="T100">
        <f ca="1"/>
        <v>7.1054273576010019E-15</v>
      </c>
      <c r="U100">
        <f ca="1"/>
        <v>0</v>
      </c>
      <c r="V100">
        <f ca="1"/>
        <v>6.6928509242848624E-3</v>
      </c>
      <c r="X100" s="2">
        <f t="shared" ca="1" si="8"/>
        <v>45487</v>
      </c>
      <c r="Y100">
        <f t="shared" ca="1" si="9"/>
        <v>0</v>
      </c>
      <c r="AA100" s="63">
        <f t="shared" ca="1" si="11"/>
        <v>59.058937988303839</v>
      </c>
      <c r="AB100" s="63">
        <f t="shared" ca="1" si="12"/>
        <v>59.058937988303839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45488</v>
      </c>
      <c r="K101">
        <f ca="1"/>
        <v>59.13905594848697</v>
      </c>
      <c r="L101">
        <f ca="1"/>
        <v>0</v>
      </c>
      <c r="M101">
        <f ca="1"/>
        <v>0.28262656442215039</v>
      </c>
      <c r="N101">
        <f ca="1"/>
        <v>0.3551507900011554</v>
      </c>
      <c r="O101">
        <f ca="1"/>
        <v>0</v>
      </c>
      <c r="P101">
        <f ca="1"/>
        <v>1.3386898147826627</v>
      </c>
      <c r="Q101">
        <f ca="1"/>
        <v>0</v>
      </c>
      <c r="R101">
        <f ca="1"/>
        <v>0.55765939424017841</v>
      </c>
      <c r="S101">
        <f ca="1"/>
        <v>1</v>
      </c>
      <c r="T101">
        <f ca="1"/>
        <v>1.3400000000000034</v>
      </c>
      <c r="U101">
        <f ca="1"/>
        <v>0</v>
      </c>
      <c r="V101">
        <f ca="1"/>
        <v>6.6928509242848624E-3</v>
      </c>
      <c r="X101" s="2">
        <f t="shared" ca="1" si="8"/>
        <v>45488</v>
      </c>
      <c r="Y101">
        <f t="shared" ca="1" si="9"/>
        <v>0</v>
      </c>
      <c r="AA101" s="63">
        <f t="shared" ca="1" si="11"/>
        <v>59.696715342727146</v>
      </c>
      <c r="AB101" s="63">
        <f t="shared" ca="1" si="12"/>
        <v>59.696715342727146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45489</v>
      </c>
      <c r="K102">
        <f ca="1"/>
        <v>59.827846935305217</v>
      </c>
      <c r="L102">
        <f ca="1"/>
        <v>0</v>
      </c>
      <c r="M102">
        <f ca="1"/>
        <v>0.29706781779782787</v>
      </c>
      <c r="N102">
        <f ca="1"/>
        <v>0.39172316902041893</v>
      </c>
      <c r="O102">
        <f ca="1"/>
        <v>0</v>
      </c>
      <c r="P102">
        <f ca="1"/>
        <v>1.3386898147826627</v>
      </c>
      <c r="Q102">
        <f ca="1"/>
        <v>0</v>
      </c>
      <c r="R102">
        <f ca="1"/>
        <v>0</v>
      </c>
      <c r="S102">
        <f ca="1"/>
        <v>0.98759259259259258</v>
      </c>
      <c r="T102">
        <f ca="1"/>
        <v>0</v>
      </c>
      <c r="U102">
        <f ca="1"/>
        <v>0</v>
      </c>
      <c r="V102">
        <f ca="1"/>
        <v>6.6928509242848624E-3</v>
      </c>
      <c r="X102" s="2">
        <f t="shared" ca="1" si="8"/>
        <v>45489</v>
      </c>
      <c r="Y102">
        <f t="shared" ca="1" si="9"/>
        <v>0</v>
      </c>
      <c r="AA102" s="63">
        <f t="shared" ca="1" si="11"/>
        <v>59.82784693530521</v>
      </c>
      <c r="AB102" s="63">
        <f t="shared" ca="1" si="12"/>
        <v>59.827846935305217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45490</v>
      </c>
      <c r="K103">
        <f ca="1"/>
        <v>60.309766306566011</v>
      </c>
      <c r="L103">
        <f ca="1"/>
        <v>0</v>
      </c>
      <c r="M103">
        <f ca="1"/>
        <v>0.29367098561853489</v>
      </c>
      <c r="N103">
        <f ca="1"/>
        <v>0.38896534370933961</v>
      </c>
      <c r="O103">
        <f ca="1"/>
        <v>0</v>
      </c>
      <c r="P103">
        <f ca="1"/>
        <v>1.3386898147826627</v>
      </c>
      <c r="Q103">
        <f ca="1"/>
        <v>0</v>
      </c>
      <c r="R103">
        <f ca="1"/>
        <v>0.20071695806707379</v>
      </c>
      <c r="S103">
        <f ca="1"/>
        <v>1</v>
      </c>
      <c r="T103">
        <f ca="1"/>
        <v>0.47294058480323287</v>
      </c>
      <c r="U103">
        <f ca="1"/>
        <v>0</v>
      </c>
      <c r="V103">
        <f ca="1"/>
        <v>6.6928509242848624E-3</v>
      </c>
      <c r="X103" s="2">
        <f t="shared" ca="1" si="8"/>
        <v>45490</v>
      </c>
      <c r="Y103">
        <f t="shared" ca="1" si="9"/>
        <v>0</v>
      </c>
      <c r="AA103" s="63">
        <f t="shared" ca="1" si="11"/>
        <v>60.510483264633088</v>
      </c>
      <c r="AB103" s="63">
        <f t="shared" ca="1" si="12"/>
        <v>60.510483264633088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45491</v>
      </c>
      <c r="K104">
        <f ca="1"/>
        <v>60.917683536953341</v>
      </c>
      <c r="L104">
        <f ca="1"/>
        <v>0</v>
      </c>
      <c r="M104">
        <f ca="1"/>
        <v>0.29289555667344835</v>
      </c>
      <c r="N104">
        <f ca="1"/>
        <v>0.39218407286068874</v>
      </c>
      <c r="O104">
        <f ca="1"/>
        <v>0</v>
      </c>
      <c r="P104">
        <f ca="1"/>
        <v>1.3386898147826627</v>
      </c>
      <c r="Q104">
        <f ca="1"/>
        <v>0</v>
      </c>
      <c r="R104">
        <f ca="1"/>
        <v>7.7162399146807434E-2</v>
      </c>
      <c r="S104">
        <f ca="1"/>
        <v>1</v>
      </c>
      <c r="T104">
        <f ca="1"/>
        <v>0.17999999999999972</v>
      </c>
      <c r="U104">
        <f ca="1"/>
        <v>0</v>
      </c>
      <c r="V104">
        <f ca="1"/>
        <v>6.6928509242848624E-3</v>
      </c>
      <c r="X104" s="2">
        <f t="shared" ca="1" si="8"/>
        <v>45491</v>
      </c>
      <c r="Y104">
        <f t="shared" ca="1" si="9"/>
        <v>0</v>
      </c>
      <c r="AA104" s="63">
        <f t="shared" ca="1" si="11"/>
        <v>60.994845936100148</v>
      </c>
      <c r="AB104" s="63">
        <f t="shared" ca="1" si="12"/>
        <v>60.994845936100148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45492</v>
      </c>
      <c r="K105">
        <f ca="1"/>
        <v>61.448992671807112</v>
      </c>
      <c r="L105">
        <f ca="1"/>
        <v>0</v>
      </c>
      <c r="M105">
        <f ca="1"/>
        <v>0.30107658171742102</v>
      </c>
      <c r="N105">
        <f ca="1"/>
        <v>0.41617265318400543</v>
      </c>
      <c r="O105">
        <f ca="1"/>
        <v>0</v>
      </c>
      <c r="P105">
        <f ca="1"/>
        <v>1.3386898147826627</v>
      </c>
      <c r="Q105">
        <f ca="1"/>
        <v>0</v>
      </c>
      <c r="R105">
        <f ca="1"/>
        <v>0.18594010004765324</v>
      </c>
      <c r="S105">
        <f ca="1"/>
        <v>1</v>
      </c>
      <c r="T105">
        <f ca="1"/>
        <v>0.42999999999999972</v>
      </c>
      <c r="U105">
        <f ca="1"/>
        <v>0</v>
      </c>
      <c r="V105">
        <f ca="1"/>
        <v>6.6928509242848624E-3</v>
      </c>
      <c r="X105" s="2">
        <f t="shared" ca="1" si="8"/>
        <v>45492</v>
      </c>
      <c r="Y105">
        <f t="shared" ca="1" si="9"/>
        <v>0</v>
      </c>
      <c r="AA105" s="63">
        <f t="shared" ca="1" si="11"/>
        <v>61.634932771854764</v>
      </c>
      <c r="AB105" s="63">
        <f t="shared" ca="1" si="12"/>
        <v>61.634932771854764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45493</v>
      </c>
      <c r="K106">
        <f ca="1"/>
        <v>61.779948459839652</v>
      </c>
      <c r="L106">
        <f ca="1"/>
        <v>0</v>
      </c>
      <c r="M106">
        <f ca="1"/>
        <v>0.29172152514485106</v>
      </c>
      <c r="N106">
        <f ca="1"/>
        <v>0.4000749248179376</v>
      </c>
      <c r="O106">
        <f ca="1"/>
        <v>0</v>
      </c>
      <c r="P106">
        <f ca="1"/>
        <v>1.3386898147826627</v>
      </c>
      <c r="Q106">
        <f ca="1"/>
        <v>0</v>
      </c>
      <c r="R106">
        <f ca="1"/>
        <v>0.36084066193024789</v>
      </c>
      <c r="S106">
        <f ca="1"/>
        <v>1</v>
      </c>
      <c r="T106">
        <f ca="1"/>
        <v>0.82999999999999829</v>
      </c>
      <c r="U106">
        <f ca="1"/>
        <v>0</v>
      </c>
      <c r="V106">
        <f ca="1"/>
        <v>6.6928509242848624E-3</v>
      </c>
      <c r="X106" s="2">
        <f t="shared" ca="1" si="8"/>
        <v>45493</v>
      </c>
      <c r="Y106">
        <f t="shared" ca="1" si="9"/>
        <v>0</v>
      </c>
      <c r="AA106" s="63">
        <f t="shared" ca="1" si="11"/>
        <v>62.140789121769899</v>
      </c>
      <c r="AB106" s="63">
        <f t="shared" ca="1" si="12"/>
        <v>62.140789121769899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45494</v>
      </c>
      <c r="K107">
        <f ca="1"/>
        <v>62.180102031125571</v>
      </c>
      <c r="L107">
        <f ca="1"/>
        <v>0</v>
      </c>
      <c r="M107">
        <f ca="1"/>
        <v>0.2826695538690025</v>
      </c>
      <c r="N107">
        <f ca="1"/>
        <v>0.3843978628023732</v>
      </c>
      <c r="O107">
        <f ca="1"/>
        <v>0</v>
      </c>
      <c r="P107">
        <f ca="1"/>
        <v>1.3386898147826627</v>
      </c>
      <c r="Q107">
        <f ca="1"/>
        <v>0</v>
      </c>
      <c r="R107">
        <f ca="1"/>
        <v>0.26691384538545787</v>
      </c>
      <c r="S107">
        <f ca="1"/>
        <v>1</v>
      </c>
      <c r="T107">
        <f ca="1"/>
        <v>0.60999999999999233</v>
      </c>
      <c r="U107">
        <f ca="1"/>
        <v>0</v>
      </c>
      <c r="V107">
        <f ca="1"/>
        <v>6.6928509242848624E-3</v>
      </c>
      <c r="X107" s="2">
        <f t="shared" ca="1" si="8"/>
        <v>45494</v>
      </c>
      <c r="Y107">
        <f t="shared" ca="1" si="9"/>
        <v>0</v>
      </c>
      <c r="AA107" s="63">
        <f t="shared" ca="1" si="11"/>
        <v>62.447015876511031</v>
      </c>
      <c r="AB107" s="63">
        <f t="shared" ca="1" si="12"/>
        <v>62.447015876511031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45495</v>
      </c>
      <c r="K108">
        <f ca="1"/>
        <v>62.64180106495813</v>
      </c>
      <c r="L108">
        <f ca="1"/>
        <v>0</v>
      </c>
      <c r="M108">
        <f ca="1"/>
        <v>0.28294648850141968</v>
      </c>
      <c r="N108">
        <f ca="1"/>
        <v>0.39034262892833083</v>
      </c>
      <c r="O108">
        <f ca="1"/>
        <v>0</v>
      </c>
      <c r="P108">
        <f ca="1"/>
        <v>1.3386898147826627</v>
      </c>
      <c r="Q108">
        <f ca="1"/>
        <v>0</v>
      </c>
      <c r="R108">
        <f ca="1"/>
        <v>0.21159008359719056</v>
      </c>
      <c r="S108">
        <f ca="1"/>
        <v>1</v>
      </c>
      <c r="T108">
        <f ca="1"/>
        <v>0.47999999999999687</v>
      </c>
      <c r="U108">
        <f ca="1"/>
        <v>0</v>
      </c>
      <c r="V108">
        <f ca="1"/>
        <v>6.6928509242848624E-3</v>
      </c>
      <c r="X108" s="2">
        <f t="shared" ca="1" si="8"/>
        <v>45495</v>
      </c>
      <c r="Y108">
        <f t="shared" ca="1" si="9"/>
        <v>0</v>
      </c>
      <c r="AA108" s="63">
        <f t="shared" ca="1" si="11"/>
        <v>62.853391148555325</v>
      </c>
      <c r="AB108" s="63">
        <f t="shared" ca="1" si="12"/>
        <v>62.853391148555318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45496</v>
      </c>
      <c r="K109">
        <f ca="1"/>
        <v>62.967809720248113</v>
      </c>
      <c r="L109">
        <f ca="1"/>
        <v>0</v>
      </c>
      <c r="M109">
        <f ca="1"/>
        <v>0.28082951925887478</v>
      </c>
      <c r="N109">
        <f ca="1"/>
        <v>0.39080244716225204</v>
      </c>
      <c r="O109">
        <f ca="1"/>
        <v>0</v>
      </c>
      <c r="P109">
        <f ca="1"/>
        <v>1.3386898147826627</v>
      </c>
      <c r="Q109">
        <f ca="1"/>
        <v>0</v>
      </c>
      <c r="R109">
        <f ca="1"/>
        <v>0.3456233111311402</v>
      </c>
      <c r="S109">
        <f ca="1"/>
        <v>1</v>
      </c>
      <c r="T109">
        <f ca="1"/>
        <v>0.78000000000000114</v>
      </c>
      <c r="U109">
        <f ca="1"/>
        <v>0</v>
      </c>
      <c r="V109">
        <f ca="1"/>
        <v>6.6928509242848624E-3</v>
      </c>
      <c r="X109" s="2">
        <f t="shared" ca="1" si="8"/>
        <v>45496</v>
      </c>
      <c r="Y109">
        <f t="shared" ca="1" si="9"/>
        <v>0</v>
      </c>
      <c r="AA109" s="63">
        <f t="shared" ca="1" si="11"/>
        <v>63.313433031379255</v>
      </c>
      <c r="AB109" s="63">
        <f t="shared" ca="1" si="12"/>
        <v>63.313433031379255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45497</v>
      </c>
      <c r="K110">
        <f ca="1"/>
        <v>62.688654424619926</v>
      </c>
      <c r="L110">
        <f ca="1"/>
        <v>0</v>
      </c>
      <c r="M110">
        <f ca="1"/>
        <v>0.27849838063390386</v>
      </c>
      <c r="N110">
        <f ca="1"/>
        <v>0.39080244716225204</v>
      </c>
      <c r="O110">
        <f ca="1"/>
        <v>0</v>
      </c>
      <c r="P110">
        <f ca="1"/>
        <v>1.3386898147826627</v>
      </c>
      <c r="Q110">
        <f ca="1"/>
        <v>0</v>
      </c>
      <c r="R110">
        <f ca="1"/>
        <v>0.94845612342434471</v>
      </c>
      <c r="S110">
        <f ca="1"/>
        <v>1</v>
      </c>
      <c r="T110">
        <f ca="1"/>
        <v>2.1500000000000057</v>
      </c>
      <c r="U110">
        <f ca="1"/>
        <v>0</v>
      </c>
      <c r="V110">
        <f ca="1"/>
        <v>6.6928509242848624E-3</v>
      </c>
      <c r="X110" s="2">
        <f t="shared" ca="1" si="8"/>
        <v>45497</v>
      </c>
      <c r="Y110">
        <f t="shared" ca="1" si="9"/>
        <v>0</v>
      </c>
      <c r="AA110" s="63">
        <f t="shared" ca="1" si="11"/>
        <v>63.637110548044269</v>
      </c>
      <c r="AB110" s="63">
        <f t="shared" ca="1" si="12"/>
        <v>63.637110548044269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45498</v>
      </c>
      <c r="K111">
        <f ca="1"/>
        <v>63.225428580684977</v>
      </c>
      <c r="L111">
        <f ca="1"/>
        <v>0</v>
      </c>
      <c r="M111">
        <f ca="1"/>
        <v>0.28882133800471088</v>
      </c>
      <c r="N111">
        <f ca="1"/>
        <v>0.42147149427621811</v>
      </c>
      <c r="O111">
        <f ca="1"/>
        <v>0</v>
      </c>
      <c r="P111">
        <f ca="1"/>
        <v>1.3386898147826627</v>
      </c>
      <c r="Q111">
        <f ca="1"/>
        <v>0</v>
      </c>
      <c r="R111">
        <f ca="1"/>
        <v>0.17351867621587697</v>
      </c>
      <c r="S111">
        <f ca="1"/>
        <v>1</v>
      </c>
      <c r="T111">
        <f ca="1"/>
        <v>0.38999999999999346</v>
      </c>
      <c r="U111">
        <f ca="1"/>
        <v>0</v>
      </c>
      <c r="V111">
        <f ca="1"/>
        <v>6.6928509242848624E-3</v>
      </c>
      <c r="X111" s="2">
        <f t="shared" ca="1" si="8"/>
        <v>45498</v>
      </c>
      <c r="Y111">
        <f t="shared" ca="1" si="9"/>
        <v>0</v>
      </c>
      <c r="AA111" s="63">
        <f t="shared" ca="1" si="11"/>
        <v>63.398947256900854</v>
      </c>
      <c r="AB111" s="63">
        <f t="shared" ca="1" si="12"/>
        <v>63.398947256900854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45499</v>
      </c>
      <c r="K112">
        <f ca="1"/>
        <v>63.916426099410216</v>
      </c>
      <c r="L112">
        <f ca="1"/>
        <v>0</v>
      </c>
      <c r="M112">
        <f ca="1"/>
        <v>0.28921536163285388</v>
      </c>
      <c r="N112">
        <f ca="1"/>
        <v>0.42876909255657741</v>
      </c>
      <c r="O112">
        <f ca="1"/>
        <v>0</v>
      </c>
      <c r="P112">
        <f ca="1"/>
        <v>1.3386898147826627</v>
      </c>
      <c r="Q112">
        <f ca="1"/>
        <v>0</v>
      </c>
      <c r="R112">
        <f ca="1"/>
        <v>2.6986935464196442E-2</v>
      </c>
      <c r="S112">
        <f ca="1"/>
        <v>1</v>
      </c>
      <c r="T112">
        <f ca="1"/>
        <v>6.0000000000002274E-2</v>
      </c>
      <c r="U112">
        <f ca="1"/>
        <v>0</v>
      </c>
      <c r="V112">
        <f ca="1"/>
        <v>6.6928509242848624E-3</v>
      </c>
      <c r="X112" s="2">
        <f t="shared" ca="1" si="8"/>
        <v>45499</v>
      </c>
      <c r="Y112">
        <f t="shared" ca="1" si="9"/>
        <v>0</v>
      </c>
      <c r="AA112" s="63">
        <f t="shared" ca="1" si="11"/>
        <v>63.943413034874411</v>
      </c>
      <c r="AB112" s="63">
        <f t="shared" ca="1" si="12"/>
        <v>63.943413034874411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45500</v>
      </c>
      <c r="K113">
        <f ca="1"/>
        <v>64.642119651938799</v>
      </c>
      <c r="L113">
        <f ca="1"/>
        <v>0</v>
      </c>
      <c r="M113">
        <f ca="1"/>
        <v>0.28954357969641897</v>
      </c>
      <c r="N113">
        <f ca="1"/>
        <v>0.43614997283216522</v>
      </c>
      <c r="O113">
        <f ca="1"/>
        <v>0</v>
      </c>
      <c r="P113">
        <f ca="1"/>
        <v>1.3386898147826627</v>
      </c>
      <c r="Q113">
        <f ca="1"/>
        <v>0</v>
      </c>
      <c r="R113">
        <f ca="1"/>
        <v>0</v>
      </c>
      <c r="S113">
        <f ca="1"/>
        <v>0.99648148148148141</v>
      </c>
      <c r="T113">
        <f ca="1"/>
        <v>0</v>
      </c>
      <c r="U113">
        <f ca="1"/>
        <v>0</v>
      </c>
      <c r="V113">
        <f ca="1"/>
        <v>6.6928509242848624E-3</v>
      </c>
      <c r="X113" s="2">
        <f t="shared" ca="1" si="8"/>
        <v>45500</v>
      </c>
      <c r="Y113">
        <f t="shared" ca="1" si="9"/>
        <v>0</v>
      </c>
      <c r="AA113" s="63">
        <f t="shared" ca="1" si="11"/>
        <v>64.642119651938799</v>
      </c>
      <c r="AB113" s="63">
        <f t="shared" ca="1" si="12"/>
        <v>64.642119651938799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45501</v>
      </c>
      <c r="K114">
        <f ca="1"/>
        <v>65.318744792587168</v>
      </c>
      <c r="L114">
        <f ca="1"/>
        <v>0</v>
      </c>
      <c r="M114">
        <f ca="1"/>
        <v>0.28860827905275066</v>
      </c>
      <c r="N114">
        <f ca="1"/>
        <v>0.44061861810839431</v>
      </c>
      <c r="O114">
        <f ca="1"/>
        <v>0</v>
      </c>
      <c r="P114">
        <f ca="1"/>
        <v>1.3386898147826627</v>
      </c>
      <c r="Q114">
        <f ca="1"/>
        <v>0</v>
      </c>
      <c r="R114">
        <f ca="1"/>
        <v>5.2601756512778153E-2</v>
      </c>
      <c r="S114">
        <f ca="1"/>
        <v>1</v>
      </c>
      <c r="T114">
        <f ca="1"/>
        <v>0.11443861139022005</v>
      </c>
      <c r="U114">
        <f ca="1"/>
        <v>0</v>
      </c>
      <c r="V114">
        <f ca="1"/>
        <v>6.6928509242848624E-3</v>
      </c>
      <c r="X114" s="2">
        <f t="shared" ca="1" si="8"/>
        <v>45501</v>
      </c>
      <c r="Y114">
        <f t="shared" ca="1" si="9"/>
        <v>0</v>
      </c>
      <c r="AA114" s="63">
        <f t="shared" ca="1" si="11"/>
        <v>65.37134654909994</v>
      </c>
      <c r="AB114" s="63">
        <f t="shared" ca="1" si="12"/>
        <v>65.37134654909994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45502</v>
      </c>
      <c r="K115">
        <f ca="1"/>
        <v>65.742139052843015</v>
      </c>
      <c r="L115">
        <f ca="1"/>
        <v>0</v>
      </c>
      <c r="M115">
        <f ca="1"/>
        <v>0.26807744363211761</v>
      </c>
      <c r="N115">
        <f ca="1"/>
        <v>0.39588434767635866</v>
      </c>
      <c r="O115">
        <f ca="1"/>
        <v>0</v>
      </c>
      <c r="P115">
        <f ca="1"/>
        <v>1.3386898147826627</v>
      </c>
      <c r="Q115">
        <f ca="1"/>
        <v>0</v>
      </c>
      <c r="R115">
        <f ca="1"/>
        <v>0.24056753105262701</v>
      </c>
      <c r="S115">
        <f ca="1"/>
        <v>1</v>
      </c>
      <c r="T115">
        <f ca="1"/>
        <v>0.52000000000000313</v>
      </c>
      <c r="U115">
        <f ca="1"/>
        <v>0</v>
      </c>
      <c r="V115">
        <f ca="1"/>
        <v>6.6928509242848624E-3</v>
      </c>
      <c r="X115" s="2">
        <f t="shared" ca="1" si="8"/>
        <v>45502</v>
      </c>
      <c r="Y115">
        <f t="shared" ca="1" si="9"/>
        <v>0</v>
      </c>
      <c r="AA115" s="63">
        <f t="shared" ca="1" si="11"/>
        <v>65.982706583895649</v>
      </c>
      <c r="AB115" s="63">
        <f t="shared" ca="1" si="12"/>
        <v>65.982706583895649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45503</v>
      </c>
      <c r="K116">
        <f ca="1"/>
        <v>66.442706090083078</v>
      </c>
      <c r="L116">
        <f ca="1"/>
        <v>0</v>
      </c>
      <c r="M116">
        <f ca="1"/>
        <v>0.27667224257683998</v>
      </c>
      <c r="N116">
        <f ca="1"/>
        <v>0.42389479466322039</v>
      </c>
      <c r="O116">
        <f ca="1"/>
        <v>0</v>
      </c>
      <c r="P116">
        <f ca="1"/>
        <v>1.3386898147826627</v>
      </c>
      <c r="Q116">
        <f ca="1"/>
        <v>0</v>
      </c>
      <c r="R116">
        <f ca="1"/>
        <v>0</v>
      </c>
      <c r="S116">
        <f ca="1"/>
        <v>0.99722222222222223</v>
      </c>
      <c r="T116">
        <f ca="1"/>
        <v>0</v>
      </c>
      <c r="U116">
        <f ca="1"/>
        <v>0</v>
      </c>
      <c r="V116">
        <f ca="1"/>
        <v>6.6928509242848624E-3</v>
      </c>
      <c r="X116" s="2">
        <f t="shared" ca="1" si="8"/>
        <v>45503</v>
      </c>
      <c r="Y116">
        <f t="shared" ca="1" si="9"/>
        <v>0</v>
      </c>
      <c r="AA116" s="63">
        <f t="shared" ca="1" si="11"/>
        <v>66.442706090083078</v>
      </c>
      <c r="AB116" s="63">
        <f t="shared" ca="1" si="12"/>
        <v>66.442706090083078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45504</v>
      </c>
      <c r="K117">
        <f ca="1"/>
        <v>66.94758191030499</v>
      </c>
      <c r="L117">
        <f ca="1"/>
        <v>0</v>
      </c>
      <c r="M117">
        <f ca="1"/>
        <v>0.27858987395087098</v>
      </c>
      <c r="N117">
        <f ca="1"/>
        <v>0.43565531630570886</v>
      </c>
      <c r="O117">
        <f ca="1"/>
        <v>0</v>
      </c>
      <c r="P117">
        <f ca="1"/>
        <v>1.3386898147826627</v>
      </c>
      <c r="Q117">
        <f ca="1"/>
        <v>0</v>
      </c>
      <c r="R117">
        <f ca="1"/>
        <v>0.20936937003465794</v>
      </c>
      <c r="S117">
        <f ca="1"/>
        <v>1</v>
      </c>
      <c r="T117">
        <f ca="1"/>
        <v>0.44441469844033321</v>
      </c>
      <c r="U117">
        <f ca="1"/>
        <v>0</v>
      </c>
      <c r="V117">
        <f ca="1"/>
        <v>6.6928509242848624E-3</v>
      </c>
      <c r="X117" s="2">
        <f t="shared" ca="1" si="8"/>
        <v>45504</v>
      </c>
      <c r="Y117">
        <f t="shared" ca="1" si="9"/>
        <v>0</v>
      </c>
      <c r="AA117" s="63">
        <f t="shared" ca="1" si="11"/>
        <v>67.156951280339655</v>
      </c>
      <c r="AB117" s="63">
        <f t="shared" ca="1" si="12"/>
        <v>67.156951280339655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45505</v>
      </c>
      <c r="K118">
        <f ca="1"/>
        <v>66.788218872714467</v>
      </c>
      <c r="L118">
        <f ca="1"/>
        <v>0</v>
      </c>
      <c r="M118">
        <f ca="1"/>
        <v>0.26630296796333397</v>
      </c>
      <c r="N118">
        <f ca="1"/>
        <v>0.41091827677028508</v>
      </c>
      <c r="O118">
        <f ca="1"/>
        <v>0</v>
      </c>
      <c r="P118">
        <f ca="1"/>
        <v>1.3386898147826627</v>
      </c>
      <c r="Q118">
        <f ca="1"/>
        <v>0</v>
      </c>
      <c r="R118">
        <f ca="1"/>
        <v>0.83658428232415016</v>
      </c>
      <c r="S118">
        <f ca="1"/>
        <v>1</v>
      </c>
      <c r="T118">
        <f ca="1"/>
        <v>1.7800000000000011</v>
      </c>
      <c r="U118">
        <f ca="1"/>
        <v>0</v>
      </c>
      <c r="V118">
        <f ca="1"/>
        <v>6.6928509242848624E-3</v>
      </c>
      <c r="X118" s="2">
        <f t="shared" ca="1" si="8"/>
        <v>45505</v>
      </c>
      <c r="Y118">
        <f t="shared" ca="1" si="9"/>
        <v>0</v>
      </c>
      <c r="AA118" s="63">
        <f t="shared" ca="1" si="11"/>
        <v>67.624803155038606</v>
      </c>
      <c r="AB118" s="63">
        <f t="shared" ca="1" si="12"/>
        <v>67.62480315503862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45506</v>
      </c>
      <c r="K119">
        <f ca="1"/>
        <v>67.483492754081581</v>
      </c>
      <c r="L119">
        <f ca="1"/>
        <v>0</v>
      </c>
      <c r="M119">
        <f ca="1"/>
        <v>0.26943380276164142</v>
      </c>
      <c r="N119">
        <f ca="1"/>
        <v>0.42584007860547379</v>
      </c>
      <c r="O119">
        <f ca="1"/>
        <v>0</v>
      </c>
      <c r="P119">
        <f ca="1"/>
        <v>1.3386898147826627</v>
      </c>
      <c r="Q119">
        <f ca="1"/>
        <v>0</v>
      </c>
      <c r="R119">
        <f ca="1"/>
        <v>0</v>
      </c>
      <c r="S119">
        <f ca="1"/>
        <v>0.9974074074074073</v>
      </c>
      <c r="T119">
        <f ca="1"/>
        <v>0</v>
      </c>
      <c r="U119">
        <f ca="1"/>
        <v>0</v>
      </c>
      <c r="V119">
        <f ca="1"/>
        <v>6.6928509242848624E-3</v>
      </c>
      <c r="X119" s="2">
        <f t="shared" ca="1" si="8"/>
        <v>45506</v>
      </c>
      <c r="Y119">
        <f t="shared" ca="1" si="9"/>
        <v>0</v>
      </c>
      <c r="AA119" s="63">
        <f t="shared" ca="1" si="11"/>
        <v>67.483492754081581</v>
      </c>
      <c r="AB119" s="63">
        <f t="shared" ca="1" si="12"/>
        <v>67.483492754081581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45507</v>
      </c>
      <c r="K120">
        <f ca="1"/>
        <v>68.129077402225036</v>
      </c>
      <c r="L120">
        <f ca="1"/>
        <v>0</v>
      </c>
      <c r="M120">
        <f ca="1"/>
        <v>0.2621888399835175</v>
      </c>
      <c r="N120">
        <f ca="1"/>
        <v>0.41377879641711834</v>
      </c>
      <c r="O120">
        <f ca="1"/>
        <v>0</v>
      </c>
      <c r="P120">
        <f ca="1"/>
        <v>1.3386898147826627</v>
      </c>
      <c r="Q120">
        <f ca="1"/>
        <v>0</v>
      </c>
      <c r="R120">
        <f ca="1"/>
        <v>3.0382988257189186E-2</v>
      </c>
      <c r="S120">
        <f ca="1"/>
        <v>1</v>
      </c>
      <c r="T120">
        <f ca="1"/>
        <v>6.3373565391479758E-2</v>
      </c>
      <c r="U120">
        <f ca="1"/>
        <v>0</v>
      </c>
      <c r="V120">
        <f ca="1"/>
        <v>6.6928509242848624E-3</v>
      </c>
      <c r="X120" s="2">
        <f t="shared" ca="1" si="8"/>
        <v>45507</v>
      </c>
      <c r="Y120">
        <f t="shared" ca="1" si="9"/>
        <v>0</v>
      </c>
      <c r="AA120" s="63">
        <f t="shared" ca="1" si="11"/>
        <v>68.159460390482224</v>
      </c>
      <c r="AB120" s="63">
        <f t="shared" ca="1" si="12"/>
        <v>68.159460390482224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45508</v>
      </c>
      <c r="K121">
        <f ca="1"/>
        <v>68.862173668689465</v>
      </c>
      <c r="L121">
        <f ca="1"/>
        <v>0</v>
      </c>
      <c r="M121">
        <f ca="1"/>
        <v>0.27583388797262565</v>
      </c>
      <c r="N121">
        <f ca="1"/>
        <v>0.45726237849180762</v>
      </c>
      <c r="O121">
        <f ca="1"/>
        <v>0</v>
      </c>
      <c r="P121">
        <f ca="1"/>
        <v>1.3386898147826627</v>
      </c>
      <c r="Q121">
        <f ca="1"/>
        <v>0</v>
      </c>
      <c r="R121">
        <f ca="1"/>
        <v>0</v>
      </c>
      <c r="S121">
        <f ca="1"/>
        <v>0.99388888888888893</v>
      </c>
      <c r="T121">
        <f ca="1"/>
        <v>0</v>
      </c>
      <c r="U121">
        <f ca="1"/>
        <v>0</v>
      </c>
      <c r="V121">
        <f ca="1"/>
        <v>6.6928509242848624E-3</v>
      </c>
      <c r="X121" s="2">
        <f t="shared" ca="1" si="8"/>
        <v>45508</v>
      </c>
      <c r="Y121">
        <f t="shared" ca="1" si="9"/>
        <v>0</v>
      </c>
      <c r="AA121" s="63">
        <f t="shared" ca="1" si="11"/>
        <v>68.862173668689465</v>
      </c>
      <c r="AB121" s="63">
        <f t="shared" ca="1" si="12"/>
        <v>68.862173668689465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45509</v>
      </c>
      <c r="K122">
        <f ca="1"/>
        <v>69.578463991311978</v>
      </c>
      <c r="L122">
        <f ca="1"/>
        <v>0</v>
      </c>
      <c r="M122">
        <f ca="1"/>
        <v>0.26916370049363181</v>
      </c>
      <c r="N122">
        <f ca="1"/>
        <v>0.44712662212888066</v>
      </c>
      <c r="O122">
        <f ca="1"/>
        <v>0</v>
      </c>
      <c r="P122">
        <f ca="1"/>
        <v>1.3386898147826627</v>
      </c>
      <c r="Q122">
        <f ca="1"/>
        <v>0</v>
      </c>
      <c r="R122">
        <f ca="1"/>
        <v>0</v>
      </c>
      <c r="S122">
        <f ca="1"/>
        <v>0.99646041679849962</v>
      </c>
      <c r="T122">
        <f ca="1"/>
        <v>0</v>
      </c>
      <c r="U122">
        <f ca="1"/>
        <v>0</v>
      </c>
      <c r="V122">
        <f ca="1"/>
        <v>6.6928509242848624E-3</v>
      </c>
      <c r="X122" s="2">
        <f t="shared" ca="1" si="8"/>
        <v>45509</v>
      </c>
      <c r="Y122">
        <f t="shared" ca="1" si="9"/>
        <v>0</v>
      </c>
      <c r="AA122" s="63">
        <f t="shared" ca="1" si="11"/>
        <v>69.578463991311978</v>
      </c>
      <c r="AB122" s="63">
        <f t="shared" ca="1" si="12"/>
        <v>69.578463991311978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45510</v>
      </c>
      <c r="K123">
        <f ca="1"/>
        <v>70.138424586931976</v>
      </c>
      <c r="L123">
        <f ca="1"/>
        <v>0</v>
      </c>
      <c r="M123">
        <f ca="1"/>
        <v>0.25746438376262581</v>
      </c>
      <c r="N123">
        <f ca="1"/>
        <v>0.42292436785047749</v>
      </c>
      <c r="O123">
        <f ca="1"/>
        <v>0</v>
      </c>
      <c r="P123">
        <f ca="1"/>
        <v>1.3386898147826627</v>
      </c>
      <c r="Q123">
        <f ca="1"/>
        <v>0</v>
      </c>
      <c r="R123">
        <f ca="1"/>
        <v>0.12042815599310656</v>
      </c>
      <c r="S123">
        <f ca="1"/>
        <v>1</v>
      </c>
      <c r="T123">
        <f ca="1"/>
        <v>0.24399571133522358</v>
      </c>
      <c r="U123">
        <f ca="1"/>
        <v>0</v>
      </c>
      <c r="V123">
        <f ca="1"/>
        <v>6.6928509242848624E-3</v>
      </c>
      <c r="X123" s="2">
        <f t="shared" ca="1" si="8"/>
        <v>45510</v>
      </c>
      <c r="Y123">
        <f t="shared" ca="1" si="9"/>
        <v>0</v>
      </c>
      <c r="AA123" s="63">
        <f t="shared" ca="1" si="11"/>
        <v>70.258852742925086</v>
      </c>
      <c r="AB123" s="63">
        <f t="shared" ca="1" si="12"/>
        <v>70.258852742925086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45511</v>
      </c>
      <c r="K124">
        <f ca="1"/>
        <v>70.747414503969708</v>
      </c>
      <c r="L124">
        <f ca="1"/>
        <v>0</v>
      </c>
      <c r="M124">
        <f ca="1"/>
        <v>0.24975654293780281</v>
      </c>
      <c r="N124">
        <f ca="1"/>
        <v>0.40901859171383559</v>
      </c>
      <c r="O124">
        <f ca="1"/>
        <v>0</v>
      </c>
      <c r="P124">
        <f ca="1"/>
        <v>1.3386898147826627</v>
      </c>
      <c r="Q124">
        <f ca="1"/>
        <v>0</v>
      </c>
      <c r="R124">
        <f ca="1"/>
        <v>4.9785217613908847E-2</v>
      </c>
      <c r="S124">
        <f ca="1"/>
        <v>1</v>
      </c>
      <c r="T124">
        <f ca="1"/>
        <v>0.10000000000000853</v>
      </c>
      <c r="U124">
        <f ca="1"/>
        <v>0</v>
      </c>
      <c r="V124">
        <f ca="1"/>
        <v>6.6928509242848624E-3</v>
      </c>
      <c r="X124" s="2">
        <f t="shared" ca="1" si="8"/>
        <v>45511</v>
      </c>
      <c r="Y124">
        <f t="shared" ca="1" si="9"/>
        <v>0</v>
      </c>
      <c r="AA124" s="63">
        <f t="shared" ca="1" si="11"/>
        <v>70.79719972158361</v>
      </c>
      <c r="AB124" s="63">
        <f t="shared" ca="1" si="12"/>
        <v>70.79719972158361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45512</v>
      </c>
      <c r="K125">
        <f ca="1"/>
        <v>71.188508144893788</v>
      </c>
      <c r="L125">
        <f ca="1"/>
        <v>0</v>
      </c>
      <c r="M125">
        <f ca="1"/>
        <v>0.241972521123623</v>
      </c>
      <c r="N125">
        <f ca="1"/>
        <v>0.39449402548699158</v>
      </c>
      <c r="O125">
        <f ca="1"/>
        <v>0</v>
      </c>
      <c r="P125">
        <f ca="1"/>
        <v>1.3386898147826627</v>
      </c>
      <c r="Q125">
        <f ca="1"/>
        <v>0</v>
      </c>
      <c r="R125">
        <f ca="1"/>
        <v>0.19537290568654214</v>
      </c>
      <c r="S125">
        <f ca="1"/>
        <v>1</v>
      </c>
      <c r="T125">
        <f ca="1"/>
        <v>0.39000000000000057</v>
      </c>
      <c r="U125">
        <f ca="1"/>
        <v>0</v>
      </c>
      <c r="V125">
        <f ca="1"/>
        <v>6.6928509242848624E-3</v>
      </c>
      <c r="X125" s="2">
        <f t="shared" ca="1" si="8"/>
        <v>45512</v>
      </c>
      <c r="Y125">
        <f t="shared" ca="1" si="9"/>
        <v>0</v>
      </c>
      <c r="AA125" s="63">
        <f t="shared" ca="1" si="11"/>
        <v>71.383881050580328</v>
      </c>
      <c r="AB125" s="63">
        <f t="shared" ca="1" si="12"/>
        <v>71.383881050580328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45513</v>
      </c>
      <c r="K126">
        <f ca="1"/>
        <v>71.505787104507107</v>
      </c>
      <c r="L126">
        <f ca="1"/>
        <v>0</v>
      </c>
      <c r="M126">
        <f ca="1"/>
        <v>0.25016249718149552</v>
      </c>
      <c r="N126">
        <f ca="1"/>
        <v>0.42438056170583383</v>
      </c>
      <c r="O126">
        <f ca="1"/>
        <v>0</v>
      </c>
      <c r="P126">
        <f ca="1"/>
        <v>1.3386898147826627</v>
      </c>
      <c r="Q126">
        <f ca="1"/>
        <v>0</v>
      </c>
      <c r="R126">
        <f ca="1"/>
        <v>0.35726409927400071</v>
      </c>
      <c r="S126">
        <f ca="1"/>
        <v>1</v>
      </c>
      <c r="T126">
        <f ca="1"/>
        <v>0.71000000000000085</v>
      </c>
      <c r="U126">
        <f ca="1"/>
        <v>0</v>
      </c>
      <c r="V126">
        <f ca="1"/>
        <v>6.6928509242848624E-3</v>
      </c>
      <c r="X126" s="2">
        <f t="shared" ca="1" si="8"/>
        <v>45513</v>
      </c>
      <c r="Y126">
        <f t="shared" ca="1" si="9"/>
        <v>0</v>
      </c>
      <c r="AA126" s="63">
        <f t="shared" ca="1" si="11"/>
        <v>71.863051203781112</v>
      </c>
      <c r="AB126" s="63">
        <f t="shared" ca="1" si="12"/>
        <v>71.863051203781112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45514</v>
      </c>
      <c r="K127">
        <f ca="1"/>
        <v>72.172497385738069</v>
      </c>
      <c r="L127">
        <f ca="1"/>
        <v>0</v>
      </c>
      <c r="M127">
        <f ca="1"/>
        <v>0.25406887987902493</v>
      </c>
      <c r="N127">
        <f ca="1"/>
        <v>0.44311423358146196</v>
      </c>
      <c r="O127">
        <f ca="1"/>
        <v>0</v>
      </c>
      <c r="P127">
        <f ca="1"/>
        <v>1.3386898147826627</v>
      </c>
      <c r="Q127">
        <f ca="1"/>
        <v>0</v>
      </c>
      <c r="R127">
        <f ca="1"/>
        <v>3.0472832229535E-2</v>
      </c>
      <c r="S127">
        <f ca="1"/>
        <v>1</v>
      </c>
      <c r="T127">
        <f ca="1"/>
        <v>6.0000000000002274E-2</v>
      </c>
      <c r="U127">
        <f ca="1"/>
        <v>0</v>
      </c>
      <c r="V127">
        <f ca="1"/>
        <v>6.6928509242848624E-3</v>
      </c>
      <c r="X127" s="2">
        <f t="shared" ca="1" si="8"/>
        <v>45514</v>
      </c>
      <c r="Y127">
        <f t="shared" ca="1" si="9"/>
        <v>0</v>
      </c>
      <c r="AA127" s="63">
        <f t="shared" ca="1" si="11"/>
        <v>72.202970217967604</v>
      </c>
      <c r="AB127" s="63">
        <f t="shared" ca="1" si="12"/>
        <v>72.202970217967604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45515</v>
      </c>
      <c r="K128">
        <f ca="1"/>
        <v>72.434944116108227</v>
      </c>
      <c r="L128">
        <f ca="1"/>
        <v>0</v>
      </c>
      <c r="M128">
        <f ca="1"/>
        <v>0.2424207141525816</v>
      </c>
      <c r="N128">
        <f ca="1"/>
        <v>0.41761337614375638</v>
      </c>
      <c r="O128">
        <f ca="1"/>
        <v>0</v>
      </c>
      <c r="P128">
        <f ca="1"/>
        <v>1.3386898147826627</v>
      </c>
      <c r="Q128">
        <f ca="1"/>
        <v>0</v>
      </c>
      <c r="R128">
        <f ca="1"/>
        <v>0.39758735992619099</v>
      </c>
      <c r="S128">
        <f ca="1"/>
        <v>1</v>
      </c>
      <c r="T128">
        <f ca="1"/>
        <v>0.77999999999999403</v>
      </c>
      <c r="U128">
        <f ca="1"/>
        <v>0</v>
      </c>
      <c r="V128">
        <f ca="1"/>
        <v>6.6928509242848624E-3</v>
      </c>
      <c r="X128" s="2">
        <f t="shared" ca="1" si="8"/>
        <v>45515</v>
      </c>
      <c r="Y128">
        <f t="shared" ca="1" si="9"/>
        <v>0</v>
      </c>
      <c r="AA128" s="63">
        <f t="shared" ca="1" si="11"/>
        <v>72.832531476034418</v>
      </c>
      <c r="AB128" s="63">
        <f t="shared" ca="1" si="12"/>
        <v>72.832531476034418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45516</v>
      </c>
      <c r="K129">
        <f ca="1"/>
        <v>72.456231392277346</v>
      </c>
      <c r="L129">
        <f ca="1"/>
        <v>0</v>
      </c>
      <c r="M129">
        <f ca="1"/>
        <v>0.23751793556087719</v>
      </c>
      <c r="N129">
        <f ca="1"/>
        <v>0.41091827677028508</v>
      </c>
      <c r="O129">
        <f ca="1"/>
        <v>0</v>
      </c>
      <c r="P129">
        <f ca="1"/>
        <v>1.3386898147826627</v>
      </c>
      <c r="Q129">
        <f ca="1"/>
        <v>0</v>
      </c>
      <c r="R129">
        <f ca="1"/>
        <v>0.62714893616204348</v>
      </c>
      <c r="S129">
        <f ca="1"/>
        <v>1</v>
      </c>
      <c r="T129">
        <f ca="1"/>
        <v>1.2299999999999969</v>
      </c>
      <c r="U129">
        <f ca="1"/>
        <v>0</v>
      </c>
      <c r="V129">
        <f ca="1"/>
        <v>6.6928509242848624E-3</v>
      </c>
      <c r="X129" s="2">
        <f t="shared" ca="1" si="8"/>
        <v>45516</v>
      </c>
      <c r="Y129">
        <f t="shared" ca="1" si="9"/>
        <v>0</v>
      </c>
      <c r="AA129" s="63">
        <f t="shared" ca="1" si="11"/>
        <v>73.083380328439389</v>
      </c>
      <c r="AB129" s="63">
        <f t="shared" ca="1" si="12"/>
        <v>73.083380328439389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45517</v>
      </c>
      <c r="K130">
        <f ca="1"/>
        <v>72.70306651603191</v>
      </c>
      <c r="L130">
        <f ca="1"/>
        <v>0</v>
      </c>
      <c r="M130">
        <f ca="1"/>
        <v>0.23497590097227317</v>
      </c>
      <c r="N130">
        <f ca="1"/>
        <v>0.41091827677028508</v>
      </c>
      <c r="O130">
        <f ca="1"/>
        <v>0</v>
      </c>
      <c r="P130">
        <f ca="1"/>
        <v>1.3386898147826627</v>
      </c>
      <c r="Q130">
        <f ca="1"/>
        <v>0</v>
      </c>
      <c r="R130">
        <f ca="1"/>
        <v>0.39905905398799429</v>
      </c>
      <c r="S130">
        <f ca="1"/>
        <v>1</v>
      </c>
      <c r="T130">
        <f ca="1"/>
        <v>0.77999999999999403</v>
      </c>
      <c r="U130">
        <f ca="1"/>
        <v>0</v>
      </c>
      <c r="V130">
        <f ca="1"/>
        <v>6.6928509242848624E-3</v>
      </c>
      <c r="X130" s="2">
        <f t="shared" ca="1" si="8"/>
        <v>45517</v>
      </c>
      <c r="Y130">
        <f t="shared" ca="1" si="9"/>
        <v>0</v>
      </c>
      <c r="AA130" s="63">
        <f t="shared" ca="1" si="11"/>
        <v>73.102125570019908</v>
      </c>
      <c r="AB130" s="63">
        <f t="shared" ca="1" si="12"/>
        <v>73.102125570019908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45518</v>
      </c>
      <c r="K131">
        <f ca="1"/>
        <v>72.885279066877956</v>
      </c>
      <c r="L131">
        <f ca="1"/>
        <v>0</v>
      </c>
      <c r="M131">
        <f ca="1"/>
        <v>0.24158975034432828</v>
      </c>
      <c r="N131">
        <f ca="1"/>
        <v>0.43813231650266443</v>
      </c>
      <c r="O131">
        <f ca="1"/>
        <v>0</v>
      </c>
      <c r="P131">
        <f ca="1"/>
        <v>1.3386898147826627</v>
      </c>
      <c r="Q131">
        <f ca="1"/>
        <v>0</v>
      </c>
      <c r="R131">
        <f ca="1"/>
        <v>0.49750951600094423</v>
      </c>
      <c r="S131">
        <f ca="1"/>
        <v>1</v>
      </c>
      <c r="T131">
        <f ca="1"/>
        <v>0.96999999999999176</v>
      </c>
      <c r="U131">
        <f ca="1"/>
        <v>0</v>
      </c>
      <c r="V131">
        <f ca="1"/>
        <v>6.6928509242848624E-3</v>
      </c>
      <c r="X131" s="2">
        <f t="shared" ca="1" si="8"/>
        <v>45518</v>
      </c>
      <c r="Y131">
        <f t="shared" ca="1" si="9"/>
        <v>0</v>
      </c>
      <c r="AA131" s="63">
        <f t="shared" ca="1" si="11"/>
        <v>73.382788582878902</v>
      </c>
      <c r="AB131" s="63">
        <f t="shared" ca="1" si="12"/>
        <v>73.382788582878902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45519</v>
      </c>
      <c r="K132">
        <f ca="1"/>
        <v>73.554229876471624</v>
      </c>
      <c r="L132">
        <f ca="1"/>
        <v>0</v>
      </c>
      <c r="M132">
        <f ca="1"/>
        <v>0.24587553549912577</v>
      </c>
      <c r="N132">
        <f ca="1"/>
        <v>0.45930754288554265</v>
      </c>
      <c r="O132">
        <f ca="1"/>
        <v>0</v>
      </c>
      <c r="P132">
        <f ca="1"/>
        <v>1.3386898147826627</v>
      </c>
      <c r="Q132">
        <f ca="1"/>
        <v>0</v>
      </c>
      <c r="R132">
        <f ca="1"/>
        <v>3.6232268791002838E-2</v>
      </c>
      <c r="S132">
        <f ca="1"/>
        <v>1</v>
      </c>
      <c r="T132">
        <f ca="1"/>
        <v>7.0000000000000284E-2</v>
      </c>
      <c r="U132">
        <f ca="1"/>
        <v>0</v>
      </c>
      <c r="V132">
        <f ca="1"/>
        <v>6.6928509242848624E-3</v>
      </c>
      <c r="X132" s="2">
        <f t="shared" ca="1" si="8"/>
        <v>45519</v>
      </c>
      <c r="Y132">
        <f t="shared" ca="1" si="9"/>
        <v>0</v>
      </c>
      <c r="AA132" s="63">
        <f t="shared" ca="1" si="11"/>
        <v>73.59046214526262</v>
      </c>
      <c r="AB132" s="63">
        <f t="shared" ca="1" si="12"/>
        <v>73.59046214526262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45520</v>
      </c>
      <c r="K133">
        <f ca="1"/>
        <v>73.559755147510955</v>
      </c>
      <c r="L133">
        <f ca="1"/>
        <v>0</v>
      </c>
      <c r="M133">
        <f ca="1"/>
        <v>0.24349757923429571</v>
      </c>
      <c r="N133">
        <f ca="1"/>
        <v>0.46084536570638934</v>
      </c>
      <c r="O133">
        <f ca="1"/>
        <v>0</v>
      </c>
      <c r="P133">
        <f ca="1"/>
        <v>1.3386898147826627</v>
      </c>
      <c r="Q133">
        <f ca="1"/>
        <v>0</v>
      </c>
      <c r="R133">
        <f ca="1"/>
        <v>0.69881767390135485</v>
      </c>
      <c r="S133">
        <f ca="1"/>
        <v>1</v>
      </c>
      <c r="T133">
        <f ca="1"/>
        <v>1.3500000000000014</v>
      </c>
      <c r="U133">
        <f ca="1"/>
        <v>0</v>
      </c>
      <c r="V133">
        <f ca="1"/>
        <v>6.6928509242848624E-3</v>
      </c>
      <c r="X133" s="2">
        <f t="shared" ca="1" si="8"/>
        <v>45520</v>
      </c>
      <c r="Y133">
        <f t="shared" ca="1" si="9"/>
        <v>0</v>
      </c>
      <c r="AA133" s="63">
        <f t="shared" ca="1" si="11"/>
        <v>74.258572821412315</v>
      </c>
      <c r="AB133" s="63">
        <f t="shared" ca="1" si="12"/>
        <v>74.258572821412315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45521</v>
      </c>
      <c r="K134">
        <f ca="1"/>
        <v>73.722358634294778</v>
      </c>
      <c r="L134">
        <f ca="1"/>
        <v>0</v>
      </c>
      <c r="M134">
        <f ca="1"/>
        <v>0.24078320756028404</v>
      </c>
      <c r="N134">
        <f ca="1"/>
        <v>0.46135872611748213</v>
      </c>
      <c r="O134">
        <f ca="1"/>
        <v>0</v>
      </c>
      <c r="P134">
        <f ca="1"/>
        <v>1.3386898147826627</v>
      </c>
      <c r="Q134">
        <f ca="1"/>
        <v>0</v>
      </c>
      <c r="R134">
        <f ca="1"/>
        <v>0.5395384468939457</v>
      </c>
      <c r="S134">
        <f ca="1"/>
        <v>1</v>
      </c>
      <c r="T134">
        <f ca="1"/>
        <v>1.039999999999992</v>
      </c>
      <c r="U134">
        <f ca="1"/>
        <v>0</v>
      </c>
      <c r="V134">
        <f ca="1"/>
        <v>6.6928509242848624E-3</v>
      </c>
      <c r="X134" s="2">
        <f t="shared" ca="1" si="8"/>
        <v>45521</v>
      </c>
      <c r="Y134">
        <f t="shared" ca="1" si="9"/>
        <v>0</v>
      </c>
      <c r="AA134" s="63">
        <f t="shared" ca="1" si="11"/>
        <v>74.261897081188721</v>
      </c>
      <c r="AB134" s="63">
        <f t="shared" ca="1" si="12"/>
        <v>74.261897081188721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45522</v>
      </c>
      <c r="K135">
        <f ca="1"/>
        <v>74.39032582483901</v>
      </c>
      <c r="L135">
        <f ca="1"/>
        <v>0</v>
      </c>
      <c r="M135">
        <f ca="1"/>
        <v>0.23033101779406451</v>
      </c>
      <c r="N135">
        <f ca="1"/>
        <v>0.43763617275016631</v>
      </c>
      <c r="O135">
        <f ca="1"/>
        <v>0</v>
      </c>
      <c r="P135">
        <f ca="1"/>
        <v>1.3386898147826627</v>
      </c>
      <c r="Q135">
        <f ca="1"/>
        <v>0</v>
      </c>
      <c r="R135">
        <f ca="1"/>
        <v>0</v>
      </c>
      <c r="S135">
        <f ca="1"/>
        <v>0.99777777777777787</v>
      </c>
      <c r="T135">
        <f ca="1"/>
        <v>0</v>
      </c>
      <c r="U135">
        <f ca="1"/>
        <v>0</v>
      </c>
      <c r="V135">
        <f ca="1"/>
        <v>6.6928509242848624E-3</v>
      </c>
      <c r="X135" s="2">
        <f t="shared" ref="X135:X198" ca="1" si="15">IFERROR(J135,$X$5)</f>
        <v>45522</v>
      </c>
      <c r="Y135">
        <f t="shared" ref="Y135:Y198" ca="1" si="16">IFERROR(O135,0)</f>
        <v>0</v>
      </c>
      <c r="AA135" s="63">
        <f t="shared" ca="1" si="11"/>
        <v>74.39032582483901</v>
      </c>
      <c r="AB135" s="63">
        <f t="shared" ca="1" si="12"/>
        <v>74.39032582483901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45523</v>
      </c>
      <c r="K136">
        <f ca="1"/>
        <v>75.067444996290419</v>
      </c>
      <c r="L136">
        <f ca="1"/>
        <v>0</v>
      </c>
      <c r="M136">
        <f ca="1"/>
        <v>0.23049540529894585</v>
      </c>
      <c r="N136">
        <f ca="1"/>
        <v>0.44662376615245059</v>
      </c>
      <c r="O136">
        <f ca="1"/>
        <v>0</v>
      </c>
      <c r="P136">
        <f ca="1"/>
        <v>1.3386898147826627</v>
      </c>
      <c r="Q136">
        <f ca="1"/>
        <v>0</v>
      </c>
      <c r="R136">
        <f ca="1"/>
        <v>0</v>
      </c>
      <c r="S136">
        <f ca="1"/>
        <v>0.98470034655834993</v>
      </c>
      <c r="T136">
        <f ca="1"/>
        <v>0</v>
      </c>
      <c r="U136">
        <f ca="1"/>
        <v>0</v>
      </c>
      <c r="V136">
        <f ca="1"/>
        <v>6.6928509242848624E-3</v>
      </c>
      <c r="X136" s="2">
        <f t="shared" ca="1" si="15"/>
        <v>45523</v>
      </c>
      <c r="Y136">
        <f t="shared" ca="1" si="16"/>
        <v>0</v>
      </c>
      <c r="AA136" s="63">
        <f t="shared" ca="1" si="11"/>
        <v>75.067444996290405</v>
      </c>
      <c r="AB136" s="63">
        <f t="shared" ca="1" si="12"/>
        <v>75.067444996290419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45524</v>
      </c>
      <c r="K137">
        <f ca="1"/>
        <v>75.723552978172336</v>
      </c>
      <c r="L137">
        <f ca="1"/>
        <v>0</v>
      </c>
      <c r="M137">
        <f ca="1"/>
        <v>0.22341280557190757</v>
      </c>
      <c r="N137">
        <f ca="1"/>
        <v>0.43269517631000565</v>
      </c>
      <c r="O137">
        <f ca="1"/>
        <v>0</v>
      </c>
      <c r="P137">
        <f ca="1"/>
        <v>1.3386898147826627</v>
      </c>
      <c r="Q137">
        <f ca="1"/>
        <v>0</v>
      </c>
      <c r="R137">
        <f ca="1"/>
        <v>0</v>
      </c>
      <c r="S137">
        <f ca="1"/>
        <v>0.97903671018197458</v>
      </c>
      <c r="T137">
        <f ca="1"/>
        <v>0</v>
      </c>
      <c r="U137">
        <f ca="1"/>
        <v>0</v>
      </c>
      <c r="V137">
        <f ca="1"/>
        <v>6.6928509242848624E-3</v>
      </c>
      <c r="X137" s="2">
        <f t="shared" ca="1" si="15"/>
        <v>45524</v>
      </c>
      <c r="Y137">
        <f t="shared" ca="1" si="16"/>
        <v>0</v>
      </c>
      <c r="AA137" s="63">
        <f t="shared" ref="AA137:AA200" ca="1" si="18">K136+M137+N137+O137</f>
        <v>75.723552978172336</v>
      </c>
      <c r="AB137" s="63">
        <f t="shared" ref="AB137:AB200" ca="1" si="19">K137+L137+R137</f>
        <v>75.723552978172336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45525</v>
      </c>
      <c r="K138">
        <f ca="1"/>
        <v>76.371908508594061</v>
      </c>
      <c r="L138">
        <f ca="1"/>
        <v>0</v>
      </c>
      <c r="M138">
        <f ca="1"/>
        <v>0.21958643786514642</v>
      </c>
      <c r="N138">
        <f ca="1"/>
        <v>0.42876909255657741</v>
      </c>
      <c r="O138">
        <f ca="1"/>
        <v>0</v>
      </c>
      <c r="P138">
        <f ca="1"/>
        <v>1.3386898147826627</v>
      </c>
      <c r="Q138">
        <f ca="1"/>
        <v>0</v>
      </c>
      <c r="R138">
        <f ca="1"/>
        <v>0</v>
      </c>
      <c r="S138">
        <f ca="1"/>
        <v>0.98835739123810462</v>
      </c>
      <c r="T138">
        <f ca="1"/>
        <v>0</v>
      </c>
      <c r="U138">
        <f ca="1"/>
        <v>0</v>
      </c>
      <c r="V138">
        <f ca="1"/>
        <v>6.6928509242848624E-3</v>
      </c>
      <c r="X138" s="2">
        <f t="shared" ca="1" si="15"/>
        <v>45525</v>
      </c>
      <c r="Y138">
        <f t="shared" ca="1" si="16"/>
        <v>0</v>
      </c>
      <c r="AA138" s="63">
        <f t="shared" ca="1" si="18"/>
        <v>76.371908508594061</v>
      </c>
      <c r="AB138" s="63">
        <f t="shared" ca="1" si="19"/>
        <v>76.371908508594061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45526</v>
      </c>
      <c r="K139">
        <f ca="1"/>
        <v>77.047582828645091</v>
      </c>
      <c r="L139">
        <f ca="1"/>
        <v>0</v>
      </c>
      <c r="M139">
        <f ca="1"/>
        <v>0.22400515951836297</v>
      </c>
      <c r="N139">
        <f ca="1"/>
        <v>0.45166916053265699</v>
      </c>
      <c r="O139">
        <f ca="1"/>
        <v>0</v>
      </c>
      <c r="P139">
        <f ca="1"/>
        <v>1.3386898147826627</v>
      </c>
      <c r="Q139">
        <f ca="1"/>
        <v>0</v>
      </c>
      <c r="R139">
        <f ca="1"/>
        <v>0</v>
      </c>
      <c r="S139">
        <f ca="1"/>
        <v>0.980028469041899</v>
      </c>
      <c r="T139">
        <f ca="1"/>
        <v>0</v>
      </c>
      <c r="U139">
        <f ca="1"/>
        <v>0</v>
      </c>
      <c r="V139">
        <f ca="1"/>
        <v>6.6928509242848624E-3</v>
      </c>
      <c r="X139" s="2">
        <f t="shared" ca="1" si="15"/>
        <v>45526</v>
      </c>
      <c r="Y139">
        <f t="shared" ca="1" si="16"/>
        <v>0</v>
      </c>
      <c r="AA139" s="63">
        <f t="shared" ca="1" si="18"/>
        <v>77.047582828645076</v>
      </c>
      <c r="AB139" s="63">
        <f t="shared" ca="1" si="19"/>
        <v>77.047582828645091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45527</v>
      </c>
      <c r="K140">
        <f ca="1"/>
        <v>77.745918555835772</v>
      </c>
      <c r="L140">
        <f ca="1"/>
        <v>0</v>
      </c>
      <c r="M140">
        <f ca="1"/>
        <v>0.2271514974276343</v>
      </c>
      <c r="N140">
        <f ca="1"/>
        <v>0.47118422976304208</v>
      </c>
      <c r="O140">
        <f ca="1"/>
        <v>0</v>
      </c>
      <c r="P140">
        <f ca="1"/>
        <v>1.3386898147826627</v>
      </c>
      <c r="Q140">
        <f ca="1"/>
        <v>0</v>
      </c>
      <c r="R140">
        <f ca="1"/>
        <v>0</v>
      </c>
      <c r="S140">
        <f ca="1"/>
        <v>0.98476747894386918</v>
      </c>
      <c r="T140">
        <f ca="1"/>
        <v>0</v>
      </c>
      <c r="U140">
        <f ca="1"/>
        <v>0</v>
      </c>
      <c r="V140">
        <f ca="1"/>
        <v>6.6928509242848624E-3</v>
      </c>
      <c r="X140" s="2">
        <f t="shared" ca="1" si="15"/>
        <v>45527</v>
      </c>
      <c r="Y140">
        <f t="shared" ca="1" si="16"/>
        <v>0</v>
      </c>
      <c r="AA140" s="63">
        <f t="shared" ca="1" si="18"/>
        <v>77.745918555835758</v>
      </c>
      <c r="AB140" s="63">
        <f t="shared" ca="1" si="19"/>
        <v>77.745918555835772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45528</v>
      </c>
      <c r="K141">
        <f ca="1"/>
        <v>78.470190587114061</v>
      </c>
      <c r="L141">
        <f ca="1"/>
        <v>0</v>
      </c>
      <c r="M141">
        <f ca="1"/>
        <v>0.23088265790839912</v>
      </c>
      <c r="N141">
        <f ca="1"/>
        <v>0.49338937336988758</v>
      </c>
      <c r="O141">
        <f ca="1"/>
        <v>0</v>
      </c>
      <c r="P141">
        <f ca="1"/>
        <v>1.3386898147826627</v>
      </c>
      <c r="Q141">
        <f ca="1"/>
        <v>0</v>
      </c>
      <c r="R141">
        <f ca="1"/>
        <v>0</v>
      </c>
      <c r="S141">
        <f ca="1"/>
        <v>0.98994068838466898</v>
      </c>
      <c r="T141">
        <f ca="1"/>
        <v>0</v>
      </c>
      <c r="U141">
        <f ca="1"/>
        <v>0</v>
      </c>
      <c r="V141">
        <f ca="1"/>
        <v>6.6928509242848624E-3</v>
      </c>
      <c r="X141" s="2">
        <f t="shared" ca="1" si="15"/>
        <v>45528</v>
      </c>
      <c r="Y141">
        <f t="shared" ca="1" si="16"/>
        <v>0</v>
      </c>
      <c r="AA141" s="63">
        <f t="shared" ca="1" si="18"/>
        <v>78.470190587114061</v>
      </c>
      <c r="AB141" s="63">
        <f t="shared" ca="1" si="19"/>
        <v>78.470190587114061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45529</v>
      </c>
      <c r="K142">
        <f ca="1"/>
        <v>79.21674929371548</v>
      </c>
      <c r="L142">
        <f ca="1"/>
        <v>0</v>
      </c>
      <c r="M142">
        <f ca="1"/>
        <v>0.23359992638944149</v>
      </c>
      <c r="N142">
        <f ca="1"/>
        <v>0.51295878021197994</v>
      </c>
      <c r="O142">
        <f ca="1"/>
        <v>0</v>
      </c>
      <c r="P142">
        <f ca="1"/>
        <v>1.3386898147826627</v>
      </c>
      <c r="Q142">
        <f ca="1"/>
        <v>0</v>
      </c>
      <c r="R142">
        <f ca="1"/>
        <v>0</v>
      </c>
      <c r="S142">
        <f ca="1"/>
        <v>0.97789965380247879</v>
      </c>
      <c r="T142">
        <f ca="1"/>
        <v>0</v>
      </c>
      <c r="U142">
        <f ca="1"/>
        <v>0</v>
      </c>
      <c r="V142">
        <f ca="1"/>
        <v>6.6928509242848624E-3</v>
      </c>
      <c r="X142" s="2">
        <f t="shared" ca="1" si="15"/>
        <v>45529</v>
      </c>
      <c r="Y142">
        <f t="shared" ca="1" si="16"/>
        <v>0</v>
      </c>
      <c r="AA142" s="63">
        <f t="shared" ca="1" si="18"/>
        <v>79.21674929371548</v>
      </c>
      <c r="AB142" s="63">
        <f t="shared" ca="1" si="19"/>
        <v>79.21674929371548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45530</v>
      </c>
      <c r="K143">
        <f ca="1"/>
        <v>79.918507665347121</v>
      </c>
      <c r="L143">
        <f ca="1"/>
        <v>0</v>
      </c>
      <c r="M143">
        <f ca="1"/>
        <v>0.22113978357915798</v>
      </c>
      <c r="N143">
        <f ca="1"/>
        <v>0.48061858805247931</v>
      </c>
      <c r="O143">
        <f ca="1"/>
        <v>0</v>
      </c>
      <c r="P143">
        <f ca="1"/>
        <v>1.3386898147826627</v>
      </c>
      <c r="Q143">
        <f ca="1"/>
        <v>0</v>
      </c>
      <c r="R143">
        <f ca="1"/>
        <v>0</v>
      </c>
      <c r="S143">
        <f ca="1"/>
        <v>0.97285813866960991</v>
      </c>
      <c r="T143">
        <f ca="1"/>
        <v>0</v>
      </c>
      <c r="U143">
        <f ca="1"/>
        <v>0</v>
      </c>
      <c r="V143">
        <f ca="1"/>
        <v>6.6928509242848624E-3</v>
      </c>
      <c r="X143" s="2">
        <f t="shared" ca="1" si="15"/>
        <v>45530</v>
      </c>
      <c r="Y143">
        <f t="shared" ca="1" si="16"/>
        <v>0</v>
      </c>
      <c r="AA143" s="63">
        <f t="shared" ca="1" si="18"/>
        <v>79.918507665347121</v>
      </c>
      <c r="AB143" s="63">
        <f t="shared" ca="1" si="19"/>
        <v>79.918507665347121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45531</v>
      </c>
      <c r="K144">
        <f ca="1"/>
        <v>80.649799438382971</v>
      </c>
      <c r="L144">
        <f ca="1"/>
        <v>0</v>
      </c>
      <c r="M144">
        <f ca="1"/>
        <v>0.22545713579182447</v>
      </c>
      <c r="N144">
        <f ca="1"/>
        <v>0.50583463724402045</v>
      </c>
      <c r="O144">
        <f ca="1"/>
        <v>0</v>
      </c>
      <c r="P144">
        <f ca="1"/>
        <v>1.3386898147826627</v>
      </c>
      <c r="Q144">
        <f ca="1"/>
        <v>0</v>
      </c>
      <c r="R144">
        <f ca="1"/>
        <v>0</v>
      </c>
      <c r="S144">
        <f ca="1"/>
        <v>0.96217002758815517</v>
      </c>
      <c r="T144">
        <f ca="1"/>
        <v>0</v>
      </c>
      <c r="U144">
        <f ca="1"/>
        <v>0</v>
      </c>
      <c r="V144">
        <f ca="1"/>
        <v>6.6928509242848624E-3</v>
      </c>
      <c r="X144" s="2">
        <f t="shared" ca="1" si="15"/>
        <v>45531</v>
      </c>
      <c r="Y144">
        <f t="shared" ca="1" si="16"/>
        <v>0</v>
      </c>
      <c r="AA144" s="63">
        <f t="shared" ca="1" si="18"/>
        <v>80.649799438382971</v>
      </c>
      <c r="AB144" s="63">
        <f t="shared" ca="1" si="19"/>
        <v>80.649799438382971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45532</v>
      </c>
      <c r="K145">
        <f ca="1"/>
        <v>81.382962286532816</v>
      </c>
      <c r="L145">
        <f ca="1"/>
        <v>0</v>
      </c>
      <c r="M145">
        <f ca="1"/>
        <v>0.22350021727680769</v>
      </c>
      <c r="N145">
        <f ca="1"/>
        <v>0.50966263087303321</v>
      </c>
      <c r="O145">
        <f ca="1"/>
        <v>0</v>
      </c>
      <c r="P145">
        <f ca="1"/>
        <v>1.3386898147826627</v>
      </c>
      <c r="Q145">
        <f ca="1"/>
        <v>0</v>
      </c>
      <c r="R145">
        <f ca="1"/>
        <v>0</v>
      </c>
      <c r="S145">
        <f ca="1"/>
        <v>0.96694110550820778</v>
      </c>
      <c r="T145">
        <f ca="1"/>
        <v>0</v>
      </c>
      <c r="U145">
        <f ca="1"/>
        <v>0</v>
      </c>
      <c r="V145">
        <f ca="1"/>
        <v>6.6928509242848624E-3</v>
      </c>
      <c r="X145" s="2">
        <f t="shared" ca="1" si="15"/>
        <v>45532</v>
      </c>
      <c r="Y145">
        <f t="shared" ca="1" si="16"/>
        <v>0</v>
      </c>
      <c r="AA145" s="63">
        <f t="shared" ca="1" si="18"/>
        <v>81.382962286532816</v>
      </c>
      <c r="AB145" s="63">
        <f t="shared" ca="1" si="19"/>
        <v>81.382962286532816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45533</v>
      </c>
      <c r="K146">
        <f ca="1"/>
        <v>82.128672067893234</v>
      </c>
      <c r="L146">
        <f ca="1"/>
        <v>0</v>
      </c>
      <c r="M146">
        <f ca="1"/>
        <v>0.22429030360778057</v>
      </c>
      <c r="N146">
        <f ca="1"/>
        <v>0.52141947775264819</v>
      </c>
      <c r="O146">
        <f ca="1"/>
        <v>0</v>
      </c>
      <c r="P146">
        <f ca="1"/>
        <v>1.3386898147826627</v>
      </c>
      <c r="Q146">
        <f ca="1"/>
        <v>0</v>
      </c>
      <c r="R146">
        <f ca="1"/>
        <v>0</v>
      </c>
      <c r="S146">
        <f ca="1"/>
        <v>0.95737400621083224</v>
      </c>
      <c r="T146">
        <f ca="1"/>
        <v>0</v>
      </c>
      <c r="U146">
        <f ca="1"/>
        <v>0</v>
      </c>
      <c r="V146">
        <f ca="1"/>
        <v>6.6928509242848624E-3</v>
      </c>
      <c r="X146" s="2">
        <f t="shared" ca="1" si="15"/>
        <v>45533</v>
      </c>
      <c r="Y146">
        <f t="shared" ca="1" si="16"/>
        <v>0</v>
      </c>
      <c r="AA146" s="63">
        <f t="shared" ca="1" si="18"/>
        <v>82.128672067893248</v>
      </c>
      <c r="AB146" s="63">
        <f t="shared" ca="1" si="19"/>
        <v>82.128672067893234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45534</v>
      </c>
      <c r="K147">
        <f ca="1"/>
        <v>82.799375180804759</v>
      </c>
      <c r="L147">
        <f ca="1"/>
        <v>0</v>
      </c>
      <c r="M147">
        <f ca="1"/>
        <v>0.20817127943310965</v>
      </c>
      <c r="N147">
        <f ca="1"/>
        <v>0.46253183347842591</v>
      </c>
      <c r="O147">
        <f ca="1"/>
        <v>0</v>
      </c>
      <c r="P147">
        <f ca="1"/>
        <v>1.3386898147826627</v>
      </c>
      <c r="Q147">
        <f ca="1"/>
        <v>0</v>
      </c>
      <c r="R147">
        <f ca="1"/>
        <v>0</v>
      </c>
      <c r="S147">
        <f ca="1"/>
        <v>0.93777618323729095</v>
      </c>
      <c r="T147">
        <f ca="1"/>
        <v>0</v>
      </c>
      <c r="U147">
        <f ca="1"/>
        <v>0</v>
      </c>
      <c r="V147">
        <f ca="1"/>
        <v>6.6928509242848624E-3</v>
      </c>
      <c r="X147" s="2">
        <f t="shared" ca="1" si="15"/>
        <v>45534</v>
      </c>
      <c r="Y147">
        <f t="shared" ca="1" si="16"/>
        <v>0</v>
      </c>
      <c r="AA147" s="63">
        <f t="shared" ca="1" si="18"/>
        <v>82.799375180804773</v>
      </c>
      <c r="AB147" s="63">
        <f t="shared" ca="1" si="19"/>
        <v>82.799375180804759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45535</v>
      </c>
      <c r="K148">
        <f ca="1"/>
        <v>83.461861099668127</v>
      </c>
      <c r="L148">
        <f ca="1"/>
        <v>0</v>
      </c>
      <c r="M148">
        <f ca="1"/>
        <v>0.20318288085770675</v>
      </c>
      <c r="N148">
        <f ca="1"/>
        <v>0.45930303800566147</v>
      </c>
      <c r="O148">
        <f ca="1"/>
        <v>0</v>
      </c>
      <c r="P148">
        <f ca="1"/>
        <v>1.3386898147826627</v>
      </c>
      <c r="Q148">
        <f ca="1"/>
        <v>0</v>
      </c>
      <c r="R148">
        <f ca="1"/>
        <v>0</v>
      </c>
      <c r="S148">
        <f ca="1"/>
        <v>0.94629501850431053</v>
      </c>
      <c r="T148">
        <f ca="1"/>
        <v>0</v>
      </c>
      <c r="U148">
        <f ca="1"/>
        <v>0</v>
      </c>
      <c r="V148">
        <f ca="1"/>
        <v>6.6928509242848624E-3</v>
      </c>
      <c r="X148" s="2">
        <f t="shared" ca="1" si="15"/>
        <v>45535</v>
      </c>
      <c r="Y148">
        <f t="shared" ca="1" si="16"/>
        <v>0</v>
      </c>
      <c r="AA148" s="63">
        <f t="shared" ca="1" si="18"/>
        <v>83.461861099668127</v>
      </c>
      <c r="AB148" s="63">
        <f t="shared" ca="1" si="19"/>
        <v>83.461861099668127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45536</v>
      </c>
      <c r="K149">
        <f ca="1"/>
        <v>84.175785178808766</v>
      </c>
      <c r="L149">
        <f ca="1"/>
        <v>0</v>
      </c>
      <c r="M149">
        <f ca="1"/>
        <v>0.21217317314590289</v>
      </c>
      <c r="N149">
        <f ca="1"/>
        <v>0.50175090599473759</v>
      </c>
      <c r="O149">
        <f ca="1"/>
        <v>0</v>
      </c>
      <c r="P149">
        <f ca="1"/>
        <v>1.3386898147826627</v>
      </c>
      <c r="Q149">
        <f ca="1"/>
        <v>0</v>
      </c>
      <c r="R149">
        <f ca="1"/>
        <v>0</v>
      </c>
      <c r="S149">
        <f ca="1"/>
        <v>0.94543372871908182</v>
      </c>
      <c r="T149">
        <f ca="1"/>
        <v>0</v>
      </c>
      <c r="U149">
        <f ca="1"/>
        <v>0</v>
      </c>
      <c r="V149">
        <f ca="1"/>
        <v>6.6928509242848624E-3</v>
      </c>
      <c r="X149" s="2">
        <f t="shared" ca="1" si="15"/>
        <v>45536</v>
      </c>
      <c r="Y149">
        <f t="shared" ca="1" si="16"/>
        <v>0</v>
      </c>
      <c r="AA149" s="63">
        <f t="shared" ca="1" si="18"/>
        <v>84.175785178808766</v>
      </c>
      <c r="AB149" s="63">
        <f t="shared" ca="1" si="19"/>
        <v>84.175785178808766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45537</v>
      </c>
      <c r="K150">
        <f ca="1"/>
        <v>84.896161042003783</v>
      </c>
      <c r="L150">
        <f ca="1"/>
        <v>0</v>
      </c>
      <c r="M150">
        <f ca="1"/>
        <v>0.20965644000007444</v>
      </c>
      <c r="N150">
        <f ca="1"/>
        <v>0.51071942319494745</v>
      </c>
      <c r="O150">
        <f ca="1"/>
        <v>0</v>
      </c>
      <c r="P150">
        <f ca="1"/>
        <v>1.3386898147826627</v>
      </c>
      <c r="Q150">
        <f ca="1"/>
        <v>0</v>
      </c>
      <c r="R150">
        <f ca="1"/>
        <v>0</v>
      </c>
      <c r="S150">
        <f ca="1"/>
        <v>0.9570406935839455</v>
      </c>
      <c r="T150">
        <f ca="1"/>
        <v>0</v>
      </c>
      <c r="U150">
        <f ca="1"/>
        <v>0</v>
      </c>
      <c r="V150">
        <f ca="1"/>
        <v>6.6928509242848624E-3</v>
      </c>
      <c r="X150" s="2">
        <f t="shared" ca="1" si="15"/>
        <v>45537</v>
      </c>
      <c r="Y150">
        <f t="shared" ca="1" si="16"/>
        <v>0</v>
      </c>
      <c r="AA150" s="63">
        <f t="shared" ca="1" si="18"/>
        <v>84.896161042003783</v>
      </c>
      <c r="AB150" s="63">
        <f t="shared" ca="1" si="19"/>
        <v>84.896161042003783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45538</v>
      </c>
      <c r="K151">
        <f ca="1"/>
        <v>85.624065877538314</v>
      </c>
      <c r="L151">
        <f ca="1"/>
        <v>0</v>
      </c>
      <c r="M151">
        <f ca="1"/>
        <v>0.21103406790626522</v>
      </c>
      <c r="N151">
        <f ca="1"/>
        <v>0.516870767628268</v>
      </c>
      <c r="O151">
        <f ca="1"/>
        <v>0</v>
      </c>
      <c r="P151">
        <f ca="1"/>
        <v>1.3386898147826627</v>
      </c>
      <c r="Q151">
        <f ca="1"/>
        <v>0</v>
      </c>
      <c r="R151">
        <f ca="1"/>
        <v>0</v>
      </c>
      <c r="S151">
        <f ca="1"/>
        <v>0.94100139598396926</v>
      </c>
      <c r="T151">
        <f ca="1"/>
        <v>0</v>
      </c>
      <c r="U151">
        <f ca="1"/>
        <v>0</v>
      </c>
      <c r="V151">
        <f ca="1"/>
        <v>6.6928509242848624E-3</v>
      </c>
      <c r="X151" s="2">
        <f t="shared" ca="1" si="15"/>
        <v>45538</v>
      </c>
      <c r="Y151">
        <f t="shared" ca="1" si="16"/>
        <v>0</v>
      </c>
      <c r="AA151" s="63">
        <f t="shared" ca="1" si="18"/>
        <v>85.624065877538314</v>
      </c>
      <c r="AB151" s="63">
        <f t="shared" ca="1" si="19"/>
        <v>85.624065877538314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45539</v>
      </c>
      <c r="K152">
        <f ca="1"/>
        <v>86.370714985822687</v>
      </c>
      <c r="L152">
        <f ca="1"/>
        <v>0</v>
      </c>
      <c r="M152">
        <f ca="1"/>
        <v>0.21454452544385205</v>
      </c>
      <c r="N152">
        <f ca="1"/>
        <v>0.53210458284051809</v>
      </c>
      <c r="O152">
        <f ca="1"/>
        <v>0</v>
      </c>
      <c r="P152">
        <f ca="1"/>
        <v>1.3386898147826627</v>
      </c>
      <c r="Q152">
        <f ca="1"/>
        <v>0</v>
      </c>
      <c r="R152">
        <f ca="1"/>
        <v>0</v>
      </c>
      <c r="S152">
        <f ca="1"/>
        <v>0.9264170337885882</v>
      </c>
      <c r="T152">
        <f ca="1"/>
        <v>0</v>
      </c>
      <c r="U152">
        <f ca="1"/>
        <v>0</v>
      </c>
      <c r="V152">
        <f ca="1"/>
        <v>6.6928509242848624E-3</v>
      </c>
      <c r="X152" s="2">
        <f t="shared" ca="1" si="15"/>
        <v>45539</v>
      </c>
      <c r="Y152">
        <f t="shared" ca="1" si="16"/>
        <v>0</v>
      </c>
      <c r="AA152" s="63">
        <f t="shared" ca="1" si="18"/>
        <v>86.370714985822687</v>
      </c>
      <c r="AB152" s="63">
        <f t="shared" ca="1" si="19"/>
        <v>86.370714985822687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45540</v>
      </c>
      <c r="K153">
        <f ca="1"/>
        <v>87.107250436147538</v>
      </c>
      <c r="L153">
        <f ca="1"/>
        <v>0</v>
      </c>
      <c r="M153">
        <f ca="1"/>
        <v>0.20774682844117009</v>
      </c>
      <c r="N153">
        <f ca="1"/>
        <v>0.52878862188368336</v>
      </c>
      <c r="O153">
        <f ca="1"/>
        <v>0</v>
      </c>
      <c r="P153">
        <f ca="1"/>
        <v>1.3386898147826627</v>
      </c>
      <c r="Q153">
        <f ca="1"/>
        <v>0</v>
      </c>
      <c r="R153">
        <f ca="1"/>
        <v>0</v>
      </c>
      <c r="S153">
        <f ca="1"/>
        <v>0.94231715148232797</v>
      </c>
      <c r="T153">
        <f ca="1"/>
        <v>0</v>
      </c>
      <c r="U153">
        <f ca="1"/>
        <v>0</v>
      </c>
      <c r="V153">
        <f ca="1"/>
        <v>6.6928509242848624E-3</v>
      </c>
      <c r="X153" s="2">
        <f t="shared" ca="1" si="15"/>
        <v>45540</v>
      </c>
      <c r="Y153">
        <f t="shared" ca="1" si="16"/>
        <v>0</v>
      </c>
      <c r="AA153" s="63">
        <f t="shared" ca="1" si="18"/>
        <v>87.107250436147538</v>
      </c>
      <c r="AB153" s="63">
        <f t="shared" ca="1" si="19"/>
        <v>87.107250436147538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45541</v>
      </c>
      <c r="K154">
        <f ca="1"/>
        <v>87.844644769679604</v>
      </c>
      <c r="L154">
        <f ca="1"/>
        <v>0</v>
      </c>
      <c r="M154">
        <f ca="1"/>
        <v>0.20483362248335979</v>
      </c>
      <c r="N154">
        <f ca="1"/>
        <v>0.53256071104869707</v>
      </c>
      <c r="O154">
        <f ca="1"/>
        <v>0</v>
      </c>
      <c r="P154">
        <f ca="1"/>
        <v>1.3386898147826627</v>
      </c>
      <c r="Q154">
        <f ca="1"/>
        <v>0</v>
      </c>
      <c r="R154">
        <f ca="1"/>
        <v>0</v>
      </c>
      <c r="S154">
        <f ca="1"/>
        <v>0.94715536471460149</v>
      </c>
      <c r="T154">
        <f ca="1"/>
        <v>0</v>
      </c>
      <c r="U154">
        <f ca="1"/>
        <v>0</v>
      </c>
      <c r="V154">
        <f ca="1"/>
        <v>6.6928509242848624E-3</v>
      </c>
      <c r="X154" s="2">
        <f t="shared" ca="1" si="15"/>
        <v>45541</v>
      </c>
      <c r="Y154">
        <f t="shared" ca="1" si="16"/>
        <v>0</v>
      </c>
      <c r="AA154" s="63">
        <f t="shared" ca="1" si="18"/>
        <v>87.844644769679604</v>
      </c>
      <c r="AB154" s="63">
        <f t="shared" ca="1" si="19"/>
        <v>87.844644769679604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45542</v>
      </c>
      <c r="K155">
        <f ca="1"/>
        <v>88.518814164261613</v>
      </c>
      <c r="L155">
        <f ca="1"/>
        <v>0</v>
      </c>
      <c r="M155">
        <f ca="1"/>
        <v>0.18825632325491881</v>
      </c>
      <c r="N155">
        <f ca="1"/>
        <v>0.48591307132708489</v>
      </c>
      <c r="O155">
        <f ca="1"/>
        <v>0</v>
      </c>
      <c r="P155">
        <f ca="1"/>
        <v>1.3386898147826627</v>
      </c>
      <c r="Q155">
        <f ca="1"/>
        <v>0</v>
      </c>
      <c r="R155">
        <f ca="1"/>
        <v>0</v>
      </c>
      <c r="S155">
        <f ca="1"/>
        <v>0.97250035649392708</v>
      </c>
      <c r="T155">
        <f ca="1"/>
        <v>0</v>
      </c>
      <c r="U155">
        <f ca="1"/>
        <v>0</v>
      </c>
      <c r="V155">
        <f ca="1"/>
        <v>6.6928509242848624E-3</v>
      </c>
      <c r="X155" s="2">
        <f t="shared" ca="1" si="15"/>
        <v>45542</v>
      </c>
      <c r="Y155">
        <f t="shared" ca="1" si="16"/>
        <v>0</v>
      </c>
      <c r="AA155" s="63">
        <f t="shared" ca="1" si="18"/>
        <v>88.518814164261613</v>
      </c>
      <c r="AB155" s="63">
        <f t="shared" ca="1" si="19"/>
        <v>88.518814164261613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45543</v>
      </c>
      <c r="K156">
        <f ca="1"/>
        <v>89.192492651883995</v>
      </c>
      <c r="L156">
        <f ca="1"/>
        <v>0</v>
      </c>
      <c r="M156">
        <f ca="1"/>
        <v>0.18770576861273014</v>
      </c>
      <c r="N156">
        <f ca="1"/>
        <v>0.48597271900965167</v>
      </c>
      <c r="O156">
        <f ca="1"/>
        <v>0</v>
      </c>
      <c r="P156">
        <f ca="1"/>
        <v>1.3386898147826627</v>
      </c>
      <c r="Q156">
        <f ca="1"/>
        <v>0</v>
      </c>
      <c r="R156">
        <f ca="1"/>
        <v>0</v>
      </c>
      <c r="S156">
        <f ca="1"/>
        <v>0.94667228734679665</v>
      </c>
      <c r="T156">
        <f ca="1"/>
        <v>0</v>
      </c>
      <c r="U156">
        <f ca="1"/>
        <v>0</v>
      </c>
      <c r="V156">
        <f ca="1"/>
        <v>6.6928509242848624E-3</v>
      </c>
      <c r="X156" s="2">
        <f t="shared" ca="1" si="15"/>
        <v>45543</v>
      </c>
      <c r="Y156">
        <f t="shared" ca="1" si="16"/>
        <v>0</v>
      </c>
      <c r="AA156" s="63">
        <f t="shared" ca="1" si="18"/>
        <v>89.192492651883995</v>
      </c>
      <c r="AB156" s="63">
        <f t="shared" ca="1" si="19"/>
        <v>89.192492651883995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45544</v>
      </c>
      <c r="K157">
        <f ca="1"/>
        <v>89.938583648560723</v>
      </c>
      <c r="L157">
        <f ca="1"/>
        <v>0</v>
      </c>
      <c r="M157">
        <f ca="1"/>
        <v>0.1994806816761141</v>
      </c>
      <c r="N157">
        <f ca="1"/>
        <v>0.54661031500060564</v>
      </c>
      <c r="O157">
        <f ca="1"/>
        <v>0</v>
      </c>
      <c r="P157">
        <f ca="1"/>
        <v>1.3386898147826627</v>
      </c>
      <c r="Q157">
        <f ca="1"/>
        <v>0</v>
      </c>
      <c r="R157">
        <f ca="1"/>
        <v>0</v>
      </c>
      <c r="S157">
        <f ca="1"/>
        <v>0.94785657749198449</v>
      </c>
      <c r="T157">
        <f ca="1"/>
        <v>0</v>
      </c>
      <c r="U157">
        <f ca="1"/>
        <v>0</v>
      </c>
      <c r="V157">
        <f ca="1"/>
        <v>6.6928509242848624E-3</v>
      </c>
      <c r="X157" s="2">
        <f t="shared" ca="1" si="15"/>
        <v>45544</v>
      </c>
      <c r="Y157">
        <f t="shared" ca="1" si="16"/>
        <v>0</v>
      </c>
      <c r="AA157" s="63">
        <f t="shared" ca="1" si="18"/>
        <v>89.938583648560723</v>
      </c>
      <c r="AB157" s="63">
        <f t="shared" ca="1" si="19"/>
        <v>89.938583648560723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45545</v>
      </c>
      <c r="K158">
        <f ca="1"/>
        <v>90.696176590052801</v>
      </c>
      <c r="L158">
        <f ca="1"/>
        <v>0</v>
      </c>
      <c r="M158">
        <f ca="1"/>
        <v>0.20067864712694217</v>
      </c>
      <c r="N158">
        <f ca="1"/>
        <v>0.55691429436514484</v>
      </c>
      <c r="O158">
        <f ca="1"/>
        <v>0</v>
      </c>
      <c r="P158">
        <f ca="1"/>
        <v>1.3386898147826627</v>
      </c>
      <c r="Q158">
        <f ca="1"/>
        <v>0</v>
      </c>
      <c r="R158">
        <f ca="1"/>
        <v>0</v>
      </c>
      <c r="S158">
        <f ca="1"/>
        <v>0.93707754513745822</v>
      </c>
      <c r="T158">
        <f ca="1"/>
        <v>0</v>
      </c>
      <c r="U158">
        <f ca="1"/>
        <v>0</v>
      </c>
      <c r="V158">
        <f ca="1"/>
        <v>6.6928509242848624E-3</v>
      </c>
      <c r="X158" s="2">
        <f t="shared" ca="1" si="15"/>
        <v>45545</v>
      </c>
      <c r="Y158">
        <f t="shared" ca="1" si="16"/>
        <v>0</v>
      </c>
      <c r="AA158" s="63">
        <f t="shared" ca="1" si="18"/>
        <v>90.696176590052815</v>
      </c>
      <c r="AB158" s="63">
        <f t="shared" ca="1" si="19"/>
        <v>90.696176590052801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45546</v>
      </c>
      <c r="K159">
        <f ca="1"/>
        <v>91.426004375509763</v>
      </c>
      <c r="L159">
        <f ca="1"/>
        <v>0</v>
      </c>
      <c r="M159">
        <f ca="1"/>
        <v>0.19165709276069975</v>
      </c>
      <c r="N159">
        <f ca="1"/>
        <v>0.5381706926962645</v>
      </c>
      <c r="O159">
        <f ca="1"/>
        <v>0</v>
      </c>
      <c r="P159">
        <f ca="1"/>
        <v>1.3386898147826627</v>
      </c>
      <c r="Q159">
        <f ca="1"/>
        <v>0</v>
      </c>
      <c r="R159">
        <f ca="1"/>
        <v>0</v>
      </c>
      <c r="S159">
        <f ca="1"/>
        <v>0.9462905698988644</v>
      </c>
      <c r="T159">
        <f ca="1"/>
        <v>0</v>
      </c>
      <c r="U159">
        <f ca="1"/>
        <v>0</v>
      </c>
      <c r="V159">
        <f ca="1"/>
        <v>6.6928509242848624E-3</v>
      </c>
      <c r="X159" s="2">
        <f t="shared" ca="1" si="15"/>
        <v>45546</v>
      </c>
      <c r="Y159">
        <f t="shared" ca="1" si="16"/>
        <v>0</v>
      </c>
      <c r="AA159" s="63">
        <f t="shared" ca="1" si="18"/>
        <v>91.426004375509763</v>
      </c>
      <c r="AB159" s="63">
        <f t="shared" ca="1" si="19"/>
        <v>91.426004375509763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45547</v>
      </c>
      <c r="K160">
        <f ca="1"/>
        <v>92.168910328459091</v>
      </c>
      <c r="L160">
        <f ca="1"/>
        <v>0</v>
      </c>
      <c r="M160">
        <f ca="1"/>
        <v>0.19334080882688909</v>
      </c>
      <c r="N160">
        <f ca="1"/>
        <v>0.54956514412244473</v>
      </c>
      <c r="O160">
        <f ca="1"/>
        <v>0</v>
      </c>
      <c r="P160">
        <f ca="1"/>
        <v>1.3386898147826627</v>
      </c>
      <c r="Q160">
        <f ca="1"/>
        <v>0</v>
      </c>
      <c r="R160">
        <f ca="1"/>
        <v>0</v>
      </c>
      <c r="S160">
        <f ca="1"/>
        <v>0.93390614219136281</v>
      </c>
      <c r="T160">
        <f ca="1"/>
        <v>0</v>
      </c>
      <c r="U160">
        <f ca="1"/>
        <v>0</v>
      </c>
      <c r="V160">
        <f ca="1"/>
        <v>6.6928509242848624E-3</v>
      </c>
      <c r="X160" s="2">
        <f t="shared" ca="1" si="15"/>
        <v>45547</v>
      </c>
      <c r="Y160">
        <f t="shared" ca="1" si="16"/>
        <v>0</v>
      </c>
      <c r="AA160" s="63">
        <f t="shared" ca="1" si="18"/>
        <v>92.168910328459091</v>
      </c>
      <c r="AB160" s="63">
        <f t="shared" ca="1" si="19"/>
        <v>92.168910328459091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45548</v>
      </c>
      <c r="K161">
        <f ca="1"/>
        <v>92.886822861301397</v>
      </c>
      <c r="L161">
        <f ca="1"/>
        <v>0</v>
      </c>
      <c r="M161">
        <f ca="1"/>
        <v>0.19018561507051501</v>
      </c>
      <c r="N161">
        <f ca="1"/>
        <v>0.5277269177717846</v>
      </c>
      <c r="O161">
        <f ca="1"/>
        <v>0</v>
      </c>
      <c r="P161">
        <f ca="1"/>
        <v>1.3386898147826627</v>
      </c>
      <c r="Q161">
        <f ca="1"/>
        <v>0</v>
      </c>
      <c r="R161">
        <f ca="1"/>
        <v>0</v>
      </c>
      <c r="S161">
        <f ca="1"/>
        <v>0.90259556069167179</v>
      </c>
      <c r="T161">
        <f ca="1"/>
        <v>0</v>
      </c>
      <c r="U161">
        <f ca="1"/>
        <v>0</v>
      </c>
      <c r="V161">
        <f ca="1"/>
        <v>6.6928509242848624E-3</v>
      </c>
      <c r="X161" s="2">
        <f t="shared" ca="1" si="15"/>
        <v>45548</v>
      </c>
      <c r="Y161">
        <f t="shared" ca="1" si="16"/>
        <v>0</v>
      </c>
      <c r="AA161" s="63">
        <f t="shared" ca="1" si="18"/>
        <v>92.886822861301397</v>
      </c>
      <c r="AB161" s="63">
        <f t="shared" ca="1" si="19"/>
        <v>92.886822861301397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45549</v>
      </c>
      <c r="K162">
        <f ca="1"/>
        <v>93.630857137818666</v>
      </c>
      <c r="L162">
        <f ca="1"/>
        <v>0</v>
      </c>
      <c r="M162">
        <f ca="1"/>
        <v>0.19295085390286104</v>
      </c>
      <c r="N162">
        <f ca="1"/>
        <v>0.55108342261440646</v>
      </c>
      <c r="O162">
        <f ca="1"/>
        <v>0</v>
      </c>
      <c r="P162">
        <f ca="1"/>
        <v>1.3386898147826627</v>
      </c>
      <c r="Q162">
        <f ca="1"/>
        <v>0</v>
      </c>
      <c r="R162">
        <f ca="1"/>
        <v>0</v>
      </c>
      <c r="S162">
        <f ca="1"/>
        <v>0.90109504258145612</v>
      </c>
      <c r="T162">
        <f ca="1"/>
        <v>0</v>
      </c>
      <c r="U162">
        <f ca="1"/>
        <v>0</v>
      </c>
      <c r="V162">
        <f ca="1"/>
        <v>6.6928509242848624E-3</v>
      </c>
      <c r="X162" s="2">
        <f t="shared" ca="1" si="15"/>
        <v>45549</v>
      </c>
      <c r="Y162">
        <f t="shared" ca="1" si="16"/>
        <v>0</v>
      </c>
      <c r="AA162" s="63">
        <f t="shared" ca="1" si="18"/>
        <v>93.630857137818666</v>
      </c>
      <c r="AB162" s="63">
        <f t="shared" ca="1" si="19"/>
        <v>93.630857137818666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45550</v>
      </c>
      <c r="K163">
        <f ca="1"/>
        <v>94.334062717134003</v>
      </c>
      <c r="L163">
        <f ca="1"/>
        <v>0</v>
      </c>
      <c r="M163">
        <f ca="1"/>
        <v>0.18289865275142247</v>
      </c>
      <c r="N163">
        <f ca="1"/>
        <v>0.52030692656391853</v>
      </c>
      <c r="O163">
        <f ca="1"/>
        <v>0</v>
      </c>
      <c r="P163">
        <f ca="1"/>
        <v>1.3386898147826627</v>
      </c>
      <c r="Q163">
        <f ca="1"/>
        <v>0</v>
      </c>
      <c r="R163">
        <f ca="1"/>
        <v>0</v>
      </c>
      <c r="S163">
        <f ca="1"/>
        <v>0.89961342320471871</v>
      </c>
      <c r="T163">
        <f ca="1"/>
        <v>0</v>
      </c>
      <c r="U163">
        <f ca="1"/>
        <v>0</v>
      </c>
      <c r="V163">
        <f ca="1"/>
        <v>6.6928509242848624E-3</v>
      </c>
      <c r="X163" s="2">
        <f t="shared" ca="1" si="15"/>
        <v>45550</v>
      </c>
      <c r="Y163">
        <f t="shared" ca="1" si="16"/>
        <v>0</v>
      </c>
      <c r="AA163" s="63">
        <f t="shared" ca="1" si="18"/>
        <v>94.334062717134003</v>
      </c>
      <c r="AB163" s="63">
        <f t="shared" ca="1" si="19"/>
        <v>94.334062717134003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45551</v>
      </c>
      <c r="K164">
        <f ca="1"/>
        <v>95.020108385231921</v>
      </c>
      <c r="L164">
        <f ca="1"/>
        <v>0</v>
      </c>
      <c r="M164">
        <f ca="1"/>
        <v>0.17879200488787816</v>
      </c>
      <c r="N164">
        <f ca="1"/>
        <v>0.50725366321003473</v>
      </c>
      <c r="O164">
        <f ca="1"/>
        <v>0</v>
      </c>
      <c r="P164">
        <f ca="1"/>
        <v>1.3386898147826627</v>
      </c>
      <c r="Q164">
        <f ca="1"/>
        <v>0</v>
      </c>
      <c r="R164">
        <f ca="1"/>
        <v>0</v>
      </c>
      <c r="S164">
        <f ca="1"/>
        <v>0.88782116931696775</v>
      </c>
      <c r="T164">
        <f ca="1"/>
        <v>0</v>
      </c>
      <c r="U164">
        <f ca="1"/>
        <v>0</v>
      </c>
      <c r="V164">
        <f ca="1"/>
        <v>6.6928509242848624E-3</v>
      </c>
      <c r="X164" s="2">
        <f t="shared" ca="1" si="15"/>
        <v>45551</v>
      </c>
      <c r="Y164">
        <f t="shared" ca="1" si="16"/>
        <v>0</v>
      </c>
      <c r="AA164" s="63">
        <f t="shared" ca="1" si="18"/>
        <v>95.020108385231921</v>
      </c>
      <c r="AB164" s="63">
        <f t="shared" ca="1" si="19"/>
        <v>95.020108385231921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45552</v>
      </c>
      <c r="K165">
        <f ca="1"/>
        <v>95.670678638123661</v>
      </c>
      <c r="L165">
        <f ca="1"/>
        <v>0</v>
      </c>
      <c r="M165">
        <f ca="1"/>
        <v>0.17051195910174499</v>
      </c>
      <c r="N165">
        <f ca="1"/>
        <v>0.4800582937899931</v>
      </c>
      <c r="O165">
        <f ca="1"/>
        <v>0</v>
      </c>
      <c r="P165">
        <f ca="1"/>
        <v>1.3386898147826627</v>
      </c>
      <c r="Q165">
        <f ca="1"/>
        <v>0</v>
      </c>
      <c r="R165">
        <f ca="1"/>
        <v>0</v>
      </c>
      <c r="S165">
        <f ca="1"/>
        <v>0.88256717819349639</v>
      </c>
      <c r="T165">
        <f ca="1"/>
        <v>0</v>
      </c>
      <c r="U165">
        <f ca="1"/>
        <v>0</v>
      </c>
      <c r="V165">
        <f ca="1"/>
        <v>6.6928509242848624E-3</v>
      </c>
      <c r="X165" s="2">
        <f t="shared" ca="1" si="15"/>
        <v>45552</v>
      </c>
      <c r="Y165">
        <f t="shared" ca="1" si="16"/>
        <v>0</v>
      </c>
      <c r="AA165" s="63">
        <f t="shared" ca="1" si="18"/>
        <v>95.670678638123661</v>
      </c>
      <c r="AB165" s="63">
        <f t="shared" ca="1" si="19"/>
        <v>95.670678638123661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45553</v>
      </c>
      <c r="K166">
        <f ca="1"/>
        <v>96.367936144834559</v>
      </c>
      <c r="L166">
        <f ca="1"/>
        <v>0</v>
      </c>
      <c r="M166">
        <f ca="1"/>
        <v>0.17668289818828953</v>
      </c>
      <c r="N166">
        <f ca="1"/>
        <v>0.52057460852260429</v>
      </c>
      <c r="O166">
        <f ca="1"/>
        <v>0</v>
      </c>
      <c r="P166">
        <f ca="1"/>
        <v>1.3386898147826627</v>
      </c>
      <c r="Q166">
        <f ca="1"/>
        <v>0</v>
      </c>
      <c r="R166">
        <f ca="1"/>
        <v>0</v>
      </c>
      <c r="S166">
        <f ca="1"/>
        <v>0.88535330198936624</v>
      </c>
      <c r="T166">
        <f ca="1"/>
        <v>0</v>
      </c>
      <c r="U166">
        <f ca="1"/>
        <v>0</v>
      </c>
      <c r="V166">
        <f ca="1"/>
        <v>6.6928509242848624E-3</v>
      </c>
      <c r="X166" s="2">
        <f t="shared" ca="1" si="15"/>
        <v>45553</v>
      </c>
      <c r="Y166">
        <f t="shared" ca="1" si="16"/>
        <v>0</v>
      </c>
      <c r="AA166" s="63">
        <f t="shared" ca="1" si="18"/>
        <v>96.367936144834559</v>
      </c>
      <c r="AB166" s="63">
        <f t="shared" ca="1" si="19"/>
        <v>96.367936144834559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45554</v>
      </c>
      <c r="K167">
        <f ca="1"/>
        <v>97.067708654858933</v>
      </c>
      <c r="L167">
        <f ca="1"/>
        <v>0</v>
      </c>
      <c r="M167">
        <f ca="1"/>
        <v>0.17758783231756325</v>
      </c>
      <c r="N167">
        <f ca="1"/>
        <v>0.52218467770682186</v>
      </c>
      <c r="O167">
        <f ca="1"/>
        <v>0</v>
      </c>
      <c r="P167">
        <f ca="1"/>
        <v>1.3386898147826627</v>
      </c>
      <c r="Q167">
        <f ca="1"/>
        <v>0</v>
      </c>
      <c r="R167">
        <f ca="1"/>
        <v>0</v>
      </c>
      <c r="S167">
        <f ca="1"/>
        <v>0.86287078689710828</v>
      </c>
      <c r="T167">
        <f ca="1"/>
        <v>0</v>
      </c>
      <c r="U167">
        <f ca="1"/>
        <v>0</v>
      </c>
      <c r="V167">
        <f ca="1"/>
        <v>6.6928509242848624E-3</v>
      </c>
      <c r="X167" s="2">
        <f t="shared" ca="1" si="15"/>
        <v>45554</v>
      </c>
      <c r="Y167">
        <f t="shared" ca="1" si="16"/>
        <v>0</v>
      </c>
      <c r="AA167" s="63">
        <f t="shared" ca="1" si="18"/>
        <v>97.067708654858947</v>
      </c>
      <c r="AB167" s="63">
        <f t="shared" ca="1" si="19"/>
        <v>97.067708654858933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45555</v>
      </c>
      <c r="K168">
        <f ca="1"/>
        <v>97.736648346864982</v>
      </c>
      <c r="L168">
        <f ca="1"/>
        <v>0</v>
      </c>
      <c r="M168">
        <f ca="1"/>
        <v>0.16945758660213173</v>
      </c>
      <c r="N168">
        <f ca="1"/>
        <v>0.4994821054039203</v>
      </c>
      <c r="O168">
        <f ca="1"/>
        <v>0</v>
      </c>
      <c r="P168">
        <f ca="1"/>
        <v>1.3386898147826627</v>
      </c>
      <c r="Q168">
        <f ca="1"/>
        <v>0</v>
      </c>
      <c r="R168">
        <f ca="1"/>
        <v>0</v>
      </c>
      <c r="S168">
        <f ca="1"/>
        <v>0.86352841331109009</v>
      </c>
      <c r="T168">
        <f ca="1"/>
        <v>0</v>
      </c>
      <c r="U168">
        <f ca="1"/>
        <v>0</v>
      </c>
      <c r="V168">
        <f ca="1"/>
        <v>6.6928509242848624E-3</v>
      </c>
      <c r="X168" s="2">
        <f t="shared" ca="1" si="15"/>
        <v>45555</v>
      </c>
      <c r="Y168">
        <f t="shared" ca="1" si="16"/>
        <v>0</v>
      </c>
      <c r="AA168" s="63">
        <f t="shared" ca="1" si="18"/>
        <v>97.736648346864982</v>
      </c>
      <c r="AB168" s="63">
        <f t="shared" ca="1" si="19"/>
        <v>97.736648346864982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45556</v>
      </c>
      <c r="K169">
        <f ca="1"/>
        <v>97.338766122887307</v>
      </c>
      <c r="L169">
        <f ca="1"/>
        <v>1.0353288923813406</v>
      </c>
      <c r="M169">
        <f ca="1"/>
        <v>0.15945080509283471</v>
      </c>
      <c r="N169">
        <f ca="1"/>
        <v>0.47799586331084187</v>
      </c>
      <c r="O169">
        <f ca="1"/>
        <v>0</v>
      </c>
      <c r="P169">
        <f ca="1"/>
        <v>2.3740187071640033</v>
      </c>
      <c r="Q169">
        <f ca="1"/>
        <v>0</v>
      </c>
      <c r="R169">
        <f ca="1"/>
        <v>0</v>
      </c>
      <c r="S169">
        <f ca="1"/>
        <v>0.88252241717574209</v>
      </c>
      <c r="T169">
        <f ca="1"/>
        <v>0</v>
      </c>
      <c r="U169">
        <f ca="1"/>
        <v>0</v>
      </c>
      <c r="V169">
        <f ca="1"/>
        <v>2.7795114167965325E-2</v>
      </c>
      <c r="X169" s="2">
        <f t="shared" ca="1" si="15"/>
        <v>45556</v>
      </c>
      <c r="Y169">
        <f t="shared" ca="1" si="16"/>
        <v>0</v>
      </c>
      <c r="AA169" s="63">
        <f t="shared" ca="1" si="18"/>
        <v>98.374095015268651</v>
      </c>
      <c r="AB169" s="63">
        <f t="shared" ca="1" si="19"/>
        <v>98.374095015268651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45557</v>
      </c>
      <c r="K170">
        <f ca="1"/>
        <v>94.247451328965724</v>
      </c>
      <c r="L170">
        <f ca="1"/>
        <v>3.7532950060044854</v>
      </c>
      <c r="M170">
        <f ca="1"/>
        <v>0.16271333219305006</v>
      </c>
      <c r="N170">
        <f ca="1"/>
        <v>0.49926687988984031</v>
      </c>
      <c r="O170">
        <f ca="1"/>
        <v>0</v>
      </c>
      <c r="P170">
        <f ca="1"/>
        <v>6.1273137131684887</v>
      </c>
      <c r="Q170">
        <f ca="1"/>
        <v>0</v>
      </c>
      <c r="R170">
        <f ca="1"/>
        <v>0</v>
      </c>
      <c r="S170">
        <f ca="1"/>
        <v>0.87375093700730977</v>
      </c>
      <c r="T170">
        <f ca="1"/>
        <v>0</v>
      </c>
      <c r="U170">
        <f ca="1"/>
        <v>0</v>
      </c>
      <c r="V170">
        <f ca="1"/>
        <v>0.24299231051914963</v>
      </c>
      <c r="X170" s="2">
        <f t="shared" ca="1" si="15"/>
        <v>45557</v>
      </c>
      <c r="Y170">
        <f t="shared" ca="1" si="16"/>
        <v>0</v>
      </c>
      <c r="AA170" s="63">
        <f t="shared" ca="1" si="18"/>
        <v>98.000746334970202</v>
      </c>
      <c r="AB170" s="63">
        <f t="shared" ca="1" si="19"/>
        <v>98.000746334970216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45558</v>
      </c>
      <c r="K171">
        <f ca="1"/>
        <v>85.151547488307401</v>
      </c>
      <c r="L171">
        <f ca="1"/>
        <v>9.7620093392964726</v>
      </c>
      <c r="M171">
        <f ca="1"/>
        <v>0.16154812854976441</v>
      </c>
      <c r="N171">
        <f ca="1"/>
        <v>0.50455737008837609</v>
      </c>
      <c r="O171">
        <f ca="1"/>
        <v>0</v>
      </c>
      <c r="P171">
        <f ca="1"/>
        <v>15.889323052464961</v>
      </c>
      <c r="Q171">
        <f ca="1"/>
        <v>0</v>
      </c>
      <c r="R171">
        <f ca="1"/>
        <v>0</v>
      </c>
      <c r="S171">
        <f ca="1"/>
        <v>0.87142021755624</v>
      </c>
      <c r="T171">
        <f ca="1"/>
        <v>0</v>
      </c>
      <c r="U171">
        <f ca="1"/>
        <v>0</v>
      </c>
      <c r="V171">
        <f ca="1"/>
        <v>0.79819209986710826</v>
      </c>
      <c r="X171" s="2">
        <f t="shared" ca="1" si="15"/>
        <v>45558</v>
      </c>
      <c r="Y171">
        <f t="shared" ca="1" si="16"/>
        <v>0</v>
      </c>
      <c r="AA171" s="63">
        <f t="shared" ca="1" si="18"/>
        <v>94.91355682760387</v>
      </c>
      <c r="AB171" s="63">
        <f t="shared" ca="1" si="19"/>
        <v>94.91355682760387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45559</v>
      </c>
      <c r="K172">
        <f ca="1"/>
        <v>65.771146606841086</v>
      </c>
      <c r="L172">
        <f ca="1"/>
        <v>20.010686856424037</v>
      </c>
      <c r="M172">
        <f ca="1"/>
        <v>0.15611692771281938</v>
      </c>
      <c r="N172">
        <f ca="1"/>
        <v>0.47416904724489461</v>
      </c>
      <c r="O172">
        <f ca="1"/>
        <v>0</v>
      </c>
      <c r="P172">
        <f ca="1"/>
        <v>35.900009908888997</v>
      </c>
      <c r="Q172">
        <f ca="1"/>
        <v>0</v>
      </c>
      <c r="R172">
        <f ca="1"/>
        <v>0</v>
      </c>
      <c r="S172">
        <f ca="1"/>
        <v>0.84416499334475992</v>
      </c>
      <c r="T172">
        <f ca="1"/>
        <v>0</v>
      </c>
      <c r="U172">
        <f ca="1"/>
        <v>0</v>
      </c>
      <c r="V172">
        <f ca="1"/>
        <v>0.97588196619475664</v>
      </c>
      <c r="X172" s="2">
        <f t="shared" ca="1" si="15"/>
        <v>45559</v>
      </c>
      <c r="Y172">
        <f t="shared" ca="1" si="16"/>
        <v>0</v>
      </c>
      <c r="AA172" s="63">
        <f t="shared" ca="1" si="18"/>
        <v>85.781833463265116</v>
      </c>
      <c r="AB172" s="63">
        <f t="shared" ca="1" si="19"/>
        <v>85.781833463265116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45560</v>
      </c>
      <c r="K173">
        <f ca="1"/>
        <v>36.053178299335784</v>
      </c>
      <c r="L173">
        <f ca="1"/>
        <v>48.488490402547178</v>
      </c>
      <c r="M173">
        <f ca="1"/>
        <v>0.1641066280132577</v>
      </c>
      <c r="N173">
        <f ca="1"/>
        <v>0.51031709717871365</v>
      </c>
      <c r="O173">
        <f ca="1"/>
        <v>18.096098369849908</v>
      </c>
      <c r="P173">
        <f ca="1"/>
        <v>84.388500311436175</v>
      </c>
      <c r="Q173">
        <f ca="1"/>
        <v>0</v>
      </c>
      <c r="R173">
        <f ca="1"/>
        <v>0</v>
      </c>
      <c r="S173">
        <f ca="1"/>
        <v>0.82454506830350804</v>
      </c>
      <c r="T173">
        <f ca="1"/>
        <v>0</v>
      </c>
      <c r="U173">
        <f ca="1"/>
        <v>0</v>
      </c>
      <c r="V173">
        <f ca="1"/>
        <v>0.99878597931553936</v>
      </c>
      <c r="X173" s="2">
        <f t="shared" ca="1" si="15"/>
        <v>45560</v>
      </c>
      <c r="Y173">
        <f t="shared" ca="1" si="16"/>
        <v>18.096098369849908</v>
      </c>
      <c r="AA173" s="63">
        <f t="shared" ca="1" si="18"/>
        <v>84.541668701882969</v>
      </c>
      <c r="AB173" s="63">
        <f t="shared" ca="1" si="19"/>
        <v>84.541668701882969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1</v>
      </c>
      <c r="J174" s="2">
        <f ca="1"/>
        <v>45561</v>
      </c>
      <c r="K174">
        <f ca="1"/>
        <v>-18.909540535405917</v>
      </c>
      <c r="L174">
        <f ca="1"/>
        <v>55.611499688563825</v>
      </c>
      <c r="M174">
        <f ca="1"/>
        <v>0.15964775936662079</v>
      </c>
      <c r="N174">
        <f ca="1"/>
        <v>0.48913309445550174</v>
      </c>
      <c r="O174">
        <f ca="1"/>
        <v>0</v>
      </c>
      <c r="P174">
        <f ca="1"/>
        <v>140</v>
      </c>
      <c r="Q174">
        <f ca="1"/>
        <v>0</v>
      </c>
      <c r="R174">
        <f ca="1"/>
        <v>0</v>
      </c>
      <c r="S174">
        <f ca="1"/>
        <v>0.80361973700979317</v>
      </c>
      <c r="T174">
        <f ca="1"/>
        <v>0</v>
      </c>
      <c r="U174">
        <f ca="1"/>
        <v>0</v>
      </c>
      <c r="V174">
        <f ca="1"/>
        <v>0.99993345063478134</v>
      </c>
      <c r="X174" s="2">
        <f t="shared" ca="1" si="15"/>
        <v>45561</v>
      </c>
      <c r="Y174">
        <f t="shared" ca="1" si="16"/>
        <v>0</v>
      </c>
      <c r="AA174" s="63">
        <f t="shared" ca="1" si="18"/>
        <v>36.701959153157908</v>
      </c>
      <c r="AB174" s="63">
        <f t="shared" ca="1" si="19"/>
        <v>36.701959153157908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45562</v>
      </c>
      <c r="K175">
        <f ca="1"/>
        <v>-19.1794888448092</v>
      </c>
      <c r="L175">
        <f ca="1"/>
        <v>0</v>
      </c>
      <c r="M175">
        <f ca="1"/>
        <v>-0.75617282032823852</v>
      </c>
      <c r="N175">
        <f ca="1"/>
        <v>0.48622451092495594</v>
      </c>
      <c r="O175">
        <f ca="1"/>
        <v>0</v>
      </c>
      <c r="P175">
        <f ca="1"/>
        <v>0</v>
      </c>
      <c r="Q175">
        <f ca="1"/>
        <v>0</v>
      </c>
      <c r="R175">
        <f ca="1"/>
        <v>0</v>
      </c>
      <c r="S175">
        <f ca="1"/>
        <v>0.81315451965303986</v>
      </c>
      <c r="T175">
        <f ca="1"/>
        <v>0</v>
      </c>
      <c r="U175">
        <f ca="1"/>
        <v>0</v>
      </c>
      <c r="V175">
        <f ca="1"/>
        <v>0</v>
      </c>
      <c r="X175" s="2">
        <f t="shared" ca="1" si="15"/>
        <v>45562</v>
      </c>
      <c r="Y175">
        <f t="shared" ca="1" si="16"/>
        <v>0</v>
      </c>
      <c r="AA175" s="63">
        <f t="shared" ca="1" si="18"/>
        <v>-19.1794888448092</v>
      </c>
      <c r="AB175" s="63">
        <f t="shared" ca="1" si="19"/>
        <v>-19.1794888448092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45563</v>
      </c>
      <c r="K176">
        <f ca="1"/>
        <v>-19.407597549027326</v>
      </c>
      <c r="L176">
        <f ca="1"/>
        <v>0</v>
      </c>
      <c r="M176">
        <f ca="1"/>
        <v>-0.69825907627857475</v>
      </c>
      <c r="N176">
        <f ca="1"/>
        <v>0.47015037206044952</v>
      </c>
      <c r="O176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0.78266785942729278</v>
      </c>
      <c r="T176">
        <f ca="1"/>
        <v>0</v>
      </c>
      <c r="U176">
        <f ca="1"/>
        <v>0</v>
      </c>
      <c r="V176">
        <f ca="1"/>
        <v>0</v>
      </c>
      <c r="X176" s="2">
        <f t="shared" ca="1" si="15"/>
        <v>45563</v>
      </c>
      <c r="Y176">
        <f t="shared" ca="1" si="16"/>
        <v>0</v>
      </c>
      <c r="AA176" s="63">
        <f t="shared" ca="1" si="18"/>
        <v>-19.407597549027326</v>
      </c>
      <c r="AB176" s="63">
        <f t="shared" ca="1" si="19"/>
        <v>-19.407597549027326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45564</v>
      </c>
      <c r="K177">
        <f ca="1"/>
        <v>-19.565918483443372</v>
      </c>
      <c r="L177">
        <f ca="1"/>
        <v>0</v>
      </c>
      <c r="M177">
        <f ca="1"/>
        <v>-0.67820013685259539</v>
      </c>
      <c r="N177">
        <f ca="1"/>
        <v>0.51987920243655039</v>
      </c>
      <c r="O177">
        <f ca="1"/>
        <v>0</v>
      </c>
      <c r="P177">
        <f ca="1"/>
        <v>0</v>
      </c>
      <c r="Q177">
        <f ca="1"/>
        <v>0</v>
      </c>
      <c r="R177">
        <f ca="1"/>
        <v>0</v>
      </c>
      <c r="S177">
        <f ca="1"/>
        <v>0.79189964435202065</v>
      </c>
      <c r="T177">
        <f ca="1"/>
        <v>0</v>
      </c>
      <c r="U177">
        <f ca="1"/>
        <v>0</v>
      </c>
      <c r="V177">
        <f ca="1"/>
        <v>0</v>
      </c>
      <c r="X177" s="2">
        <f t="shared" ca="1" si="15"/>
        <v>45564</v>
      </c>
      <c r="Y177">
        <f t="shared" ca="1" si="16"/>
        <v>0</v>
      </c>
      <c r="AA177" s="63">
        <f t="shared" ca="1" si="18"/>
        <v>-19.565918483443372</v>
      </c>
      <c r="AB177" s="63">
        <f t="shared" ca="1" si="19"/>
        <v>-19.565918483443372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45565</v>
      </c>
      <c r="K178">
        <f ca="1"/>
        <v>-19.664668169501056</v>
      </c>
      <c r="L178">
        <f ca="1"/>
        <v>0</v>
      </c>
      <c r="M178">
        <f ca="1"/>
        <v>-0.62728340704974528</v>
      </c>
      <c r="N178">
        <f ca="1"/>
        <v>0.52853372099206364</v>
      </c>
      <c r="O178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0.78268899770701794</v>
      </c>
      <c r="T178">
        <f ca="1"/>
        <v>0</v>
      </c>
      <c r="U178">
        <f ca="1"/>
        <v>0</v>
      </c>
      <c r="V178">
        <f ca="1"/>
        <v>0</v>
      </c>
      <c r="X178" s="2">
        <f t="shared" ca="1" si="15"/>
        <v>45565</v>
      </c>
      <c r="Y178">
        <f t="shared" ca="1" si="16"/>
        <v>0</v>
      </c>
      <c r="AA178" s="63">
        <f t="shared" ca="1" si="18"/>
        <v>-19.664668169501056</v>
      </c>
      <c r="AB178" s="63">
        <f t="shared" ca="1" si="19"/>
        <v>-19.664668169501056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45566</v>
      </c>
      <c r="K179">
        <f ca="1"/>
        <v>-19.696544310740514</v>
      </c>
      <c r="L179">
        <f ca="1"/>
        <v>0</v>
      </c>
      <c r="M179">
        <f ca="1"/>
        <v>-0.58097224677243275</v>
      </c>
      <c r="N179">
        <f ca="1"/>
        <v>0.5490961055329735</v>
      </c>
      <c r="O179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0.78065535765474081</v>
      </c>
      <c r="T179">
        <f ca="1"/>
        <v>0</v>
      </c>
      <c r="U179">
        <f ca="1"/>
        <v>0</v>
      </c>
      <c r="V179">
        <f ca="1"/>
        <v>0</v>
      </c>
      <c r="X179" s="2">
        <f t="shared" ca="1" si="15"/>
        <v>45566</v>
      </c>
      <c r="Y179">
        <f t="shared" ca="1" si="16"/>
        <v>0</v>
      </c>
      <c r="AA179" s="63">
        <f t="shared" ca="1" si="18"/>
        <v>-19.696544310740514</v>
      </c>
      <c r="AB179" s="63">
        <f t="shared" ca="1" si="19"/>
        <v>-19.696544310740514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45567</v>
      </c>
      <c r="K180">
        <f ca="1"/>
        <v>-19.686058774822357</v>
      </c>
      <c r="L180">
        <f ca="1"/>
        <v>0</v>
      </c>
      <c r="M180">
        <f ca="1"/>
        <v>-0.46911337493605032</v>
      </c>
      <c r="N180">
        <f ca="1"/>
        <v>0.47959891085420908</v>
      </c>
      <c r="O180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0.79320801768224625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45567</v>
      </c>
      <c r="Y180">
        <f t="shared" ca="1" si="16"/>
        <v>0</v>
      </c>
      <c r="AA180" s="63">
        <f t="shared" ca="1" si="18"/>
        <v>-19.686058774822357</v>
      </c>
      <c r="AB180" s="63">
        <f t="shared" ca="1" si="19"/>
        <v>-19.686058774822357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45568</v>
      </c>
      <c r="K181">
        <f ca="1"/>
        <v>-19.616272271378655</v>
      </c>
      <c r="L181">
        <f ca="1"/>
        <v>0</v>
      </c>
      <c r="M181">
        <f ca="1"/>
        <v>-0.4120037290015901</v>
      </c>
      <c r="N181">
        <f ca="1"/>
        <v>0.48179023244529218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0.82272399756179615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45568</v>
      </c>
      <c r="Y181">
        <f t="shared" ca="1" si="16"/>
        <v>0</v>
      </c>
      <c r="AA181" s="63">
        <f t="shared" ca="1" si="18"/>
        <v>-19.616272271378655</v>
      </c>
      <c r="AB181" s="63">
        <f t="shared" ca="1" si="19"/>
        <v>-19.616272271378655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45569</v>
      </c>
      <c r="K182">
        <f ca="1"/>
        <v>-19.494876508081294</v>
      </c>
      <c r="L182">
        <f ca="1"/>
        <v>0</v>
      </c>
      <c r="M182">
        <f ca="1"/>
        <v>-0.37940238873832044</v>
      </c>
      <c r="N182">
        <f ca="1"/>
        <v>0.50079815203568112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0.81627636806762216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45569</v>
      </c>
      <c r="Y182">
        <f t="shared" ca="1" si="16"/>
        <v>0</v>
      </c>
      <c r="AA182" s="63">
        <f t="shared" ca="1" si="18"/>
        <v>-19.494876508081294</v>
      </c>
      <c r="AB182" s="63">
        <f t="shared" ca="1" si="19"/>
        <v>-19.494876508081294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45570</v>
      </c>
      <c r="K183">
        <f ca="1"/>
        <v>-19.316734110201637</v>
      </c>
      <c r="L183">
        <f ca="1"/>
        <v>0</v>
      </c>
      <c r="M183">
        <f ca="1"/>
        <v>-0.34396719996435721</v>
      </c>
      <c r="N183">
        <f ca="1"/>
        <v>0.5221095978440139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0.81657457113264353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45570</v>
      </c>
      <c r="Y183">
        <f t="shared" ca="1" si="16"/>
        <v>0</v>
      </c>
      <c r="AA183" s="63">
        <f t="shared" ca="1" si="18"/>
        <v>-19.316734110201637</v>
      </c>
      <c r="AB183" s="63">
        <f t="shared" ca="1" si="19"/>
        <v>-19.316734110201637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45571</v>
      </c>
      <c r="K184">
        <f ca="1"/>
        <v>-19.079564599256656</v>
      </c>
      <c r="L184">
        <f ca="1"/>
        <v>0</v>
      </c>
      <c r="M184">
        <f ca="1"/>
        <v>-0.30274981858320871</v>
      </c>
      <c r="N184">
        <f ca="1"/>
        <v>0.53991932952818988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0.82861447385018194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45571</v>
      </c>
      <c r="Y184">
        <f t="shared" ca="1" si="16"/>
        <v>0</v>
      </c>
      <c r="AA184" s="63">
        <f t="shared" ca="1" si="18"/>
        <v>-19.079564599256656</v>
      </c>
      <c r="AB184" s="63">
        <f t="shared" ca="1" si="19"/>
        <v>-19.079564599256656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45572</v>
      </c>
      <c r="K185">
        <f ca="1"/>
        <v>-18.807901251224752</v>
      </c>
      <c r="L185">
        <f ca="1"/>
        <v>0</v>
      </c>
      <c r="M185">
        <f ca="1"/>
        <v>-0.25548745727152067</v>
      </c>
      <c r="N185">
        <f ca="1"/>
        <v>0.52715080530342429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0.82784472725165259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45572</v>
      </c>
      <c r="Y185">
        <f t="shared" ca="1" si="16"/>
        <v>0</v>
      </c>
      <c r="AA185" s="63">
        <f t="shared" ca="1" si="18"/>
        <v>-18.807901251224752</v>
      </c>
      <c r="AB185" s="63">
        <f t="shared" ca="1" si="19"/>
        <v>-18.807901251224752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45573</v>
      </c>
      <c r="K186">
        <f ca="1"/>
        <v>-18.514781526779924</v>
      </c>
      <c r="L186">
        <f ca="1"/>
        <v>0</v>
      </c>
      <c r="M186">
        <f ca="1"/>
        <v>-0.21025597967270571</v>
      </c>
      <c r="N186">
        <f ca="1"/>
        <v>0.50337570411753474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0.8225805090037317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45573</v>
      </c>
      <c r="Y186">
        <f t="shared" ca="1" si="16"/>
        <v>0</v>
      </c>
      <c r="AA186" s="63">
        <f t="shared" ca="1" si="18"/>
        <v>-18.514781526779924</v>
      </c>
      <c r="AB186" s="63">
        <f t="shared" ca="1" si="19"/>
        <v>-18.514781526779924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45574</v>
      </c>
      <c r="K187">
        <f ca="1"/>
        <v>-18.188204717878527</v>
      </c>
      <c r="L187">
        <f ca="1"/>
        <v>0</v>
      </c>
      <c r="M187">
        <f ca="1"/>
        <v>-0.17178090122356338</v>
      </c>
      <c r="N187">
        <f ca="1"/>
        <v>0.49835771012496122</v>
      </c>
      <c r="O187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0.83295984748667329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45574</v>
      </c>
      <c r="Y187">
        <f t="shared" ca="1" si="16"/>
        <v>0</v>
      </c>
      <c r="AA187" s="63">
        <f t="shared" ca="1" si="18"/>
        <v>-18.188204717878527</v>
      </c>
      <c r="AB187" s="63">
        <f t="shared" ca="1" si="19"/>
        <v>-18.188204717878527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45575</v>
      </c>
      <c r="K188">
        <f ca="1"/>
        <v>-17.815492526737597</v>
      </c>
      <c r="L188">
        <f ca="1"/>
        <v>0</v>
      </c>
      <c r="M188">
        <f ca="1"/>
        <v>-0.14603591411340489</v>
      </c>
      <c r="N188">
        <f ca="1"/>
        <v>0.5187481052543349</v>
      </c>
      <c r="O188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0.79782758982959001</v>
      </c>
      <c r="T188">
        <f ca="1"/>
        <v>0</v>
      </c>
      <c r="U188">
        <f ca="1"/>
        <v>0</v>
      </c>
      <c r="V188">
        <f ca="1"/>
        <v>0</v>
      </c>
      <c r="X188" s="2">
        <f t="shared" ca="1" si="15"/>
        <v>45575</v>
      </c>
      <c r="Y188">
        <f t="shared" ca="1" si="16"/>
        <v>0</v>
      </c>
      <c r="AA188" s="63">
        <f t="shared" ca="1" si="18"/>
        <v>-17.815492526737597</v>
      </c>
      <c r="AB188" s="63">
        <f t="shared" ca="1" si="19"/>
        <v>-17.815492526737597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45576</v>
      </c>
      <c r="K189">
        <f ca="1"/>
        <v>-17.403806484573682</v>
      </c>
      <c r="L189">
        <f ca="1"/>
        <v>0</v>
      </c>
      <c r="M189">
        <f ca="1"/>
        <v>-0.1115223636313587</v>
      </c>
      <c r="N189">
        <f ca="1"/>
        <v>0.52320840579527395</v>
      </c>
      <c r="O189">
        <f ca="1"/>
        <v>0</v>
      </c>
      <c r="P189">
        <f ca="1"/>
        <v>1.3405913854385714</v>
      </c>
      <c r="Q189">
        <f ca="1"/>
        <v>1.2263928600123228</v>
      </c>
      <c r="R189">
        <f ca="1"/>
        <v>0</v>
      </c>
      <c r="S189">
        <f ca="1"/>
        <v>0.79527433685477211</v>
      </c>
      <c r="T189">
        <f ca="1"/>
        <v>0</v>
      </c>
      <c r="U189">
        <f ca="1"/>
        <v>0</v>
      </c>
      <c r="V189">
        <f ca="1"/>
        <v>7.3557979940067934E-3</v>
      </c>
      <c r="X189" s="2">
        <f t="shared" ca="1" si="15"/>
        <v>45576</v>
      </c>
      <c r="Y189">
        <f t="shared" ca="1" si="16"/>
        <v>0</v>
      </c>
      <c r="AA189" s="63">
        <f t="shared" ca="1" si="18"/>
        <v>-17.403806484573682</v>
      </c>
      <c r="AB189" s="63">
        <f t="shared" ca="1" si="19"/>
        <v>-17.403806484573682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45577</v>
      </c>
      <c r="K190">
        <f ca="1"/>
        <v>-17.032951256814396</v>
      </c>
      <c r="L190">
        <f ca="1"/>
        <v>4.729034411130395E-2</v>
      </c>
      <c r="M190">
        <f ca="1"/>
        <v>-7.4185900868673826E-2</v>
      </c>
      <c r="N190">
        <f ca="1"/>
        <v>0.49233147273926209</v>
      </c>
      <c r="O190">
        <f ca="1"/>
        <v>0</v>
      </c>
      <c r="P190">
        <f ca="1"/>
        <v>1.3878817295498753</v>
      </c>
      <c r="Q190">
        <f ca="1"/>
        <v>1.2696547674030343</v>
      </c>
      <c r="R190">
        <f ca="1"/>
        <v>0</v>
      </c>
      <c r="S190">
        <f ca="1"/>
        <v>0.8109750096795183</v>
      </c>
      <c r="T190">
        <f ca="1"/>
        <v>0</v>
      </c>
      <c r="U190">
        <f ca="1"/>
        <v>0</v>
      </c>
      <c r="V190">
        <f ca="1"/>
        <v>8.0213359512825624E-3</v>
      </c>
      <c r="X190" s="2">
        <f t="shared" ca="1" si="15"/>
        <v>45577</v>
      </c>
      <c r="Y190">
        <f t="shared" ca="1" si="16"/>
        <v>0</v>
      </c>
      <c r="AA190" s="63">
        <f t="shared" ca="1" si="18"/>
        <v>-16.985660912703093</v>
      </c>
      <c r="AB190" s="63">
        <f t="shared" ca="1" si="19"/>
        <v>-16.985660912703093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45578</v>
      </c>
      <c r="K191">
        <f ca="1"/>
        <v>-16.620972727994097</v>
      </c>
      <c r="L191">
        <f ca="1"/>
        <v>4.6962299031779731E-2</v>
      </c>
      <c r="M191">
        <f ca="1"/>
        <v>-4.4632740100521318E-2</v>
      </c>
      <c r="N191">
        <f ca="1"/>
        <v>0.50357356795259911</v>
      </c>
      <c r="O191">
        <f ca="1"/>
        <v>0</v>
      </c>
      <c r="P191">
        <f ca="1"/>
        <v>1.4348440285816551</v>
      </c>
      <c r="Q191">
        <f ca="1"/>
        <v>1.3126165742950693</v>
      </c>
      <c r="R191">
        <f ca="1"/>
        <v>0</v>
      </c>
      <c r="S191">
        <f ca="1"/>
        <v>0.85698716935683039</v>
      </c>
      <c r="T191">
        <f ca="1"/>
        <v>0</v>
      </c>
      <c r="U191">
        <f ca="1"/>
        <v>0</v>
      </c>
      <c r="V191">
        <f ca="1"/>
        <v>8.7164406800615598E-3</v>
      </c>
      <c r="X191" s="2">
        <f t="shared" ca="1" si="15"/>
        <v>45578</v>
      </c>
      <c r="Y191">
        <f t="shared" ca="1" si="16"/>
        <v>0</v>
      </c>
      <c r="AA191" s="63">
        <f t="shared" ca="1" si="18"/>
        <v>-16.574010428962318</v>
      </c>
      <c r="AB191" s="63">
        <f t="shared" ca="1" si="19"/>
        <v>-16.574010428962318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45579</v>
      </c>
      <c r="K192">
        <f ca="1"/>
        <v>-16.180171418838871</v>
      </c>
      <c r="L192">
        <f ca="1"/>
        <v>5.0247474613092091E-2</v>
      </c>
      <c r="M192">
        <f ca="1"/>
        <v>-1.878867746819779E-2</v>
      </c>
      <c r="N192">
        <f ca="1"/>
        <v>0.50983746123651619</v>
      </c>
      <c r="O192">
        <f ca="1"/>
        <v>0</v>
      </c>
      <c r="P192">
        <f ca="1"/>
        <v>1.4850915031947471</v>
      </c>
      <c r="Q192">
        <f ca="1"/>
        <v>1.3585837084781576</v>
      </c>
      <c r="R192">
        <f ca="1"/>
        <v>0</v>
      </c>
      <c r="S192">
        <f ca="1"/>
        <v>0.84267930695845394</v>
      </c>
      <c r="T192">
        <f ca="1"/>
        <v>0</v>
      </c>
      <c r="U192">
        <f ca="1"/>
        <v>0</v>
      </c>
      <c r="V192">
        <f ca="1"/>
        <v>9.498450071157424E-3</v>
      </c>
      <c r="X192" s="2">
        <f t="shared" ca="1" si="15"/>
        <v>45579</v>
      </c>
      <c r="Y192">
        <f t="shared" ca="1" si="16"/>
        <v>0</v>
      </c>
      <c r="AA192" s="63">
        <f t="shared" ca="1" si="18"/>
        <v>-16.12992394422578</v>
      </c>
      <c r="AB192" s="63">
        <f t="shared" ca="1" si="19"/>
        <v>-16.12992394422578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45580</v>
      </c>
      <c r="K193">
        <f ca="1"/>
        <v>-15.667436678683403</v>
      </c>
      <c r="L193">
        <f ca="1"/>
        <v>5.8136780813418776E-2</v>
      </c>
      <c r="M193">
        <f ca="1"/>
        <v>8.3566339337863837E-3</v>
      </c>
      <c r="N193">
        <f ca="1"/>
        <v>0.56251488703510066</v>
      </c>
      <c r="O193">
        <f ca="1"/>
        <v>0</v>
      </c>
      <c r="P193">
        <f ca="1"/>
        <v>1.5432282840081659</v>
      </c>
      <c r="Q193">
        <f ca="1"/>
        <v>1.4117680968519146</v>
      </c>
      <c r="R193">
        <f ca="1"/>
        <v>0</v>
      </c>
      <c r="S193">
        <f ca="1"/>
        <v>0.83816422231098475</v>
      </c>
      <c r="T193">
        <f ca="1"/>
        <v>0</v>
      </c>
      <c r="U193">
        <f ca="1"/>
        <v>0</v>
      </c>
      <c r="V193">
        <f ca="1"/>
        <v>1.0453364861735048E-2</v>
      </c>
      <c r="X193" s="2">
        <f t="shared" ca="1" si="15"/>
        <v>45580</v>
      </c>
      <c r="Y193">
        <f t="shared" ca="1" si="16"/>
        <v>0</v>
      </c>
      <c r="AA193" s="63">
        <f t="shared" ca="1" si="18"/>
        <v>-15.609299897869985</v>
      </c>
      <c r="AB193" s="63">
        <f t="shared" ca="1" si="19"/>
        <v>-15.609299897869985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45581</v>
      </c>
      <c r="K194">
        <f ca="1"/>
        <v>-15.087972776258203</v>
      </c>
      <c r="L194">
        <f ca="1"/>
        <v>6.316295911090708E-2</v>
      </c>
      <c r="M194">
        <f ca="1"/>
        <v>3.7864953037871629E-2</v>
      </c>
      <c r="N194">
        <f ca="1"/>
        <v>0.60476190849823508</v>
      </c>
      <c r="O194">
        <f ca="1"/>
        <v>0</v>
      </c>
      <c r="P194">
        <f ca="1"/>
        <v>1.606391243119073</v>
      </c>
      <c r="Q194">
        <f ca="1"/>
        <v>1.4695505075941151</v>
      </c>
      <c r="R194">
        <f ca="1"/>
        <v>0</v>
      </c>
      <c r="S194">
        <f ca="1"/>
        <v>0.86033229092776198</v>
      </c>
      <c r="T194">
        <f ca="1"/>
        <v>0</v>
      </c>
      <c r="U194">
        <f ca="1"/>
        <v>0</v>
      </c>
      <c r="V194">
        <f ca="1"/>
        <v>1.1552732527719404E-2</v>
      </c>
      <c r="X194" s="2">
        <f t="shared" ca="1" si="15"/>
        <v>45581</v>
      </c>
      <c r="Y194">
        <f t="shared" ca="1" si="16"/>
        <v>0</v>
      </c>
      <c r="AA194" s="63">
        <f t="shared" ca="1" si="18"/>
        <v>-15.024809817147297</v>
      </c>
      <c r="AB194" s="63">
        <f t="shared" ca="1" si="19"/>
        <v>-15.024809817147297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45582</v>
      </c>
      <c r="K195">
        <f ca="1"/>
        <v>-14.488257341468671</v>
      </c>
      <c r="L195">
        <f ca="1"/>
        <v>6.5020701308946993E-2</v>
      </c>
      <c r="M195">
        <f ca="1"/>
        <v>6.5201737262654547E-2</v>
      </c>
      <c r="N195">
        <f ca="1"/>
        <v>0.59953439883582504</v>
      </c>
      <c r="O195">
        <f ca="1"/>
        <v>0</v>
      </c>
      <c r="P195">
        <f ca="1"/>
        <v>1.67141194442802</v>
      </c>
      <c r="Q195">
        <f ca="1"/>
        <v>1.529032408421189</v>
      </c>
      <c r="R195">
        <f ca="1"/>
        <v>0</v>
      </c>
      <c r="S195">
        <f ca="1"/>
        <v>0.86187462254838776</v>
      </c>
      <c r="T195">
        <f ca="1"/>
        <v>0</v>
      </c>
      <c r="U195">
        <f ca="1"/>
        <v>0</v>
      </c>
      <c r="V195">
        <f ca="1"/>
        <v>1.2752833710014649E-2</v>
      </c>
      <c r="X195" s="2">
        <f t="shared" ca="1" si="15"/>
        <v>45582</v>
      </c>
      <c r="Y195">
        <f t="shared" ca="1" si="16"/>
        <v>0</v>
      </c>
      <c r="AA195" s="63">
        <f t="shared" ca="1" si="18"/>
        <v>-14.423236640159724</v>
      </c>
      <c r="AB195" s="63">
        <f t="shared" ca="1" si="19"/>
        <v>-14.423236640159724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45583</v>
      </c>
      <c r="K196">
        <f ca="1"/>
        <v>-13.885946524093894</v>
      </c>
      <c r="L196">
        <f ca="1"/>
        <v>6.3834525143989129E-2</v>
      </c>
      <c r="M196">
        <f ca="1"/>
        <v>8.7066211989430542E-2</v>
      </c>
      <c r="N196">
        <f ca="1"/>
        <v>0.57907913052933568</v>
      </c>
      <c r="O196">
        <f ca="1"/>
        <v>0</v>
      </c>
      <c r="P196">
        <f ca="1"/>
        <v>1.7352464695720091</v>
      </c>
      <c r="Q196">
        <f ca="1"/>
        <v>1.5874291777195786</v>
      </c>
      <c r="R196">
        <f ca="1"/>
        <v>0</v>
      </c>
      <c r="S196">
        <f ca="1"/>
        <v>0.87843713746197882</v>
      </c>
      <c r="T196">
        <f ca="1"/>
        <v>0</v>
      </c>
      <c r="U196">
        <f ca="1"/>
        <v>0</v>
      </c>
      <c r="V196">
        <f ca="1"/>
        <v>1.3999567473550474E-2</v>
      </c>
      <c r="X196" s="2">
        <f t="shared" ca="1" si="15"/>
        <v>45583</v>
      </c>
      <c r="Y196">
        <f t="shared" ca="1" si="16"/>
        <v>0</v>
      </c>
      <c r="AA196" s="63">
        <f t="shared" ca="1" si="18"/>
        <v>-13.822111998949905</v>
      </c>
      <c r="AB196" s="63">
        <f t="shared" ca="1" si="19"/>
        <v>-13.822111998949905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45584</v>
      </c>
      <c r="K197">
        <f ca="1"/>
        <v>-13.23027065221163</v>
      </c>
      <c r="L197">
        <f ca="1"/>
        <v>7.1363046207679082E-2</v>
      </c>
      <c r="M197">
        <f ca="1"/>
        <v>0.11590862125861179</v>
      </c>
      <c r="N197">
        <f ca="1"/>
        <v>0.61113029683133191</v>
      </c>
      <c r="O197">
        <f ca="1"/>
        <v>0</v>
      </c>
      <c r="P197">
        <f ca="1"/>
        <v>1.8066095157796882</v>
      </c>
      <c r="Q197">
        <f ca="1"/>
        <v>1.6527131496206779</v>
      </c>
      <c r="R197">
        <f ca="1"/>
        <v>0</v>
      </c>
      <c r="S197">
        <f ca="1"/>
        <v>0.86397846717829996</v>
      </c>
      <c r="T197">
        <f ca="1"/>
        <v>0</v>
      </c>
      <c r="U197">
        <f ca="1"/>
        <v>0</v>
      </c>
      <c r="V197">
        <f ca="1"/>
        <v>1.5474889698046822E-2</v>
      </c>
      <c r="X197" s="2">
        <f t="shared" ca="1" si="15"/>
        <v>45584</v>
      </c>
      <c r="Y197">
        <f t="shared" ca="1" si="16"/>
        <v>0</v>
      </c>
      <c r="AA197" s="63">
        <f t="shared" ca="1" si="18"/>
        <v>-13.15890760600395</v>
      </c>
      <c r="AB197" s="63">
        <f t="shared" ca="1" si="19"/>
        <v>-13.15890760600395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45585</v>
      </c>
      <c r="K198">
        <f ca="1"/>
        <v>-12.552065242721964</v>
      </c>
      <c r="L198">
        <f ca="1"/>
        <v>7.4341030917232542E-2</v>
      </c>
      <c r="M198">
        <f ca="1"/>
        <v>0.13935318089982829</v>
      </c>
      <c r="N198">
        <f ca="1"/>
        <v>0.61319325950706982</v>
      </c>
      <c r="O198">
        <f ca="1"/>
        <v>0</v>
      </c>
      <c r="P198">
        <f ca="1"/>
        <v>1.8809505466969207</v>
      </c>
      <c r="Q198">
        <f ca="1"/>
        <v>1.720721426052368</v>
      </c>
      <c r="R198">
        <f ca="1"/>
        <v>0</v>
      </c>
      <c r="S198">
        <f ca="1"/>
        <v>0.86585442593617812</v>
      </c>
      <c r="T198">
        <f ca="1"/>
        <v>0</v>
      </c>
      <c r="U198">
        <f ca="1"/>
        <v>0</v>
      </c>
      <c r="V198">
        <f ca="1"/>
        <v>1.7104614612921901E-2</v>
      </c>
      <c r="X198" s="2">
        <f t="shared" ca="1" si="15"/>
        <v>45585</v>
      </c>
      <c r="Y198">
        <f t="shared" ca="1" si="16"/>
        <v>0</v>
      </c>
      <c r="AA198" s="63">
        <f t="shared" ca="1" si="18"/>
        <v>-12.477724211804732</v>
      </c>
      <c r="AB198" s="63">
        <f t="shared" ca="1" si="19"/>
        <v>-12.477724211804732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ref="I199:I262" ca="1" si="21">AND(IF(J199&gt;($J$3-1),TRUE,FALSE),IF(J199&lt;($J$4+1),TRUE,FALSE))</f>
        <v>0</v>
      </c>
      <c r="J199" s="2">
        <f ca="1"/>
        <v>45586</v>
      </c>
      <c r="K199">
        <f ca="1"/>
        <v>-11.91369620002534</v>
      </c>
      <c r="L199">
        <f ca="1"/>
        <v>7.0037275251599196E-2</v>
      </c>
      <c r="M199">
        <f ca="1"/>
        <v>0.14999647572552988</v>
      </c>
      <c r="N199">
        <f ca="1"/>
        <v>0.55840984222269319</v>
      </c>
      <c r="O199">
        <f ca="1"/>
        <v>0</v>
      </c>
      <c r="P199">
        <f ca="1"/>
        <v>1.9509878219485199</v>
      </c>
      <c r="Q199">
        <f ca="1"/>
        <v>1.7847925630417942</v>
      </c>
      <c r="R199">
        <f ca="1"/>
        <v>0</v>
      </c>
      <c r="S199">
        <f ca="1"/>
        <v>0.86791417842074947</v>
      </c>
      <c r="T199">
        <f ca="1"/>
        <v>0</v>
      </c>
      <c r="U199">
        <f ca="1"/>
        <v>0</v>
      </c>
      <c r="V199">
        <f ca="1"/>
        <v>1.8727795562493092E-2</v>
      </c>
      <c r="X199" s="2">
        <f t="shared" ref="X199:X262" ca="1" si="22">IFERROR(J199,$X$5)</f>
        <v>45586</v>
      </c>
      <c r="Y199">
        <f t="shared" ref="Y199:Y262" ca="1" si="23">IFERROR(O199,0)</f>
        <v>0</v>
      </c>
      <c r="AA199" s="63">
        <f t="shared" ca="1" si="18"/>
        <v>-11.843658924773742</v>
      </c>
      <c r="AB199" s="63">
        <f t="shared" ca="1" si="19"/>
        <v>-11.843658924773742</v>
      </c>
      <c r="AC199" s="3">
        <f t="shared" ca="1" si="20"/>
        <v>0</v>
      </c>
    </row>
    <row r="200" spans="8:29">
      <c r="H200" t="b">
        <f t="shared" ref="H200:H263" ca="1" si="24">IF(J200&lt;$J$4,TRUE,FALSE)</f>
        <v>0</v>
      </c>
      <c r="I200" t="b">
        <f t="shared" ca="1" si="21"/>
        <v>0</v>
      </c>
      <c r="J200" s="2">
        <f ca="1"/>
        <v>45587</v>
      </c>
      <c r="K200">
        <f ca="1"/>
        <v>-11.245510012150834</v>
      </c>
      <c r="L200">
        <f ca="1"/>
        <v>7.3469308607614359E-2</v>
      </c>
      <c r="M200">
        <f ca="1"/>
        <v>0.16927584590223077</v>
      </c>
      <c r="N200">
        <f ca="1"/>
        <v>0.57237965057988915</v>
      </c>
      <c r="O200">
        <f ca="1"/>
        <v>0</v>
      </c>
      <c r="P200">
        <f ca="1"/>
        <v>2.0244571305561343</v>
      </c>
      <c r="Q200">
        <f ca="1"/>
        <v>1.8520033749902414</v>
      </c>
      <c r="R200">
        <f ca="1"/>
        <v>0</v>
      </c>
      <c r="S200">
        <f ca="1"/>
        <v>0.87865711840077354</v>
      </c>
      <c r="T200">
        <f ca="1"/>
        <v>0</v>
      </c>
      <c r="U200">
        <f ca="1"/>
        <v>0</v>
      </c>
      <c r="V200">
        <f ca="1"/>
        <v>2.0523162384495978E-2</v>
      </c>
      <c r="X200" s="2">
        <f t="shared" ca="1" si="22"/>
        <v>45587</v>
      </c>
      <c r="Y200">
        <f t="shared" ca="1" si="23"/>
        <v>0</v>
      </c>
      <c r="AA200" s="63">
        <f t="shared" ca="1" si="18"/>
        <v>-11.172040703543221</v>
      </c>
      <c r="AB200" s="63">
        <f t="shared" ca="1" si="19"/>
        <v>-11.172040703543221</v>
      </c>
      <c r="AC200" s="3">
        <f t="shared" ca="1" si="20"/>
        <v>0</v>
      </c>
    </row>
    <row r="201" spans="8:29">
      <c r="H201" t="b">
        <f t="shared" ca="1" si="24"/>
        <v>0</v>
      </c>
      <c r="I201" t="b">
        <f t="shared" ca="1" si="21"/>
        <v>0</v>
      </c>
      <c r="J201" s="2">
        <f ca="1"/>
        <v>45588</v>
      </c>
      <c r="K201">
        <f ca="1"/>
        <v>-10.52083061161667</v>
      </c>
      <c r="L201">
        <f ca="1"/>
        <v>8.3448282746854563E-2</v>
      </c>
      <c r="M201">
        <f ca="1"/>
        <v>0.19889167262290641</v>
      </c>
      <c r="N201">
        <f ca="1"/>
        <v>0.60923601065811261</v>
      </c>
      <c r="O201">
        <f ca="1"/>
        <v>0</v>
      </c>
      <c r="P201">
        <f ca="1"/>
        <v>2.1079054133029889</v>
      </c>
      <c r="Q201">
        <f ca="1"/>
        <v>1.9283431003179194</v>
      </c>
      <c r="R201">
        <f ca="1"/>
        <v>0</v>
      </c>
      <c r="S201">
        <f ca="1"/>
        <v>0.85855274652978086</v>
      </c>
      <c r="T201">
        <f ca="1"/>
        <v>0</v>
      </c>
      <c r="U201">
        <f ca="1"/>
        <v>0</v>
      </c>
      <c r="V201">
        <f ca="1"/>
        <v>2.2678725124693922E-2</v>
      </c>
      <c r="X201" s="2">
        <f t="shared" ca="1" si="22"/>
        <v>45588</v>
      </c>
      <c r="Y201">
        <f t="shared" ca="1" si="23"/>
        <v>0</v>
      </c>
      <c r="AA201" s="63">
        <f ca="1">K200+M201+N201+O201</f>
        <v>-10.437382328869816</v>
      </c>
      <c r="AB201" s="63">
        <f ca="1">K201+L201+R201</f>
        <v>-10.437382328869816</v>
      </c>
      <c r="AC201" s="3">
        <f ca="1">AB201-AA201</f>
        <v>0</v>
      </c>
    </row>
    <row r="202" spans="8:29">
      <c r="H202" t="b">
        <f t="shared" ca="1" si="24"/>
        <v>0</v>
      </c>
      <c r="I202" t="b">
        <f t="shared" ca="1" si="21"/>
        <v>0</v>
      </c>
      <c r="J202" s="2">
        <f ca="1"/>
        <v>45589</v>
      </c>
      <c r="K202">
        <f ca="1"/>
        <v>-9.817171215006212</v>
      </c>
      <c r="L202">
        <f ca="1"/>
        <v>8.5758102453843854E-2</v>
      </c>
      <c r="M202">
        <f ca="1"/>
        <v>0.21488797831650785</v>
      </c>
      <c r="N202">
        <f ca="1"/>
        <v>0.57452952074779318</v>
      </c>
      <c r="O202">
        <f ca="1"/>
        <v>0</v>
      </c>
      <c r="P202">
        <f ca="1"/>
        <v>2.1936635157568327</v>
      </c>
      <c r="Q202">
        <f ca="1"/>
        <v>2.0067958829331025</v>
      </c>
      <c r="R202">
        <f ca="1"/>
        <v>0</v>
      </c>
      <c r="S202">
        <f ca="1"/>
        <v>0.82282949538959826</v>
      </c>
      <c r="T202">
        <f ca="1"/>
        <v>0</v>
      </c>
      <c r="U202">
        <f ca="1"/>
        <v>0</v>
      </c>
      <c r="V202">
        <f ca="1"/>
        <v>2.5024219543952987E-2</v>
      </c>
      <c r="X202" s="2">
        <f t="shared" ca="1" si="22"/>
        <v>45589</v>
      </c>
      <c r="Y202">
        <f t="shared" ca="1" si="23"/>
        <v>0</v>
      </c>
      <c r="AA202" s="63">
        <f ca="1">K201+M202+N202+O202</f>
        <v>-9.7314131125523691</v>
      </c>
      <c r="AB202" s="63">
        <f ca="1">K202+L202+R202</f>
        <v>-9.7314131125523673</v>
      </c>
      <c r="AC202" s="3">
        <f ca="1">AB202-AA202</f>
        <v>0</v>
      </c>
    </row>
    <row r="203" spans="8:29">
      <c r="H203" t="b">
        <f t="shared" ca="1" si="24"/>
        <v>0</v>
      </c>
      <c r="I203" t="b">
        <f t="shared" ca="1" si="21"/>
        <v>0</v>
      </c>
      <c r="J203" s="2">
        <f ca="1"/>
        <v>45590</v>
      </c>
      <c r="K203">
        <f ca="1"/>
        <v>-9.0585880957479947</v>
      </c>
      <c r="L203">
        <f ca="1"/>
        <v>9.4881791753361089E-2</v>
      </c>
      <c r="M203">
        <f ca="1"/>
        <v>0.24240865062992967</v>
      </c>
      <c r="N203">
        <f ca="1"/>
        <v>0.61105626038164795</v>
      </c>
      <c r="O203">
        <f ca="1"/>
        <v>0</v>
      </c>
      <c r="P203">
        <f ca="1"/>
        <v>2.2885453075101938</v>
      </c>
      <c r="Q203">
        <f ca="1"/>
        <v>2.0935951516852516</v>
      </c>
      <c r="R203">
        <f ca="1"/>
        <v>0</v>
      </c>
      <c r="S203">
        <f ca="1"/>
        <v>0.82237766691378678</v>
      </c>
      <c r="T203">
        <f ca="1"/>
        <v>0</v>
      </c>
      <c r="U203">
        <f ca="1"/>
        <v>0</v>
      </c>
      <c r="V203">
        <f ca="1"/>
        <v>2.77746007418306E-2</v>
      </c>
      <c r="X203" s="2">
        <f t="shared" ca="1" si="22"/>
        <v>45590</v>
      </c>
      <c r="Y203">
        <f t="shared" ca="1" si="23"/>
        <v>0</v>
      </c>
      <c r="AA203" s="63">
        <f ca="1">K202+M203+N203+O203</f>
        <v>-8.9637063039946341</v>
      </c>
      <c r="AB203" s="63">
        <f ca="1">K203+L203+R203</f>
        <v>-8.9637063039946341</v>
      </c>
      <c r="AC203" s="3">
        <f ca="1">AB203-AA203</f>
        <v>0</v>
      </c>
    </row>
    <row r="204" spans="8:29">
      <c r="H204" t="b">
        <f t="shared" ca="1" si="24"/>
        <v>0</v>
      </c>
      <c r="I204" t="b">
        <f t="shared" ca="1" si="21"/>
        <v>0</v>
      </c>
      <c r="J204" s="2">
        <f ca="1"/>
        <v>45591</v>
      </c>
      <c r="K204">
        <f ca="1"/>
        <v>-8.3550149170707915</v>
      </c>
      <c r="L204">
        <f ca="1"/>
        <v>9.1833497731928393E-2</v>
      </c>
      <c r="M204">
        <f ca="1"/>
        <v>0.24508519828787811</v>
      </c>
      <c r="N204">
        <f ca="1"/>
        <v>0.55032147812125309</v>
      </c>
      <c r="O204">
        <f ca="1"/>
        <v>0</v>
      </c>
      <c r="P204">
        <f ca="1"/>
        <v>2.3803788052421222</v>
      </c>
      <c r="Q204">
        <f ca="1"/>
        <v>2.1776057959066821</v>
      </c>
      <c r="R204">
        <f ca="1"/>
        <v>0</v>
      </c>
      <c r="S204">
        <f ca="1"/>
        <v>0.79941978715467588</v>
      </c>
      <c r="T204">
        <f ca="1"/>
        <v>0</v>
      </c>
      <c r="U204">
        <f ca="1"/>
        <v>0</v>
      </c>
      <c r="V204">
        <f ca="1"/>
        <v>3.0593316362962527E-2</v>
      </c>
      <c r="X204" s="2">
        <f t="shared" ca="1" si="22"/>
        <v>45591</v>
      </c>
      <c r="Y204">
        <f t="shared" ca="1" si="23"/>
        <v>0</v>
      </c>
      <c r="AA204" s="63">
        <f t="shared" ref="AA204:AA267" ca="1" si="25">K203+M204+N204+O204</f>
        <v>-8.2631814193388635</v>
      </c>
      <c r="AB204" s="63">
        <f t="shared" ref="AB204:AB267" ca="1" si="26">K204+L204+R204</f>
        <v>-8.2631814193388635</v>
      </c>
      <c r="AC204" s="3">
        <f t="shared" ref="AC204:AC267" ca="1" si="27">AB204-AA204</f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45592</v>
      </c>
      <c r="K205">
        <f ca="1"/>
        <v>-7.6239715634761946</v>
      </c>
      <c r="L205">
        <f ca="1"/>
        <v>0.10048420262635283</v>
      </c>
      <c r="M205">
        <f ca="1"/>
        <v>0.26895940288888553</v>
      </c>
      <c r="N205">
        <f ca="1"/>
        <v>0.56256815333206367</v>
      </c>
      <c r="O205">
        <f ca="1"/>
        <v>0</v>
      </c>
      <c r="P205">
        <f ca="1"/>
        <v>2.480863007868475</v>
      </c>
      <c r="Q205">
        <f ca="1"/>
        <v>2.2695302331241232</v>
      </c>
      <c r="R205">
        <f ca="1"/>
        <v>0</v>
      </c>
      <c r="S205">
        <f ca="1"/>
        <v>0.7771769037595172</v>
      </c>
      <c r="T205">
        <f ca="1"/>
        <v>0</v>
      </c>
      <c r="U205">
        <f ca="1"/>
        <v>0</v>
      </c>
      <c r="V205">
        <f ca="1"/>
        <v>3.3855352584012982E-2</v>
      </c>
      <c r="X205" s="2">
        <f t="shared" ca="1" si="22"/>
        <v>45592</v>
      </c>
      <c r="Y205">
        <f t="shared" ca="1" si="23"/>
        <v>0</v>
      </c>
      <c r="AA205" s="63">
        <f t="shared" ca="1" si="25"/>
        <v>-7.5234873608498418</v>
      </c>
      <c r="AB205" s="63">
        <f t="shared" ca="1" si="26"/>
        <v>-7.5234873608498418</v>
      </c>
      <c r="AC205" s="3">
        <f t="shared" ca="1" si="27"/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45593</v>
      </c>
      <c r="K206">
        <f ca="1"/>
        <v>-6.8635736069582736</v>
      </c>
      <c r="L206">
        <f ca="1"/>
        <v>0.10545758289565921</v>
      </c>
      <c r="M206">
        <f ca="1"/>
        <v>0.28441792937511323</v>
      </c>
      <c r="N206">
        <f ca="1"/>
        <v>0.58143761003846706</v>
      </c>
      <c r="O206">
        <f ca="1"/>
        <v>0</v>
      </c>
      <c r="P206">
        <f ca="1"/>
        <v>2.5863205907641342</v>
      </c>
      <c r="Q206">
        <f ca="1"/>
        <v>2.3660043922916336</v>
      </c>
      <c r="R206">
        <f ca="1"/>
        <v>0</v>
      </c>
      <c r="S206">
        <f ca="1"/>
        <v>0.79658029016650955</v>
      </c>
      <c r="T206">
        <f ca="1"/>
        <v>0</v>
      </c>
      <c r="U206">
        <f ca="1"/>
        <v>0</v>
      </c>
      <c r="V206">
        <f ca="1"/>
        <v>3.7479655456775951E-2</v>
      </c>
      <c r="X206" s="2">
        <f t="shared" ca="1" si="22"/>
        <v>45593</v>
      </c>
      <c r="Y206">
        <f t="shared" ca="1" si="23"/>
        <v>0</v>
      </c>
      <c r="AA206" s="63">
        <f t="shared" ca="1" si="25"/>
        <v>-6.7581160240626144</v>
      </c>
      <c r="AB206" s="63">
        <f t="shared" ca="1" si="26"/>
        <v>-6.7581160240626144</v>
      </c>
      <c r="AC206" s="3">
        <f t="shared" ca="1" si="27"/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45594</v>
      </c>
      <c r="K207">
        <f ca="1"/>
        <v>-6.0847202249218828</v>
      </c>
      <c r="L207">
        <f ca="1"/>
        <v>0.11224217211997356</v>
      </c>
      <c r="M207">
        <f ca="1"/>
        <v>0.3021998397069261</v>
      </c>
      <c r="N207">
        <f ca="1"/>
        <v>0.58889571444943778</v>
      </c>
      <c r="O207">
        <f ca="1"/>
        <v>0</v>
      </c>
      <c r="P207">
        <f ca="1"/>
        <v>2.6985627628841078</v>
      </c>
      <c r="Q207">
        <f ca="1"/>
        <v>2.4686851941939802</v>
      </c>
      <c r="R207">
        <f ca="1"/>
        <v>0</v>
      </c>
      <c r="S207">
        <f ca="1"/>
        <v>0.7896373604463236</v>
      </c>
      <c r="T207">
        <f ca="1"/>
        <v>0</v>
      </c>
      <c r="U207">
        <f ca="1"/>
        <v>0</v>
      </c>
      <c r="V207">
        <f ca="1"/>
        <v>4.1563769151027677E-2</v>
      </c>
      <c r="X207" s="2">
        <f t="shared" ca="1" si="22"/>
        <v>45594</v>
      </c>
      <c r="Y207">
        <f t="shared" ca="1" si="23"/>
        <v>0</v>
      </c>
      <c r="AA207" s="63">
        <f t="shared" ca="1" si="25"/>
        <v>-5.9724780528019092</v>
      </c>
      <c r="AB207" s="63">
        <f t="shared" ca="1" si="26"/>
        <v>-5.9724780528019092</v>
      </c>
      <c r="AC207" s="3">
        <f t="shared" ca="1" si="27"/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45595</v>
      </c>
      <c r="K208">
        <f ca="1"/>
        <v>-5.2989753067915837</v>
      </c>
      <c r="L208">
        <f ca="1"/>
        <v>0.11897286228013293</v>
      </c>
      <c r="M208">
        <f ca="1"/>
        <v>0.31844849522091323</v>
      </c>
      <c r="N208">
        <f ca="1"/>
        <v>0.58626928518951904</v>
      </c>
      <c r="O208">
        <f ca="1"/>
        <v>0</v>
      </c>
      <c r="P208">
        <f ca="1"/>
        <v>2.8175356251642407</v>
      </c>
      <c r="Q208">
        <f ca="1"/>
        <v>2.5775233311687682</v>
      </c>
      <c r="R208">
        <f ca="1"/>
        <v>0</v>
      </c>
      <c r="S208">
        <f ca="1"/>
        <v>0.77327384840583513</v>
      </c>
      <c r="T208">
        <f ca="1"/>
        <v>0</v>
      </c>
      <c r="U208">
        <f ca="1"/>
        <v>0</v>
      </c>
      <c r="V208">
        <f ca="1"/>
        <v>4.6148150679604753E-2</v>
      </c>
      <c r="X208" s="2">
        <f t="shared" ca="1" si="22"/>
        <v>45595</v>
      </c>
      <c r="Y208">
        <f t="shared" ca="1" si="23"/>
        <v>0</v>
      </c>
      <c r="AA208" s="63">
        <f t="shared" ca="1" si="25"/>
        <v>-5.1800024445114508</v>
      </c>
      <c r="AB208" s="63">
        <f t="shared" ca="1" si="26"/>
        <v>-5.1800024445114508</v>
      </c>
      <c r="AC208" s="3">
        <f t="shared" ca="1" si="27"/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45596</v>
      </c>
      <c r="K209">
        <f ca="1"/>
        <v>-4.5231495759923845</v>
      </c>
      <c r="L209">
        <f ca="1"/>
        <v>0.123800944886856</v>
      </c>
      <c r="M209">
        <f ca="1"/>
        <v>0.32921133913038148</v>
      </c>
      <c r="N209">
        <f ca="1"/>
        <v>0.57041533655567345</v>
      </c>
      <c r="O209">
        <f ca="1"/>
        <v>0</v>
      </c>
      <c r="P209">
        <f ca="1"/>
        <v>2.9413365700510967</v>
      </c>
      <c r="Q209">
        <f ca="1"/>
        <v>2.690778269639337</v>
      </c>
      <c r="R209">
        <f ca="1"/>
        <v>0</v>
      </c>
      <c r="S209">
        <f ca="1"/>
        <v>0.7545466028487714</v>
      </c>
      <c r="T209">
        <f ca="1"/>
        <v>0</v>
      </c>
      <c r="U209">
        <f ca="1"/>
        <v>0</v>
      </c>
      <c r="V209">
        <f ca="1"/>
        <v>5.1197072199023801E-2</v>
      </c>
      <c r="X209" s="2">
        <f t="shared" ca="1" si="22"/>
        <v>45596</v>
      </c>
      <c r="Y209">
        <f t="shared" ca="1" si="23"/>
        <v>0</v>
      </c>
      <c r="AA209" s="63">
        <f t="shared" ca="1" si="25"/>
        <v>-4.3993486311055285</v>
      </c>
      <c r="AB209" s="63">
        <f t="shared" ca="1" si="26"/>
        <v>-4.3993486311055285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45597</v>
      </c>
      <c r="K210">
        <f ca="1"/>
        <v>-3.8102758755396153</v>
      </c>
      <c r="L210">
        <f ca="1"/>
        <v>0.11865568458084796</v>
      </c>
      <c r="M210">
        <f ca="1"/>
        <v>0.31879229531819675</v>
      </c>
      <c r="N210">
        <f ca="1"/>
        <v>0.51273708971542076</v>
      </c>
      <c r="O210">
        <f ca="1"/>
        <v>0</v>
      </c>
      <c r="P210">
        <f ca="1"/>
        <v>3.0599922546319447</v>
      </c>
      <c r="Q210">
        <f ca="1"/>
        <v>2.7993262477558898</v>
      </c>
      <c r="R210">
        <f ca="1"/>
        <v>0</v>
      </c>
      <c r="S210">
        <f ca="1"/>
        <v>0.73883694542875011</v>
      </c>
      <c r="T210">
        <f ca="1"/>
        <v>0</v>
      </c>
      <c r="U210">
        <f ca="1"/>
        <v>0</v>
      </c>
      <c r="V210">
        <f ca="1"/>
        <v>5.6301489889233669E-2</v>
      </c>
      <c r="X210" s="2">
        <f t="shared" ca="1" si="22"/>
        <v>45597</v>
      </c>
      <c r="Y210">
        <f t="shared" ca="1" si="23"/>
        <v>0</v>
      </c>
      <c r="AA210" s="63">
        <f t="shared" ca="1" si="25"/>
        <v>-3.6916201909587669</v>
      </c>
      <c r="AB210" s="63">
        <f t="shared" ca="1" si="26"/>
        <v>-3.6916201909587674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45598</v>
      </c>
      <c r="K211">
        <f ca="1"/>
        <v>-3.1053848133390662</v>
      </c>
      <c r="L211">
        <f ca="1"/>
        <v>0.12336211601522695</v>
      </c>
      <c r="M211">
        <f ca="1"/>
        <v>0.32717089194338911</v>
      </c>
      <c r="N211">
        <f ca="1"/>
        <v>0.50108228627238716</v>
      </c>
      <c r="O211">
        <f ca="1"/>
        <v>0</v>
      </c>
      <c r="P211">
        <f ca="1"/>
        <v>3.1833543706471716</v>
      </c>
      <c r="Q211">
        <f ca="1"/>
        <v>2.9121797390735242</v>
      </c>
      <c r="R211">
        <f ca="1"/>
        <v>0</v>
      </c>
      <c r="S211">
        <f ca="1"/>
        <v>0.72143708032592513</v>
      </c>
      <c r="T211">
        <f ca="1"/>
        <v>0</v>
      </c>
      <c r="U211">
        <f ca="1"/>
        <v>0</v>
      </c>
      <c r="V211">
        <f ca="1"/>
        <v>6.1881632991204187E-2</v>
      </c>
      <c r="X211" s="2">
        <f t="shared" ca="1" si="22"/>
        <v>45598</v>
      </c>
      <c r="Y211">
        <f t="shared" ca="1" si="23"/>
        <v>0</v>
      </c>
      <c r="AA211" s="63">
        <f t="shared" ca="1" si="25"/>
        <v>-2.9820226973238393</v>
      </c>
      <c r="AB211" s="63">
        <f t="shared" ca="1" si="26"/>
        <v>-2.9820226973238393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45599</v>
      </c>
      <c r="K212">
        <f ca="1"/>
        <v>-2.4017094231682421</v>
      </c>
      <c r="L212">
        <f ca="1"/>
        <v>0.12837448169306498</v>
      </c>
      <c r="M212">
        <f ca="1"/>
        <v>0.3350256284093156</v>
      </c>
      <c r="N212">
        <f ca="1"/>
        <v>0.49702424345457363</v>
      </c>
      <c r="O212">
        <f ca="1"/>
        <v>0</v>
      </c>
      <c r="P212">
        <f ca="1"/>
        <v>3.3117288523402366</v>
      </c>
      <c r="Q212">
        <f ca="1"/>
        <v>3.029618616770513</v>
      </c>
      <c r="R212">
        <f ca="1"/>
        <v>0</v>
      </c>
      <c r="S212">
        <f ca="1"/>
        <v>0.71456281445434944</v>
      </c>
      <c r="T212">
        <f ca="1"/>
        <v>0</v>
      </c>
      <c r="U212">
        <f ca="1"/>
        <v>0</v>
      </c>
      <c r="V212">
        <f ca="1"/>
        <v>6.7981121512859302E-2</v>
      </c>
      <c r="X212" s="2">
        <f t="shared" ca="1" si="22"/>
        <v>45599</v>
      </c>
      <c r="Y212">
        <f t="shared" ca="1" si="23"/>
        <v>0</v>
      </c>
      <c r="AA212" s="63">
        <f t="shared" ca="1" si="25"/>
        <v>-2.2733349414751771</v>
      </c>
      <c r="AB212" s="63">
        <f t="shared" ca="1" si="26"/>
        <v>-2.2733349414751771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45600</v>
      </c>
      <c r="K213">
        <f ca="1"/>
        <v>-1.6847989233476044</v>
      </c>
      <c r="L213">
        <f ca="1"/>
        <v>0.13411159833283381</v>
      </c>
      <c r="M213">
        <f ca="1"/>
        <v>0.34313291642226318</v>
      </c>
      <c r="N213">
        <f ca="1"/>
        <v>0.50788918173120823</v>
      </c>
      <c r="O213">
        <f ca="1"/>
        <v>0</v>
      </c>
      <c r="P213">
        <f ca="1"/>
        <v>3.4458404506730704</v>
      </c>
      <c r="Q213">
        <f ca="1"/>
        <v>3.152305893763883</v>
      </c>
      <c r="R213">
        <f ca="1"/>
        <v>0</v>
      </c>
      <c r="S213">
        <f ca="1"/>
        <v>0.72724434112814107</v>
      </c>
      <c r="T213">
        <f ca="1"/>
        <v>0</v>
      </c>
      <c r="U213">
        <f ca="1"/>
        <v>0</v>
      </c>
      <c r="V213">
        <f ca="1"/>
        <v>7.4667374538321521E-2</v>
      </c>
      <c r="X213" s="2">
        <f t="shared" ca="1" si="22"/>
        <v>45600</v>
      </c>
      <c r="Y213">
        <f t="shared" ca="1" si="23"/>
        <v>0</v>
      </c>
      <c r="AA213" s="63">
        <f t="shared" ca="1" si="25"/>
        <v>-1.5506873250147706</v>
      </c>
      <c r="AB213" s="63">
        <f t="shared" ca="1" si="26"/>
        <v>-1.5506873250147706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45601</v>
      </c>
      <c r="K214">
        <f ca="1"/>
        <v>-0.93637063042610169</v>
      </c>
      <c r="L214">
        <f ca="1"/>
        <v>0.15156829241642544</v>
      </c>
      <c r="M214">
        <f ca="1"/>
        <v>0.37182740909171486</v>
      </c>
      <c r="N214">
        <f ca="1"/>
        <v>0.5281691762462134</v>
      </c>
      <c r="O214">
        <f ca="1"/>
        <v>0</v>
      </c>
      <c r="P214">
        <f ca="1"/>
        <v>3.5974087430894959</v>
      </c>
      <c r="Q214">
        <f ca="1"/>
        <v>3.2909628131226123</v>
      </c>
      <c r="R214">
        <f ca="1"/>
        <v>0</v>
      </c>
      <c r="S214">
        <f ca="1"/>
        <v>0.69281691305641435</v>
      </c>
      <c r="T214">
        <f ca="1"/>
        <v>0</v>
      </c>
      <c r="U214">
        <f ca="1"/>
        <v>0</v>
      </c>
      <c r="V214">
        <f ca="1"/>
        <v>8.2603023773411874E-2</v>
      </c>
      <c r="X214" s="2">
        <f t="shared" ca="1" si="22"/>
        <v>45601</v>
      </c>
      <c r="Y214">
        <f t="shared" ca="1" si="23"/>
        <v>0</v>
      </c>
      <c r="AA214" s="63">
        <f t="shared" ca="1" si="25"/>
        <v>-0.78480233800967614</v>
      </c>
      <c r="AB214" s="63">
        <f t="shared" ca="1" si="26"/>
        <v>-0.78480233800967625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45602</v>
      </c>
      <c r="K215">
        <f ca="1"/>
        <v>-0.19069955986010323</v>
      </c>
      <c r="L215">
        <f ca="1"/>
        <v>0.15781823159613584</v>
      </c>
      <c r="M215">
        <f ca="1"/>
        <v>0.37759870287401398</v>
      </c>
      <c r="N215">
        <f ca="1"/>
        <v>0.52589059928812032</v>
      </c>
      <c r="O215">
        <f ca="1"/>
        <v>0</v>
      </c>
      <c r="P215">
        <f ca="1"/>
        <v>3.7552269746856317</v>
      </c>
      <c r="Q215">
        <f ca="1"/>
        <v>3.4353372694346334</v>
      </c>
      <c r="R215">
        <f ca="1"/>
        <v>0</v>
      </c>
      <c r="S215">
        <f ca="1"/>
        <v>0.69097482639020824</v>
      </c>
      <c r="T215">
        <f ca="1"/>
        <v>0</v>
      </c>
      <c r="U215">
        <f ca="1"/>
        <v>0</v>
      </c>
      <c r="V215">
        <f ca="1"/>
        <v>9.1282821161457223E-2</v>
      </c>
      <c r="X215" s="2">
        <f t="shared" ca="1" si="22"/>
        <v>45602</v>
      </c>
      <c r="Y215">
        <f t="shared" ca="1" si="23"/>
        <v>0</v>
      </c>
      <c r="AA215" s="63">
        <f t="shared" ca="1" si="25"/>
        <v>-3.2881328263967391E-2</v>
      </c>
      <c r="AB215" s="63">
        <f t="shared" ca="1" si="26"/>
        <v>-3.2881328263967391E-2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45603</v>
      </c>
      <c r="K216">
        <f ca="1"/>
        <v>0.52357991801462234</v>
      </c>
      <c r="L216">
        <f ca="1"/>
        <v>0.16029470162117443</v>
      </c>
      <c r="M216">
        <f ca="1"/>
        <v>0.37546392779751159</v>
      </c>
      <c r="N216">
        <f ca="1"/>
        <v>0.49911025169838835</v>
      </c>
      <c r="O216">
        <f ca="1"/>
        <v>0</v>
      </c>
      <c r="P216">
        <f ca="1"/>
        <v>3.9155216763068061</v>
      </c>
      <c r="Q216">
        <f ca="1"/>
        <v>3.5819772372140046</v>
      </c>
      <c r="R216">
        <f ca="1"/>
        <v>0</v>
      </c>
      <c r="S216">
        <f ca="1"/>
        <v>0.67224257469264603</v>
      </c>
      <c r="T216">
        <f ca="1"/>
        <v>0</v>
      </c>
      <c r="U216">
        <f ca="1"/>
        <v>0</v>
      </c>
      <c r="V216">
        <f ca="1"/>
        <v>0.10052074808471739</v>
      </c>
      <c r="X216" s="2">
        <f t="shared" ca="1" si="22"/>
        <v>45603</v>
      </c>
      <c r="Y216">
        <f t="shared" ca="1" si="23"/>
        <v>0</v>
      </c>
      <c r="AA216" s="63">
        <f t="shared" ca="1" si="25"/>
        <v>0.68387461963579677</v>
      </c>
      <c r="AB216" s="63">
        <f t="shared" ca="1" si="26"/>
        <v>0.68387461963579677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45604</v>
      </c>
      <c r="K217">
        <f ca="1"/>
        <v>1.2521214644419643</v>
      </c>
      <c r="L217">
        <f ca="1"/>
        <v>0.1703899063352976</v>
      </c>
      <c r="M217">
        <f ca="1"/>
        <v>0.38599840921224171</v>
      </c>
      <c r="N217">
        <f ca="1"/>
        <v>0.51293304355039793</v>
      </c>
      <c r="O217">
        <f ca="1"/>
        <v>0</v>
      </c>
      <c r="P217">
        <f ca="1"/>
        <v>4.0859115826421037</v>
      </c>
      <c r="Q217">
        <f ca="1"/>
        <v>3.7378524478244439</v>
      </c>
      <c r="R217">
        <f ca="1"/>
        <v>0</v>
      </c>
      <c r="S217">
        <f ca="1"/>
        <v>0.67715801489542504</v>
      </c>
      <c r="T217">
        <f ca="1"/>
        <v>0</v>
      </c>
      <c r="U217">
        <f ca="1"/>
        <v>0</v>
      </c>
      <c r="V217">
        <f ca="1"/>
        <v>0.11078912671824497</v>
      </c>
      <c r="X217" s="2">
        <f t="shared" ca="1" si="22"/>
        <v>45604</v>
      </c>
      <c r="Y217">
        <f t="shared" ca="1" si="23"/>
        <v>0</v>
      </c>
      <c r="AA217" s="63">
        <f t="shared" ca="1" si="25"/>
        <v>1.4225113707772619</v>
      </c>
      <c r="AB217" s="63">
        <f t="shared" ca="1" si="26"/>
        <v>1.4225113707772619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45605</v>
      </c>
      <c r="K218">
        <f ca="1"/>
        <v>1.9918813383291507</v>
      </c>
      <c r="L218">
        <f ca="1"/>
        <v>0.18635125927493235</v>
      </c>
      <c r="M218">
        <f ca="1"/>
        <v>0.40510385046283304</v>
      </c>
      <c r="N218">
        <f ca="1"/>
        <v>0.52100728269928598</v>
      </c>
      <c r="O218">
        <f ca="1"/>
        <v>0</v>
      </c>
      <c r="P218">
        <f ca="1"/>
        <v>4.2722628419170361</v>
      </c>
      <c r="Q218">
        <f ca="1"/>
        <v>3.9083293405685473</v>
      </c>
      <c r="R218">
        <f ca="1"/>
        <v>0</v>
      </c>
      <c r="S218">
        <f ca="1"/>
        <v>0.65109883026992532</v>
      </c>
      <c r="T218">
        <f ca="1"/>
        <v>0</v>
      </c>
      <c r="U218">
        <f ca="1"/>
        <v>0</v>
      </c>
      <c r="V218">
        <f ca="1"/>
        <v>0.12252429761684591</v>
      </c>
      <c r="X218" s="2">
        <f t="shared" ca="1" si="22"/>
        <v>45605</v>
      </c>
      <c r="Y218">
        <f t="shared" ca="1" si="23"/>
        <v>0</v>
      </c>
      <c r="AA218" s="63">
        <f t="shared" ca="1" si="25"/>
        <v>2.1782325976040831</v>
      </c>
      <c r="AB218" s="63">
        <f t="shared" ca="1" si="26"/>
        <v>2.1782325976040831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45606</v>
      </c>
      <c r="K219">
        <f ca="1"/>
        <v>2.692752708384341</v>
      </c>
      <c r="L219">
        <f ca="1"/>
        <v>0.18740034780913906</v>
      </c>
      <c r="M219">
        <f ca="1"/>
        <v>0.3968344135587607</v>
      </c>
      <c r="N219">
        <f ca="1"/>
        <v>0.49143730430556887</v>
      </c>
      <c r="O219">
        <f ca="1"/>
        <v>0</v>
      </c>
      <c r="P219">
        <f ca="1"/>
        <v>4.4596631897261751</v>
      </c>
      <c r="Q219">
        <f ca="1"/>
        <v>4.0797659550457972</v>
      </c>
      <c r="R219">
        <f ca="1"/>
        <v>0</v>
      </c>
      <c r="S219">
        <f ca="1"/>
        <v>0.63727774858211528</v>
      </c>
      <c r="T219">
        <f ca="1"/>
        <v>0</v>
      </c>
      <c r="U219">
        <f ca="1"/>
        <v>0</v>
      </c>
      <c r="V219">
        <f ca="1"/>
        <v>0.13482775314364354</v>
      </c>
      <c r="X219" s="2">
        <f t="shared" ca="1" si="22"/>
        <v>45606</v>
      </c>
      <c r="Y219">
        <f t="shared" ca="1" si="23"/>
        <v>0</v>
      </c>
      <c r="AA219" s="63">
        <f t="shared" ca="1" si="25"/>
        <v>2.8801530561934801</v>
      </c>
      <c r="AB219" s="63">
        <f t="shared" ca="1" si="26"/>
        <v>2.8801530561934801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45607</v>
      </c>
      <c r="K220">
        <f ca="1"/>
        <v>3.3382388794883373</v>
      </c>
      <c r="L220">
        <f ca="1"/>
        <v>0.17911052473021538</v>
      </c>
      <c r="M220">
        <f ca="1"/>
        <v>0.37477151951339494</v>
      </c>
      <c r="N220">
        <f ca="1"/>
        <v>0.44982517632081676</v>
      </c>
      <c r="O220">
        <f ca="1"/>
        <v>0</v>
      </c>
      <c r="P220">
        <f ca="1"/>
        <v>4.6387737144563905</v>
      </c>
      <c r="Q220">
        <f ca="1"/>
        <v>4.2436189165582539</v>
      </c>
      <c r="R220">
        <f ca="1"/>
        <v>0</v>
      </c>
      <c r="S220">
        <f ca="1"/>
        <v>0.63736573620464676</v>
      </c>
      <c r="T220">
        <f ca="1"/>
        <v>0</v>
      </c>
      <c r="U220">
        <f ca="1"/>
        <v>0</v>
      </c>
      <c r="V220">
        <f ca="1"/>
        <v>0.14702709696226404</v>
      </c>
      <c r="X220" s="2">
        <f t="shared" ca="1" si="22"/>
        <v>45607</v>
      </c>
      <c r="Y220">
        <f t="shared" ca="1" si="23"/>
        <v>0</v>
      </c>
      <c r="AA220" s="63">
        <f t="shared" ca="1" si="25"/>
        <v>3.5173494042185527</v>
      </c>
      <c r="AB220" s="63">
        <f t="shared" ca="1" si="26"/>
        <v>3.5173494042185527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45608</v>
      </c>
      <c r="K221">
        <f ca="1"/>
        <v>3.9801168379811793</v>
      </c>
      <c r="L221">
        <f ca="1"/>
        <v>0.18884889927798731</v>
      </c>
      <c r="M221">
        <f ca="1"/>
        <v>0.38087206832828002</v>
      </c>
      <c r="N221">
        <f ca="1"/>
        <v>0.44985478944254947</v>
      </c>
      <c r="O221">
        <f ca="1"/>
        <v>0</v>
      </c>
      <c r="P221">
        <f ca="1"/>
        <v>4.8276226137343778</v>
      </c>
      <c r="Q221">
        <f ca="1"/>
        <v>4.4163806873792275</v>
      </c>
      <c r="R221">
        <f ca="1"/>
        <v>0</v>
      </c>
      <c r="S221">
        <f ca="1"/>
        <v>0.62655691283793402</v>
      </c>
      <c r="T221">
        <f ca="1"/>
        <v>0</v>
      </c>
      <c r="U221">
        <f ca="1"/>
        <v>0</v>
      </c>
      <c r="V221">
        <f ca="1"/>
        <v>0.1603210495847267</v>
      </c>
      <c r="X221" s="2">
        <f t="shared" ca="1" si="22"/>
        <v>45608</v>
      </c>
      <c r="Y221">
        <f t="shared" ca="1" si="23"/>
        <v>0</v>
      </c>
      <c r="AA221" s="63">
        <f t="shared" ca="1" si="25"/>
        <v>4.1689657372591666</v>
      </c>
      <c r="AB221" s="63">
        <f t="shared" ca="1" si="26"/>
        <v>4.1689657372591666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45609</v>
      </c>
      <c r="K222">
        <f ca="1"/>
        <v>4.6447400391232385</v>
      </c>
      <c r="L222">
        <f ca="1"/>
        <v>0.20788558503145982</v>
      </c>
      <c r="M222">
        <f ca="1"/>
        <v>0.39917621638853262</v>
      </c>
      <c r="N222">
        <f ca="1"/>
        <v>0.47333256978498667</v>
      </c>
      <c r="O222">
        <f ca="1"/>
        <v>0</v>
      </c>
      <c r="P222">
        <f ca="1"/>
        <v>5.0355081987658377</v>
      </c>
      <c r="Q222">
        <f ca="1"/>
        <v>4.6065575003524515</v>
      </c>
      <c r="R222">
        <f ca="1"/>
        <v>0</v>
      </c>
      <c r="S222">
        <f ca="1"/>
        <v>0.62112040423709436</v>
      </c>
      <c r="T222">
        <f ca="1"/>
        <v>0</v>
      </c>
      <c r="U222">
        <f ca="1"/>
        <v>0</v>
      </c>
      <c r="V222">
        <f ca="1"/>
        <v>0.17542229892700267</v>
      </c>
      <c r="X222" s="2">
        <f t="shared" ca="1" si="22"/>
        <v>45609</v>
      </c>
      <c r="Y222">
        <f t="shared" ca="1" si="23"/>
        <v>0</v>
      </c>
      <c r="AA222" s="63">
        <f t="shared" ca="1" si="25"/>
        <v>4.8526256241546983</v>
      </c>
      <c r="AB222" s="63">
        <f t="shared" ca="1" si="26"/>
        <v>4.8526256241546983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45610</v>
      </c>
      <c r="K223">
        <f ca="1"/>
        <v>5.3067310226166624</v>
      </c>
      <c r="L223">
        <f ca="1"/>
        <v>0.219551435433611</v>
      </c>
      <c r="M223">
        <f ca="1"/>
        <v>0.40478827976686915</v>
      </c>
      <c r="N223">
        <f ca="1"/>
        <v>0.47675413916016607</v>
      </c>
      <c r="O223">
        <f ca="1"/>
        <v>0</v>
      </c>
      <c r="P223">
        <f ca="1"/>
        <v>5.2550596341994487</v>
      </c>
      <c r="Q223">
        <f ca="1"/>
        <v>4.8074064061009771</v>
      </c>
      <c r="R223">
        <f ca="1"/>
        <v>0</v>
      </c>
      <c r="S223">
        <f ca="1"/>
        <v>0.61594820193953748</v>
      </c>
      <c r="T223">
        <f ca="1"/>
        <v>0</v>
      </c>
      <c r="U223">
        <f ca="1"/>
        <v>0</v>
      </c>
      <c r="V223">
        <f ca="1"/>
        <v>0.19184608047182308</v>
      </c>
      <c r="X223" s="2">
        <f t="shared" ca="1" si="22"/>
        <v>45610</v>
      </c>
      <c r="Y223">
        <f t="shared" ca="1" si="23"/>
        <v>0</v>
      </c>
      <c r="AA223" s="63">
        <f t="shared" ca="1" si="25"/>
        <v>5.5262824580502734</v>
      </c>
      <c r="AB223" s="63">
        <f t="shared" ca="1" si="26"/>
        <v>5.5262824580502734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45611</v>
      </c>
      <c r="K224">
        <f ca="1"/>
        <v>5.9677377614999099</v>
      </c>
      <c r="L224">
        <f ca="1"/>
        <v>0.22493175805264265</v>
      </c>
      <c r="M224">
        <f ca="1"/>
        <v>0.4004569318105986</v>
      </c>
      <c r="N224">
        <f ca="1"/>
        <v>0.48548156512529128</v>
      </c>
      <c r="O224">
        <f ca="1"/>
        <v>0</v>
      </c>
      <c r="P224">
        <f ca="1"/>
        <v>5.4799913922520913</v>
      </c>
      <c r="Q224">
        <f ca="1"/>
        <v>5.0131773106898763</v>
      </c>
      <c r="R224">
        <f ca="1"/>
        <v>0</v>
      </c>
      <c r="S224">
        <f ca="1"/>
        <v>0.64294568552247844</v>
      </c>
      <c r="T224">
        <f ca="1"/>
        <v>0</v>
      </c>
      <c r="U224">
        <f ca="1"/>
        <v>0</v>
      </c>
      <c r="V224">
        <f ca="1"/>
        <v>0.20911309950431994</v>
      </c>
      <c r="X224" s="2">
        <f t="shared" ca="1" si="22"/>
        <v>45611</v>
      </c>
      <c r="Y224">
        <f t="shared" ca="1" si="23"/>
        <v>0</v>
      </c>
      <c r="AA224" s="63">
        <f t="shared" ca="1" si="25"/>
        <v>6.1926695195525525</v>
      </c>
      <c r="AB224" s="63">
        <f t="shared" ca="1" si="26"/>
        <v>6.1926695195525525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45612</v>
      </c>
      <c r="K225">
        <f ca="1"/>
        <v>6.5638096506757009</v>
      </c>
      <c r="L225">
        <f ca="1"/>
        <v>0.20432692331475177</v>
      </c>
      <c r="M225">
        <f ca="1"/>
        <v>0.36389546346330803</v>
      </c>
      <c r="N225">
        <f ca="1"/>
        <v>0.43650334902723437</v>
      </c>
      <c r="O225">
        <f ca="1"/>
        <v>0</v>
      </c>
      <c r="P225">
        <f ca="1"/>
        <v>5.6843183155668431</v>
      </c>
      <c r="Q225">
        <f ca="1"/>
        <v>5.2000986072037421</v>
      </c>
      <c r="R225">
        <f ca="1"/>
        <v>0</v>
      </c>
      <c r="S225">
        <f ca="1"/>
        <v>0.66481019781181683</v>
      </c>
      <c r="T225">
        <f ca="1"/>
        <v>0</v>
      </c>
      <c r="U225">
        <f ca="1"/>
        <v>0</v>
      </c>
      <c r="V225">
        <f ca="1"/>
        <v>0.22512722979780073</v>
      </c>
      <c r="X225" s="2">
        <f t="shared" ca="1" si="22"/>
        <v>45612</v>
      </c>
      <c r="Y225">
        <f t="shared" ca="1" si="23"/>
        <v>0</v>
      </c>
      <c r="AA225" s="63">
        <f t="shared" ca="1" si="25"/>
        <v>6.7681365739904527</v>
      </c>
      <c r="AB225" s="63">
        <f t="shared" ca="1" si="26"/>
        <v>6.7681365739904527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45613</v>
      </c>
      <c r="K226">
        <f ca="1"/>
        <v>7.1485088776417909</v>
      </c>
      <c r="L226">
        <f ca="1"/>
        <v>0.20883339871688378</v>
      </c>
      <c r="M226">
        <f ca="1"/>
        <v>0.36077242699313317</v>
      </c>
      <c r="N226">
        <f ca="1"/>
        <v>0.43276019868984078</v>
      </c>
      <c r="O226">
        <f ca="1"/>
        <v>0</v>
      </c>
      <c r="P226">
        <f ca="1"/>
        <v>5.8931517142837269</v>
      </c>
      <c r="Q226">
        <f ca="1"/>
        <v>5.3911424941780757</v>
      </c>
      <c r="R226">
        <f ca="1"/>
        <v>0</v>
      </c>
      <c r="S226">
        <f ca="1"/>
        <v>0.66805006893778895</v>
      </c>
      <c r="T226">
        <f ca="1"/>
        <v>0</v>
      </c>
      <c r="U226">
        <f ca="1"/>
        <v>0</v>
      </c>
      <c r="V226">
        <f ca="1"/>
        <v>0.24176206798065877</v>
      </c>
      <c r="X226" s="2">
        <f t="shared" ca="1" si="22"/>
        <v>45613</v>
      </c>
      <c r="Y226">
        <f t="shared" ca="1" si="23"/>
        <v>0</v>
      </c>
      <c r="AA226" s="63">
        <f t="shared" ca="1" si="25"/>
        <v>7.3573422763586747</v>
      </c>
      <c r="AB226" s="63">
        <f t="shared" ca="1" si="26"/>
        <v>7.3573422763586747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45614</v>
      </c>
      <c r="K227">
        <f ca="1"/>
        <v>7.7553531712748525</v>
      </c>
      <c r="L227">
        <f ca="1"/>
        <v>0.22701513018134278</v>
      </c>
      <c r="M227">
        <f ca="1"/>
        <v>0.37257590972412657</v>
      </c>
      <c r="N227">
        <f ca="1"/>
        <v>0.46128351409027757</v>
      </c>
      <c r="O227">
        <f ca="1"/>
        <v>0</v>
      </c>
      <c r="P227">
        <f ca="1"/>
        <v>6.1201668444650696</v>
      </c>
      <c r="Q227">
        <f ca="1"/>
        <v>5.5988192984550826</v>
      </c>
      <c r="R227">
        <f ca="1"/>
        <v>0</v>
      </c>
      <c r="S227">
        <f ca="1"/>
        <v>0.68110722151228442</v>
      </c>
      <c r="T227">
        <f ca="1"/>
        <v>0</v>
      </c>
      <c r="U227">
        <f ca="1"/>
        <v>0</v>
      </c>
      <c r="V227">
        <f ca="1"/>
        <v>0.26008822644904944</v>
      </c>
      <c r="X227" s="2">
        <f t="shared" ca="1" si="22"/>
        <v>45614</v>
      </c>
      <c r="Y227">
        <f t="shared" ca="1" si="23"/>
        <v>0</v>
      </c>
      <c r="AA227" s="63">
        <f t="shared" ca="1" si="25"/>
        <v>7.9823683014561952</v>
      </c>
      <c r="AB227" s="63">
        <f t="shared" ca="1" si="26"/>
        <v>7.9823683014561952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45615</v>
      </c>
      <c r="K228">
        <f ca="1"/>
        <v>8.3945529998376855</v>
      </c>
      <c r="L228">
        <f ca="1"/>
        <v>0.24307193936350924</v>
      </c>
      <c r="M228">
        <f ca="1"/>
        <v>0.38048902407095397</v>
      </c>
      <c r="N228">
        <f ca="1"/>
        <v>0.50178274385538812</v>
      </c>
      <c r="O228">
        <f ca="1"/>
        <v>0</v>
      </c>
      <c r="P228">
        <f ca="1"/>
        <v>6.3632387838285789</v>
      </c>
      <c r="Q228">
        <f ca="1"/>
        <v>5.8211851096505898</v>
      </c>
      <c r="R228">
        <f ca="1"/>
        <v>0</v>
      </c>
      <c r="S228">
        <f ca="1"/>
        <v>0.72102768168490505</v>
      </c>
      <c r="T228">
        <f ca="1"/>
        <v>0</v>
      </c>
      <c r="U228">
        <f ca="1"/>
        <v>0</v>
      </c>
      <c r="V228">
        <f ca="1"/>
        <v>0.27991491498802423</v>
      </c>
      <c r="X228" s="2">
        <f t="shared" ca="1" si="22"/>
        <v>45615</v>
      </c>
      <c r="Y228">
        <f t="shared" ca="1" si="23"/>
        <v>0</v>
      </c>
      <c r="AA228" s="63">
        <f t="shared" ca="1" si="25"/>
        <v>8.6376249392011939</v>
      </c>
      <c r="AB228" s="63">
        <f t="shared" ca="1" si="26"/>
        <v>8.6376249392011957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45616</v>
      </c>
      <c r="K229">
        <f ca="1"/>
        <v>9.0207389877337558</v>
      </c>
      <c r="L229">
        <f ca="1"/>
        <v>0.2380716698398011</v>
      </c>
      <c r="M229">
        <f ca="1"/>
        <v>0.36481013326918799</v>
      </c>
      <c r="N229">
        <f ca="1"/>
        <v>0.49944752446668261</v>
      </c>
      <c r="O229">
        <f ca="1"/>
        <v>0</v>
      </c>
      <c r="P229">
        <f ca="1"/>
        <v>6.60131045366838</v>
      </c>
      <c r="Q229">
        <f ca="1"/>
        <v>6.0389766002077403</v>
      </c>
      <c r="R229">
        <f ca="1"/>
        <v>0</v>
      </c>
      <c r="S229">
        <f ca="1"/>
        <v>0.76054211848415865</v>
      </c>
      <c r="T229">
        <f ca="1"/>
        <v>0</v>
      </c>
      <c r="U229">
        <f ca="1"/>
        <v>0</v>
      </c>
      <c r="V229">
        <f ca="1"/>
        <v>0.29946142756102845</v>
      </c>
      <c r="X229" s="2">
        <f t="shared" ca="1" si="22"/>
        <v>45616</v>
      </c>
      <c r="Y229">
        <f t="shared" ca="1" si="23"/>
        <v>0</v>
      </c>
      <c r="AA229" s="63">
        <f t="shared" ca="1" si="25"/>
        <v>9.2588106575735569</v>
      </c>
      <c r="AB229" s="63">
        <f t="shared" ca="1" si="26"/>
        <v>9.2588106575735569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45617</v>
      </c>
      <c r="K230">
        <f ca="1"/>
        <v>9.6315561735381934</v>
      </c>
      <c r="L230">
        <f ca="1"/>
        <v>0.25150557963243791</v>
      </c>
      <c r="M230">
        <f ca="1"/>
        <v>0.36871361012721593</v>
      </c>
      <c r="N230">
        <f ca="1"/>
        <v>0.49360915530965954</v>
      </c>
      <c r="O230">
        <f ca="1"/>
        <v>0</v>
      </c>
      <c r="P230">
        <f ca="1"/>
        <v>6.8528160333008179</v>
      </c>
      <c r="Q230">
        <f ca="1"/>
        <v>6.2690576304640819</v>
      </c>
      <c r="R230">
        <f ca="1"/>
        <v>0</v>
      </c>
      <c r="S230">
        <f ca="1"/>
        <v>0.73739402925690956</v>
      </c>
      <c r="T230">
        <f ca="1"/>
        <v>0</v>
      </c>
      <c r="U230">
        <f ca="1"/>
        <v>0</v>
      </c>
      <c r="V230">
        <f ca="1"/>
        <v>0.32016637416158789</v>
      </c>
      <c r="X230" s="2">
        <f t="shared" ca="1" si="22"/>
        <v>45617</v>
      </c>
      <c r="Y230">
        <f t="shared" ca="1" si="23"/>
        <v>0</v>
      </c>
      <c r="AA230" s="63">
        <f t="shared" ca="1" si="25"/>
        <v>9.8830617531706313</v>
      </c>
      <c r="AB230" s="63">
        <f t="shared" ca="1" si="26"/>
        <v>9.8830617531706313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45618</v>
      </c>
      <c r="K231">
        <f ca="1"/>
        <v>10.286281412000598</v>
      </c>
      <c r="L231">
        <f ca="1"/>
        <v>0.30535961274750445</v>
      </c>
      <c r="M231">
        <f ca="1"/>
        <v>0.41284212100472573</v>
      </c>
      <c r="N231">
        <f ca="1"/>
        <v>0.54724273020518455</v>
      </c>
      <c r="O231">
        <f ca="1"/>
        <v>0</v>
      </c>
      <c r="P231">
        <f ca="1"/>
        <v>7.1581756460483223</v>
      </c>
      <c r="Q231">
        <f ca="1"/>
        <v>6.5484051280516145</v>
      </c>
      <c r="R231">
        <f ca="1"/>
        <v>0</v>
      </c>
      <c r="S231">
        <f ca="1"/>
        <v>0.69426602376491919</v>
      </c>
      <c r="T231">
        <f ca="1"/>
        <v>0</v>
      </c>
      <c r="U231">
        <f ca="1"/>
        <v>0</v>
      </c>
      <c r="V231">
        <f ca="1"/>
        <v>0.34526656306472447</v>
      </c>
      <c r="X231" s="2">
        <f t="shared" ca="1" si="22"/>
        <v>45618</v>
      </c>
      <c r="Y231">
        <f t="shared" ca="1" si="23"/>
        <v>0</v>
      </c>
      <c r="AA231" s="63">
        <f t="shared" ca="1" si="25"/>
        <v>10.591641024748103</v>
      </c>
      <c r="AB231" s="63">
        <f t="shared" ca="1" si="26"/>
        <v>10.591641024748103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45619</v>
      </c>
      <c r="K232">
        <f ca="1"/>
        <v>10.953121507517771</v>
      </c>
      <c r="L232">
        <f ca="1"/>
        <v>0.32509140813319792</v>
      </c>
      <c r="M232">
        <f ca="1"/>
        <v>0.4179339255934913</v>
      </c>
      <c r="N232">
        <f ca="1"/>
        <v>0.57399757805688023</v>
      </c>
      <c r="O232">
        <f ca="1"/>
        <v>0</v>
      </c>
      <c r="P232">
        <f ca="1"/>
        <v>7.4832670541815203</v>
      </c>
      <c r="Q232">
        <f ca="1"/>
        <v>6.8458035643808719</v>
      </c>
      <c r="R232">
        <f ca="1"/>
        <v>0</v>
      </c>
      <c r="S232">
        <f ca="1"/>
        <v>0.71356275725150753</v>
      </c>
      <c r="T232">
        <f ca="1"/>
        <v>0</v>
      </c>
      <c r="U232">
        <f ca="1"/>
        <v>0</v>
      </c>
      <c r="V232">
        <f ca="1"/>
        <v>0.37180161301090991</v>
      </c>
      <c r="X232" s="2">
        <f t="shared" ca="1" si="22"/>
        <v>45619</v>
      </c>
      <c r="Y232">
        <f t="shared" ca="1" si="23"/>
        <v>0</v>
      </c>
      <c r="AA232" s="63">
        <f t="shared" ca="1" si="25"/>
        <v>11.27821291565097</v>
      </c>
      <c r="AB232" s="63">
        <f t="shared" ca="1" si="26"/>
        <v>11.278212915650968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45620</v>
      </c>
      <c r="K233">
        <f ca="1"/>
        <v>11.607363671337701</v>
      </c>
      <c r="L233">
        <f ca="1"/>
        <v>0.3415555540484565</v>
      </c>
      <c r="M233">
        <f ca="1"/>
        <v>0.41809032134630897</v>
      </c>
      <c r="N233">
        <f ca="1"/>
        <v>0.57770739652207681</v>
      </c>
      <c r="O233">
        <f ca="1"/>
        <v>0</v>
      </c>
      <c r="P233">
        <f ca="1"/>
        <v>7.8248226082299768</v>
      </c>
      <c r="Q233">
        <f ca="1"/>
        <v>7.1582636453066826</v>
      </c>
      <c r="R233">
        <f ca="1"/>
        <v>0</v>
      </c>
      <c r="S233">
        <f ca="1"/>
        <v>0.71288674799262408</v>
      </c>
      <c r="T233">
        <f ca="1"/>
        <v>0</v>
      </c>
      <c r="U233">
        <f ca="1"/>
        <v>0</v>
      </c>
      <c r="V233">
        <f ca="1"/>
        <v>0.3993182636611311</v>
      </c>
      <c r="X233" s="2">
        <f t="shared" ca="1" si="22"/>
        <v>45620</v>
      </c>
      <c r="Y233">
        <f t="shared" ca="1" si="23"/>
        <v>0</v>
      </c>
      <c r="AA233" s="63">
        <f t="shared" ca="1" si="25"/>
        <v>11.948919225386158</v>
      </c>
      <c r="AB233" s="63">
        <f t="shared" ca="1" si="26"/>
        <v>11.948919225386158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45621</v>
      </c>
      <c r="K234">
        <f ca="1"/>
        <v>12.280012582648595</v>
      </c>
      <c r="L234">
        <f ca="1"/>
        <v>0.37950945894346777</v>
      </c>
      <c r="M234">
        <f ca="1"/>
        <v>0.43803922703165199</v>
      </c>
      <c r="N234">
        <f ca="1"/>
        <v>0.61411914322270944</v>
      </c>
      <c r="O234">
        <f ca="1"/>
        <v>0</v>
      </c>
      <c r="P234">
        <f ca="1"/>
        <v>8.2043320671734445</v>
      </c>
      <c r="Q234">
        <f ca="1"/>
        <v>7.5054445207105198</v>
      </c>
      <c r="R234">
        <f ca="1"/>
        <v>0</v>
      </c>
      <c r="S234">
        <f ca="1"/>
        <v>0.70715799101022592</v>
      </c>
      <c r="T234">
        <f ca="1"/>
        <v>0</v>
      </c>
      <c r="U234">
        <f ca="1"/>
        <v>0</v>
      </c>
      <c r="V234">
        <f ca="1"/>
        <v>0.42928450077448155</v>
      </c>
      <c r="X234" s="2">
        <f t="shared" ca="1" si="22"/>
        <v>45621</v>
      </c>
      <c r="Y234">
        <f t="shared" ca="1" si="23"/>
        <v>0</v>
      </c>
      <c r="AA234" s="63">
        <f t="shared" ca="1" si="25"/>
        <v>12.659522041592062</v>
      </c>
      <c r="AB234" s="63">
        <f t="shared" ca="1" si="26"/>
        <v>12.659522041592062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45622</v>
      </c>
      <c r="K235">
        <f ca="1"/>
        <v>12.877569186824706</v>
      </c>
      <c r="L235">
        <f ca="1"/>
        <v>0.3742118146934299</v>
      </c>
      <c r="M235">
        <f ca="1"/>
        <v>0.41389830063894095</v>
      </c>
      <c r="N235">
        <f ca="1"/>
        <v>0.55787011823059918</v>
      </c>
      <c r="O235">
        <f ca="1"/>
        <v>0</v>
      </c>
      <c r="P235">
        <f ca="1"/>
        <v>8.5785438818668744</v>
      </c>
      <c r="Q235">
        <f ca="1"/>
        <v>7.8477790326708066</v>
      </c>
      <c r="R235">
        <f ca="1"/>
        <v>0</v>
      </c>
      <c r="S235">
        <f ca="1"/>
        <v>0.68380497016251018</v>
      </c>
      <c r="T235">
        <f ca="1"/>
        <v>0</v>
      </c>
      <c r="U235">
        <f ca="1"/>
        <v>0</v>
      </c>
      <c r="V235">
        <f ca="1"/>
        <v>0.45805005130043952</v>
      </c>
      <c r="X235" s="2">
        <f t="shared" ca="1" si="22"/>
        <v>45622</v>
      </c>
      <c r="Y235">
        <f t="shared" ca="1" si="23"/>
        <v>0</v>
      </c>
      <c r="AA235" s="63">
        <f t="shared" ca="1" si="25"/>
        <v>13.251781001518136</v>
      </c>
      <c r="AB235" s="63">
        <f t="shared" ca="1" si="26"/>
        <v>13.251781001518136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45623</v>
      </c>
      <c r="K236">
        <f ca="1"/>
        <v>13.439592873163759</v>
      </c>
      <c r="L236">
        <f ca="1"/>
        <v>0.37525299998298323</v>
      </c>
      <c r="M236">
        <f ca="1"/>
        <v>0.39805595038602704</v>
      </c>
      <c r="N236">
        <f ca="1"/>
        <v>0.5392207359360095</v>
      </c>
      <c r="O236">
        <f ca="1"/>
        <v>0</v>
      </c>
      <c r="P236">
        <f ca="1"/>
        <v>8.9537968818498577</v>
      </c>
      <c r="Q236">
        <f ca="1"/>
        <v>8.1910660363589436</v>
      </c>
      <c r="R236">
        <f ca="1"/>
        <v>0</v>
      </c>
      <c r="S236">
        <f ca="1"/>
        <v>0.69013346028547862</v>
      </c>
      <c r="T236">
        <f ca="1"/>
        <v>0</v>
      </c>
      <c r="U236">
        <f ca="1"/>
        <v>0</v>
      </c>
      <c r="V236">
        <f ca="1"/>
        <v>0.48598718960319215</v>
      </c>
      <c r="X236" s="2">
        <f t="shared" ca="1" si="22"/>
        <v>45623</v>
      </c>
      <c r="Y236">
        <f t="shared" ca="1" si="23"/>
        <v>0</v>
      </c>
      <c r="AA236" s="63">
        <f t="shared" ca="1" si="25"/>
        <v>13.814845873146743</v>
      </c>
      <c r="AB236" s="63">
        <f t="shared" ca="1" si="26"/>
        <v>13.814845873146743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45624</v>
      </c>
      <c r="K237">
        <f ca="1"/>
        <v>13.96383912336217</v>
      </c>
      <c r="L237">
        <f ca="1"/>
        <v>0.38327460907162347</v>
      </c>
      <c r="M237">
        <f ca="1"/>
        <v>0.38908540941576319</v>
      </c>
      <c r="N237">
        <f ca="1"/>
        <v>0.51843544985427081</v>
      </c>
      <c r="O237">
        <f ca="1"/>
        <v>0</v>
      </c>
      <c r="P237">
        <f ca="1"/>
        <v>9.3370714909214811</v>
      </c>
      <c r="Q237">
        <f ca="1"/>
        <v>8.5416913268800219</v>
      </c>
      <c r="R237">
        <f ca="1"/>
        <v>0</v>
      </c>
      <c r="S237">
        <f ca="1"/>
        <v>0.67600651383825883</v>
      </c>
      <c r="T237">
        <f ca="1"/>
        <v>0</v>
      </c>
      <c r="U237">
        <f ca="1"/>
        <v>0</v>
      </c>
      <c r="V237">
        <f ca="1"/>
        <v>0.51348092066761564</v>
      </c>
      <c r="X237" s="2">
        <f t="shared" ca="1" si="22"/>
        <v>45624</v>
      </c>
      <c r="Y237">
        <f t="shared" ca="1" si="23"/>
        <v>0</v>
      </c>
      <c r="AA237" s="63">
        <f t="shared" ca="1" si="25"/>
        <v>14.347113732433794</v>
      </c>
      <c r="AB237" s="63">
        <f t="shared" ca="1" si="26"/>
        <v>14.347113732433794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45625</v>
      </c>
      <c r="K238">
        <f ca="1"/>
        <v>14.491090886855105</v>
      </c>
      <c r="L238">
        <f ca="1"/>
        <v>0.42171405181903765</v>
      </c>
      <c r="M238">
        <f ca="1"/>
        <v>0.40341107737821602</v>
      </c>
      <c r="N238">
        <f ca="1"/>
        <v>0.54555473793375586</v>
      </c>
      <c r="O238">
        <f ca="1"/>
        <v>0</v>
      </c>
      <c r="P238">
        <f ca="1"/>
        <v>9.7587855427405188</v>
      </c>
      <c r="Q238">
        <f ca="1"/>
        <v>8.9274815890996582</v>
      </c>
      <c r="R238">
        <f ca="1"/>
        <v>0</v>
      </c>
      <c r="S238">
        <f ca="1"/>
        <v>0.66977924274744904</v>
      </c>
      <c r="T238">
        <f ca="1"/>
        <v>0</v>
      </c>
      <c r="U238">
        <f ca="1"/>
        <v>0</v>
      </c>
      <c r="V238">
        <f ca="1"/>
        <v>0.54242918317945377</v>
      </c>
      <c r="X238" s="2">
        <f t="shared" ca="1" si="22"/>
        <v>45625</v>
      </c>
      <c r="Y238">
        <f t="shared" ca="1" si="23"/>
        <v>0</v>
      </c>
      <c r="AA238" s="63">
        <f t="shared" ca="1" si="25"/>
        <v>14.912804938674142</v>
      </c>
      <c r="AB238" s="63">
        <f t="shared" ca="1" si="26"/>
        <v>14.912804938674142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45626</v>
      </c>
      <c r="K239">
        <f ca="1"/>
        <v>15.010252497394037</v>
      </c>
      <c r="L239">
        <f ca="1"/>
        <v>0.46662645035348405</v>
      </c>
      <c r="M239">
        <f ca="1"/>
        <v>0.42018756893989462</v>
      </c>
      <c r="N239">
        <f ca="1"/>
        <v>0.56560049195252093</v>
      </c>
      <c r="O239">
        <f ca="1"/>
        <v>0</v>
      </c>
      <c r="P239">
        <f ca="1"/>
        <v>10.225411993094003</v>
      </c>
      <c r="Q239">
        <f ca="1"/>
        <v>9.3543583788674756</v>
      </c>
      <c r="R239">
        <f ca="1"/>
        <v>0</v>
      </c>
      <c r="S239">
        <f ca="1"/>
        <v>0.6479713449697363</v>
      </c>
      <c r="T239">
        <f ca="1"/>
        <v>0</v>
      </c>
      <c r="U239">
        <f ca="1"/>
        <v>0</v>
      </c>
      <c r="V239">
        <f ca="1"/>
        <v>0.57279765469090804</v>
      </c>
      <c r="X239" s="2">
        <f t="shared" ca="1" si="22"/>
        <v>45626</v>
      </c>
      <c r="Y239">
        <f t="shared" ca="1" si="23"/>
        <v>0</v>
      </c>
      <c r="AA239" s="63">
        <f t="shared" ca="1" si="25"/>
        <v>15.476878947747521</v>
      </c>
      <c r="AB239" s="63">
        <f t="shared" ca="1" si="26"/>
        <v>15.476878947747521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45627</v>
      </c>
      <c r="K240">
        <f ca="1"/>
        <v>15.502174892798733</v>
      </c>
      <c r="L240">
        <f ca="1"/>
        <v>0.49741789714890139</v>
      </c>
      <c r="M240">
        <f ca="1"/>
        <v>0.42325958082133752</v>
      </c>
      <c r="N240">
        <f ca="1"/>
        <v>0.56608071173225938</v>
      </c>
      <c r="O240">
        <f ca="1"/>
        <v>0</v>
      </c>
      <c r="P240">
        <f ca="1"/>
        <v>10.722829890242904</v>
      </c>
      <c r="Q240">
        <f ca="1"/>
        <v>9.8094036403333238</v>
      </c>
      <c r="R240">
        <f ca="1"/>
        <v>0</v>
      </c>
      <c r="S240">
        <f ca="1"/>
        <v>0.63192787495549441</v>
      </c>
      <c r="T240">
        <f ca="1"/>
        <v>0</v>
      </c>
      <c r="U240">
        <f ca="1"/>
        <v>0</v>
      </c>
      <c r="V240">
        <f ca="1"/>
        <v>0.60320568443838707</v>
      </c>
      <c r="X240" s="2">
        <f t="shared" ca="1" si="22"/>
        <v>45627</v>
      </c>
      <c r="Y240">
        <f t="shared" ca="1" si="23"/>
        <v>0</v>
      </c>
      <c r="AA240" s="63">
        <f t="shared" ca="1" si="25"/>
        <v>15.999592789947634</v>
      </c>
      <c r="AB240" s="63">
        <f t="shared" ca="1" si="26"/>
        <v>15.999592789947634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45628</v>
      </c>
      <c r="K241">
        <f ca="1"/>
        <v>15.948621367344353</v>
      </c>
      <c r="L241">
        <f ca="1"/>
        <v>0.50825957195213256</v>
      </c>
      <c r="M241">
        <f ca="1"/>
        <v>0.41046978111104693</v>
      </c>
      <c r="N241">
        <f ca="1"/>
        <v>0.544236265386706</v>
      </c>
      <c r="O241">
        <f ca="1"/>
        <v>0</v>
      </c>
      <c r="P241">
        <f ca="1"/>
        <v>11.231089462195037</v>
      </c>
      <c r="Q241">
        <f ca="1"/>
        <v>10.274367026526571</v>
      </c>
      <c r="R241">
        <f ca="1"/>
        <v>0</v>
      </c>
      <c r="S241">
        <f ca="1"/>
        <v>0.62178809224447862</v>
      </c>
      <c r="T241">
        <f ca="1"/>
        <v>0</v>
      </c>
      <c r="U241">
        <f ca="1"/>
        <v>0</v>
      </c>
      <c r="V241">
        <f ca="1"/>
        <v>0.63218509951077384</v>
      </c>
      <c r="X241" s="2">
        <f t="shared" ca="1" si="22"/>
        <v>45628</v>
      </c>
      <c r="Y241">
        <f t="shared" ca="1" si="23"/>
        <v>0</v>
      </c>
      <c r="AA241" s="63">
        <f t="shared" ca="1" si="25"/>
        <v>16.456880939296486</v>
      </c>
      <c r="AB241" s="63">
        <f t="shared" ca="1" si="26"/>
        <v>16.456880939296486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45629</v>
      </c>
      <c r="K242">
        <f ca="1"/>
        <v>16.339451112007033</v>
      </c>
      <c r="L242">
        <f ca="1"/>
        <v>0.53805715520066855</v>
      </c>
      <c r="M242">
        <f ca="1"/>
        <v>0.41076641349220466</v>
      </c>
      <c r="N242">
        <f ca="1"/>
        <v>0.51812048637114494</v>
      </c>
      <c r="O242">
        <f ca="1"/>
        <v>0</v>
      </c>
      <c r="P242">
        <f ca="1"/>
        <v>11.769146617395705</v>
      </c>
      <c r="Q242">
        <f ca="1"/>
        <v>10.766589683321257</v>
      </c>
      <c r="R242">
        <f ca="1"/>
        <v>0</v>
      </c>
      <c r="S242">
        <f ca="1"/>
        <v>0.57353965245544569</v>
      </c>
      <c r="T242">
        <f ca="1"/>
        <v>0</v>
      </c>
      <c r="U242">
        <f ca="1"/>
        <v>0</v>
      </c>
      <c r="V242">
        <f ca="1"/>
        <v>0.66060868475720003</v>
      </c>
      <c r="X242" s="2">
        <f t="shared" ca="1" si="22"/>
        <v>45629</v>
      </c>
      <c r="Y242">
        <f t="shared" ca="1" si="23"/>
        <v>0</v>
      </c>
      <c r="AA242" s="63">
        <f t="shared" ca="1" si="25"/>
        <v>16.877508267207702</v>
      </c>
      <c r="AB242" s="63">
        <f t="shared" ca="1" si="26"/>
        <v>16.877508267207702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45630</v>
      </c>
      <c r="K243">
        <f ca="1"/>
        <v>16.699451693572271</v>
      </c>
      <c r="L243">
        <f ca="1"/>
        <v>0.56297701650525411</v>
      </c>
      <c r="M243">
        <f ca="1"/>
        <v>0.40657828126867201</v>
      </c>
      <c r="N243">
        <f ca="1"/>
        <v>0.51639931680181994</v>
      </c>
      <c r="O243">
        <f ca="1"/>
        <v>0</v>
      </c>
      <c r="P243">
        <f ca="1"/>
        <v>12.332123633900959</v>
      </c>
      <c r="Q243">
        <f ca="1"/>
        <v>11.281609398420507</v>
      </c>
      <c r="R243">
        <f ca="1"/>
        <v>0</v>
      </c>
      <c r="S243">
        <f ca="1"/>
        <v>0.56970509316907658</v>
      </c>
      <c r="T243">
        <f ca="1"/>
        <v>0</v>
      </c>
      <c r="U243">
        <f ca="1"/>
        <v>0</v>
      </c>
      <c r="V243">
        <f ca="1"/>
        <v>0.68796158843065269</v>
      </c>
      <c r="X243" s="2">
        <f t="shared" ca="1" si="22"/>
        <v>45630</v>
      </c>
      <c r="Y243">
        <f t="shared" ca="1" si="23"/>
        <v>0</v>
      </c>
      <c r="AA243" s="63">
        <f t="shared" ca="1" si="25"/>
        <v>17.262428710077526</v>
      </c>
      <c r="AB243" s="63">
        <f t="shared" ca="1" si="26"/>
        <v>17.262428710077526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45631</v>
      </c>
      <c r="K244">
        <f ca="1"/>
        <v>17.00623826596312</v>
      </c>
      <c r="L244">
        <f ca="1"/>
        <v>0.581462015305517</v>
      </c>
      <c r="M244">
        <f ca="1"/>
        <v>0.39782430872328689</v>
      </c>
      <c r="N244">
        <f ca="1"/>
        <v>0.49042427897308127</v>
      </c>
      <c r="O244">
        <f ca="1"/>
        <v>0</v>
      </c>
      <c r="P244">
        <f ca="1"/>
        <v>12.913585649206476</v>
      </c>
      <c r="Q244">
        <f ca="1"/>
        <v>11.813539464274076</v>
      </c>
      <c r="R244">
        <f ca="1"/>
        <v>0</v>
      </c>
      <c r="S244">
        <f ca="1"/>
        <v>0.54026360221859315</v>
      </c>
      <c r="T244">
        <f ca="1"/>
        <v>0</v>
      </c>
      <c r="U244">
        <f ca="1"/>
        <v>0</v>
      </c>
      <c r="V244">
        <f ca="1"/>
        <v>0.71378780351456239</v>
      </c>
      <c r="X244" s="2">
        <f t="shared" ca="1" si="22"/>
        <v>45631</v>
      </c>
      <c r="Y244">
        <f t="shared" ca="1" si="23"/>
        <v>0</v>
      </c>
      <c r="AA244" s="63">
        <f t="shared" ca="1" si="25"/>
        <v>17.587700281268638</v>
      </c>
      <c r="AB244" s="63">
        <f t="shared" ca="1" si="26"/>
        <v>17.587700281268638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45632</v>
      </c>
      <c r="K245">
        <f ca="1"/>
        <v>17.264441055949298</v>
      </c>
      <c r="L245">
        <f ca="1"/>
        <v>0.60439451525049037</v>
      </c>
      <c r="M245">
        <f ca="1"/>
        <v>0.39155007488672311</v>
      </c>
      <c r="N245">
        <f ca="1"/>
        <v>0.471047230349945</v>
      </c>
      <c r="O245">
        <f ca="1"/>
        <v>0</v>
      </c>
      <c r="P245">
        <f ca="1"/>
        <v>13.517980164456967</v>
      </c>
      <c r="Q245">
        <f ca="1"/>
        <v>12.366448520818039</v>
      </c>
      <c r="R245">
        <f ca="1"/>
        <v>0</v>
      </c>
      <c r="S245">
        <f ca="1"/>
        <v>0.51317471917975888</v>
      </c>
      <c r="T245">
        <f ca="1"/>
        <v>0</v>
      </c>
      <c r="U245">
        <f ca="1"/>
        <v>0</v>
      </c>
      <c r="V245">
        <f ca="1"/>
        <v>0.73819623549276692</v>
      </c>
      <c r="X245" s="2">
        <f t="shared" ca="1" si="22"/>
        <v>45632</v>
      </c>
      <c r="Y245">
        <f t="shared" ca="1" si="23"/>
        <v>0</v>
      </c>
      <c r="AA245" s="63">
        <f t="shared" ca="1" si="25"/>
        <v>17.868835571199789</v>
      </c>
      <c r="AB245" s="63">
        <f t="shared" ca="1" si="26"/>
        <v>17.868835571199789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45633</v>
      </c>
      <c r="K246">
        <f ca="1"/>
        <v>17.451988142095217</v>
      </c>
      <c r="L246">
        <f ca="1"/>
        <v>0.57782834648114978</v>
      </c>
      <c r="M246">
        <f ca="1"/>
        <v>0.35103001480761975</v>
      </c>
      <c r="N246">
        <f ca="1"/>
        <v>0.41434541781944761</v>
      </c>
      <c r="O246">
        <f ca="1"/>
        <v>0</v>
      </c>
      <c r="P246">
        <f ca="1"/>
        <v>14.095808510938117</v>
      </c>
      <c r="Q246">
        <f ca="1"/>
        <v>12.895054452598943</v>
      </c>
      <c r="R246">
        <f ca="1"/>
        <v>0</v>
      </c>
      <c r="S246">
        <f ca="1"/>
        <v>0.48769250179055895</v>
      </c>
      <c r="T246">
        <f ca="1"/>
        <v>0</v>
      </c>
      <c r="U246">
        <f ca="1"/>
        <v>0</v>
      </c>
      <c r="V246">
        <f ca="1"/>
        <v>0.75938736723386802</v>
      </c>
      <c r="X246" s="2">
        <f t="shared" ca="1" si="22"/>
        <v>45633</v>
      </c>
      <c r="Y246">
        <f t="shared" ca="1" si="23"/>
        <v>0</v>
      </c>
      <c r="AA246" s="63">
        <f t="shared" ca="1" si="25"/>
        <v>18.029816488576365</v>
      </c>
      <c r="AB246" s="63">
        <f t="shared" ca="1" si="26"/>
        <v>18.029816488576365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45634</v>
      </c>
      <c r="K247">
        <f ca="1"/>
        <v>17.598232029031994</v>
      </c>
      <c r="L247">
        <f ca="1"/>
        <v>0.6336092051500124</v>
      </c>
      <c r="M247">
        <f ca="1"/>
        <v>0.35014706157669195</v>
      </c>
      <c r="N247">
        <f ca="1"/>
        <v>0.42970603051009632</v>
      </c>
      <c r="O247">
        <f ca="1"/>
        <v>0</v>
      </c>
      <c r="P247">
        <f ca="1"/>
        <v>14.729417716088129</v>
      </c>
      <c r="Q247">
        <f ca="1"/>
        <v>13.474689540273214</v>
      </c>
      <c r="R247">
        <f ca="1"/>
        <v>0</v>
      </c>
      <c r="S247">
        <f ca="1"/>
        <v>0.47132188543750964</v>
      </c>
      <c r="T247">
        <f ca="1"/>
        <v>0</v>
      </c>
      <c r="U247">
        <f ca="1"/>
        <v>0</v>
      </c>
      <c r="V247">
        <f ca="1"/>
        <v>0.78042122105152256</v>
      </c>
      <c r="X247" s="2">
        <f t="shared" ca="1" si="22"/>
        <v>45634</v>
      </c>
      <c r="Y247">
        <f t="shared" ca="1" si="23"/>
        <v>0</v>
      </c>
      <c r="AA247" s="63">
        <f t="shared" ca="1" si="25"/>
        <v>18.231841234182006</v>
      </c>
      <c r="AB247" s="63">
        <f t="shared" ca="1" si="26"/>
        <v>18.231841234182006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45635</v>
      </c>
      <c r="K248">
        <f ca="1"/>
        <v>17.70458034183622</v>
      </c>
      <c r="L248">
        <f ca="1"/>
        <v>0.68484442054476702</v>
      </c>
      <c r="M248">
        <f ca="1"/>
        <v>0.34924451349554175</v>
      </c>
      <c r="N248">
        <f ca="1"/>
        <v>0.4419482198534519</v>
      </c>
      <c r="O248">
        <f ca="1"/>
        <v>0</v>
      </c>
      <c r="P248">
        <f ca="1"/>
        <v>15.414262136632896</v>
      </c>
      <c r="Q248">
        <f ca="1"/>
        <v>14.101195362030834</v>
      </c>
      <c r="R248">
        <f ca="1"/>
        <v>0</v>
      </c>
      <c r="S248">
        <f ca="1"/>
        <v>0.46107745476967243</v>
      </c>
      <c r="T248">
        <f ca="1"/>
        <v>0</v>
      </c>
      <c r="U248">
        <f ca="1"/>
        <v>0</v>
      </c>
      <c r="V248">
        <f ca="1"/>
        <v>0.80081058860297472</v>
      </c>
      <c r="X248" s="2">
        <f t="shared" ca="1" si="22"/>
        <v>45635</v>
      </c>
      <c r="Y248">
        <f t="shared" ca="1" si="23"/>
        <v>0</v>
      </c>
      <c r="AA248" s="63">
        <f t="shared" ca="1" si="25"/>
        <v>18.389424762380987</v>
      </c>
      <c r="AB248" s="63">
        <f t="shared" ca="1" si="26"/>
        <v>18.389424762380987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45636</v>
      </c>
      <c r="K249">
        <f ca="1"/>
        <v>17.763679439174037</v>
      </c>
      <c r="L249">
        <f ca="1"/>
        <v>0.76760127997292926</v>
      </c>
      <c r="M249">
        <f ca="1"/>
        <v>0.35591961991435284</v>
      </c>
      <c r="N249">
        <f ca="1"/>
        <v>0.47078075739639347</v>
      </c>
      <c r="O249">
        <f ca="1"/>
        <v>0</v>
      </c>
      <c r="P249">
        <f ca="1"/>
        <v>16.181863416605825</v>
      </c>
      <c r="Q249">
        <f ca="1"/>
        <v>14.803408384820884</v>
      </c>
      <c r="R249">
        <f ca="1"/>
        <v>0</v>
      </c>
      <c r="S249">
        <f ca="1"/>
        <v>0.44604879328930996</v>
      </c>
      <c r="T249">
        <f ca="1"/>
        <v>0</v>
      </c>
      <c r="U249">
        <f ca="1"/>
        <v>0</v>
      </c>
      <c r="V249">
        <f ca="1"/>
        <v>0.82108269759753383</v>
      </c>
      <c r="X249" s="2">
        <f t="shared" ca="1" si="22"/>
        <v>45636</v>
      </c>
      <c r="Y249">
        <f t="shared" ca="1" si="23"/>
        <v>0</v>
      </c>
      <c r="AA249" s="63">
        <f t="shared" ca="1" si="25"/>
        <v>18.531280719146967</v>
      </c>
      <c r="AB249" s="63">
        <f t="shared" ca="1" si="26"/>
        <v>18.531280719146967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45637</v>
      </c>
      <c r="K250">
        <f ca="1"/>
        <v>17.816357674451837</v>
      </c>
      <c r="L250">
        <f ca="1"/>
        <v>0.82973600290976535</v>
      </c>
      <c r="M250">
        <f ca="1"/>
        <v>0.37923191239330833</v>
      </c>
      <c r="N250">
        <f ca="1"/>
        <v>0.5031823257942557</v>
      </c>
      <c r="O250">
        <f ca="1"/>
        <v>0</v>
      </c>
      <c r="P250">
        <f ca="1"/>
        <v>17.011599419515591</v>
      </c>
      <c r="Q250">
        <f ca="1"/>
        <v>15.562463172667966</v>
      </c>
      <c r="R250">
        <f ca="1"/>
        <v>0</v>
      </c>
      <c r="S250">
        <f ca="1"/>
        <v>0.46692335568640897</v>
      </c>
      <c r="T250">
        <f ca="1"/>
        <v>0</v>
      </c>
      <c r="U250">
        <f ca="1"/>
        <v>0</v>
      </c>
      <c r="V250">
        <f ca="1"/>
        <v>0.84030222619778372</v>
      </c>
      <c r="X250" s="2">
        <f t="shared" ca="1" si="22"/>
        <v>45637</v>
      </c>
      <c r="Y250">
        <f t="shared" ca="1" si="23"/>
        <v>0</v>
      </c>
      <c r="AA250" s="63">
        <f t="shared" ca="1" si="25"/>
        <v>18.646093677361602</v>
      </c>
      <c r="AB250" s="63">
        <f t="shared" ca="1" si="26"/>
        <v>18.646093677361602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45638</v>
      </c>
      <c r="K251">
        <f ca="1"/>
        <v>17.836621877596716</v>
      </c>
      <c r="L251">
        <f ca="1"/>
        <v>0.82849962303306768</v>
      </c>
      <c r="M251">
        <f ca="1"/>
        <v>0.36563507036846943</v>
      </c>
      <c r="N251">
        <f ca="1"/>
        <v>0.48312875580947634</v>
      </c>
      <c r="O251">
        <f ca="1"/>
        <v>0</v>
      </c>
      <c r="P251">
        <f ca="1"/>
        <v>17.840099042548658</v>
      </c>
      <c r="Q251">
        <f ca="1"/>
        <v>16.320386901887105</v>
      </c>
      <c r="R251">
        <f ca="1"/>
        <v>0</v>
      </c>
      <c r="S251">
        <f ca="1"/>
        <v>0.47734868957838605</v>
      </c>
      <c r="T251">
        <f ca="1"/>
        <v>0</v>
      </c>
      <c r="U251">
        <f ca="1"/>
        <v>0</v>
      </c>
      <c r="V251">
        <f ca="1"/>
        <v>0.85707030676510387</v>
      </c>
      <c r="X251" s="2">
        <f t="shared" ca="1" si="22"/>
        <v>45638</v>
      </c>
      <c r="Y251">
        <f t="shared" ca="1" si="23"/>
        <v>0</v>
      </c>
      <c r="AA251" s="63">
        <f t="shared" ca="1" si="25"/>
        <v>18.665121500629784</v>
      </c>
      <c r="AB251" s="63">
        <f t="shared" ca="1" si="26"/>
        <v>18.665121500629784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45639</v>
      </c>
      <c r="K252">
        <f ca="1"/>
        <v>17.819832109028592</v>
      </c>
      <c r="L252">
        <f ca="1"/>
        <v>0.82149846913191382</v>
      </c>
      <c r="M252">
        <f ca="1"/>
        <v>0.34671710160294822</v>
      </c>
      <c r="N252">
        <f ca="1"/>
        <v>0.45799159896084007</v>
      </c>
      <c r="O252">
        <f ca="1"/>
        <v>0</v>
      </c>
      <c r="P252">
        <f ca="1"/>
        <v>18.661597511680572</v>
      </c>
      <c r="Q252">
        <f ca="1"/>
        <v>17.071905871796673</v>
      </c>
      <c r="R252">
        <f ca="1"/>
        <v>0</v>
      </c>
      <c r="S252">
        <f ca="1"/>
        <v>0.48091318321167859</v>
      </c>
      <c r="T252">
        <f ca="1"/>
        <v>0</v>
      </c>
      <c r="U252">
        <f ca="1"/>
        <v>0</v>
      </c>
      <c r="V252">
        <f ca="1"/>
        <v>0.87163309075106932</v>
      </c>
      <c r="X252" s="2">
        <f t="shared" ca="1" si="22"/>
        <v>45639</v>
      </c>
      <c r="Y252">
        <f t="shared" ca="1" si="23"/>
        <v>0</v>
      </c>
      <c r="AA252" s="63">
        <f t="shared" ca="1" si="25"/>
        <v>18.641330578160506</v>
      </c>
      <c r="AB252" s="63">
        <f t="shared" ca="1" si="26"/>
        <v>18.641330578160506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45640</v>
      </c>
      <c r="K253">
        <f ca="1"/>
        <v>17.791349227692855</v>
      </c>
      <c r="L253">
        <f ca="1"/>
        <v>0.83612571186800722</v>
      </c>
      <c r="M253">
        <f ca="1"/>
        <v>0.34829004859561508</v>
      </c>
      <c r="N253">
        <f ca="1"/>
        <v>0.45935278193665335</v>
      </c>
      <c r="O253">
        <f ca="1"/>
        <v>0</v>
      </c>
      <c r="P253">
        <f ca="1"/>
        <v>19.497723223548579</v>
      </c>
      <c r="Q253">
        <f ca="1"/>
        <v>17.836806060061107</v>
      </c>
      <c r="R253">
        <f ca="1"/>
        <v>0</v>
      </c>
      <c r="S253">
        <f ca="1"/>
        <v>0.50226205166345617</v>
      </c>
      <c r="T253">
        <f ca="1"/>
        <v>0</v>
      </c>
      <c r="U253">
        <f ca="1"/>
        <v>0</v>
      </c>
      <c r="V253">
        <f ca="1"/>
        <v>0.88463541518381594</v>
      </c>
      <c r="X253" s="2">
        <f t="shared" ca="1" si="22"/>
        <v>45640</v>
      </c>
      <c r="Y253">
        <f t="shared" ca="1" si="23"/>
        <v>0</v>
      </c>
      <c r="AA253" s="63">
        <f t="shared" ca="1" si="25"/>
        <v>18.627474939560862</v>
      </c>
      <c r="AB253" s="63">
        <f t="shared" ca="1" si="26"/>
        <v>18.627474939560862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45641</v>
      </c>
      <c r="K254">
        <f ca="1"/>
        <v>17.72465237380155</v>
      </c>
      <c r="L254">
        <f ca="1"/>
        <v>0.87413922658685905</v>
      </c>
      <c r="M254">
        <f ca="1"/>
        <v>0.34461142987457549</v>
      </c>
      <c r="N254">
        <f ca="1"/>
        <v>0.4628309428209777</v>
      </c>
      <c r="O254">
        <f ca="1"/>
        <v>0</v>
      </c>
      <c r="P254">
        <f ca="1"/>
        <v>20.371862450135438</v>
      </c>
      <c r="Q254">
        <f ca="1"/>
        <v>18.636481574753528</v>
      </c>
      <c r="R254">
        <f ca="1"/>
        <v>0</v>
      </c>
      <c r="S254">
        <f ca="1"/>
        <v>0.50322022255162002</v>
      </c>
      <c r="T254">
        <f ca="1"/>
        <v>0</v>
      </c>
      <c r="U254">
        <f ca="1"/>
        <v>0</v>
      </c>
      <c r="V254">
        <f ca="1"/>
        <v>0.89653992931138915</v>
      </c>
      <c r="X254" s="2">
        <f t="shared" ca="1" si="22"/>
        <v>45641</v>
      </c>
      <c r="Y254">
        <f t="shared" ca="1" si="23"/>
        <v>0</v>
      </c>
      <c r="AA254" s="63">
        <f t="shared" ca="1" si="25"/>
        <v>18.59879160038841</v>
      </c>
      <c r="AB254" s="63">
        <f t="shared" ca="1" si="26"/>
        <v>18.59879160038841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45642</v>
      </c>
      <c r="K255">
        <f ca="1"/>
        <v>17.586613585428616</v>
      </c>
      <c r="L255">
        <f ca="1"/>
        <v>0.92975728097007249</v>
      </c>
      <c r="M255">
        <f ca="1"/>
        <v>0.33161543955122141</v>
      </c>
      <c r="N255">
        <f ca="1"/>
        <v>0.4601030530459152</v>
      </c>
      <c r="O255">
        <f ca="1"/>
        <v>0</v>
      </c>
      <c r="P255">
        <f ca="1"/>
        <v>21.301619731105511</v>
      </c>
      <c r="Q255">
        <f ca="1"/>
        <v>19.487037309566894</v>
      </c>
      <c r="R255">
        <f ca="1"/>
        <v>0</v>
      </c>
      <c r="S255">
        <f ca="1"/>
        <v>0.47899240912541752</v>
      </c>
      <c r="T255">
        <f ca="1"/>
        <v>0</v>
      </c>
      <c r="U255">
        <f ca="1"/>
        <v>0</v>
      </c>
      <c r="V255">
        <f ca="1"/>
        <v>0.90758007580185918</v>
      </c>
      <c r="X255" s="2">
        <f t="shared" ca="1" si="22"/>
        <v>45642</v>
      </c>
      <c r="Y255">
        <f t="shared" ca="1" si="23"/>
        <v>0</v>
      </c>
      <c r="AA255" s="63">
        <f t="shared" ca="1" si="25"/>
        <v>18.516370866398688</v>
      </c>
      <c r="AB255" s="63">
        <f t="shared" ca="1" si="26"/>
        <v>18.516370866398688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45643</v>
      </c>
      <c r="K256">
        <f ca="1"/>
        <v>17.387415953080659</v>
      </c>
      <c r="L256">
        <f ca="1"/>
        <v>0.98194959685277539</v>
      </c>
      <c r="M256">
        <f ca="1"/>
        <v>0.32218941716591587</v>
      </c>
      <c r="N256">
        <f ca="1"/>
        <v>0.46056254733890195</v>
      </c>
      <c r="O256">
        <f ca="1"/>
        <v>0</v>
      </c>
      <c r="P256">
        <f ca="1"/>
        <v>22.283569327958286</v>
      </c>
      <c r="Q256">
        <f ca="1"/>
        <v>20.38533934816925</v>
      </c>
      <c r="R256">
        <f ca="1"/>
        <v>0</v>
      </c>
      <c r="S256">
        <f ca="1"/>
        <v>0.46618970760575912</v>
      </c>
      <c r="T256">
        <f ca="1"/>
        <v>0</v>
      </c>
      <c r="U256">
        <f ca="1"/>
        <v>0</v>
      </c>
      <c r="V256">
        <f ca="1"/>
        <v>0.91769661462834096</v>
      </c>
      <c r="X256" s="2">
        <f t="shared" ca="1" si="22"/>
        <v>45643</v>
      </c>
      <c r="Y256">
        <f t="shared" ca="1" si="23"/>
        <v>0</v>
      </c>
      <c r="AA256" s="63">
        <f t="shared" ca="1" si="25"/>
        <v>18.369365549933434</v>
      </c>
      <c r="AB256" s="63">
        <f t="shared" ca="1" si="26"/>
        <v>18.369365549933434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45644</v>
      </c>
      <c r="K257">
        <f ca="1"/>
        <v>17.166437132898643</v>
      </c>
      <c r="L257">
        <f ca="1"/>
        <v>0.96171655464274153</v>
      </c>
      <c r="M257">
        <f ca="1"/>
        <v>0.30589093005192325</v>
      </c>
      <c r="N257">
        <f ca="1"/>
        <v>0.43484680440880169</v>
      </c>
      <c r="O257">
        <f ca="1"/>
        <v>0</v>
      </c>
      <c r="P257">
        <f ca="1"/>
        <v>23.245285882601028</v>
      </c>
      <c r="Q257">
        <f ca="1"/>
        <v>21.265131900009091</v>
      </c>
      <c r="R257">
        <f ca="1"/>
        <v>0</v>
      </c>
      <c r="S257">
        <f ca="1"/>
        <v>0.47349450161419748</v>
      </c>
      <c r="T257">
        <f ca="1"/>
        <v>0</v>
      </c>
      <c r="U257">
        <f ca="1"/>
        <v>0</v>
      </c>
      <c r="V257">
        <f ca="1"/>
        <v>0.92630170054293026</v>
      </c>
      <c r="X257" s="2">
        <f t="shared" ca="1" si="22"/>
        <v>45644</v>
      </c>
      <c r="Y257">
        <f t="shared" ca="1" si="23"/>
        <v>0</v>
      </c>
      <c r="AA257" s="63">
        <f t="shared" ca="1" si="25"/>
        <v>18.128153687541385</v>
      </c>
      <c r="AB257" s="63">
        <f t="shared" ca="1" si="26"/>
        <v>18.128153687541385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45645</v>
      </c>
      <c r="K258">
        <f ca="1"/>
        <v>16.930448772336895</v>
      </c>
      <c r="L258">
        <f ca="1"/>
        <v>1.0662483385372568</v>
      </c>
      <c r="M258">
        <f ca="1"/>
        <v>0.33682908539557133</v>
      </c>
      <c r="N258">
        <f ca="1"/>
        <v>0.49343089257993655</v>
      </c>
      <c r="O258">
        <f ca="1"/>
        <v>0</v>
      </c>
      <c r="P258">
        <f ca="1"/>
        <v>24.311534221138285</v>
      </c>
      <c r="Q258">
        <f ca="1"/>
        <v>22.240551676374654</v>
      </c>
      <c r="R258">
        <f ca="1"/>
        <v>0</v>
      </c>
      <c r="S258">
        <f ca="1"/>
        <v>0.51273492865964565</v>
      </c>
      <c r="T258">
        <f ca="1"/>
        <v>0</v>
      </c>
      <c r="U258">
        <f ca="1"/>
        <v>0</v>
      </c>
      <c r="V258">
        <f ca="1"/>
        <v>0.93456999807960273</v>
      </c>
      <c r="X258" s="2">
        <f t="shared" ca="1" si="22"/>
        <v>45645</v>
      </c>
      <c r="Y258">
        <f t="shared" ca="1" si="23"/>
        <v>0</v>
      </c>
      <c r="AA258" s="63">
        <f t="shared" ca="1" si="25"/>
        <v>17.996697110874152</v>
      </c>
      <c r="AB258" s="63">
        <f t="shared" ca="1" si="26"/>
        <v>17.996697110874152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45646</v>
      </c>
      <c r="K259">
        <f ca="1"/>
        <v>16.647525247139487</v>
      </c>
      <c r="L259">
        <f ca="1"/>
        <v>1.1547966046042077</v>
      </c>
      <c r="M259">
        <f ca="1"/>
        <v>0.34371924822954014</v>
      </c>
      <c r="N259">
        <f ca="1"/>
        <v>0.52815383117726056</v>
      </c>
      <c r="O259">
        <f ca="1"/>
        <v>0</v>
      </c>
      <c r="P259">
        <f ca="1"/>
        <v>25.466330825742492</v>
      </c>
      <c r="Q259">
        <f ca="1"/>
        <v>23.296976718364427</v>
      </c>
      <c r="R259">
        <f ca="1"/>
        <v>0</v>
      </c>
      <c r="S259">
        <f ca="1"/>
        <v>0.52795076550280107</v>
      </c>
      <c r="T259">
        <f ca="1"/>
        <v>0</v>
      </c>
      <c r="U259">
        <f ca="1"/>
        <v>0</v>
      </c>
      <c r="V259">
        <f ca="1"/>
        <v>0.94225871581054554</v>
      </c>
      <c r="X259" s="2">
        <f t="shared" ca="1" si="22"/>
        <v>45646</v>
      </c>
      <c r="Y259">
        <f t="shared" ca="1" si="23"/>
        <v>0</v>
      </c>
      <c r="AA259" s="63">
        <f t="shared" ca="1" si="25"/>
        <v>17.802321851743695</v>
      </c>
      <c r="AB259" s="63">
        <f t="shared" ca="1" si="26"/>
        <v>17.802321851743695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45647</v>
      </c>
      <c r="K260">
        <f ca="1"/>
        <v>16.347960035209773</v>
      </c>
      <c r="L260">
        <f ca="1"/>
        <v>1.1140142235893009</v>
      </c>
      <c r="M260">
        <f ca="1"/>
        <v>0.31545418957614402</v>
      </c>
      <c r="N260">
        <f ca="1"/>
        <v>0.49899482208344459</v>
      </c>
      <c r="O260">
        <f ca="1"/>
        <v>0</v>
      </c>
      <c r="P260">
        <f ca="1"/>
        <v>26.580345049331793</v>
      </c>
      <c r="Q260">
        <f ca="1"/>
        <v>24.316093434018345</v>
      </c>
      <c r="R260">
        <f ca="1"/>
        <v>0</v>
      </c>
      <c r="S260">
        <f ca="1"/>
        <v>0.54995289886562337</v>
      </c>
      <c r="T260">
        <f ca="1"/>
        <v>0</v>
      </c>
      <c r="U260">
        <f ca="1"/>
        <v>0</v>
      </c>
      <c r="V260">
        <f ca="1"/>
        <v>0.9486334997751632</v>
      </c>
      <c r="X260" s="2">
        <f t="shared" ca="1" si="22"/>
        <v>45647</v>
      </c>
      <c r="Y260">
        <f t="shared" ca="1" si="23"/>
        <v>0</v>
      </c>
      <c r="AA260" s="63">
        <f t="shared" ca="1" si="25"/>
        <v>17.461974258799074</v>
      </c>
      <c r="AB260" s="63">
        <f t="shared" ca="1" si="26"/>
        <v>17.461974258799074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45648</v>
      </c>
      <c r="K261">
        <f ca="1"/>
        <v>16.009224721166081</v>
      </c>
      <c r="L261">
        <f ca="1"/>
        <v>1.1785538217003229</v>
      </c>
      <c r="M261">
        <f ca="1"/>
        <v>0.3155626253922037</v>
      </c>
      <c r="N261">
        <f ca="1"/>
        <v>0.52425588226442643</v>
      </c>
      <c r="O261">
        <f ca="1"/>
        <v>0</v>
      </c>
      <c r="P261">
        <f ca="1"/>
        <v>27.758898871032116</v>
      </c>
      <c r="Q261">
        <f ca="1"/>
        <v>25.394251930166416</v>
      </c>
      <c r="R261">
        <f ca="1"/>
        <v>0</v>
      </c>
      <c r="S261">
        <f ca="1"/>
        <v>0.56972609714608402</v>
      </c>
      <c r="T261">
        <f ca="1"/>
        <v>0</v>
      </c>
      <c r="U261">
        <f ca="1"/>
        <v>0</v>
      </c>
      <c r="V261">
        <f ca="1"/>
        <v>0.95444799006253289</v>
      </c>
      <c r="X261" s="2">
        <f t="shared" ca="1" si="22"/>
        <v>45648</v>
      </c>
      <c r="Y261">
        <f t="shared" ca="1" si="23"/>
        <v>0</v>
      </c>
      <c r="AA261" s="63">
        <f t="shared" ca="1" si="25"/>
        <v>17.187778542866404</v>
      </c>
      <c r="AB261" s="63">
        <f t="shared" ca="1" si="26"/>
        <v>17.187778542866404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45649</v>
      </c>
      <c r="K262">
        <f ca="1"/>
        <v>15.614207048250595</v>
      </c>
      <c r="L262">
        <f ca="1"/>
        <v>1.2750653366409956</v>
      </c>
      <c r="M262">
        <f ca="1"/>
        <v>0.32206057500329166</v>
      </c>
      <c r="N262">
        <f ca="1"/>
        <v>0.55798708872221847</v>
      </c>
      <c r="O262">
        <f ca="1"/>
        <v>0</v>
      </c>
      <c r="P262">
        <f ca="1"/>
        <v>29.033964207673112</v>
      </c>
      <c r="Q262">
        <f ca="1"/>
        <v>26.560700589982442</v>
      </c>
      <c r="R262">
        <f ca="1"/>
        <v>0</v>
      </c>
      <c r="S262">
        <f ca="1"/>
        <v>0.57972305269058733</v>
      </c>
      <c r="T262">
        <f ca="1"/>
        <v>0</v>
      </c>
      <c r="U262">
        <f ca="1"/>
        <v>0</v>
      </c>
      <c r="V262">
        <f ca="1"/>
        <v>0.95984148410656589</v>
      </c>
      <c r="X262" s="2">
        <f t="shared" ca="1" si="22"/>
        <v>45649</v>
      </c>
      <c r="Y262">
        <f t="shared" ca="1" si="23"/>
        <v>0</v>
      </c>
      <c r="AA262" s="63">
        <f t="shared" ca="1" si="25"/>
        <v>16.889272384891591</v>
      </c>
      <c r="AB262" s="63">
        <f t="shared" ca="1" si="26"/>
        <v>16.889272384891591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45650</v>
      </c>
      <c r="K263">
        <f ca="1"/>
        <v>15.175204596584866</v>
      </c>
      <c r="L263">
        <f ca="1"/>
        <v>1.2971601846317036</v>
      </c>
      <c r="M263">
        <f ca="1"/>
        <v>0.31039694072184432</v>
      </c>
      <c r="N263">
        <f ca="1"/>
        <v>0.5477607922441291</v>
      </c>
      <c r="O263">
        <f ca="1"/>
        <v>0</v>
      </c>
      <c r="P263">
        <f ca="1"/>
        <v>30.331124392304815</v>
      </c>
      <c r="Q263">
        <f ca="1"/>
        <v>27.747361944071439</v>
      </c>
      <c r="R263">
        <f ca="1"/>
        <v>0</v>
      </c>
      <c r="S263">
        <f ca="1"/>
        <v>0.58284181433330084</v>
      </c>
      <c r="T263">
        <f ca="1"/>
        <v>0</v>
      </c>
      <c r="U263">
        <f ca="1"/>
        <v>0</v>
      </c>
      <c r="V263">
        <f ca="1"/>
        <v>0.96453417180729883</v>
      </c>
      <c r="X263" s="2">
        <f t="shared" ref="X263:X326" ca="1" si="29">IFERROR(J263,$X$5)</f>
        <v>45650</v>
      </c>
      <c r="Y263">
        <f t="shared" ref="Y263:Y326" ca="1" si="30">IFERROR(O263,0)</f>
        <v>0</v>
      </c>
      <c r="AA263" s="63">
        <f t="shared" ca="1" si="25"/>
        <v>16.472364781216569</v>
      </c>
      <c r="AB263" s="63">
        <f t="shared" ca="1" si="26"/>
        <v>16.472364781216569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45651</v>
      </c>
      <c r="K264">
        <f ca="1"/>
        <v>14.669549339440596</v>
      </c>
      <c r="L264">
        <f ca="1"/>
        <v>1.4166517738493489</v>
      </c>
      <c r="M264">
        <f ca="1"/>
        <v>0.31978821687165038</v>
      </c>
      <c r="N264">
        <f ca="1"/>
        <v>0.5912082998334286</v>
      </c>
      <c r="O264">
        <f ca="1"/>
        <v>0</v>
      </c>
      <c r="P264">
        <f ca="1"/>
        <v>31.747776166154164</v>
      </c>
      <c r="Q264">
        <f ca="1"/>
        <v>29.043335974222511</v>
      </c>
      <c r="R264">
        <f ca="1"/>
        <v>0</v>
      </c>
      <c r="S264">
        <f ca="1"/>
        <v>0.59404092697587685</v>
      </c>
      <c r="T264">
        <f ca="1"/>
        <v>0</v>
      </c>
      <c r="U264">
        <f ca="1"/>
        <v>0</v>
      </c>
      <c r="V264">
        <f ca="1"/>
        <v>0.96890382949970588</v>
      </c>
      <c r="X264" s="2">
        <f t="shared" ca="1" si="29"/>
        <v>45651</v>
      </c>
      <c r="Y264">
        <f t="shared" ca="1" si="30"/>
        <v>0</v>
      </c>
      <c r="AA264" s="63">
        <f t="shared" ca="1" si="25"/>
        <v>16.086201113289945</v>
      </c>
      <c r="AB264" s="63">
        <f t="shared" ca="1" si="26"/>
        <v>16.086201113289945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45652</v>
      </c>
      <c r="K265">
        <f ca="1"/>
        <v>14.096970058231067</v>
      </c>
      <c r="L265">
        <f ca="1"/>
        <v>1.5405884257471634</v>
      </c>
      <c r="M265">
        <f ca="1"/>
        <v>0.32815741424295908</v>
      </c>
      <c r="N265">
        <f ca="1"/>
        <v>0.63985173029467524</v>
      </c>
      <c r="O265">
        <f ca="1"/>
        <v>0</v>
      </c>
      <c r="P265">
        <f ca="1"/>
        <v>33.288364591901328</v>
      </c>
      <c r="Q265">
        <f ca="1"/>
        <v>30.452689089628254</v>
      </c>
      <c r="R265">
        <f ca="1"/>
        <v>0</v>
      </c>
      <c r="S265">
        <f ca="1"/>
        <v>0.61086561338578416</v>
      </c>
      <c r="T265">
        <f ca="1"/>
        <v>0</v>
      </c>
      <c r="U265">
        <f ca="1"/>
        <v>0</v>
      </c>
      <c r="V265">
        <f ca="1"/>
        <v>0.97292146939427793</v>
      </c>
      <c r="X265" s="2">
        <f t="shared" ca="1" si="29"/>
        <v>45652</v>
      </c>
      <c r="Y265">
        <f t="shared" ca="1" si="30"/>
        <v>0</v>
      </c>
      <c r="AA265" s="63">
        <f t="shared" ca="1" si="25"/>
        <v>15.63755848397823</v>
      </c>
      <c r="AB265" s="63">
        <f t="shared" ca="1" si="26"/>
        <v>15.63755848397823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45653</v>
      </c>
      <c r="K266">
        <f ca="1"/>
        <v>13.488209443202228</v>
      </c>
      <c r="L266">
        <f ca="1"/>
        <v>1.5141606116433195</v>
      </c>
      <c r="M266">
        <f ca="1"/>
        <v>0.30470295668597913</v>
      </c>
      <c r="N266">
        <f ca="1"/>
        <v>0.60069703992850088</v>
      </c>
      <c r="O266">
        <f ca="1"/>
        <v>0</v>
      </c>
      <c r="P266">
        <f ca="1"/>
        <v>34.802525203544647</v>
      </c>
      <c r="Q266">
        <f ca="1"/>
        <v>31.83786564916862</v>
      </c>
      <c r="R266">
        <f ca="1"/>
        <v>0</v>
      </c>
      <c r="S266">
        <f ca="1"/>
        <v>0.61239234765291517</v>
      </c>
      <c r="T266">
        <f ca="1"/>
        <v>0</v>
      </c>
      <c r="U266">
        <f ca="1"/>
        <v>0</v>
      </c>
      <c r="V266">
        <f ca="1"/>
        <v>0.97626076633333791</v>
      </c>
      <c r="X266" s="2">
        <f t="shared" ca="1" si="29"/>
        <v>45653</v>
      </c>
      <c r="Y266">
        <f t="shared" ca="1" si="30"/>
        <v>0</v>
      </c>
      <c r="AA266" s="63">
        <f t="shared" ca="1" si="25"/>
        <v>15.002370054845548</v>
      </c>
      <c r="AB266" s="63">
        <f t="shared" ca="1" si="26"/>
        <v>15.002370054845548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45654</v>
      </c>
      <c r="K267">
        <f ca="1"/>
        <v>12.803906930324153</v>
      </c>
      <c r="L267">
        <f ca="1"/>
        <v>1.5844569096251391</v>
      </c>
      <c r="M267">
        <f ca="1"/>
        <v>0.30162136231583503</v>
      </c>
      <c r="N267">
        <f ca="1"/>
        <v>0.59853303443122985</v>
      </c>
      <c r="O267">
        <f ca="1"/>
        <v>0</v>
      </c>
      <c r="P267">
        <f ca="1"/>
        <v>36.386982113169786</v>
      </c>
      <c r="Q267">
        <f ca="1"/>
        <v>33.287350303529394</v>
      </c>
      <c r="R267">
        <f ca="1"/>
        <v>0</v>
      </c>
      <c r="S267">
        <f ca="1"/>
        <v>0.60007178704320074</v>
      </c>
      <c r="T267">
        <f ca="1"/>
        <v>0</v>
      </c>
      <c r="U267">
        <f ca="1"/>
        <v>0</v>
      </c>
      <c r="V267">
        <f ca="1"/>
        <v>0.97922658476811419</v>
      </c>
      <c r="X267" s="2">
        <f t="shared" ca="1" si="29"/>
        <v>45654</v>
      </c>
      <c r="Y267">
        <f t="shared" ca="1" si="30"/>
        <v>0</v>
      </c>
      <c r="AA267" s="63">
        <f t="shared" ca="1" si="25"/>
        <v>14.388363839949292</v>
      </c>
      <c r="AB267" s="63">
        <f t="shared" ca="1" si="26"/>
        <v>14.388363839949292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45655</v>
      </c>
      <c r="K268">
        <f ca="1"/>
        <v>12.055759194989825</v>
      </c>
      <c r="L268">
        <f ca="1"/>
        <v>1.6132769228161976</v>
      </c>
      <c r="M268">
        <f ca="1"/>
        <v>0.29096221121298527</v>
      </c>
      <c r="N268">
        <f ca="1"/>
        <v>0.57416697626888524</v>
      </c>
      <c r="O268">
        <f ca="1"/>
        <v>0</v>
      </c>
      <c r="P268">
        <f ca="1"/>
        <v>38.000259035985984</v>
      </c>
      <c r="Q268">
        <f ca="1"/>
        <v>34.763199932920507</v>
      </c>
      <c r="R268">
        <f ca="1"/>
        <v>0</v>
      </c>
      <c r="S268">
        <f ca="1"/>
        <v>0.58303078693301524</v>
      </c>
      <c r="T268">
        <f ca="1"/>
        <v>0</v>
      </c>
      <c r="U268">
        <f ca="1"/>
        <v>0</v>
      </c>
      <c r="V268">
        <f ca="1"/>
        <v>0.98179079124562629</v>
      </c>
      <c r="X268" s="2">
        <f t="shared" ca="1" si="29"/>
        <v>45655</v>
      </c>
      <c r="Y268">
        <f t="shared" ca="1" si="30"/>
        <v>0</v>
      </c>
      <c r="AA268" s="63">
        <f t="shared" ref="AA268:AA331" ca="1" si="32">K267+M268+N268+O268</f>
        <v>13.669036117806023</v>
      </c>
      <c r="AB268" s="63">
        <f t="shared" ref="AB268:AB331" ca="1" si="33">K268+L268+R268</f>
        <v>13.669036117806023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45656</v>
      </c>
      <c r="K269">
        <f ca="1"/>
        <v>11.266406532469434</v>
      </c>
      <c r="L269">
        <f ca="1"/>
        <v>1.616746174977564</v>
      </c>
      <c r="M269">
        <f ca="1"/>
        <v>0.27707503956236934</v>
      </c>
      <c r="N269">
        <f ca="1"/>
        <v>0.55031847289480296</v>
      </c>
      <c r="O269">
        <f ca="1"/>
        <v>0</v>
      </c>
      <c r="P269">
        <f ca="1"/>
        <v>39.617005210963548</v>
      </c>
      <c r="Q269">
        <f ca="1"/>
        <v>36.242223285585169</v>
      </c>
      <c r="R269">
        <f ca="1"/>
        <v>0</v>
      </c>
      <c r="S269">
        <f ca="1"/>
        <v>0.57781928894868562</v>
      </c>
      <c r="T269">
        <f ca="1"/>
        <v>0</v>
      </c>
      <c r="U269">
        <f ca="1"/>
        <v>0</v>
      </c>
      <c r="V269">
        <f ca="1"/>
        <v>0.98398128901086512</v>
      </c>
      <c r="X269" s="2">
        <f t="shared" ca="1" si="29"/>
        <v>45656</v>
      </c>
      <c r="Y269">
        <f t="shared" ca="1" si="30"/>
        <v>0</v>
      </c>
      <c r="AA269" s="63">
        <f t="shared" ca="1" si="32"/>
        <v>12.883152707446998</v>
      </c>
      <c r="AB269" s="63">
        <f t="shared" ca="1" si="33"/>
        <v>12.883152707446998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45657</v>
      </c>
      <c r="K270">
        <f ca="1"/>
        <v>10.598058253691431</v>
      </c>
      <c r="L270">
        <f ca="1"/>
        <v>1.3981004554862366</v>
      </c>
      <c r="M270">
        <f ca="1"/>
        <v>0.23422748681035443</v>
      </c>
      <c r="N270">
        <f ca="1"/>
        <v>0.49552468989787962</v>
      </c>
      <c r="O270">
        <f ca="1"/>
        <v>0</v>
      </c>
      <c r="P270">
        <f ca="1"/>
        <v>41.015105666449784</v>
      </c>
      <c r="Q270">
        <f ca="1"/>
        <v>37.521226294863325</v>
      </c>
      <c r="R270">
        <f ca="1"/>
        <v>0</v>
      </c>
      <c r="S270">
        <f ca="1"/>
        <v>0.6448938174923442</v>
      </c>
      <c r="T270">
        <f ca="1"/>
        <v>0</v>
      </c>
      <c r="U270">
        <f ca="1"/>
        <v>0</v>
      </c>
      <c r="V270">
        <f ca="1"/>
        <v>0.98562046627575661</v>
      </c>
      <c r="X270" s="2">
        <f t="shared" ca="1" si="29"/>
        <v>45657</v>
      </c>
      <c r="Y270">
        <f t="shared" ca="1" si="30"/>
        <v>0</v>
      </c>
      <c r="AA270" s="63">
        <f t="shared" ca="1" si="32"/>
        <v>11.996158709177667</v>
      </c>
      <c r="AB270" s="63">
        <f t="shared" ca="1" si="33"/>
        <v>11.996158709177667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45658</v>
      </c>
      <c r="K271">
        <f ca="1"/>
        <v>9.6795297138513252</v>
      </c>
      <c r="L271">
        <f ca="1"/>
        <v>1.8370820661097937</v>
      </c>
      <c r="M271">
        <f ca="1"/>
        <v>0.28545619073172901</v>
      </c>
      <c r="N271">
        <f ca="1"/>
        <v>0.63309733553795955</v>
      </c>
      <c r="O271">
        <f ca="1"/>
        <v>0</v>
      </c>
      <c r="P271">
        <f ca="1"/>
        <v>42.852187732559578</v>
      </c>
      <c r="Q271">
        <f ca="1"/>
        <v>39.201816184971172</v>
      </c>
      <c r="R271">
        <f ca="1"/>
        <v>0</v>
      </c>
      <c r="S271">
        <f ca="1"/>
        <v>0.61926822506183032</v>
      </c>
      <c r="T271">
        <f ca="1"/>
        <v>0</v>
      </c>
      <c r="U271">
        <f ca="1"/>
        <v>0</v>
      </c>
      <c r="V271">
        <f ca="1"/>
        <v>0.98747511325115822</v>
      </c>
      <c r="X271" s="2">
        <f t="shared" ca="1" si="29"/>
        <v>45658</v>
      </c>
      <c r="Y271">
        <f t="shared" ca="1" si="30"/>
        <v>0</v>
      </c>
      <c r="AA271" s="63">
        <f t="shared" ca="1" si="32"/>
        <v>11.516611779961119</v>
      </c>
      <c r="AB271" s="63">
        <f t="shared" ca="1" si="33"/>
        <v>11.516611779961119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45659</v>
      </c>
      <c r="K272">
        <f ca="1"/>
        <v>8.7448514870553566</v>
      </c>
      <c r="L272">
        <f ca="1"/>
        <v>1.8486298684146547</v>
      </c>
      <c r="M272">
        <f ca="1"/>
        <v>0.27256975962517771</v>
      </c>
      <c r="N272">
        <f ca="1"/>
        <v>0.64138188199350843</v>
      </c>
      <c r="O272">
        <f ca="1"/>
        <v>0</v>
      </c>
      <c r="P272">
        <f ca="1"/>
        <v>44.700817600974233</v>
      </c>
      <c r="Q272">
        <f ca="1"/>
        <v>40.892970175706054</v>
      </c>
      <c r="R272">
        <f ca="1"/>
        <v>0</v>
      </c>
      <c r="S272">
        <f ca="1"/>
        <v>0.65126252165222254</v>
      </c>
      <c r="T272">
        <f ca="1"/>
        <v>0</v>
      </c>
      <c r="U272">
        <f ca="1"/>
        <v>0</v>
      </c>
      <c r="V272">
        <f ca="1"/>
        <v>0.98905664018575978</v>
      </c>
      <c r="X272" s="2">
        <f t="shared" ca="1" si="29"/>
        <v>45659</v>
      </c>
      <c r="Y272">
        <f t="shared" ca="1" si="30"/>
        <v>0</v>
      </c>
      <c r="AA272" s="63">
        <f t="shared" ca="1" si="32"/>
        <v>10.593481355470011</v>
      </c>
      <c r="AB272" s="63">
        <f t="shared" ca="1" si="33"/>
        <v>10.593481355470011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45660</v>
      </c>
      <c r="K273">
        <f ca="1"/>
        <v>7.7531920388040163</v>
      </c>
      <c r="L273">
        <f ca="1"/>
        <v>1.9008719742031701</v>
      </c>
      <c r="M273">
        <f ca="1"/>
        <v>0.26631226901568539</v>
      </c>
      <c r="N273">
        <f ca="1"/>
        <v>0.64290025693614472</v>
      </c>
      <c r="O273">
        <f ca="1"/>
        <v>0</v>
      </c>
      <c r="P273">
        <f ca="1"/>
        <v>46.601689575177403</v>
      </c>
      <c r="Q273">
        <f ca="1"/>
        <v>42.631916018773403</v>
      </c>
      <c r="R273">
        <f ca="1"/>
        <v>0</v>
      </c>
      <c r="S273">
        <f ca="1"/>
        <v>0.65431644380033438</v>
      </c>
      <c r="T273">
        <f ca="1"/>
        <v>0</v>
      </c>
      <c r="U273">
        <f ca="1"/>
        <v>0</v>
      </c>
      <c r="V273">
        <f ca="1"/>
        <v>0.99043856915999884</v>
      </c>
      <c r="X273" s="2">
        <f t="shared" ca="1" si="29"/>
        <v>45660</v>
      </c>
      <c r="Y273">
        <f t="shared" ca="1" si="30"/>
        <v>0</v>
      </c>
      <c r="AA273" s="63">
        <f t="shared" ca="1" si="32"/>
        <v>9.6540640130071864</v>
      </c>
      <c r="AB273" s="63">
        <f t="shared" ca="1" si="33"/>
        <v>9.6540640130071864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45661</v>
      </c>
      <c r="K274">
        <f ca="1"/>
        <v>6.6860294752739868</v>
      </c>
      <c r="L274">
        <f ca="1"/>
        <v>2.0086180604088213</v>
      </c>
      <c r="M274">
        <f ca="1"/>
        <v>0.26739120398066518</v>
      </c>
      <c r="N274">
        <f ca="1"/>
        <v>0.67406429289812719</v>
      </c>
      <c r="O274">
        <f ca="1"/>
        <v>0</v>
      </c>
      <c r="P274">
        <f ca="1"/>
        <v>48.610307635586224</v>
      </c>
      <c r="Q274">
        <f ca="1"/>
        <v>44.469429577739987</v>
      </c>
      <c r="R274">
        <f ca="1"/>
        <v>0</v>
      </c>
      <c r="S274">
        <f ca="1"/>
        <v>0.66565727755796444</v>
      </c>
      <c r="T274">
        <f ca="1"/>
        <v>0</v>
      </c>
      <c r="U274">
        <f ca="1"/>
        <v>0</v>
      </c>
      <c r="V274">
        <f ca="1"/>
        <v>0.99167783109059149</v>
      </c>
      <c r="X274" s="2">
        <f t="shared" ca="1" si="29"/>
        <v>45661</v>
      </c>
      <c r="Y274">
        <f t="shared" ca="1" si="30"/>
        <v>0</v>
      </c>
      <c r="AA274" s="63">
        <f t="shared" ca="1" si="32"/>
        <v>8.6946475356828081</v>
      </c>
      <c r="AB274" s="63">
        <f t="shared" ca="1" si="33"/>
        <v>8.6946475356828081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45662</v>
      </c>
      <c r="K275">
        <f ca="1"/>
        <v>5.4975605616177008</v>
      </c>
      <c r="L275">
        <f ca="1"/>
        <v>2.1360157050456507</v>
      </c>
      <c r="M275">
        <f ca="1"/>
        <v>0.27029437960229785</v>
      </c>
      <c r="N275">
        <f ca="1"/>
        <v>0.67725241178706663</v>
      </c>
      <c r="O275">
        <f ca="1"/>
        <v>0</v>
      </c>
      <c r="P275">
        <f ca="1"/>
        <v>50.746323340631875</v>
      </c>
      <c r="Q275">
        <f ca="1"/>
        <v>46.423488389392865</v>
      </c>
      <c r="R275">
        <f ca="1"/>
        <v>0</v>
      </c>
      <c r="S275">
        <f ca="1"/>
        <v>0.63846740815952296</v>
      </c>
      <c r="T275">
        <f ca="1"/>
        <v>0</v>
      </c>
      <c r="U275">
        <f ca="1"/>
        <v>0</v>
      </c>
      <c r="V275">
        <f ca="1"/>
        <v>0.99279162173120594</v>
      </c>
      <c r="X275" s="2">
        <f t="shared" ca="1" si="29"/>
        <v>45662</v>
      </c>
      <c r="Y275">
        <f t="shared" ca="1" si="30"/>
        <v>0</v>
      </c>
      <c r="AA275" s="63">
        <f t="shared" ca="1" si="32"/>
        <v>7.6335762666633515</v>
      </c>
      <c r="AB275" s="63">
        <f t="shared" ca="1" si="33"/>
        <v>7.6335762666633515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45663</v>
      </c>
      <c r="K276">
        <f ca="1"/>
        <v>4.247200785143165</v>
      </c>
      <c r="L276">
        <f ca="1"/>
        <v>2.1731571362987268</v>
      </c>
      <c r="M276">
        <f ca="1"/>
        <v>0.26125354362379483</v>
      </c>
      <c r="N276">
        <f ca="1"/>
        <v>0.66154381620039615</v>
      </c>
      <c r="O276">
        <f ca="1"/>
        <v>0</v>
      </c>
      <c r="P276">
        <f ca="1"/>
        <v>52.919480476930602</v>
      </c>
      <c r="Q276">
        <f ca="1"/>
        <v>48.411524732599474</v>
      </c>
      <c r="R276">
        <f ca="1"/>
        <v>0</v>
      </c>
      <c r="S276">
        <f ca="1"/>
        <v>0.63022283699846027</v>
      </c>
      <c r="T276">
        <f ca="1"/>
        <v>0</v>
      </c>
      <c r="U276">
        <f ca="1"/>
        <v>0</v>
      </c>
      <c r="V276">
        <f ca="1"/>
        <v>0.99374828594333886</v>
      </c>
      <c r="X276" s="2">
        <f t="shared" ca="1" si="29"/>
        <v>45663</v>
      </c>
      <c r="Y276">
        <f t="shared" ca="1" si="30"/>
        <v>0</v>
      </c>
      <c r="AA276" s="63">
        <f t="shared" ca="1" si="32"/>
        <v>6.4203579214418918</v>
      </c>
      <c r="AB276" s="63">
        <f t="shared" ca="1" si="33"/>
        <v>6.4203579214418918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45664</v>
      </c>
      <c r="K277">
        <f ca="1"/>
        <v>2.987564098084472</v>
      </c>
      <c r="L277">
        <f ca="1"/>
        <v>2.1555295068251752</v>
      </c>
      <c r="M277">
        <f ca="1"/>
        <v>0.24671768905812996</v>
      </c>
      <c r="N277">
        <f ca="1"/>
        <v>0.6491751307083522</v>
      </c>
      <c r="O277">
        <f ca="1"/>
        <v>0</v>
      </c>
      <c r="P277">
        <f ca="1"/>
        <v>55.075009983755777</v>
      </c>
      <c r="Q277">
        <f ca="1"/>
        <v>50.383435059213625</v>
      </c>
      <c r="R277">
        <f ca="1"/>
        <v>0</v>
      </c>
      <c r="S277">
        <f ca="1"/>
        <v>0.64693483123279782</v>
      </c>
      <c r="T277">
        <f ca="1"/>
        <v>0</v>
      </c>
      <c r="U277">
        <f ca="1"/>
        <v>0</v>
      </c>
      <c r="V277">
        <f ca="1"/>
        <v>0.99455308043832036</v>
      </c>
      <c r="X277" s="2">
        <f t="shared" ca="1" si="29"/>
        <v>45664</v>
      </c>
      <c r="Y277">
        <f t="shared" ca="1" si="30"/>
        <v>0</v>
      </c>
      <c r="AA277" s="63">
        <f t="shared" ca="1" si="32"/>
        <v>5.1430936049096472</v>
      </c>
      <c r="AB277" s="63">
        <f t="shared" ca="1" si="33"/>
        <v>5.1430936049096472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45665</v>
      </c>
      <c r="K278">
        <f ca="1"/>
        <v>1.7214302465102209</v>
      </c>
      <c r="L278">
        <f ca="1"/>
        <v>2.1357951416076091</v>
      </c>
      <c r="M278">
        <f ca="1"/>
        <v>0.23361487299370509</v>
      </c>
      <c r="N278">
        <f ca="1"/>
        <v>0.63604641703965292</v>
      </c>
      <c r="O278">
        <f ca="1"/>
        <v>0</v>
      </c>
      <c r="P278">
        <f ca="1"/>
        <v>57.210805125363386</v>
      </c>
      <c r="Q278">
        <f ca="1"/>
        <v>52.337292096165761</v>
      </c>
      <c r="R278">
        <f ca="1"/>
        <v>0</v>
      </c>
      <c r="S278">
        <f ca="1"/>
        <v>0.66105960822367327</v>
      </c>
      <c r="T278">
        <f ca="1"/>
        <v>0</v>
      </c>
      <c r="U278">
        <f ca="1"/>
        <v>0</v>
      </c>
      <c r="V278">
        <f ca="1"/>
        <v>0.99523372109609498</v>
      </c>
      <c r="X278" s="2">
        <f t="shared" ca="1" si="29"/>
        <v>45665</v>
      </c>
      <c r="Y278">
        <f t="shared" ca="1" si="30"/>
        <v>0</v>
      </c>
      <c r="AA278" s="63">
        <f t="shared" ca="1" si="32"/>
        <v>3.85722538811783</v>
      </c>
      <c r="AB278" s="63">
        <f t="shared" ca="1" si="33"/>
        <v>3.85722538811783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45666</v>
      </c>
      <c r="K279">
        <f ca="1"/>
        <v>0.47972341190262746</v>
      </c>
      <c r="L279">
        <f ca="1"/>
        <v>2.1384304985106368</v>
      </c>
      <c r="M279">
        <f ca="1"/>
        <v>0.22408187969038096</v>
      </c>
      <c r="N279">
        <f ca="1"/>
        <v>0.6726417842126623</v>
      </c>
      <c r="O279">
        <f ca="1"/>
        <v>0</v>
      </c>
      <c r="P279">
        <f ca="1"/>
        <v>59.349235623874023</v>
      </c>
      <c r="Q279">
        <f ca="1"/>
        <v>54.293559996655127</v>
      </c>
      <c r="R279">
        <f ca="1"/>
        <v>0</v>
      </c>
      <c r="S279">
        <f ca="1"/>
        <v>0.72138790982221013</v>
      </c>
      <c r="T279">
        <f ca="1"/>
        <v>0</v>
      </c>
      <c r="U279">
        <f ca="1"/>
        <v>0</v>
      </c>
      <c r="V279">
        <f ca="1"/>
        <v>0.99581841101655555</v>
      </c>
      <c r="X279" s="2">
        <f t="shared" ca="1" si="29"/>
        <v>45666</v>
      </c>
      <c r="Y279">
        <f t="shared" ca="1" si="30"/>
        <v>0</v>
      </c>
      <c r="AA279" s="63">
        <f t="shared" ca="1" si="32"/>
        <v>2.6181539104132643</v>
      </c>
      <c r="AB279" s="63">
        <f t="shared" ca="1" si="33"/>
        <v>2.6181539104132643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45667</v>
      </c>
      <c r="K280">
        <f ca="1"/>
        <v>-0.81424212689067232</v>
      </c>
      <c r="L280">
        <f ca="1"/>
        <v>2.1707674682957929</v>
      </c>
      <c r="M280">
        <f ca="1"/>
        <v>0.21811860876930211</v>
      </c>
      <c r="N280">
        <f ca="1"/>
        <v>0.65868332073319114</v>
      </c>
      <c r="O280">
        <f ca="1"/>
        <v>0</v>
      </c>
      <c r="P280">
        <f ca="1"/>
        <v>61.520003092169816</v>
      </c>
      <c r="Q280">
        <f ca="1"/>
        <v>56.279410236170165</v>
      </c>
      <c r="R280">
        <f ca="1"/>
        <v>0</v>
      </c>
      <c r="S280">
        <f ca="1"/>
        <v>0.71014740156649281</v>
      </c>
      <c r="T280">
        <f ca="1"/>
        <v>0</v>
      </c>
      <c r="U280">
        <f ca="1"/>
        <v>0</v>
      </c>
      <c r="V280">
        <f ca="1"/>
        <v>0.99632916621978074</v>
      </c>
      <c r="X280" s="2">
        <f t="shared" ca="1" si="29"/>
        <v>45667</v>
      </c>
      <c r="Y280">
        <f t="shared" ca="1" si="30"/>
        <v>0</v>
      </c>
      <c r="AA280" s="63">
        <f t="shared" ca="1" si="32"/>
        <v>1.3565253414051206</v>
      </c>
      <c r="AB280" s="63">
        <f t="shared" ca="1" si="33"/>
        <v>1.3565253414051206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45668</v>
      </c>
      <c r="K281">
        <f ca="1"/>
        <v>-2.2348334784653363</v>
      </c>
      <c r="L281">
        <f ca="1"/>
        <v>2.3261673343507852</v>
      </c>
      <c r="M281">
        <f ca="1"/>
        <v>0.22365959282854675</v>
      </c>
      <c r="N281">
        <f ca="1"/>
        <v>0.68191638994757431</v>
      </c>
      <c r="O281">
        <f ca="1"/>
        <v>0</v>
      </c>
      <c r="P281">
        <f ca="1"/>
        <v>63.846170426520601</v>
      </c>
      <c r="Q281">
        <f ca="1"/>
        <v>58.40742257537255</v>
      </c>
      <c r="R281">
        <f ca="1"/>
        <v>0</v>
      </c>
      <c r="S281">
        <f ca="1"/>
        <v>0.69154466737479769</v>
      </c>
      <c r="T281">
        <f ca="1"/>
        <v>0</v>
      </c>
      <c r="U281">
        <f ca="1"/>
        <v>0</v>
      </c>
      <c r="V281">
        <f ca="1"/>
        <v>0.99679908933717076</v>
      </c>
      <c r="X281" s="2">
        <f t="shared" ca="1" si="29"/>
        <v>45668</v>
      </c>
      <c r="Y281">
        <f t="shared" ca="1" si="30"/>
        <v>0</v>
      </c>
      <c r="AA281" s="63">
        <f t="shared" ca="1" si="32"/>
        <v>9.1333855885448734E-2</v>
      </c>
      <c r="AB281" s="63">
        <f t="shared" ca="1" si="33"/>
        <v>9.1333855885448845E-2</v>
      </c>
      <c r="AC281" s="3">
        <f t="shared" ca="1" si="34"/>
        <v>1.1102230246251565E-16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45669</v>
      </c>
      <c r="K282">
        <f ca="1"/>
        <v>-3.7231285146229824</v>
      </c>
      <c r="L282">
        <f ca="1"/>
        <v>2.3882800254500438</v>
      </c>
      <c r="M282">
        <f ca="1"/>
        <v>0.22013406401957525</v>
      </c>
      <c r="N282">
        <f ca="1"/>
        <v>0.67985092527282265</v>
      </c>
      <c r="O282">
        <f ca="1"/>
        <v>0</v>
      </c>
      <c r="P282">
        <f ca="1"/>
        <v>66.234450451970645</v>
      </c>
      <c r="Q282">
        <f ca="1"/>
        <v>60.592256524580549</v>
      </c>
      <c r="R282">
        <f ca="1"/>
        <v>0</v>
      </c>
      <c r="S282">
        <f ca="1"/>
        <v>0.68223845679475148</v>
      </c>
      <c r="T282">
        <f ca="1"/>
        <v>0</v>
      </c>
      <c r="U282">
        <f ca="1"/>
        <v>0</v>
      </c>
      <c r="V282">
        <f ca="1"/>
        <v>0.99721198137677691</v>
      </c>
      <c r="X282" s="2">
        <f t="shared" ca="1" si="29"/>
        <v>45669</v>
      </c>
      <c r="Y282">
        <f t="shared" ca="1" si="30"/>
        <v>0</v>
      </c>
      <c r="AA282" s="63">
        <f t="shared" ca="1" si="32"/>
        <v>-1.3348484891729384</v>
      </c>
      <c r="AB282" s="63">
        <f t="shared" ca="1" si="33"/>
        <v>-1.3348484891729386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45670</v>
      </c>
      <c r="K283">
        <f ca="1"/>
        <v>-5.2283534610409887</v>
      </c>
      <c r="L283">
        <f ca="1"/>
        <v>2.3890465207723679</v>
      </c>
      <c r="M283">
        <f ca="1"/>
        <v>0.21146460590490079</v>
      </c>
      <c r="N283">
        <f ca="1"/>
        <v>0.67235696844946025</v>
      </c>
      <c r="O283">
        <f ca="1"/>
        <v>0</v>
      </c>
      <c r="P283">
        <f ca="1"/>
        <v>68.623496972743013</v>
      </c>
      <c r="Q283">
        <f ca="1"/>
        <v>62.777791675064904</v>
      </c>
      <c r="R283">
        <f ca="1"/>
        <v>0</v>
      </c>
      <c r="S283">
        <f ca="1"/>
        <v>0.68925675487813465</v>
      </c>
      <c r="T283">
        <f ca="1"/>
        <v>0</v>
      </c>
      <c r="U283">
        <f ca="1"/>
        <v>0</v>
      </c>
      <c r="V283">
        <f ca="1"/>
        <v>0.99756611720423782</v>
      </c>
      <c r="X283" s="2">
        <f t="shared" ca="1" si="29"/>
        <v>45670</v>
      </c>
      <c r="Y283">
        <f t="shared" ca="1" si="30"/>
        <v>0</v>
      </c>
      <c r="AA283" s="63">
        <f t="shared" ca="1" si="32"/>
        <v>-2.8393069402686213</v>
      </c>
      <c r="AB283" s="63">
        <f t="shared" ca="1" si="33"/>
        <v>-2.8393069402686208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45671</v>
      </c>
      <c r="K284">
        <f ca="1"/>
        <v>-6.776161634322114</v>
      </c>
      <c r="L284">
        <f ca="1"/>
        <v>2.4303427014620098</v>
      </c>
      <c r="M284">
        <f ca="1"/>
        <v>0.20684131445645448</v>
      </c>
      <c r="N284">
        <f ca="1"/>
        <v>0.67569321372443014</v>
      </c>
      <c r="O284">
        <f ca="1"/>
        <v>0</v>
      </c>
      <c r="P284">
        <f ca="1"/>
        <v>71.053839674205022</v>
      </c>
      <c r="Q284">
        <f ca="1"/>
        <v>65.001105183439407</v>
      </c>
      <c r="R284">
        <f ca="1"/>
        <v>0</v>
      </c>
      <c r="S284">
        <f ca="1"/>
        <v>0.69169705683855032</v>
      </c>
      <c r="T284">
        <f ca="1"/>
        <v>0</v>
      </c>
      <c r="U284">
        <f ca="1"/>
        <v>0</v>
      </c>
      <c r="V284">
        <f ca="1"/>
        <v>0.99787577615683298</v>
      </c>
      <c r="X284" s="2">
        <f t="shared" ca="1" si="29"/>
        <v>45671</v>
      </c>
      <c r="Y284">
        <f t="shared" ca="1" si="30"/>
        <v>0</v>
      </c>
      <c r="AA284" s="63">
        <f t="shared" ca="1" si="32"/>
        <v>-4.3458189328601042</v>
      </c>
      <c r="AB284" s="63">
        <f t="shared" ca="1" si="33"/>
        <v>-4.3458189328601042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45672</v>
      </c>
      <c r="K285">
        <f ca="1"/>
        <v>-8.358371324153083</v>
      </c>
      <c r="L285">
        <f ca="1"/>
        <v>2.4391012940703547</v>
      </c>
      <c r="M285">
        <f ca="1"/>
        <v>0.19994535306108929</v>
      </c>
      <c r="N285">
        <f ca="1"/>
        <v>0.6569462511782963</v>
      </c>
      <c r="O285">
        <f ca="1"/>
        <v>0</v>
      </c>
      <c r="P285">
        <f ca="1"/>
        <v>73.492940968275377</v>
      </c>
      <c r="Q285">
        <f ca="1"/>
        <v>67.232431182088945</v>
      </c>
      <c r="R285">
        <f ca="1"/>
        <v>0</v>
      </c>
      <c r="S285">
        <f ca="1"/>
        <v>0.68018455805839506</v>
      </c>
      <c r="T285">
        <f ca="1"/>
        <v>0</v>
      </c>
      <c r="U285">
        <f ca="1"/>
        <v>0</v>
      </c>
      <c r="V285">
        <f ca="1"/>
        <v>0.99814342592352689</v>
      </c>
      <c r="X285" s="2">
        <f t="shared" ca="1" si="29"/>
        <v>45672</v>
      </c>
      <c r="Y285">
        <f t="shared" ca="1" si="30"/>
        <v>0</v>
      </c>
      <c r="AA285" s="63">
        <f t="shared" ca="1" si="32"/>
        <v>-5.9192700300827283</v>
      </c>
      <c r="AB285" s="63">
        <f t="shared" ca="1" si="33"/>
        <v>-5.9192700300827283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45673</v>
      </c>
      <c r="K286">
        <f ca="1"/>
        <v>-9.9738447760447162</v>
      </c>
      <c r="L286">
        <f ca="1"/>
        <v>2.438575167082945</v>
      </c>
      <c r="M286">
        <f ca="1"/>
        <v>0.19290668458143756</v>
      </c>
      <c r="N286">
        <f ca="1"/>
        <v>0.63019503060987447</v>
      </c>
      <c r="O286">
        <f ca="1"/>
        <v>0</v>
      </c>
      <c r="P286">
        <f ca="1"/>
        <v>75.931516135358322</v>
      </c>
      <c r="Q286">
        <f ca="1"/>
        <v>69.463275871975952</v>
      </c>
      <c r="R286">
        <f ca="1"/>
        <v>0</v>
      </c>
      <c r="S286">
        <f ca="1"/>
        <v>0.66058818948890818</v>
      </c>
      <c r="T286">
        <f ca="1"/>
        <v>0</v>
      </c>
      <c r="U286">
        <f ca="1"/>
        <v>0</v>
      </c>
      <c r="V286">
        <f ca="1"/>
        <v>0.99837458588867867</v>
      </c>
      <c r="X286" s="2">
        <f t="shared" ca="1" si="29"/>
        <v>45673</v>
      </c>
      <c r="Y286">
        <f t="shared" ca="1" si="30"/>
        <v>0</v>
      </c>
      <c r="AA286" s="63">
        <f t="shared" ca="1" si="32"/>
        <v>-7.5352696089617712</v>
      </c>
      <c r="AB286" s="63">
        <f t="shared" ca="1" si="33"/>
        <v>-7.5352696089617712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45674</v>
      </c>
      <c r="K287">
        <f ca="1"/>
        <v>-11.631220736913736</v>
      </c>
      <c r="L287">
        <f ca="1"/>
        <v>2.5437284943995024</v>
      </c>
      <c r="M287">
        <f ca="1"/>
        <v>0.19409202853076124</v>
      </c>
      <c r="N287">
        <f ca="1"/>
        <v>0.69226050499972092</v>
      </c>
      <c r="O287">
        <f ca="1"/>
        <v>0</v>
      </c>
      <c r="P287">
        <f ca="1"/>
        <v>78.475244629757825</v>
      </c>
      <c r="Q287">
        <f ca="1"/>
        <v>71.790316383519198</v>
      </c>
      <c r="R287">
        <f ca="1"/>
        <v>0</v>
      </c>
      <c r="S287">
        <f ca="1"/>
        <v>0.70352578133607835</v>
      </c>
      <c r="T287">
        <f ca="1"/>
        <v>0</v>
      </c>
      <c r="U287">
        <f ca="1"/>
        <v>0</v>
      </c>
      <c r="V287">
        <f ca="1"/>
        <v>0.99858289947685275</v>
      </c>
      <c r="X287" s="2">
        <f t="shared" ca="1" si="29"/>
        <v>45674</v>
      </c>
      <c r="Y287">
        <f t="shared" ca="1" si="30"/>
        <v>0</v>
      </c>
      <c r="AA287" s="63">
        <f t="shared" ca="1" si="32"/>
        <v>-9.0874922425142337</v>
      </c>
      <c r="AB287" s="63">
        <f t="shared" ca="1" si="33"/>
        <v>-9.0874922425142337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45675</v>
      </c>
      <c r="K288">
        <f ca="1"/>
        <v>-13.387723343501715</v>
      </c>
      <c r="L288">
        <f ca="1"/>
        <v>2.6280332207071098</v>
      </c>
      <c r="M288">
        <f ca="1"/>
        <v>0.19365821455958354</v>
      </c>
      <c r="N288">
        <f ca="1"/>
        <v>0.67787239955954748</v>
      </c>
      <c r="O288">
        <f ca="1"/>
        <v>0</v>
      </c>
      <c r="P288">
        <f ca="1"/>
        <v>81.103277850464934</v>
      </c>
      <c r="Q288">
        <f ca="1"/>
        <v>74.19448010764755</v>
      </c>
      <c r="R288">
        <f ca="1"/>
        <v>0</v>
      </c>
      <c r="S288">
        <f ca="1"/>
        <v>0.66735800843279958</v>
      </c>
      <c r="T288">
        <f ca="1"/>
        <v>0</v>
      </c>
      <c r="U288">
        <f ca="1"/>
        <v>0</v>
      </c>
      <c r="V288">
        <f ca="1"/>
        <v>0.9987683594874327</v>
      </c>
      <c r="X288" s="2">
        <f t="shared" ca="1" si="29"/>
        <v>45675</v>
      </c>
      <c r="Y288">
        <f t="shared" ca="1" si="30"/>
        <v>0</v>
      </c>
      <c r="AA288" s="63">
        <f t="shared" ca="1" si="32"/>
        <v>-10.759690122794606</v>
      </c>
      <c r="AB288" s="63">
        <f t="shared" ca="1" si="33"/>
        <v>-10.759690122794606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45676</v>
      </c>
      <c r="K289">
        <f ca="1"/>
        <v>-15.022437872080138</v>
      </c>
      <c r="L289">
        <f ca="1"/>
        <v>2.4354809669805491</v>
      </c>
      <c r="M289">
        <f ca="1"/>
        <v>0.17424641057396428</v>
      </c>
      <c r="N289">
        <f ca="1"/>
        <v>0.62652002782816207</v>
      </c>
      <c r="O289">
        <f ca="1"/>
        <v>0</v>
      </c>
      <c r="P289">
        <f ca="1"/>
        <v>83.538758817445483</v>
      </c>
      <c r="Q289">
        <f ca="1"/>
        <v>76.422494177440868</v>
      </c>
      <c r="R289">
        <f ca="1"/>
        <v>0</v>
      </c>
      <c r="S289">
        <f ca="1"/>
        <v>0.68427131912580996</v>
      </c>
      <c r="T289">
        <f ca="1"/>
        <v>0</v>
      </c>
      <c r="U289">
        <f ca="1"/>
        <v>0</v>
      </c>
      <c r="V289">
        <f ca="1"/>
        <v>0.99891730767727815</v>
      </c>
      <c r="X289" s="2">
        <f t="shared" ca="1" si="29"/>
        <v>45676</v>
      </c>
      <c r="Y289">
        <f t="shared" ca="1" si="30"/>
        <v>0</v>
      </c>
      <c r="AA289" s="63">
        <f t="shared" ca="1" si="32"/>
        <v>-12.586956905099589</v>
      </c>
      <c r="AB289" s="63">
        <f t="shared" ca="1" si="33"/>
        <v>-12.586956905099589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45677</v>
      </c>
      <c r="K290">
        <f ca="1"/>
        <v>-16.806110533815961</v>
      </c>
      <c r="L290">
        <f ca="1"/>
        <v>2.5758151607055595</v>
      </c>
      <c r="M290">
        <f ca="1"/>
        <v>0.17829012801466604</v>
      </c>
      <c r="N290">
        <f ca="1"/>
        <v>0.61385237095506917</v>
      </c>
      <c r="O290">
        <f ca="1"/>
        <v>0</v>
      </c>
      <c r="P290">
        <f ca="1"/>
        <v>86.114573978151043</v>
      </c>
      <c r="Q290">
        <f ca="1"/>
        <v>78.778888046678915</v>
      </c>
      <c r="R290">
        <f ca="1"/>
        <v>0</v>
      </c>
      <c r="S290">
        <f ca="1"/>
        <v>0.62541773933095113</v>
      </c>
      <c r="T290">
        <f ca="1"/>
        <v>0</v>
      </c>
      <c r="U290">
        <f ca="1"/>
        <v>0</v>
      </c>
      <c r="V290">
        <f ca="1"/>
        <v>0.99905439816600228</v>
      </c>
      <c r="X290" s="2">
        <f t="shared" ca="1" si="29"/>
        <v>45677</v>
      </c>
      <c r="Y290">
        <f t="shared" ca="1" si="30"/>
        <v>0</v>
      </c>
      <c r="AA290" s="63">
        <f t="shared" ca="1" si="32"/>
        <v>-14.230295373110403</v>
      </c>
      <c r="AB290" s="63">
        <f t="shared" ca="1" si="33"/>
        <v>-14.230295373110401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45678</v>
      </c>
      <c r="K291">
        <f ca="1"/>
        <v>-18.78842923661994</v>
      </c>
      <c r="L291">
        <f ca="1"/>
        <v>2.8205424846045588</v>
      </c>
      <c r="M291">
        <f ca="1"/>
        <v>0.18945136030209397</v>
      </c>
      <c r="N291">
        <f ca="1"/>
        <v>0.64877242149848391</v>
      </c>
      <c r="O291">
        <f ca="1"/>
        <v>0</v>
      </c>
      <c r="P291">
        <f ca="1"/>
        <v>88.935116462755602</v>
      </c>
      <c r="Q291">
        <f ca="1"/>
        <v>81.359162097409765</v>
      </c>
      <c r="R291">
        <f ca="1"/>
        <v>0</v>
      </c>
      <c r="S291">
        <f ca="1"/>
        <v>0.58893963233612845</v>
      </c>
      <c r="T291">
        <f ca="1"/>
        <v>0</v>
      </c>
      <c r="U291">
        <f ca="1"/>
        <v>0</v>
      </c>
      <c r="V291">
        <f ca="1"/>
        <v>0.99918397638572376</v>
      </c>
      <c r="X291" s="2">
        <f t="shared" ca="1" si="29"/>
        <v>45678</v>
      </c>
      <c r="Y291">
        <f t="shared" ca="1" si="30"/>
        <v>0</v>
      </c>
      <c r="AA291" s="63">
        <f t="shared" ca="1" si="32"/>
        <v>-15.967886752015383</v>
      </c>
      <c r="AB291" s="63">
        <f t="shared" ca="1" si="33"/>
        <v>-15.967886752015382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45679</v>
      </c>
      <c r="K292">
        <f ca="1"/>
        <v>-20.711753351231987</v>
      </c>
      <c r="L292">
        <f ca="1"/>
        <v>2.7330790492601977</v>
      </c>
      <c r="M292">
        <f ca="1"/>
        <v>0.17781683249735636</v>
      </c>
      <c r="N292">
        <f ca="1"/>
        <v>0.63193810215079305</v>
      </c>
      <c r="O292">
        <f ca="1"/>
        <v>0</v>
      </c>
      <c r="P292">
        <f ca="1"/>
        <v>91.668195512015799</v>
      </c>
      <c r="Q292">
        <f ca="1"/>
        <v>83.859423301732974</v>
      </c>
      <c r="R292">
        <f ca="1"/>
        <v>0</v>
      </c>
      <c r="S292">
        <f ca="1"/>
        <v>0.60279125340664574</v>
      </c>
      <c r="T292">
        <f ca="1"/>
        <v>0</v>
      </c>
      <c r="U292">
        <f ca="1"/>
        <v>0</v>
      </c>
      <c r="V292">
        <f ca="1"/>
        <v>0.99929212795257616</v>
      </c>
      <c r="X292" s="2">
        <f t="shared" ca="1" si="29"/>
        <v>45679</v>
      </c>
      <c r="Y292">
        <f t="shared" ca="1" si="30"/>
        <v>0</v>
      </c>
      <c r="AA292" s="63">
        <f t="shared" ca="1" si="32"/>
        <v>-17.97867430197179</v>
      </c>
      <c r="AB292" s="63">
        <f t="shared" ca="1" si="33"/>
        <v>-17.97867430197179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45680</v>
      </c>
      <c r="K293">
        <f ca="1"/>
        <v>-22.571754917659188</v>
      </c>
      <c r="L293">
        <f ca="1"/>
        <v>2.621515551938657</v>
      </c>
      <c r="M293">
        <f ca="1"/>
        <v>0.16589882105497367</v>
      </c>
      <c r="N293">
        <f ca="1"/>
        <v>0.59561516445648177</v>
      </c>
      <c r="O293">
        <f ca="1"/>
        <v>0</v>
      </c>
      <c r="P293">
        <f ca="1"/>
        <v>94.289711063954456</v>
      </c>
      <c r="Q293">
        <f ca="1"/>
        <v>86.2576245659139</v>
      </c>
      <c r="R293">
        <f ca="1"/>
        <v>0</v>
      </c>
      <c r="S293">
        <f ca="1"/>
        <v>0.59896815969899775</v>
      </c>
      <c r="T293">
        <f ca="1"/>
        <v>0</v>
      </c>
      <c r="U293">
        <f ca="1"/>
        <v>0</v>
      </c>
      <c r="V293">
        <f ca="1"/>
        <v>0.9993821462990754</v>
      </c>
      <c r="X293" s="2">
        <f t="shared" ca="1" si="29"/>
        <v>45680</v>
      </c>
      <c r="Y293">
        <f t="shared" ca="1" si="30"/>
        <v>0</v>
      </c>
      <c r="AA293" s="63">
        <f t="shared" ca="1" si="32"/>
        <v>-19.950239365720531</v>
      </c>
      <c r="AB293" s="63">
        <f t="shared" ca="1" si="33"/>
        <v>-19.950239365720531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45681</v>
      </c>
      <c r="K294">
        <f ca="1"/>
        <v>-24.460426886371003</v>
      </c>
      <c r="L294">
        <f ca="1"/>
        <v>2.6340164317924746</v>
      </c>
      <c r="M294">
        <f ca="1"/>
        <v>0.16243014008465195</v>
      </c>
      <c r="N294">
        <f ca="1"/>
        <v>0.58291432299600787</v>
      </c>
      <c r="O294">
        <f ca="1"/>
        <v>0</v>
      </c>
      <c r="P294">
        <f ca="1"/>
        <v>96.923727495746931</v>
      </c>
      <c r="Q294">
        <f ca="1"/>
        <v>88.667261820183313</v>
      </c>
      <c r="R294">
        <f ca="1"/>
        <v>0</v>
      </c>
      <c r="S294">
        <f ca="1"/>
        <v>0.5796011307913852</v>
      </c>
      <c r="T294">
        <f ca="1"/>
        <v>0</v>
      </c>
      <c r="U294">
        <f ca="1"/>
        <v>0</v>
      </c>
      <c r="V294">
        <f ca="1"/>
        <v>0.99946098384911053</v>
      </c>
      <c r="X294" s="2">
        <f t="shared" ca="1" si="29"/>
        <v>45681</v>
      </c>
      <c r="Y294">
        <f t="shared" ca="1" si="30"/>
        <v>0</v>
      </c>
      <c r="AA294" s="63">
        <f t="shared" ca="1" si="32"/>
        <v>-21.826410454578529</v>
      </c>
      <c r="AB294" s="63">
        <f t="shared" ca="1" si="33"/>
        <v>-21.826410454578529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45682</v>
      </c>
      <c r="K295">
        <f ca="1"/>
        <v>-26.346362699136044</v>
      </c>
      <c r="L295">
        <f ca="1"/>
        <v>2.5979040279169112</v>
      </c>
      <c r="M295">
        <f ca="1"/>
        <v>0.15641440574154331</v>
      </c>
      <c r="N295">
        <f ca="1"/>
        <v>0.55555380941032639</v>
      </c>
      <c r="O295">
        <f ca="1"/>
        <v>0</v>
      </c>
      <c r="P295">
        <f ca="1"/>
        <v>99.521631523663842</v>
      </c>
      <c r="Q295">
        <f ca="1"/>
        <v>91.043862912388789</v>
      </c>
      <c r="R295">
        <f ca="1"/>
        <v>0</v>
      </c>
      <c r="S295">
        <f ca="1"/>
        <v>0.55569638289849221</v>
      </c>
      <c r="T295">
        <f ca="1"/>
        <v>0</v>
      </c>
      <c r="U295">
        <f ca="1"/>
        <v>0</v>
      </c>
      <c r="V295">
        <f ca="1"/>
        <v>0.99952890251818705</v>
      </c>
      <c r="X295" s="2">
        <f t="shared" ca="1" si="29"/>
        <v>45682</v>
      </c>
      <c r="Y295">
        <f t="shared" ca="1" si="30"/>
        <v>0</v>
      </c>
      <c r="AA295" s="63">
        <f t="shared" ca="1" si="32"/>
        <v>-23.748458671219133</v>
      </c>
      <c r="AB295" s="63">
        <f t="shared" ca="1" si="33"/>
        <v>-23.748458671219133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45683</v>
      </c>
      <c r="K296">
        <f ca="1"/>
        <v>-28.242085455378955</v>
      </c>
      <c r="L296">
        <f ca="1"/>
        <v>2.6194408938171705</v>
      </c>
      <c r="M296">
        <f ca="1"/>
        <v>0.15409961195725685</v>
      </c>
      <c r="N296">
        <f ca="1"/>
        <v>0.56961852561700177</v>
      </c>
      <c r="O296">
        <f ca="1"/>
        <v>0</v>
      </c>
      <c r="P296">
        <f ca="1"/>
        <v>102.14107241748101</v>
      </c>
      <c r="Q296">
        <f ca="1"/>
        <v>93.440166248584475</v>
      </c>
      <c r="R296">
        <f ca="1"/>
        <v>0</v>
      </c>
      <c r="S296">
        <f ca="1"/>
        <v>0.56548014752155185</v>
      </c>
      <c r="T296">
        <f ca="1"/>
        <v>0</v>
      </c>
      <c r="U296">
        <f ca="1"/>
        <v>0</v>
      </c>
      <c r="V296">
        <f ca="1"/>
        <v>0.9995888232150979</v>
      </c>
      <c r="X296" s="2">
        <f t="shared" ca="1" si="29"/>
        <v>45683</v>
      </c>
      <c r="Y296">
        <f t="shared" ca="1" si="30"/>
        <v>0</v>
      </c>
      <c r="AA296" s="63">
        <f t="shared" ca="1" si="32"/>
        <v>-25.622644561561785</v>
      </c>
      <c r="AB296" s="63">
        <f t="shared" ca="1" si="33"/>
        <v>-25.622644561561785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45684</v>
      </c>
      <c r="K297">
        <f ca="1"/>
        <v>-30.148608671965977</v>
      </c>
      <c r="L297">
        <f ca="1"/>
        <v>2.6073209852419694</v>
      </c>
      <c r="M297">
        <f ca="1"/>
        <v>0.15011627408593853</v>
      </c>
      <c r="N297">
        <f ca="1"/>
        <v>0.55068149456900939</v>
      </c>
      <c r="O297">
        <f ca="1"/>
        <v>0</v>
      </c>
      <c r="P297">
        <f ca="1"/>
        <v>104.74839340272298</v>
      </c>
      <c r="Q297">
        <f ca="1"/>
        <v>95.825382112861391</v>
      </c>
      <c r="R297">
        <f ca="1"/>
        <v>0</v>
      </c>
      <c r="S297">
        <f ca="1"/>
        <v>0.54132412904735794</v>
      </c>
      <c r="T297">
        <f ca="1"/>
        <v>0</v>
      </c>
      <c r="U297">
        <f ca="1"/>
        <v>0</v>
      </c>
      <c r="V297">
        <f ca="1"/>
        <v>0.99964105574328166</v>
      </c>
      <c r="X297" s="2">
        <f t="shared" ca="1" si="29"/>
        <v>45684</v>
      </c>
      <c r="Y297">
        <f t="shared" ca="1" si="30"/>
        <v>0</v>
      </c>
      <c r="AA297" s="63">
        <f t="shared" ca="1" si="32"/>
        <v>-27.541287686724008</v>
      </c>
      <c r="AB297" s="63">
        <f t="shared" ca="1" si="33"/>
        <v>-27.541287686724008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45685</v>
      </c>
      <c r="K298">
        <f ca="1"/>
        <v>-32.163439289893816</v>
      </c>
      <c r="L298">
        <f ca="1"/>
        <v>2.7221147590317827</v>
      </c>
      <c r="M298">
        <f ca="1"/>
        <v>0.15350911374613929</v>
      </c>
      <c r="N298">
        <f ca="1"/>
        <v>0.55377502735780959</v>
      </c>
      <c r="O298">
        <f ca="1"/>
        <v>0</v>
      </c>
      <c r="P298">
        <f ca="1"/>
        <v>107.47050816175476</v>
      </c>
      <c r="Q298">
        <f ca="1"/>
        <v>98.315613022049732</v>
      </c>
      <c r="R298">
        <f ca="1"/>
        <v>0</v>
      </c>
      <c r="S298">
        <f ca="1"/>
        <v>0.50143843196661153</v>
      </c>
      <c r="T298">
        <f ca="1"/>
        <v>0</v>
      </c>
      <c r="U298">
        <f ca="1"/>
        <v>0</v>
      </c>
      <c r="V298">
        <f ca="1"/>
        <v>0.9996887374909621</v>
      </c>
      <c r="X298" s="2">
        <f t="shared" ca="1" si="29"/>
        <v>45685</v>
      </c>
      <c r="Y298">
        <f t="shared" ca="1" si="30"/>
        <v>0</v>
      </c>
      <c r="AA298" s="63">
        <f t="shared" ca="1" si="32"/>
        <v>-29.44132453086203</v>
      </c>
      <c r="AB298" s="63">
        <f t="shared" ca="1" si="33"/>
        <v>-29.441324530862033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45686</v>
      </c>
      <c r="K299">
        <f ca="1"/>
        <v>-34.255486338231719</v>
      </c>
      <c r="L299">
        <f ca="1"/>
        <v>2.7957306985388755</v>
      </c>
      <c r="M299">
        <f ca="1"/>
        <v>0.14682020365949455</v>
      </c>
      <c r="N299">
        <f ca="1"/>
        <v>0.55686344654147624</v>
      </c>
      <c r="O299">
        <f ca="1"/>
        <v>0</v>
      </c>
      <c r="P299">
        <f ca="1"/>
        <v>110.26623886029364</v>
      </c>
      <c r="Q299">
        <f ca="1"/>
        <v>100.87318888330567</v>
      </c>
      <c r="R299">
        <f ca="1"/>
        <v>0</v>
      </c>
      <c r="S299">
        <f ca="1"/>
        <v>0.47406101746734419</v>
      </c>
      <c r="T299">
        <f ca="1"/>
        <v>0</v>
      </c>
      <c r="U299">
        <f ca="1"/>
        <v>0</v>
      </c>
      <c r="V299">
        <f ca="1"/>
        <v>0.99973138799503203</v>
      </c>
      <c r="X299" s="2">
        <f t="shared" ca="1" si="29"/>
        <v>45686</v>
      </c>
      <c r="Y299">
        <f t="shared" ca="1" si="30"/>
        <v>0</v>
      </c>
      <c r="AA299" s="63">
        <f t="shared" ca="1" si="32"/>
        <v>-31.459755639692844</v>
      </c>
      <c r="AB299" s="63">
        <f t="shared" ca="1" si="33"/>
        <v>-31.459755639692844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45687</v>
      </c>
      <c r="K300">
        <f ca="1"/>
        <v>-36.339690812347122</v>
      </c>
      <c r="L300">
        <f ca="1"/>
        <v>2.7902884942444359</v>
      </c>
      <c r="M300">
        <f ca="1"/>
        <v>0.14423049012236078</v>
      </c>
      <c r="N300">
        <f ca="1"/>
        <v>0.56185353000667171</v>
      </c>
      <c r="O300">
        <f ca="1"/>
        <v>0</v>
      </c>
      <c r="P300">
        <f ca="1"/>
        <v>113.05652735453808</v>
      </c>
      <c r="Q300">
        <f ca="1"/>
        <v>103.42578613544779</v>
      </c>
      <c r="R300">
        <f ca="1"/>
        <v>0</v>
      </c>
      <c r="S300">
        <f ca="1"/>
        <v>0.47460905536433601</v>
      </c>
      <c r="T300">
        <f ca="1"/>
        <v>0</v>
      </c>
      <c r="U300">
        <f ca="1"/>
        <v>0</v>
      </c>
      <c r="V300">
        <f ca="1"/>
        <v>0.99976841961119511</v>
      </c>
      <c r="X300" s="2">
        <f t="shared" ca="1" si="29"/>
        <v>45687</v>
      </c>
      <c r="Y300">
        <f t="shared" ca="1" si="30"/>
        <v>0</v>
      </c>
      <c r="AA300" s="63">
        <f t="shared" ca="1" si="32"/>
        <v>-33.549402318102686</v>
      </c>
      <c r="AB300" s="63">
        <f t="shared" ca="1" si="33"/>
        <v>-33.549402318102686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45688</v>
      </c>
      <c r="K301">
        <f ca="1"/>
        <v>-38.328406729434278</v>
      </c>
      <c r="L301">
        <f ca="1"/>
        <v>2.6742207162460403</v>
      </c>
      <c r="M301">
        <f ca="1"/>
        <v>0.13874671153246965</v>
      </c>
      <c r="N301">
        <f ca="1"/>
        <v>0.54675808762641487</v>
      </c>
      <c r="O301">
        <f ca="1"/>
        <v>0</v>
      </c>
      <c r="P301">
        <f ca="1"/>
        <v>115.73074807078412</v>
      </c>
      <c r="Q301">
        <f ca="1"/>
        <v>105.87220286475437</v>
      </c>
      <c r="R301">
        <f ca="1"/>
        <v>0</v>
      </c>
      <c r="S301">
        <f ca="1"/>
        <v>0.4847326674623218</v>
      </c>
      <c r="T301">
        <f ca="1"/>
        <v>0</v>
      </c>
      <c r="U301">
        <f ca="1"/>
        <v>0</v>
      </c>
      <c r="V301">
        <f ca="1"/>
        <v>0.99979939925429029</v>
      </c>
      <c r="X301" s="2">
        <f t="shared" ca="1" si="29"/>
        <v>45688</v>
      </c>
      <c r="Y301">
        <f t="shared" ca="1" si="30"/>
        <v>0</v>
      </c>
      <c r="AA301" s="63">
        <f t="shared" ca="1" si="32"/>
        <v>-35.654186013188237</v>
      </c>
      <c r="AB301" s="63">
        <f t="shared" ca="1" si="33"/>
        <v>-35.654186013188237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45689</v>
      </c>
      <c r="K302">
        <f ca="1"/>
        <v>-40.264471587725495</v>
      </c>
      <c r="L302">
        <f ca="1"/>
        <v>2.6100715614157508</v>
      </c>
      <c r="M302">
        <f ca="1"/>
        <v>0.13412896285576181</v>
      </c>
      <c r="N302">
        <f ca="1"/>
        <v>0.53987774026877244</v>
      </c>
      <c r="O302">
        <f ca="1"/>
        <v>0</v>
      </c>
      <c r="P302">
        <f ca="1"/>
        <v>118.34081963219987</v>
      </c>
      <c r="Q302">
        <f ca="1"/>
        <v>108.25993499686432</v>
      </c>
      <c r="R302">
        <f ca="1"/>
        <v>0</v>
      </c>
      <c r="S302">
        <f ca="1"/>
        <v>0.48717856027704703</v>
      </c>
      <c r="T302">
        <f ca="1"/>
        <v>0</v>
      </c>
      <c r="U302">
        <f ca="1"/>
        <v>0</v>
      </c>
      <c r="V302">
        <f ca="1"/>
        <v>0.99982591594520187</v>
      </c>
      <c r="X302" s="2">
        <f t="shared" ca="1" si="29"/>
        <v>45689</v>
      </c>
      <c r="Y302">
        <f t="shared" ca="1" si="30"/>
        <v>0</v>
      </c>
      <c r="AA302" s="63">
        <f t="shared" ca="1" si="32"/>
        <v>-37.654400026309744</v>
      </c>
      <c r="AB302" s="63">
        <f t="shared" ca="1" si="33"/>
        <v>-37.654400026309744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45690</v>
      </c>
      <c r="K303">
        <f ca="1"/>
        <v>-42.104223937988223</v>
      </c>
      <c r="L303">
        <f ca="1"/>
        <v>2.4667482051382308</v>
      </c>
      <c r="M303">
        <f ca="1"/>
        <v>0.12243142965942866</v>
      </c>
      <c r="N303">
        <f ca="1"/>
        <v>0.50456442521607225</v>
      </c>
      <c r="O303">
        <f ca="1"/>
        <v>0</v>
      </c>
      <c r="P303">
        <f ca="1"/>
        <v>120.8075678373381</v>
      </c>
      <c r="Q303">
        <f ca="1"/>
        <v>110.51655279934263</v>
      </c>
      <c r="R303">
        <f ca="1"/>
        <v>0</v>
      </c>
      <c r="S303">
        <f ca="1"/>
        <v>0.47623302437614384</v>
      </c>
      <c r="T303">
        <f ca="1"/>
        <v>0</v>
      </c>
      <c r="U303">
        <f ca="1"/>
        <v>0</v>
      </c>
      <c r="V303">
        <f ca="1"/>
        <v>0.99984800535805185</v>
      </c>
      <c r="X303" s="2">
        <f t="shared" ca="1" si="29"/>
        <v>45690</v>
      </c>
      <c r="Y303">
        <f t="shared" ca="1" si="30"/>
        <v>0</v>
      </c>
      <c r="AA303" s="63">
        <f t="shared" ca="1" si="32"/>
        <v>-39.637475732849992</v>
      </c>
      <c r="AB303" s="63">
        <f t="shared" ca="1" si="33"/>
        <v>-39.637475732849992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45691</v>
      </c>
      <c r="K304">
        <f ca="1"/>
        <v>-44.000776715028501</v>
      </c>
      <c r="L304">
        <f ca="1"/>
        <v>2.5466505075541335</v>
      </c>
      <c r="M304">
        <f ca="1"/>
        <v>0.12272654397219895</v>
      </c>
      <c r="N304">
        <f ca="1"/>
        <v>0.52737118654165882</v>
      </c>
      <c r="O304">
        <f ca="1"/>
        <v>0</v>
      </c>
      <c r="P304">
        <f ca="1"/>
        <v>123.35421834489223</v>
      </c>
      <c r="Q304">
        <f ca="1"/>
        <v>112.8462664118088</v>
      </c>
      <c r="R304">
        <f ca="1"/>
        <v>0</v>
      </c>
      <c r="S304">
        <f ca="1"/>
        <v>0.46730873905388154</v>
      </c>
      <c r="T304">
        <f ca="1"/>
        <v>0</v>
      </c>
      <c r="U304">
        <f ca="1"/>
        <v>0</v>
      </c>
      <c r="V304">
        <f ca="1"/>
        <v>0.99986813607027192</v>
      </c>
      <c r="X304" s="2">
        <f t="shared" ca="1" si="29"/>
        <v>45691</v>
      </c>
      <c r="Y304">
        <f t="shared" ca="1" si="30"/>
        <v>0</v>
      </c>
      <c r="AA304" s="63">
        <f t="shared" ca="1" si="32"/>
        <v>-41.454126207474367</v>
      </c>
      <c r="AB304" s="63">
        <f t="shared" ca="1" si="33"/>
        <v>-41.454126207474367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45692</v>
      </c>
      <c r="K305">
        <f ca="1"/>
        <v>-45.841852024356129</v>
      </c>
      <c r="L305">
        <f ca="1"/>
        <v>2.5031966286581309</v>
      </c>
      <c r="M305">
        <f ca="1"/>
        <v>0.12384015429400819</v>
      </c>
      <c r="N305">
        <f ca="1"/>
        <v>0.53828116503649193</v>
      </c>
      <c r="O305">
        <f ca="1"/>
        <v>0</v>
      </c>
      <c r="P305">
        <f ca="1"/>
        <v>125.85741497355036</v>
      </c>
      <c r="Q305">
        <f ca="1"/>
        <v>115.13622777209977</v>
      </c>
      <c r="R305">
        <f ca="1"/>
        <v>0</v>
      </c>
      <c r="S305">
        <f ca="1"/>
        <v>0.48427758830535828</v>
      </c>
      <c r="T305">
        <f ca="1"/>
        <v>0</v>
      </c>
      <c r="U305">
        <f ca="1"/>
        <v>0</v>
      </c>
      <c r="V305">
        <f ca="1"/>
        <v>0.99988557878829409</v>
      </c>
      <c r="X305" s="2">
        <f t="shared" ca="1" si="29"/>
        <v>45692</v>
      </c>
      <c r="Y305">
        <f t="shared" ca="1" si="30"/>
        <v>0</v>
      </c>
      <c r="AA305" s="63">
        <f t="shared" ca="1" si="32"/>
        <v>-43.338655395697998</v>
      </c>
      <c r="AB305" s="63">
        <f t="shared" ca="1" si="33"/>
        <v>-43.338655395697998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45693</v>
      </c>
      <c r="K306">
        <f ca="1"/>
        <v>-47.503156023469735</v>
      </c>
      <c r="L306">
        <f ca="1"/>
        <v>2.2275380535323848</v>
      </c>
      <c r="M306">
        <f ca="1"/>
        <v>0.10408150479310052</v>
      </c>
      <c r="N306">
        <f ca="1"/>
        <v>0.46215254962567842</v>
      </c>
      <c r="O306">
        <f ca="1"/>
        <v>0</v>
      </c>
      <c r="P306">
        <f ca="1"/>
        <v>128.08495302708275</v>
      </c>
      <c r="Q306">
        <f ca="1"/>
        <v>117.17401258403495</v>
      </c>
      <c r="R306">
        <f ca="1"/>
        <v>0</v>
      </c>
      <c r="S306">
        <f ca="1"/>
        <v>0.45936499056871755</v>
      </c>
      <c r="T306">
        <f ca="1"/>
        <v>0</v>
      </c>
      <c r="U306">
        <f ca="1"/>
        <v>0</v>
      </c>
      <c r="V306">
        <f ca="1"/>
        <v>0.99989936183249795</v>
      </c>
      <c r="X306" s="2">
        <f t="shared" ca="1" si="29"/>
        <v>45693</v>
      </c>
      <c r="Y306">
        <f t="shared" ca="1" si="30"/>
        <v>0</v>
      </c>
      <c r="AA306" s="63">
        <f t="shared" ca="1" si="32"/>
        <v>-45.27561796993735</v>
      </c>
      <c r="AB306" s="63">
        <f t="shared" ca="1" si="33"/>
        <v>-45.27561796993735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45694</v>
      </c>
      <c r="K307">
        <f ca="1"/>
        <v>-49.212364933918458</v>
      </c>
      <c r="L307">
        <f ca="1"/>
        <v>2.3553303013116818</v>
      </c>
      <c r="M307">
        <f ca="1"/>
        <v>0.1175512168491295</v>
      </c>
      <c r="N307">
        <f ca="1"/>
        <v>0.52857017401383122</v>
      </c>
      <c r="O307">
        <f ca="1"/>
        <v>0</v>
      </c>
      <c r="P307">
        <f ca="1"/>
        <v>130.44028332839443</v>
      </c>
      <c r="Q307">
        <f ca="1"/>
        <v>119.32870363745711</v>
      </c>
      <c r="R307">
        <f ca="1"/>
        <v>0</v>
      </c>
      <c r="S307">
        <f ca="1"/>
        <v>0.4954624564167438</v>
      </c>
      <c r="T307">
        <f ca="1"/>
        <v>0</v>
      </c>
      <c r="U307">
        <f ca="1"/>
        <v>0</v>
      </c>
      <c r="V307">
        <f ca="1"/>
        <v>0.99991234462700507</v>
      </c>
      <c r="X307" s="2">
        <f t="shared" ca="1" si="29"/>
        <v>45694</v>
      </c>
      <c r="Y307">
        <f t="shared" ca="1" si="30"/>
        <v>0</v>
      </c>
      <c r="AA307" s="63">
        <f t="shared" ca="1" si="32"/>
        <v>-46.857034632606776</v>
      </c>
      <c r="AB307" s="63">
        <f t="shared" ca="1" si="33"/>
        <v>-46.857034632606776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45695</v>
      </c>
      <c r="K308">
        <f ca="1"/>
        <v>-50.808161177235085</v>
      </c>
      <c r="L308">
        <f ca="1"/>
        <v>2.2170570526729421</v>
      </c>
      <c r="M308">
        <f ca="1"/>
        <v>0.11109840664375525</v>
      </c>
      <c r="N308">
        <f ca="1"/>
        <v>0.51016240271255608</v>
      </c>
      <c r="O308">
        <f ca="1"/>
        <v>0</v>
      </c>
      <c r="P308">
        <f ca="1"/>
        <v>132.65734038106737</v>
      </c>
      <c r="Q308">
        <f ca="1"/>
        <v>121.35690027453199</v>
      </c>
      <c r="R308">
        <f ca="1"/>
        <v>0</v>
      </c>
      <c r="S308">
        <f ca="1"/>
        <v>0.50628386199896602</v>
      </c>
      <c r="T308">
        <f ca="1"/>
        <v>0</v>
      </c>
      <c r="U308">
        <f ca="1"/>
        <v>0</v>
      </c>
      <c r="V308">
        <f ca="1"/>
        <v>0.99992322350067819</v>
      </c>
      <c r="X308" s="2">
        <f t="shared" ca="1" si="29"/>
        <v>45695</v>
      </c>
      <c r="Y308">
        <f t="shared" ca="1" si="30"/>
        <v>0</v>
      </c>
      <c r="AA308" s="63">
        <f t="shared" ca="1" si="32"/>
        <v>-48.591104124562143</v>
      </c>
      <c r="AB308" s="63">
        <f t="shared" ca="1" si="33"/>
        <v>-48.591104124562143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45696</v>
      </c>
      <c r="K309">
        <f ca="1"/>
        <v>-52.484273087117565</v>
      </c>
      <c r="L309">
        <f ca="1"/>
        <v>2.3426596189326574</v>
      </c>
      <c r="M309">
        <f ca="1"/>
        <v>0.11553207833308932</v>
      </c>
      <c r="N309">
        <f ca="1"/>
        <v>0.55101563071709003</v>
      </c>
      <c r="O309">
        <f ca="1"/>
        <v>0</v>
      </c>
      <c r="P309">
        <f ca="1"/>
        <v>135.00000000000003</v>
      </c>
      <c r="Q309">
        <f ca="1"/>
        <v>123.5</v>
      </c>
      <c r="R309">
        <f ca="1"/>
        <v>0</v>
      </c>
      <c r="S309">
        <f ca="1"/>
        <v>0.49509716241973983</v>
      </c>
      <c r="T309">
        <f ca="1"/>
        <v>0</v>
      </c>
      <c r="U309">
        <f ca="1"/>
        <v>0</v>
      </c>
      <c r="V309">
        <f ca="1"/>
        <v>0.99993345063478134</v>
      </c>
      <c r="X309" s="2">
        <f t="shared" ca="1" si="29"/>
        <v>45696</v>
      </c>
      <c r="Y309">
        <f t="shared" ca="1" si="30"/>
        <v>0</v>
      </c>
      <c r="AA309" s="63">
        <f t="shared" ca="1" si="32"/>
        <v>-50.141613468184907</v>
      </c>
      <c r="AB309" s="63">
        <f t="shared" ca="1" si="33"/>
        <v>-50.141613468184907</v>
      </c>
      <c r="AC309" s="3">
        <f t="shared" ca="1" si="34"/>
        <v>0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ref="I327:I390" ca="1" si="35">AND(IF(J327&gt;($J$3-1),TRUE,FALSE),IF(J327&lt;($J$4+1),TRUE,FALSE))</f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ref="X327:X390" ca="1" si="36">IFERROR(J327,$X$5)</f>
        <v>0</v>
      </c>
      <c r="Y327">
        <f t="shared" ref="Y327:Y390" ca="1" si="37">IFERROR(O327,0)</f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ref="H328:H391" ca="1" si="38">IF(J328&lt;$J$4,TRUE,FALSE)</f>
        <v>#N/A</v>
      </c>
      <c r="I328" t="e">
        <f t="shared" ca="1" si="35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36"/>
        <v>0</v>
      </c>
      <c r="Y328">
        <f t="shared" ca="1" si="37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8"/>
        <v>#N/A</v>
      </c>
      <c r="I329" t="e">
        <f t="shared" ca="1" si="35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36"/>
        <v>0</v>
      </c>
      <c r="Y329">
        <f t="shared" ca="1" si="37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8"/>
        <v>#N/A</v>
      </c>
      <c r="I330" t="e">
        <f t="shared" ca="1" si="35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36"/>
        <v>0</v>
      </c>
      <c r="Y330">
        <f t="shared" ca="1" si="37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8"/>
        <v>#N/A</v>
      </c>
      <c r="I331" t="e">
        <f t="shared" ca="1" si="35"/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ca="1" si="36"/>
        <v>0</v>
      </c>
      <c r="Y331">
        <f t="shared" ca="1" si="37"/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ca="1" si="38"/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ref="AA332:AA395" ca="1" si="39">K331+M332+N332+O332</f>
        <v>#N/A</v>
      </c>
      <c r="AB332" s="63" t="e">
        <f t="shared" ref="AB332:AB395" ca="1" si="40">K332+L332+R332</f>
        <v>#N/A</v>
      </c>
      <c r="AC332" s="3" t="e">
        <f t="shared" ref="AC332:AC395" ca="1" si="41">AB332-AA332</f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9"/>
        <v>#N/A</v>
      </c>
      <c r="AB333" s="63" t="e">
        <f t="shared" ca="1" si="40"/>
        <v>#N/A</v>
      </c>
      <c r="AC333" s="3" t="e">
        <f t="shared" ca="1" si="41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9"/>
        <v>#N/A</v>
      </c>
      <c r="AB334" s="63" t="e">
        <f t="shared" ca="1" si="40"/>
        <v>#N/A</v>
      </c>
      <c r="AC334" s="3" t="e">
        <f t="shared" ca="1" si="41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9"/>
        <v>#N/A</v>
      </c>
      <c r="AB335" s="63" t="e">
        <f t="shared" ca="1" si="40"/>
        <v>#N/A</v>
      </c>
      <c r="AC335" s="3" t="e">
        <f t="shared" ca="1" si="41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ca="1" si="39"/>
        <v>#N/A</v>
      </c>
      <c r="AB336" s="63" t="e">
        <f t="shared" ca="1" si="40"/>
        <v>#N/A</v>
      </c>
      <c r="AC336" s="3" t="e">
        <f t="shared" ca="1" si="41"/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Z1" workbookViewId="0">
      <selection activeCell="AR7" sqref="AR7:AR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17.44140625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255</v>
      </c>
      <c r="CT1" t="s">
        <v>256</v>
      </c>
      <c r="CU1" t="s">
        <v>257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262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261</v>
      </c>
      <c r="CS2" t="s">
        <v>254</v>
      </c>
      <c r="CT2" t="s">
        <v>254</v>
      </c>
      <c r="CU2" t="s">
        <v>254</v>
      </c>
    </row>
    <row r="3" spans="1:99">
      <c r="AS3" s="12"/>
      <c r="AW3" t="s">
        <v>78</v>
      </c>
      <c r="BA3" t="s">
        <v>258</v>
      </c>
      <c r="BO3" t="s">
        <v>89</v>
      </c>
      <c r="BU3" t="s">
        <v>68</v>
      </c>
      <c r="CQ3" s="13" t="s">
        <v>39</v>
      </c>
      <c r="CR3" t="s">
        <v>260</v>
      </c>
      <c r="CS3" t="s">
        <v>246</v>
      </c>
      <c r="CT3" t="s">
        <v>246</v>
      </c>
      <c r="CU3" t="s">
        <v>246</v>
      </c>
    </row>
    <row r="4" spans="1:99">
      <c r="AS4" s="12"/>
      <c r="BA4" t="s">
        <v>259</v>
      </c>
      <c r="BU4" t="s">
        <v>69</v>
      </c>
      <c r="CQ4" s="13"/>
      <c r="CR4" t="s">
        <v>29</v>
      </c>
      <c r="CS4" t="s">
        <v>247</v>
      </c>
      <c r="CT4" t="s">
        <v>247</v>
      </c>
      <c r="CU4" t="s">
        <v>247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248</v>
      </c>
      <c r="CT5" t="s">
        <v>248</v>
      </c>
      <c r="CU5" t="s">
        <v>248</v>
      </c>
    </row>
    <row r="6" spans="1:99" ht="15" thickBot="1">
      <c r="AI6" t="s">
        <v>217</v>
      </c>
      <c r="AJ6" t="s">
        <v>219</v>
      </c>
      <c r="AM6" s="116" t="s">
        <v>264</v>
      </c>
      <c r="AN6">
        <v>5</v>
      </c>
      <c r="CS6" t="s">
        <v>249</v>
      </c>
      <c r="CT6" t="s">
        <v>249</v>
      </c>
      <c r="CU6" t="s">
        <v>249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263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273</v>
      </c>
      <c r="AF7">
        <v>2</v>
      </c>
      <c r="AH7" t="s">
        <v>212</v>
      </c>
      <c r="AI7">
        <v>0.7</v>
      </c>
      <c r="AJ7">
        <v>0.76</v>
      </c>
      <c r="AM7" s="114" t="s">
        <v>265</v>
      </c>
      <c r="AN7">
        <v>15</v>
      </c>
      <c r="AP7" t="s">
        <v>244</v>
      </c>
      <c r="AR7" t="s">
        <v>275</v>
      </c>
      <c r="CS7" t="s">
        <v>250</v>
      </c>
      <c r="CT7" t="s">
        <v>250</v>
      </c>
      <c r="CU7" t="s">
        <v>250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33</v>
      </c>
      <c r="F8" s="49" t="s">
        <v>60</v>
      </c>
      <c r="G8" s="50" t="s">
        <v>52</v>
      </c>
      <c r="H8" t="s">
        <v>255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274</v>
      </c>
      <c r="AF8">
        <v>3</v>
      </c>
      <c r="AH8" t="s">
        <v>67</v>
      </c>
      <c r="AI8">
        <v>1.1499999999999999</v>
      </c>
      <c r="AJ8">
        <v>1.22</v>
      </c>
      <c r="AM8" s="114" t="s">
        <v>266</v>
      </c>
      <c r="AN8">
        <v>17</v>
      </c>
      <c r="AP8" t="s">
        <v>228</v>
      </c>
      <c r="AR8" t="s">
        <v>276</v>
      </c>
      <c r="CS8" t="s">
        <v>251</v>
      </c>
      <c r="CT8" t="s">
        <v>251</v>
      </c>
      <c r="CU8" t="s">
        <v>251</v>
      </c>
    </row>
    <row r="9" spans="1:99" ht="15" thickBot="1">
      <c r="A9" s="12"/>
      <c r="C9" s="49" t="s">
        <v>40</v>
      </c>
      <c r="D9" s="49" t="s">
        <v>52</v>
      </c>
      <c r="E9" s="49" t="s">
        <v>36</v>
      </c>
      <c r="F9" s="49" t="s">
        <v>59</v>
      </c>
      <c r="G9" s="50" t="s">
        <v>93</v>
      </c>
      <c r="H9" t="s">
        <v>256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267</v>
      </c>
      <c r="AN9">
        <v>20</v>
      </c>
      <c r="AR9" t="s">
        <v>277</v>
      </c>
      <c r="CS9" t="s">
        <v>252</v>
      </c>
      <c r="CT9" t="s">
        <v>252</v>
      </c>
      <c r="CU9" t="s">
        <v>252</v>
      </c>
    </row>
    <row r="10" spans="1:99" ht="15" thickBot="1">
      <c r="A10" s="12"/>
      <c r="C10" s="49" t="s">
        <v>34</v>
      </c>
      <c r="D10" s="49" t="s">
        <v>47</v>
      </c>
      <c r="E10" s="49" t="s">
        <v>38</v>
      </c>
      <c r="F10" s="49" t="s">
        <v>58</v>
      </c>
      <c r="G10" s="50" t="s">
        <v>76</v>
      </c>
      <c r="H10" t="s">
        <v>257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268</v>
      </c>
      <c r="AN10">
        <v>16</v>
      </c>
      <c r="AR10" t="s">
        <v>278</v>
      </c>
      <c r="CS10" t="s">
        <v>253</v>
      </c>
      <c r="CT10" t="s">
        <v>253</v>
      </c>
      <c r="CU10" t="s">
        <v>253</v>
      </c>
    </row>
    <row r="11" spans="1:99" ht="15" thickBot="1">
      <c r="A11" s="12"/>
      <c r="C11" s="49" t="s">
        <v>37</v>
      </c>
      <c r="D11" s="49" t="s">
        <v>48</v>
      </c>
      <c r="E11" s="49" t="s">
        <v>54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239</v>
      </c>
      <c r="AN11">
        <v>32</v>
      </c>
      <c r="AR11" t="s">
        <v>279</v>
      </c>
    </row>
    <row r="12" spans="1:99">
      <c r="A12" s="12"/>
      <c r="C12" s="49" t="s">
        <v>45</v>
      </c>
      <c r="D12" s="49" t="s">
        <v>31</v>
      </c>
      <c r="E12" s="49" t="s">
        <v>55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269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E13" t="s">
        <v>42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270</v>
      </c>
      <c r="AN13">
        <v>20</v>
      </c>
    </row>
    <row r="14" spans="1:99">
      <c r="A14" s="12"/>
      <c r="C14" s="49" t="s">
        <v>36</v>
      </c>
      <c r="D14" s="49" t="s">
        <v>51</v>
      </c>
      <c r="E14" t="s">
        <v>56</v>
      </c>
      <c r="F14" s="49" t="s">
        <v>61</v>
      </c>
      <c r="G14" s="50" t="s">
        <v>11</v>
      </c>
      <c r="AM14" s="114" t="s">
        <v>271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272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240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241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17" activePane="bottomRight" state="frozen"/>
      <selection pane="topRight" activeCell="G1" sqref="G1"/>
      <selection pane="bottomLeft" activeCell="A2" sqref="A2"/>
      <selection pane="bottomRight" activeCell="A31" sqref="A31:XFD31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2" workbookViewId="0">
      <selection activeCell="H2" sqref="H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2024-06-04T08:52:52Z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