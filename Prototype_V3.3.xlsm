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28A2E0B7-0476-42AB-BF51-63372D3ABB92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5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S34" i="3"/>
  <c r="AA34" i="3"/>
  <c r="V35" i="3"/>
  <c r="Q36" i="3"/>
  <c r="Y36" i="3"/>
  <c r="T37" i="3"/>
  <c r="AB37" i="3"/>
  <c r="W38" i="3"/>
  <c r="R39" i="3"/>
  <c r="Z39" i="3"/>
  <c r="U40" i="3"/>
  <c r="AE40" i="3" s="1"/>
  <c r="P41" i="3"/>
  <c r="X41" i="3"/>
  <c r="S42" i="3"/>
  <c r="AA42" i="3"/>
  <c r="V43" i="3"/>
  <c r="V5" i="3"/>
  <c r="Q6" i="3"/>
  <c r="Y6" i="3"/>
  <c r="T7" i="3"/>
  <c r="AB7" i="3"/>
  <c r="W8" i="3"/>
  <c r="R9" i="3"/>
  <c r="Z9" i="3"/>
  <c r="U10" i="3"/>
  <c r="AE10" i="3" s="1"/>
  <c r="P11" i="3"/>
  <c r="X11" i="3"/>
  <c r="AA5" i="3"/>
  <c r="T8" i="3"/>
  <c r="Z10" i="3"/>
  <c r="Z12" i="3"/>
  <c r="V14" i="3"/>
  <c r="AB15" i="3"/>
  <c r="Y17" i="3"/>
  <c r="U19" i="3"/>
  <c r="AE19" i="3" s="1"/>
  <c r="AA20" i="3"/>
  <c r="X22" i="3"/>
  <c r="T24" i="3"/>
  <c r="Z25" i="3"/>
  <c r="W27" i="3"/>
  <c r="S29" i="3"/>
  <c r="Y30" i="3"/>
  <c r="V32" i="3"/>
  <c r="R34" i="3"/>
  <c r="X35" i="3"/>
  <c r="U37" i="3"/>
  <c r="AE37" i="3" s="1"/>
  <c r="Q39" i="3"/>
  <c r="V40" i="3"/>
  <c r="Y41" i="3"/>
  <c r="AB42" i="3"/>
  <c r="P44" i="3"/>
  <c r="Z44" i="3"/>
  <c r="W45" i="3"/>
  <c r="V46" i="3"/>
  <c r="S47" i="3"/>
  <c r="P48" i="3"/>
  <c r="AB48" i="3"/>
  <c r="Y49" i="3"/>
  <c r="V50" i="3"/>
  <c r="U51" i="3"/>
  <c r="R52" i="3"/>
  <c r="AB52" i="3"/>
  <c r="X53" i="3"/>
  <c r="U54" i="3"/>
  <c r="Q55" i="3"/>
  <c r="Z55" i="3"/>
  <c r="V56" i="3"/>
  <c r="R57" i="3"/>
  <c r="Z57" i="3"/>
  <c r="U58" i="3"/>
  <c r="AE58" i="3" s="1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AE66" i="3" s="1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Z81" i="3"/>
  <c r="U82" i="3"/>
  <c r="AE82" i="3" s="1"/>
  <c r="P83" i="3"/>
  <c r="X83" i="3"/>
  <c r="S84" i="3"/>
  <c r="P6" i="3"/>
  <c r="V8" i="3"/>
  <c r="AB10" i="3"/>
  <c r="AA12" i="3"/>
  <c r="X14" i="3"/>
  <c r="T16" i="3"/>
  <c r="Z17" i="3"/>
  <c r="W19" i="3"/>
  <c r="S21" i="3"/>
  <c r="Y22" i="3"/>
  <c r="V24" i="3"/>
  <c r="R26" i="3"/>
  <c r="X27" i="3"/>
  <c r="U29" i="3"/>
  <c r="AE29" i="3" s="1"/>
  <c r="Q31" i="3"/>
  <c r="W32" i="3"/>
  <c r="T34" i="3"/>
  <c r="P36" i="3"/>
  <c r="V37" i="3"/>
  <c r="S39" i="3"/>
  <c r="W40" i="3"/>
  <c r="Z41" i="3"/>
  <c r="P43" i="3"/>
  <c r="Q44" i="3"/>
  <c r="AA44" i="3"/>
  <c r="Z45" i="3"/>
  <c r="W46" i="3"/>
  <c r="T47" i="3"/>
  <c r="S48" i="3"/>
  <c r="P49" i="3"/>
  <c r="Z49" i="3"/>
  <c r="Y50" i="3"/>
  <c r="V51" i="3"/>
  <c r="S52" i="3"/>
  <c r="P53" i="3"/>
  <c r="Z53" i="3"/>
  <c r="V54" i="3"/>
  <c r="R55" i="3"/>
  <c r="AA55" i="3"/>
  <c r="W56" i="3"/>
  <c r="S57" i="3"/>
  <c r="AA57" i="3"/>
  <c r="V58" i="3"/>
  <c r="Q59" i="3"/>
  <c r="Y59" i="3"/>
  <c r="T60" i="3"/>
  <c r="AB60" i="3"/>
  <c r="W61" i="3"/>
  <c r="R62" i="3"/>
  <c r="Z62" i="3"/>
  <c r="U63" i="3"/>
  <c r="AE63" i="3" s="1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V6" i="3"/>
  <c r="AB8" i="3"/>
  <c r="U11" i="3"/>
  <c r="AE11" i="3" s="1"/>
  <c r="S13" i="3"/>
  <c r="Y14" i="3"/>
  <c r="V16" i="3"/>
  <c r="R18" i="3"/>
  <c r="X19" i="3"/>
  <c r="U21" i="3"/>
  <c r="Q23" i="3"/>
  <c r="W24" i="3"/>
  <c r="T26" i="3"/>
  <c r="P28" i="3"/>
  <c r="V29" i="3"/>
  <c r="S31" i="3"/>
  <c r="AB32" i="3"/>
  <c r="U34" i="3"/>
  <c r="R36" i="3"/>
  <c r="AA37" i="3"/>
  <c r="T39" i="3"/>
  <c r="AA40" i="3"/>
  <c r="Q42" i="3"/>
  <c r="T43" i="3"/>
  <c r="R44" i="3"/>
  <c r="AB44" i="3"/>
  <c r="AA45" i="3"/>
  <c r="X46" i="3"/>
  <c r="U47" i="3"/>
  <c r="T48" i="3"/>
  <c r="Q49" i="3"/>
  <c r="AA49" i="3"/>
  <c r="Z50" i="3"/>
  <c r="W51" i="3"/>
  <c r="T52" i="3"/>
  <c r="R53" i="3"/>
  <c r="AA53" i="3"/>
  <c r="W54" i="3"/>
  <c r="S55" i="3"/>
  <c r="AB55" i="3"/>
  <c r="X56" i="3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X6" i="3"/>
  <c r="Q9" i="3"/>
  <c r="W11" i="3"/>
  <c r="U13" i="3"/>
  <c r="Q15" i="3"/>
  <c r="W16" i="3"/>
  <c r="T18" i="3"/>
  <c r="P20" i="3"/>
  <c r="V21" i="3"/>
  <c r="S23" i="3"/>
  <c r="AB24" i="3"/>
  <c r="U26" i="3"/>
  <c r="R28" i="3"/>
  <c r="AA29" i="3"/>
  <c r="T31" i="3"/>
  <c r="Q33" i="3"/>
  <c r="Z34" i="3"/>
  <c r="S36" i="3"/>
  <c r="P38" i="3"/>
  <c r="Y39" i="3"/>
  <c r="AB40" i="3"/>
  <c r="R42" i="3"/>
  <c r="U43" i="3"/>
  <c r="S44" i="3"/>
  <c r="R45" i="3"/>
  <c r="AB45" i="3"/>
  <c r="Y46" i="3"/>
  <c r="X47" i="3"/>
  <c r="U48" i="3"/>
  <c r="R49" i="3"/>
  <c r="Q50" i="3"/>
  <c r="AA50" i="3"/>
  <c r="X51" i="3"/>
  <c r="W52" i="3"/>
  <c r="S53" i="3"/>
  <c r="AB53" i="3"/>
  <c r="X54" i="3"/>
  <c r="T55" i="3"/>
  <c r="P56" i="3"/>
  <c r="Y56" i="3"/>
  <c r="U57" i="3"/>
  <c r="AE57" i="3" s="1"/>
  <c r="P58" i="3"/>
  <c r="X58" i="3"/>
  <c r="S59" i="3"/>
  <c r="AA59" i="3"/>
  <c r="V60" i="3"/>
  <c r="Q61" i="3"/>
  <c r="S7" i="3"/>
  <c r="Y9" i="3"/>
  <c r="R12" i="3"/>
  <c r="AA13" i="3"/>
  <c r="T15" i="3"/>
  <c r="Q17" i="3"/>
  <c r="Z18" i="3"/>
  <c r="S20" i="3"/>
  <c r="P22" i="3"/>
  <c r="Y23" i="3"/>
  <c r="R25" i="3"/>
  <c r="AB26" i="3"/>
  <c r="X28" i="3"/>
  <c r="Q30" i="3"/>
  <c r="AA31" i="3"/>
  <c r="W33" i="3"/>
  <c r="P35" i="3"/>
  <c r="Z36" i="3"/>
  <c r="V38" i="3"/>
  <c r="AB39" i="3"/>
  <c r="R41" i="3"/>
  <c r="Y7" i="3"/>
  <c r="R10" i="3"/>
  <c r="S12" i="3"/>
  <c r="P14" i="3"/>
  <c r="Y15" i="3"/>
  <c r="R17" i="3"/>
  <c r="AB18" i="3"/>
  <c r="X20" i="3"/>
  <c r="Q22" i="3"/>
  <c r="AA23" i="3"/>
  <c r="W25" i="3"/>
  <c r="P27" i="3"/>
  <c r="Z28" i="3"/>
  <c r="V30" i="3"/>
  <c r="AA7" i="3"/>
  <c r="AA15" i="3"/>
  <c r="V22" i="3"/>
  <c r="AA28" i="3"/>
  <c r="Z33" i="3"/>
  <c r="X38" i="3"/>
  <c r="T42" i="3"/>
  <c r="T44" i="3"/>
  <c r="P46" i="3"/>
  <c r="Y47" i="3"/>
  <c r="S49" i="3"/>
  <c r="AB50" i="3"/>
  <c r="X52" i="3"/>
  <c r="P54" i="3"/>
  <c r="U55" i="3"/>
  <c r="AE55" i="3" s="1"/>
  <c r="AA56" i="3"/>
  <c r="Q58" i="3"/>
  <c r="T59" i="3"/>
  <c r="W60" i="3"/>
  <c r="Y61" i="3"/>
  <c r="W62" i="3"/>
  <c r="X63" i="3"/>
  <c r="V64" i="3"/>
  <c r="W65" i="3"/>
  <c r="X66" i="3"/>
  <c r="V67" i="3"/>
  <c r="W68" i="3"/>
  <c r="U69" i="3"/>
  <c r="AE69" i="3" s="1"/>
  <c r="V70" i="3"/>
  <c r="W71" i="3"/>
  <c r="U72" i="3"/>
  <c r="AE72" i="3" s="1"/>
  <c r="V73" i="3"/>
  <c r="T74" i="3"/>
  <c r="T75" i="3"/>
  <c r="Q76" i="3"/>
  <c r="P77" i="3"/>
  <c r="Z77" i="3"/>
  <c r="W78" i="3"/>
  <c r="V79" i="3"/>
  <c r="S80" i="3"/>
  <c r="P81" i="3"/>
  <c r="AB81" i="3"/>
  <c r="Y82" i="3"/>
  <c r="V83" i="3"/>
  <c r="U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W9" i="3"/>
  <c r="AB16" i="3"/>
  <c r="T23" i="3"/>
  <c r="P30" i="3"/>
  <c r="AB34" i="3"/>
  <c r="Y38" i="3"/>
  <c r="U42" i="3"/>
  <c r="W44" i="3"/>
  <c r="Q46" i="3"/>
  <c r="Z47" i="3"/>
  <c r="V49" i="3"/>
  <c r="P51" i="3"/>
  <c r="Y52" i="3"/>
  <c r="Q54" i="3"/>
  <c r="V55" i="3"/>
  <c r="AB56" i="3"/>
  <c r="R58" i="3"/>
  <c r="U59" i="3"/>
  <c r="AE59" i="3" s="1"/>
  <c r="X60" i="3"/>
  <c r="Z61" i="3"/>
  <c r="X62" i="3"/>
  <c r="Y63" i="3"/>
  <c r="Z64" i="3"/>
  <c r="X65" i="3"/>
  <c r="Y66" i="3"/>
  <c r="W67" i="3"/>
  <c r="X68" i="3"/>
  <c r="Y69" i="3"/>
  <c r="W70" i="3"/>
  <c r="X71" i="3"/>
  <c r="V72" i="3"/>
  <c r="W73" i="3"/>
  <c r="X74" i="3"/>
  <c r="U75" i="3"/>
  <c r="AE75" i="3" s="1"/>
  <c r="R76" i="3"/>
  <c r="Q77" i="3"/>
  <c r="AA77" i="3"/>
  <c r="X78" i="3"/>
  <c r="W79" i="3"/>
  <c r="T80" i="3"/>
  <c r="Q81" i="3"/>
  <c r="P82" i="3"/>
  <c r="Z82" i="3"/>
  <c r="W83" i="3"/>
  <c r="V84" i="3"/>
  <c r="R85" i="3"/>
  <c r="Z85" i="3"/>
  <c r="U86" i="3"/>
  <c r="AE86" i="3" s="1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T10" i="3"/>
  <c r="W17" i="3"/>
  <c r="AB23" i="3"/>
  <c r="X30" i="3"/>
  <c r="U35" i="3"/>
  <c r="AE35" i="3" s="1"/>
  <c r="AA39" i="3"/>
  <c r="Y42" i="3"/>
  <c r="X44" i="3"/>
  <c r="R46" i="3"/>
  <c r="AA47" i="3"/>
  <c r="W49" i="3"/>
  <c r="Q51" i="3"/>
  <c r="Z52" i="3"/>
  <c r="R54" i="3"/>
  <c r="X55" i="3"/>
  <c r="P57" i="3"/>
  <c r="S58" i="3"/>
  <c r="V59" i="3"/>
  <c r="Y60" i="3"/>
  <c r="AA61" i="3"/>
  <c r="AB62" i="3"/>
  <c r="Z63" i="3"/>
  <c r="AA64" i="3"/>
  <c r="Y65" i="3"/>
  <c r="Z66" i="3"/>
  <c r="AA67" i="3"/>
  <c r="Y68" i="3"/>
  <c r="Z69" i="3"/>
  <c r="X70" i="3"/>
  <c r="Y71" i="3"/>
  <c r="Z72" i="3"/>
  <c r="X73" i="3"/>
  <c r="Y74" i="3"/>
  <c r="V75" i="3"/>
  <c r="U76" i="3"/>
  <c r="AE76" i="3" s="1"/>
  <c r="R77" i="3"/>
  <c r="AB77" i="3"/>
  <c r="AA78" i="3"/>
  <c r="X79" i="3"/>
  <c r="U80" i="3"/>
  <c r="T81" i="3"/>
  <c r="Q82" i="3"/>
  <c r="AA82" i="3"/>
  <c r="Z83" i="3"/>
  <c r="W84" i="3"/>
  <c r="S85" i="3"/>
  <c r="AA85" i="3"/>
  <c r="V86" i="3"/>
  <c r="Q87" i="3"/>
  <c r="Y87" i="3"/>
  <c r="T88" i="3"/>
  <c r="AB88" i="3"/>
  <c r="W89" i="3"/>
  <c r="R90" i="3"/>
  <c r="Z90" i="3"/>
  <c r="X12" i="3"/>
  <c r="P19" i="3"/>
  <c r="Y25" i="3"/>
  <c r="AB31" i="3"/>
  <c r="X36" i="3"/>
  <c r="T40" i="3"/>
  <c r="W43" i="3"/>
  <c r="S45" i="3"/>
  <c r="Z46" i="3"/>
  <c r="V48" i="3"/>
  <c r="R50" i="3"/>
  <c r="Y51" i="3"/>
  <c r="T53" i="3"/>
  <c r="Y54" i="3"/>
  <c r="Q56" i="3"/>
  <c r="V57" i="3"/>
  <c r="Y58" i="3"/>
  <c r="AB59" i="3"/>
  <c r="R61" i="3"/>
  <c r="P62" i="3"/>
  <c r="Q63" i="3"/>
  <c r="R64" i="3"/>
  <c r="P65" i="3"/>
  <c r="Q66" i="3"/>
  <c r="AB66" i="3"/>
  <c r="P68" i="3"/>
  <c r="Q69" i="3"/>
  <c r="AB69" i="3"/>
  <c r="P71" i="3"/>
  <c r="AA71" i="3"/>
  <c r="AB72" i="3"/>
  <c r="P74" i="3"/>
  <c r="AA74" i="3"/>
  <c r="Z75" i="3"/>
  <c r="W76" i="3"/>
  <c r="T77" i="3"/>
  <c r="S78" i="3"/>
  <c r="P12" i="3"/>
  <c r="Q25" i="3"/>
  <c r="W35" i="3"/>
  <c r="Z42" i="3"/>
  <c r="U46" i="3"/>
  <c r="AE46" i="3" s="1"/>
  <c r="X49" i="3"/>
  <c r="AA52" i="3"/>
  <c r="Y55" i="3"/>
  <c r="T58" i="3"/>
  <c r="Z60" i="3"/>
  <c r="P63" i="3"/>
  <c r="AB64" i="3"/>
  <c r="AA66" i="3"/>
  <c r="Z68" i="3"/>
  <c r="AB70" i="3"/>
  <c r="AA72" i="3"/>
  <c r="Z74" i="3"/>
  <c r="V76" i="3"/>
  <c r="P78" i="3"/>
  <c r="S79" i="3"/>
  <c r="Z80" i="3"/>
  <c r="R82" i="3"/>
  <c r="T83" i="3"/>
  <c r="Y84" i="3"/>
  <c r="X85" i="3"/>
  <c r="Y86" i="3"/>
  <c r="Z87" i="3"/>
  <c r="X88" i="3"/>
  <c r="Y89" i="3"/>
  <c r="W90" i="3"/>
  <c r="W91" i="3"/>
  <c r="T92" i="3"/>
  <c r="S93" i="3"/>
  <c r="P94" i="3"/>
  <c r="Z94" i="3"/>
  <c r="Y95" i="3"/>
  <c r="V96" i="3"/>
  <c r="S97" i="3"/>
  <c r="R98" i="3"/>
  <c r="AB98" i="3"/>
  <c r="Y99" i="3"/>
  <c r="X100" i="3"/>
  <c r="U101" i="3"/>
  <c r="R102" i="3"/>
  <c r="Q103" i="3"/>
  <c r="AA103" i="3"/>
  <c r="X104" i="3"/>
  <c r="W105" i="3"/>
  <c r="T106" i="3"/>
  <c r="Q107" i="3"/>
  <c r="P108" i="3"/>
  <c r="Z108" i="3"/>
  <c r="W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P149" i="3"/>
  <c r="X149" i="3"/>
  <c r="S150" i="3"/>
  <c r="V13" i="3"/>
  <c r="Z26" i="3"/>
  <c r="AA36" i="3"/>
  <c r="X43" i="3"/>
  <c r="P47" i="3"/>
  <c r="S50" i="3"/>
  <c r="U53" i="3"/>
  <c r="S56" i="3"/>
  <c r="Z58" i="3"/>
  <c r="S61" i="3"/>
  <c r="R63" i="3"/>
  <c r="Q65" i="3"/>
  <c r="S67" i="3"/>
  <c r="R69" i="3"/>
  <c r="Q71" i="3"/>
  <c r="P73" i="3"/>
  <c r="AB74" i="3"/>
  <c r="X76" i="3"/>
  <c r="T78" i="3"/>
  <c r="Y79" i="3"/>
  <c r="AA80" i="3"/>
  <c r="S82" i="3"/>
  <c r="U83" i="3"/>
  <c r="Z84" i="3"/>
  <c r="AB85" i="3"/>
  <c r="Z86" i="3"/>
  <c r="AA87" i="3"/>
  <c r="Y88" i="3"/>
  <c r="Z89" i="3"/>
  <c r="AA90" i="3"/>
  <c r="X91" i="3"/>
  <c r="U92" i="3"/>
  <c r="AE92" i="3" s="1"/>
  <c r="T93" i="3"/>
  <c r="Q94" i="3"/>
  <c r="AA94" i="3"/>
  <c r="Z95" i="3"/>
  <c r="W96" i="3"/>
  <c r="T97" i="3"/>
  <c r="S98" i="3"/>
  <c r="P99" i="3"/>
  <c r="Z99" i="3"/>
  <c r="Y100" i="3"/>
  <c r="V101" i="3"/>
  <c r="S102" i="3"/>
  <c r="R103" i="3"/>
  <c r="AB103" i="3"/>
  <c r="Y104" i="3"/>
  <c r="X105" i="3"/>
  <c r="U106" i="3"/>
  <c r="AE106" i="3" s="1"/>
  <c r="R107" i="3"/>
  <c r="Q108" i="3"/>
  <c r="AA108" i="3"/>
  <c r="X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U18" i="3"/>
  <c r="Y31" i="3"/>
  <c r="S40" i="3"/>
  <c r="Y44" i="3"/>
  <c r="AB47" i="3"/>
  <c r="T51" i="3"/>
  <c r="S54" i="3"/>
  <c r="Q57" i="3"/>
  <c r="W59" i="3"/>
  <c r="AB61" i="3"/>
  <c r="AA63" i="3"/>
  <c r="P66" i="3"/>
  <c r="AB67" i="3"/>
  <c r="AA69" i="3"/>
  <c r="Z71" i="3"/>
  <c r="Y73" i="3"/>
  <c r="W75" i="3"/>
  <c r="S77" i="3"/>
  <c r="AB78" i="3"/>
  <c r="Q80" i="3"/>
  <c r="V81" i="3"/>
  <c r="X82" i="3"/>
  <c r="P84" i="3"/>
  <c r="T85" i="3"/>
  <c r="R86" i="3"/>
  <c r="S87" i="3"/>
  <c r="Q88" i="3"/>
  <c r="R89" i="3"/>
  <c r="S90" i="3"/>
  <c r="Q91" i="3"/>
  <c r="P92" i="3"/>
  <c r="Z92" i="3"/>
  <c r="W93" i="3"/>
  <c r="V94" i="3"/>
  <c r="S95" i="3"/>
  <c r="P96" i="3"/>
  <c r="AB96" i="3"/>
  <c r="Y97" i="3"/>
  <c r="V98" i="3"/>
  <c r="U99" i="3"/>
  <c r="AE99" i="3" s="1"/>
  <c r="R100" i="3"/>
  <c r="AB100" i="3"/>
  <c r="AA101" i="3"/>
  <c r="X102" i="3"/>
  <c r="U103" i="3"/>
  <c r="AE103" i="3" s="1"/>
  <c r="T104" i="3"/>
  <c r="Q105" i="3"/>
  <c r="AA105" i="3"/>
  <c r="Z106" i="3"/>
  <c r="W107" i="3"/>
  <c r="T108" i="3"/>
  <c r="S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X129" i="3"/>
  <c r="R20" i="3"/>
  <c r="T32" i="3"/>
  <c r="Q41" i="3"/>
  <c r="T45" i="3"/>
  <c r="W48" i="3"/>
  <c r="AB51" i="3"/>
  <c r="Z54" i="3"/>
  <c r="W57" i="3"/>
  <c r="P60" i="3"/>
  <c r="T62" i="3"/>
  <c r="S64" i="3"/>
  <c r="R66" i="3"/>
  <c r="Q68" i="3"/>
  <c r="P70" i="3"/>
  <c r="R72" i="3"/>
  <c r="Q74" i="3"/>
  <c r="AA75" i="3"/>
  <c r="U77" i="3"/>
  <c r="AE77" i="3" s="1"/>
  <c r="P79" i="3"/>
  <c r="R80" i="3"/>
  <c r="W81" i="3"/>
  <c r="AB82" i="3"/>
  <c r="Q84" i="3"/>
  <c r="U85" i="3"/>
  <c r="AE85" i="3" s="1"/>
  <c r="S86" i="3"/>
  <c r="T87" i="3"/>
  <c r="U88" i="3"/>
  <c r="AE88" i="3" s="1"/>
  <c r="S89" i="3"/>
  <c r="T90" i="3"/>
  <c r="R91" i="3"/>
  <c r="Q92" i="3"/>
  <c r="AA92" i="3"/>
  <c r="X93" i="3"/>
  <c r="W94" i="3"/>
  <c r="T95" i="3"/>
  <c r="Q96" i="3"/>
  <c r="P97" i="3"/>
  <c r="Z97" i="3"/>
  <c r="W98" i="3"/>
  <c r="V99" i="3"/>
  <c r="S100" i="3"/>
  <c r="P101" i="3"/>
  <c r="AB101" i="3"/>
  <c r="Y102" i="3"/>
  <c r="V103" i="3"/>
  <c r="U104" i="3"/>
  <c r="AE104" i="3" s="1"/>
  <c r="R105" i="3"/>
  <c r="AB105" i="3"/>
  <c r="AA106" i="3"/>
  <c r="X107" i="3"/>
  <c r="U108" i="3"/>
  <c r="AE108" i="3" s="1"/>
  <c r="T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Q14" i="3"/>
  <c r="S37" i="3"/>
  <c r="Q47" i="3"/>
  <c r="V53" i="3"/>
  <c r="AA58" i="3"/>
  <c r="S63" i="3"/>
  <c r="T67" i="3"/>
  <c r="R71" i="3"/>
  <c r="R75" i="3"/>
  <c r="U78" i="3"/>
  <c r="AE78" i="3" s="1"/>
  <c r="AB80" i="3"/>
  <c r="AA83" i="3"/>
  <c r="P86" i="3"/>
  <c r="AB87" i="3"/>
  <c r="AA89" i="3"/>
  <c r="Y91" i="3"/>
  <c r="U93" i="3"/>
  <c r="AE93" i="3" s="1"/>
  <c r="Q95" i="3"/>
  <c r="X96" i="3"/>
  <c r="T98" i="3"/>
  <c r="P100" i="3"/>
  <c r="W101" i="3"/>
  <c r="S103" i="3"/>
  <c r="AB104" i="3"/>
  <c r="V106" i="3"/>
  <c r="R108" i="3"/>
  <c r="Z109" i="3"/>
  <c r="P111" i="3"/>
  <c r="S112" i="3"/>
  <c r="V113" i="3"/>
  <c r="Y114" i="3"/>
  <c r="AB115" i="3"/>
  <c r="R117" i="3"/>
  <c r="U118" i="3"/>
  <c r="AE118" i="3" s="1"/>
  <c r="X119" i="3"/>
  <c r="AA120" i="3"/>
  <c r="Q122" i="3"/>
  <c r="P123" i="3"/>
  <c r="P124" i="3"/>
  <c r="AB124" i="3"/>
  <c r="P126" i="3"/>
  <c r="P127" i="3"/>
  <c r="AB127" i="3"/>
  <c r="AB128" i="3"/>
  <c r="AA129" i="3"/>
  <c r="Z130" i="3"/>
  <c r="W131" i="3"/>
  <c r="T132" i="3"/>
  <c r="S133" i="3"/>
  <c r="P134" i="3"/>
  <c r="Z134" i="3"/>
  <c r="Y135" i="3"/>
  <c r="V136" i="3"/>
  <c r="S137" i="3"/>
  <c r="R138" i="3"/>
  <c r="AB138" i="3"/>
  <c r="Y139" i="3"/>
  <c r="X140" i="3"/>
  <c r="U141" i="3"/>
  <c r="AE141" i="3" s="1"/>
  <c r="R142" i="3"/>
  <c r="Q143" i="3"/>
  <c r="Z143" i="3"/>
  <c r="V144" i="3"/>
  <c r="R145" i="3"/>
  <c r="AA145" i="3"/>
  <c r="X146" i="3"/>
  <c r="T147" i="3"/>
  <c r="P148" i="3"/>
  <c r="Y148" i="3"/>
  <c r="U149" i="3"/>
  <c r="AE149" i="3" s="1"/>
  <c r="Q150" i="3"/>
  <c r="Z150" i="3"/>
  <c r="U151" i="3"/>
  <c r="AE151" i="3" s="1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AE167" i="3" s="1"/>
  <c r="P168" i="3"/>
  <c r="X168" i="3"/>
  <c r="S169" i="3"/>
  <c r="AA169" i="3"/>
  <c r="V170" i="3"/>
  <c r="Q171" i="3"/>
  <c r="S15" i="3"/>
  <c r="Q38" i="3"/>
  <c r="R47" i="3"/>
  <c r="W53" i="3"/>
  <c r="AB58" i="3"/>
  <c r="W63" i="3"/>
  <c r="U67" i="3"/>
  <c r="AE67" i="3" s="1"/>
  <c r="S71" i="3"/>
  <c r="S75" i="3"/>
  <c r="V78" i="3"/>
  <c r="U81" i="3"/>
  <c r="AB83" i="3"/>
  <c r="Q86" i="3"/>
  <c r="P88" i="3"/>
  <c r="AB89" i="3"/>
  <c r="Z91" i="3"/>
  <c r="V93" i="3"/>
  <c r="R95" i="3"/>
  <c r="Y96" i="3"/>
  <c r="U98" i="3"/>
  <c r="Q100" i="3"/>
  <c r="X101" i="3"/>
  <c r="T103" i="3"/>
  <c r="P105" i="3"/>
  <c r="W106" i="3"/>
  <c r="S108" i="3"/>
  <c r="AA109" i="3"/>
  <c r="Q111" i="3"/>
  <c r="T112" i="3"/>
  <c r="W113" i="3"/>
  <c r="Z114" i="3"/>
  <c r="P116" i="3"/>
  <c r="S117" i="3"/>
  <c r="V118" i="3"/>
  <c r="Y119" i="3"/>
  <c r="AB120" i="3"/>
  <c r="R122" i="3"/>
  <c r="Q123" i="3"/>
  <c r="R124" i="3"/>
  <c r="R125" i="3"/>
  <c r="Q126" i="3"/>
  <c r="Q127" i="3"/>
  <c r="P128" i="3"/>
  <c r="Q129" i="3"/>
  <c r="Q130" i="3"/>
  <c r="AA130" i="3"/>
  <c r="X131" i="3"/>
  <c r="W132" i="3"/>
  <c r="T133" i="3"/>
  <c r="Q134" i="3"/>
  <c r="P135" i="3"/>
  <c r="Z135" i="3"/>
  <c r="W136" i="3"/>
  <c r="V137" i="3"/>
  <c r="S138" i="3"/>
  <c r="P139" i="3"/>
  <c r="AB139" i="3"/>
  <c r="Y140" i="3"/>
  <c r="V141" i="3"/>
  <c r="U142" i="3"/>
  <c r="R143" i="3"/>
  <c r="AA143" i="3"/>
  <c r="W144" i="3"/>
  <c r="S145" i="3"/>
  <c r="P146" i="3"/>
  <c r="Y146" i="3"/>
  <c r="U147" i="3"/>
  <c r="Q148" i="3"/>
  <c r="Z148" i="3"/>
  <c r="V149" i="3"/>
  <c r="R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Z20" i="3"/>
  <c r="V41" i="3"/>
  <c r="X48" i="3"/>
  <c r="AA54" i="3"/>
  <c r="Q60" i="3"/>
  <c r="T64" i="3"/>
  <c r="R68" i="3"/>
  <c r="S72" i="3"/>
  <c r="AB75" i="3"/>
  <c r="Q79" i="3"/>
  <c r="X81" i="3"/>
  <c r="R84" i="3"/>
  <c r="W86" i="3"/>
  <c r="V88" i="3"/>
  <c r="U90" i="3"/>
  <c r="AE90" i="3" s="1"/>
  <c r="R92" i="3"/>
  <c r="AA93" i="3"/>
  <c r="U95" i="3"/>
  <c r="AE95" i="3" s="1"/>
  <c r="Q97" i="3"/>
  <c r="Z98" i="3"/>
  <c r="T100" i="3"/>
  <c r="P102" i="3"/>
  <c r="Y103" i="3"/>
  <c r="S105" i="3"/>
  <c r="AB106" i="3"/>
  <c r="X108" i="3"/>
  <c r="Q110" i="3"/>
  <c r="T111" i="3"/>
  <c r="W112" i="3"/>
  <c r="Z113" i="3"/>
  <c r="P115" i="3"/>
  <c r="S116" i="3"/>
  <c r="V117" i="3"/>
  <c r="Y118" i="3"/>
  <c r="AB119" i="3"/>
  <c r="R121" i="3"/>
  <c r="T122" i="3"/>
  <c r="T123" i="3"/>
  <c r="S124" i="3"/>
  <c r="S125" i="3"/>
  <c r="R126" i="3"/>
  <c r="S127" i="3"/>
  <c r="S128" i="3"/>
  <c r="R129" i="3"/>
  <c r="R130" i="3"/>
  <c r="AB130" i="3"/>
  <c r="Y131" i="3"/>
  <c r="X132" i="3"/>
  <c r="U133" i="3"/>
  <c r="AE133" i="3" s="1"/>
  <c r="R134" i="3"/>
  <c r="Q135" i="3"/>
  <c r="AA135" i="3"/>
  <c r="X136" i="3"/>
  <c r="W137" i="3"/>
  <c r="T138" i="3"/>
  <c r="Q139" i="3"/>
  <c r="P140" i="3"/>
  <c r="Z140" i="3"/>
  <c r="W141" i="3"/>
  <c r="V142" i="3"/>
  <c r="S143" i="3"/>
  <c r="AB143" i="3"/>
  <c r="X144" i="3"/>
  <c r="U145" i="3"/>
  <c r="AE145" i="3" s="1"/>
  <c r="Q146" i="3"/>
  <c r="Z146" i="3"/>
  <c r="V147" i="3"/>
  <c r="R148" i="3"/>
  <c r="AA148" i="3"/>
  <c r="W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U27" i="3"/>
  <c r="Y43" i="3"/>
  <c r="T50" i="3"/>
  <c r="T56" i="3"/>
  <c r="T61" i="3"/>
  <c r="U65" i="3"/>
  <c r="S69" i="3"/>
  <c r="Q73" i="3"/>
  <c r="Y76" i="3"/>
  <c r="Z79" i="3"/>
  <c r="T82" i="3"/>
  <c r="AA84" i="3"/>
  <c r="AA86" i="3"/>
  <c r="P89" i="3"/>
  <c r="AB90" i="3"/>
  <c r="X92" i="3"/>
  <c r="R94" i="3"/>
  <c r="AA95" i="3"/>
  <c r="W97" i="3"/>
  <c r="Q99" i="3"/>
  <c r="Z100" i="3"/>
  <c r="V102" i="3"/>
  <c r="P104" i="3"/>
  <c r="Y105" i="3"/>
  <c r="U107" i="3"/>
  <c r="AB108" i="3"/>
  <c r="U110" i="3"/>
  <c r="AE110" i="3" s="1"/>
  <c r="X111" i="3"/>
  <c r="AA112" i="3"/>
  <c r="Q114" i="3"/>
  <c r="T115" i="3"/>
  <c r="W116" i="3"/>
  <c r="Z117" i="3"/>
  <c r="P119" i="3"/>
  <c r="S120" i="3"/>
  <c r="V121" i="3"/>
  <c r="V122" i="3"/>
  <c r="W123" i="3"/>
  <c r="W124" i="3"/>
  <c r="V125" i="3"/>
  <c r="V126" i="3"/>
  <c r="U127" i="3"/>
  <c r="AE127" i="3" s="1"/>
  <c r="V128" i="3"/>
  <c r="V129" i="3"/>
  <c r="T130" i="3"/>
  <c r="Q131" i="3"/>
  <c r="P132" i="3"/>
  <c r="Z132" i="3"/>
  <c r="W133" i="3"/>
  <c r="V134" i="3"/>
  <c r="S135" i="3"/>
  <c r="P136" i="3"/>
  <c r="AB136" i="3"/>
  <c r="Y137" i="3"/>
  <c r="V138" i="3"/>
  <c r="U139" i="3"/>
  <c r="AE139" i="3" s="1"/>
  <c r="R140" i="3"/>
  <c r="AB140" i="3"/>
  <c r="AA141" i="3"/>
  <c r="X142" i="3"/>
  <c r="U143" i="3"/>
  <c r="AE143" i="3" s="1"/>
  <c r="R144" i="3"/>
  <c r="AA144" i="3"/>
  <c r="W145" i="3"/>
  <c r="S146" i="3"/>
  <c r="AB146" i="3"/>
  <c r="X147" i="3"/>
  <c r="T148" i="3"/>
  <c r="Q149" i="3"/>
  <c r="AA21" i="3"/>
  <c r="AA48" i="3"/>
  <c r="R60" i="3"/>
  <c r="V68" i="3"/>
  <c r="P76" i="3"/>
  <c r="Y81" i="3"/>
  <c r="X86" i="3"/>
  <c r="V90" i="3"/>
  <c r="AB93" i="3"/>
  <c r="R97" i="3"/>
  <c r="U100" i="3"/>
  <c r="AE100" i="3" s="1"/>
  <c r="Z103" i="3"/>
  <c r="P107" i="3"/>
  <c r="R110" i="3"/>
  <c r="X112" i="3"/>
  <c r="Q115" i="3"/>
  <c r="W117" i="3"/>
  <c r="P120" i="3"/>
  <c r="U122" i="3"/>
  <c r="AE122" i="3" s="1"/>
  <c r="T124" i="3"/>
  <c r="U126" i="3"/>
  <c r="AE126" i="3" s="1"/>
  <c r="T128" i="3"/>
  <c r="S130" i="3"/>
  <c r="AB131" i="3"/>
  <c r="V133" i="3"/>
  <c r="R135" i="3"/>
  <c r="AA136" i="3"/>
  <c r="U138" i="3"/>
  <c r="Q140" i="3"/>
  <c r="Z141" i="3"/>
  <c r="T143" i="3"/>
  <c r="Z144" i="3"/>
  <c r="R146" i="3"/>
  <c r="W147" i="3"/>
  <c r="AB148" i="3"/>
  <c r="P150" i="3"/>
  <c r="R151" i="3"/>
  <c r="S152" i="3"/>
  <c r="Q153" i="3"/>
  <c r="R154" i="3"/>
  <c r="P155" i="3"/>
  <c r="Q156" i="3"/>
  <c r="R157" i="3"/>
  <c r="P158" i="3"/>
  <c r="Q159" i="3"/>
  <c r="AA159" i="3"/>
  <c r="Z160" i="3"/>
  <c r="W161" i="3"/>
  <c r="T162" i="3"/>
  <c r="S163" i="3"/>
  <c r="P164" i="3"/>
  <c r="Z164" i="3"/>
  <c r="Y165" i="3"/>
  <c r="V166" i="3"/>
  <c r="S167" i="3"/>
  <c r="R168" i="3"/>
  <c r="AB168" i="3"/>
  <c r="Y169" i="3"/>
  <c r="X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AE206" i="3" s="1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S28" i="3"/>
  <c r="U50" i="3"/>
  <c r="AE50" i="3" s="1"/>
  <c r="U61" i="3"/>
  <c r="AE61" i="3" s="1"/>
  <c r="T69" i="3"/>
  <c r="Z76" i="3"/>
  <c r="W82" i="3"/>
  <c r="R87" i="3"/>
  <c r="P91" i="3"/>
  <c r="S94" i="3"/>
  <c r="X97" i="3"/>
  <c r="AA100" i="3"/>
  <c r="Q104" i="3"/>
  <c r="V107" i="3"/>
  <c r="V110" i="3"/>
  <c r="AB112" i="3"/>
  <c r="U115" i="3"/>
  <c r="AE115" i="3" s="1"/>
  <c r="AA117" i="3"/>
  <c r="T120" i="3"/>
  <c r="Y122" i="3"/>
  <c r="X124" i="3"/>
  <c r="X126" i="3"/>
  <c r="W128" i="3"/>
  <c r="U130" i="3"/>
  <c r="Q132" i="3"/>
  <c r="Z133" i="3"/>
  <c r="T135" i="3"/>
  <c r="P137" i="3"/>
  <c r="Y138" i="3"/>
  <c r="S140" i="3"/>
  <c r="AB141" i="3"/>
  <c r="W143" i="3"/>
  <c r="AB144" i="3"/>
  <c r="T146" i="3"/>
  <c r="Y147" i="3"/>
  <c r="R149" i="3"/>
  <c r="U150" i="3"/>
  <c r="AE150" i="3" s="1"/>
  <c r="S151" i="3"/>
  <c r="T152" i="3"/>
  <c r="R153" i="3"/>
  <c r="S154" i="3"/>
  <c r="T155" i="3"/>
  <c r="R156" i="3"/>
  <c r="S157" i="3"/>
  <c r="Q158" i="3"/>
  <c r="R159" i="3"/>
  <c r="AB159" i="3"/>
  <c r="AA160" i="3"/>
  <c r="X161" i="3"/>
  <c r="U162" i="3"/>
  <c r="T163" i="3"/>
  <c r="Q164" i="3"/>
  <c r="AA164" i="3"/>
  <c r="Z165" i="3"/>
  <c r="W166" i="3"/>
  <c r="T167" i="3"/>
  <c r="S168" i="3"/>
  <c r="P169" i="3"/>
  <c r="Z169" i="3"/>
  <c r="Y170" i="3"/>
  <c r="U171" i="3"/>
  <c r="AE171" i="3" s="1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P188" i="3"/>
  <c r="X188" i="3"/>
  <c r="S189" i="3"/>
  <c r="AA189" i="3"/>
  <c r="V190" i="3"/>
  <c r="Q191" i="3"/>
  <c r="Y191" i="3"/>
  <c r="T192" i="3"/>
  <c r="AB192" i="3"/>
  <c r="W193" i="3"/>
  <c r="R194" i="3"/>
  <c r="Z194" i="3"/>
  <c r="U195" i="3"/>
  <c r="AE195" i="3" s="1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AE203" i="3" s="1"/>
  <c r="P204" i="3"/>
  <c r="W41" i="3"/>
  <c r="P55" i="3"/>
  <c r="U64" i="3"/>
  <c r="AE64" i="3" s="1"/>
  <c r="T72" i="3"/>
  <c r="R79" i="3"/>
  <c r="X84" i="3"/>
  <c r="W88" i="3"/>
  <c r="S92" i="3"/>
  <c r="V95" i="3"/>
  <c r="AA98" i="3"/>
  <c r="Q102" i="3"/>
  <c r="T105" i="3"/>
  <c r="Y108" i="3"/>
  <c r="U111" i="3"/>
  <c r="AA113" i="3"/>
  <c r="T116" i="3"/>
  <c r="Z118" i="3"/>
  <c r="S121" i="3"/>
  <c r="U123" i="3"/>
  <c r="AE123" i="3" s="1"/>
  <c r="U125" i="3"/>
  <c r="AE125" i="3" s="1"/>
  <c r="T127" i="3"/>
  <c r="S129" i="3"/>
  <c r="P131" i="3"/>
  <c r="Y132" i="3"/>
  <c r="U134" i="3"/>
  <c r="AE134" i="3" s="1"/>
  <c r="AB135" i="3"/>
  <c r="X137" i="3"/>
  <c r="T139" i="3"/>
  <c r="AA140" i="3"/>
  <c r="W142" i="3"/>
  <c r="P144" i="3"/>
  <c r="V145" i="3"/>
  <c r="AA146" i="3"/>
  <c r="S148" i="3"/>
  <c r="Y149" i="3"/>
  <c r="X150" i="3"/>
  <c r="Y151" i="3"/>
  <c r="W152" i="3"/>
  <c r="X153" i="3"/>
  <c r="Y154" i="3"/>
  <c r="W155" i="3"/>
  <c r="X156" i="3"/>
  <c r="V157" i="3"/>
  <c r="W158" i="3"/>
  <c r="W159" i="3"/>
  <c r="T160" i="3"/>
  <c r="Q161" i="3"/>
  <c r="P162" i="3"/>
  <c r="Z162" i="3"/>
  <c r="W163" i="3"/>
  <c r="V164" i="3"/>
  <c r="S165" i="3"/>
  <c r="P166" i="3"/>
  <c r="AB166" i="3"/>
  <c r="Y167" i="3"/>
  <c r="V168" i="3"/>
  <c r="U169" i="3"/>
  <c r="AE169" i="3" s="1"/>
  <c r="R170" i="3"/>
  <c r="AB170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AB43" i="3"/>
  <c r="U56" i="3"/>
  <c r="V65" i="3"/>
  <c r="U73" i="3"/>
  <c r="AE73" i="3" s="1"/>
  <c r="AA79" i="3"/>
  <c r="P85" i="3"/>
  <c r="Q89" i="3"/>
  <c r="Y92" i="3"/>
  <c r="AB95" i="3"/>
  <c r="R99" i="3"/>
  <c r="W102" i="3"/>
  <c r="Z105" i="3"/>
  <c r="P109" i="3"/>
  <c r="Y111" i="3"/>
  <c r="R114" i="3"/>
  <c r="X116" i="3"/>
  <c r="Q119" i="3"/>
  <c r="W121" i="3"/>
  <c r="X123" i="3"/>
  <c r="W125" i="3"/>
  <c r="X127" i="3"/>
  <c r="W129" i="3"/>
  <c r="T131" i="3"/>
  <c r="AA132" i="3"/>
  <c r="W134" i="3"/>
  <c r="S136" i="3"/>
  <c r="Z137" i="3"/>
  <c r="V139" i="3"/>
  <c r="R141" i="3"/>
  <c r="Y142" i="3"/>
  <c r="S144" i="3"/>
  <c r="X145" i="3"/>
  <c r="P147" i="3"/>
  <c r="V148" i="3"/>
  <c r="Z149" i="3"/>
  <c r="Y150" i="3"/>
  <c r="Z151" i="3"/>
  <c r="AA152" i="3"/>
  <c r="Y153" i="3"/>
  <c r="Z154" i="3"/>
  <c r="X155" i="3"/>
  <c r="Y156" i="3"/>
  <c r="Z157" i="3"/>
  <c r="X158" i="3"/>
  <c r="X159" i="3"/>
  <c r="U160" i="3"/>
  <c r="AE160" i="3" s="1"/>
  <c r="R161" i="3"/>
  <c r="Q162" i="3"/>
  <c r="AA162" i="3"/>
  <c r="X163" i="3"/>
  <c r="W164" i="3"/>
  <c r="T165" i="3"/>
  <c r="Q166" i="3"/>
  <c r="P167" i="3"/>
  <c r="Z167" i="3"/>
  <c r="W168" i="3"/>
  <c r="V169" i="3"/>
  <c r="S170" i="3"/>
  <c r="P171" i="3"/>
  <c r="Y171" i="3"/>
  <c r="T172" i="3"/>
  <c r="AB172" i="3"/>
  <c r="W173" i="3"/>
  <c r="R174" i="3"/>
  <c r="Z174" i="3"/>
  <c r="U175" i="3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X184" i="3"/>
  <c r="S185" i="3"/>
  <c r="AA185" i="3"/>
  <c r="V186" i="3"/>
  <c r="Q187" i="3"/>
  <c r="R33" i="3"/>
  <c r="U62" i="3"/>
  <c r="AE62" i="3" s="1"/>
  <c r="X77" i="3"/>
  <c r="U87" i="3"/>
  <c r="AE87" i="3" s="1"/>
  <c r="X94" i="3"/>
  <c r="S101" i="3"/>
  <c r="Y107" i="3"/>
  <c r="R113" i="3"/>
  <c r="Q118" i="3"/>
  <c r="Z122" i="3"/>
  <c r="Y126" i="3"/>
  <c r="V130" i="3"/>
  <c r="AA133" i="3"/>
  <c r="Q137" i="3"/>
  <c r="T140" i="3"/>
  <c r="X143" i="3"/>
  <c r="U146" i="3"/>
  <c r="AE146" i="3" s="1"/>
  <c r="S149" i="3"/>
  <c r="T151" i="3"/>
  <c r="V153" i="3"/>
  <c r="U155" i="3"/>
  <c r="T157" i="3"/>
  <c r="S159" i="3"/>
  <c r="AB160" i="3"/>
  <c r="X162" i="3"/>
  <c r="R164" i="3"/>
  <c r="AA165" i="3"/>
  <c r="W167" i="3"/>
  <c r="Q169" i="3"/>
  <c r="Z170" i="3"/>
  <c r="Q172" i="3"/>
  <c r="T173" i="3"/>
  <c r="W174" i="3"/>
  <c r="Z175" i="3"/>
  <c r="P177" i="3"/>
  <c r="S178" i="3"/>
  <c r="V179" i="3"/>
  <c r="Y180" i="3"/>
  <c r="AB181" i="3"/>
  <c r="R183" i="3"/>
  <c r="U184" i="3"/>
  <c r="AE184" i="3" s="1"/>
  <c r="X185" i="3"/>
  <c r="AA186" i="3"/>
  <c r="AA187" i="3"/>
  <c r="AB188" i="3"/>
  <c r="AB189" i="3"/>
  <c r="AA190" i="3"/>
  <c r="AA191" i="3"/>
  <c r="Z192" i="3"/>
  <c r="AA193" i="3"/>
  <c r="AA194" i="3"/>
  <c r="Z195" i="3"/>
  <c r="Y196" i="3"/>
  <c r="V197" i="3"/>
  <c r="S198" i="3"/>
  <c r="R199" i="3"/>
  <c r="AB199" i="3"/>
  <c r="Y200" i="3"/>
  <c r="X201" i="3"/>
  <c r="U202" i="3"/>
  <c r="AE202" i="3" s="1"/>
  <c r="R203" i="3"/>
  <c r="Q204" i="3"/>
  <c r="Z204" i="3"/>
  <c r="V205" i="3"/>
  <c r="R206" i="3"/>
  <c r="AA206" i="3"/>
  <c r="W207" i="3"/>
  <c r="T208" i="3"/>
  <c r="P209" i="3"/>
  <c r="Y209" i="3"/>
  <c r="U210" i="3"/>
  <c r="AE210" i="3" s="1"/>
  <c r="Q211" i="3"/>
  <c r="Z211" i="3"/>
  <c r="V212" i="3"/>
  <c r="S213" i="3"/>
  <c r="AB213" i="3"/>
  <c r="X214" i="3"/>
  <c r="T215" i="3"/>
  <c r="P216" i="3"/>
  <c r="Y216" i="3"/>
  <c r="U217" i="3"/>
  <c r="AE217" i="3" s="1"/>
  <c r="R218" i="3"/>
  <c r="AA218" i="3"/>
  <c r="W219" i="3"/>
  <c r="S220" i="3"/>
  <c r="AB220" i="3"/>
  <c r="X221" i="3"/>
  <c r="T222" i="3"/>
  <c r="Q223" i="3"/>
  <c r="Z223" i="3"/>
  <c r="V224" i="3"/>
  <c r="R225" i="3"/>
  <c r="AA225" i="3"/>
  <c r="W226" i="3"/>
  <c r="S227" i="3"/>
  <c r="P228" i="3"/>
  <c r="Y228" i="3"/>
  <c r="U229" i="3"/>
  <c r="AE229" i="3" s="1"/>
  <c r="Q230" i="3"/>
  <c r="Z230" i="3"/>
  <c r="V231" i="3"/>
  <c r="R232" i="3"/>
  <c r="AB232" i="3"/>
  <c r="X233" i="3"/>
  <c r="T234" i="3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Y33" i="3"/>
  <c r="V62" i="3"/>
  <c r="Y77" i="3"/>
  <c r="V87" i="3"/>
  <c r="Y94" i="3"/>
  <c r="T101" i="3"/>
  <c r="Z107" i="3"/>
  <c r="S113" i="3"/>
  <c r="R118" i="3"/>
  <c r="AB122" i="3"/>
  <c r="Z126" i="3"/>
  <c r="Y130" i="3"/>
  <c r="AB133" i="3"/>
  <c r="R137" i="3"/>
  <c r="W140" i="3"/>
  <c r="Y143" i="3"/>
  <c r="V146" i="3"/>
  <c r="T149" i="3"/>
  <c r="X151" i="3"/>
  <c r="W153" i="3"/>
  <c r="V155" i="3"/>
  <c r="U157" i="3"/>
  <c r="T159" i="3"/>
  <c r="P161" i="3"/>
  <c r="Y162" i="3"/>
  <c r="S164" i="3"/>
  <c r="AB165" i="3"/>
  <c r="X167" i="3"/>
  <c r="R169" i="3"/>
  <c r="AA170" i="3"/>
  <c r="R172" i="3"/>
  <c r="U173" i="3"/>
  <c r="AE173" i="3" s="1"/>
  <c r="X174" i="3"/>
  <c r="AA175" i="3"/>
  <c r="Q177" i="3"/>
  <c r="T178" i="3"/>
  <c r="W179" i="3"/>
  <c r="Z180" i="3"/>
  <c r="P182" i="3"/>
  <c r="S183" i="3"/>
  <c r="V184" i="3"/>
  <c r="Y185" i="3"/>
  <c r="AB186" i="3"/>
  <c r="Q188" i="3"/>
  <c r="P189" i="3"/>
  <c r="P190" i="3"/>
  <c r="AB190" i="3"/>
  <c r="P192" i="3"/>
  <c r="P193" i="3"/>
  <c r="AB193" i="3"/>
  <c r="AB194" i="3"/>
  <c r="AA195" i="3"/>
  <c r="Z196" i="3"/>
  <c r="W197" i="3"/>
  <c r="T198" i="3"/>
  <c r="S199" i="3"/>
  <c r="P200" i="3"/>
  <c r="Z200" i="3"/>
  <c r="Y201" i="3"/>
  <c r="V202" i="3"/>
  <c r="S203" i="3"/>
  <c r="R204" i="3"/>
  <c r="AA204" i="3"/>
  <c r="W205" i="3"/>
  <c r="S206" i="3"/>
  <c r="AB206" i="3"/>
  <c r="Y207" i="3"/>
  <c r="U208" i="3"/>
  <c r="Q209" i="3"/>
  <c r="Z209" i="3"/>
  <c r="V210" i="3"/>
  <c r="R211" i="3"/>
  <c r="AA211" i="3"/>
  <c r="X212" i="3"/>
  <c r="T213" i="3"/>
  <c r="P214" i="3"/>
  <c r="Y214" i="3"/>
  <c r="U215" i="3"/>
  <c r="Q216" i="3"/>
  <c r="Z216" i="3"/>
  <c r="W217" i="3"/>
  <c r="S218" i="3"/>
  <c r="AB218" i="3"/>
  <c r="X219" i="3"/>
  <c r="T220" i="3"/>
  <c r="P221" i="3"/>
  <c r="Y221" i="3"/>
  <c r="V222" i="3"/>
  <c r="R223" i="3"/>
  <c r="AA223" i="3"/>
  <c r="W224" i="3"/>
  <c r="S225" i="3"/>
  <c r="AB225" i="3"/>
  <c r="X226" i="3"/>
  <c r="U227" i="3"/>
  <c r="AE227" i="3" s="1"/>
  <c r="Q228" i="3"/>
  <c r="Z228" i="3"/>
  <c r="V229" i="3"/>
  <c r="R230" i="3"/>
  <c r="AA230" i="3"/>
  <c r="W231" i="3"/>
  <c r="T232" i="3"/>
  <c r="P233" i="3"/>
  <c r="Y233" i="3"/>
  <c r="U234" i="3"/>
  <c r="AE234" i="3" s="1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U45" i="3"/>
  <c r="S66" i="3"/>
  <c r="V80" i="3"/>
  <c r="T89" i="3"/>
  <c r="T96" i="3"/>
  <c r="Z102" i="3"/>
  <c r="U109" i="3"/>
  <c r="AE109" i="3" s="1"/>
  <c r="U114" i="3"/>
  <c r="AE114" i="3" s="1"/>
  <c r="T119" i="3"/>
  <c r="Y123" i="3"/>
  <c r="Y127" i="3"/>
  <c r="U131" i="3"/>
  <c r="X134" i="3"/>
  <c r="AA137" i="3"/>
  <c r="S141" i="3"/>
  <c r="T144" i="3"/>
  <c r="Q147" i="3"/>
  <c r="AA149" i="3"/>
  <c r="AA151" i="3"/>
  <c r="Z153" i="3"/>
  <c r="AB155" i="3"/>
  <c r="AA157" i="3"/>
  <c r="Y159" i="3"/>
  <c r="U161" i="3"/>
  <c r="AE161" i="3" s="1"/>
  <c r="AB162" i="3"/>
  <c r="X164" i="3"/>
  <c r="T166" i="3"/>
  <c r="AA167" i="3"/>
  <c r="W169" i="3"/>
  <c r="R171" i="3"/>
  <c r="U172" i="3"/>
  <c r="AE172" i="3" s="1"/>
  <c r="X173" i="3"/>
  <c r="AA174" i="3"/>
  <c r="Q176" i="3"/>
  <c r="T177" i="3"/>
  <c r="W178" i="3"/>
  <c r="Z179" i="3"/>
  <c r="P181" i="3"/>
  <c r="S182" i="3"/>
  <c r="V183" i="3"/>
  <c r="Y184" i="3"/>
  <c r="AB185" i="3"/>
  <c r="R187" i="3"/>
  <c r="R188" i="3"/>
  <c r="Q189" i="3"/>
  <c r="R190" i="3"/>
  <c r="R191" i="3"/>
  <c r="Q192" i="3"/>
  <c r="Q193" i="3"/>
  <c r="P194" i="3"/>
  <c r="Q195" i="3"/>
  <c r="Q196" i="3"/>
  <c r="AA196" i="3"/>
  <c r="X197" i="3"/>
  <c r="W198" i="3"/>
  <c r="T199" i="3"/>
  <c r="Q200" i="3"/>
  <c r="P201" i="3"/>
  <c r="Z201" i="3"/>
  <c r="W202" i="3"/>
  <c r="V203" i="3"/>
  <c r="S204" i="3"/>
  <c r="AB204" i="3"/>
  <c r="X205" i="3"/>
  <c r="T206" i="3"/>
  <c r="Q207" i="3"/>
  <c r="Z207" i="3"/>
  <c r="V208" i="3"/>
  <c r="R209" i="3"/>
  <c r="AA209" i="3"/>
  <c r="W210" i="3"/>
  <c r="S211" i="3"/>
  <c r="P212" i="3"/>
  <c r="Y212" i="3"/>
  <c r="U213" i="3"/>
  <c r="AE213" i="3" s="1"/>
  <c r="Q214" i="3"/>
  <c r="Z214" i="3"/>
  <c r="V215" i="3"/>
  <c r="R216" i="3"/>
  <c r="AB216" i="3"/>
  <c r="X217" i="3"/>
  <c r="T218" i="3"/>
  <c r="P219" i="3"/>
  <c r="Y219" i="3"/>
  <c r="U220" i="3"/>
  <c r="AE220" i="3" s="1"/>
  <c r="Q221" i="3"/>
  <c r="AA221" i="3"/>
  <c r="W222" i="3"/>
  <c r="S223" i="3"/>
  <c r="AB223" i="3"/>
  <c r="X224" i="3"/>
  <c r="T225" i="3"/>
  <c r="P226" i="3"/>
  <c r="Z226" i="3"/>
  <c r="V227" i="3"/>
  <c r="R228" i="3"/>
  <c r="AA228" i="3"/>
  <c r="W229" i="3"/>
  <c r="S230" i="3"/>
  <c r="AB230" i="3"/>
  <c r="Y231" i="3"/>
  <c r="U232" i="3"/>
  <c r="AE232" i="3" s="1"/>
  <c r="Q233" i="3"/>
  <c r="Z233" i="3"/>
  <c r="V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P52" i="3"/>
  <c r="T70" i="3"/>
  <c r="R83" i="3"/>
  <c r="U91" i="3"/>
  <c r="AE91" i="3" s="1"/>
  <c r="AA97" i="3"/>
  <c r="V104" i="3"/>
  <c r="Y110" i="3"/>
  <c r="X115" i="3"/>
  <c r="W120" i="3"/>
  <c r="Z124" i="3"/>
  <c r="X128" i="3"/>
  <c r="R132" i="3"/>
  <c r="U135" i="3"/>
  <c r="AE135" i="3" s="1"/>
  <c r="Z138" i="3"/>
  <c r="P142" i="3"/>
  <c r="P145" i="3"/>
  <c r="AA147" i="3"/>
  <c r="V150" i="3"/>
  <c r="U152" i="3"/>
  <c r="AE152" i="3" s="1"/>
  <c r="T154" i="3"/>
  <c r="S156" i="3"/>
  <c r="U158" i="3"/>
  <c r="R160" i="3"/>
  <c r="Y161" i="3"/>
  <c r="U163" i="3"/>
  <c r="Q165" i="3"/>
  <c r="X166" i="3"/>
  <c r="T168" i="3"/>
  <c r="P170" i="3"/>
  <c r="V171" i="3"/>
  <c r="Y172" i="3"/>
  <c r="AB173" i="3"/>
  <c r="R175" i="3"/>
  <c r="U176" i="3"/>
  <c r="AE176" i="3" s="1"/>
  <c r="X177" i="3"/>
  <c r="AA178" i="3"/>
  <c r="Q180" i="3"/>
  <c r="T181" i="3"/>
  <c r="W182" i="3"/>
  <c r="Z183" i="3"/>
  <c r="P185" i="3"/>
  <c r="S186" i="3"/>
  <c r="V187" i="3"/>
  <c r="U188" i="3"/>
  <c r="AE188" i="3" s="1"/>
  <c r="U189" i="3"/>
  <c r="AE189" i="3" s="1"/>
  <c r="T190" i="3"/>
  <c r="U191" i="3"/>
  <c r="U192" i="3"/>
  <c r="AE192" i="3" s="1"/>
  <c r="T193" i="3"/>
  <c r="T194" i="3"/>
  <c r="S195" i="3"/>
  <c r="S196" i="3"/>
  <c r="P197" i="3"/>
  <c r="AB197" i="3"/>
  <c r="Y198" i="3"/>
  <c r="V199" i="3"/>
  <c r="U200" i="3"/>
  <c r="R201" i="3"/>
  <c r="AB201" i="3"/>
  <c r="AA202" i="3"/>
  <c r="X203" i="3"/>
  <c r="U204" i="3"/>
  <c r="Q205" i="3"/>
  <c r="AA205" i="3"/>
  <c r="W206" i="3"/>
  <c r="S207" i="3"/>
  <c r="AB207" i="3"/>
  <c r="X208" i="3"/>
  <c r="T209" i="3"/>
  <c r="P210" i="3"/>
  <c r="Z210" i="3"/>
  <c r="V211" i="3"/>
  <c r="R212" i="3"/>
  <c r="AA212" i="3"/>
  <c r="W213" i="3"/>
  <c r="S214" i="3"/>
  <c r="AB214" i="3"/>
  <c r="Y215" i="3"/>
  <c r="U216" i="3"/>
  <c r="Q217" i="3"/>
  <c r="Z217" i="3"/>
  <c r="V218" i="3"/>
  <c r="R219" i="3"/>
  <c r="AA219" i="3"/>
  <c r="X220" i="3"/>
  <c r="T221" i="3"/>
  <c r="P222" i="3"/>
  <c r="Y222" i="3"/>
  <c r="U223" i="3"/>
  <c r="Q224" i="3"/>
  <c r="Z224" i="3"/>
  <c r="W225" i="3"/>
  <c r="S226" i="3"/>
  <c r="AB226" i="3"/>
  <c r="X227" i="3"/>
  <c r="T228" i="3"/>
  <c r="P229" i="3"/>
  <c r="Y229" i="3"/>
  <c r="V230" i="3"/>
  <c r="R231" i="3"/>
  <c r="AA231" i="3"/>
  <c r="W232" i="3"/>
  <c r="S233" i="3"/>
  <c r="AB233" i="3"/>
  <c r="X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V45" i="3"/>
  <c r="Y80" i="3"/>
  <c r="U96" i="3"/>
  <c r="AE96" i="3" s="1"/>
  <c r="V109" i="3"/>
  <c r="U119" i="3"/>
  <c r="AE119" i="3" s="1"/>
  <c r="AA127" i="3"/>
  <c r="Y134" i="3"/>
  <c r="T141" i="3"/>
  <c r="S147" i="3"/>
  <c r="AB151" i="3"/>
  <c r="P156" i="3"/>
  <c r="Z159" i="3"/>
  <c r="P163" i="3"/>
  <c r="U166" i="3"/>
  <c r="AE166" i="3" s="1"/>
  <c r="X169" i="3"/>
  <c r="V172" i="3"/>
  <c r="AB174" i="3"/>
  <c r="U177" i="3"/>
  <c r="AA179" i="3"/>
  <c r="T182" i="3"/>
  <c r="Z184" i="3"/>
  <c r="S187" i="3"/>
  <c r="T189" i="3"/>
  <c r="S191" i="3"/>
  <c r="S193" i="3"/>
  <c r="R195" i="3"/>
  <c r="AB196" i="3"/>
  <c r="X198" i="3"/>
  <c r="R200" i="3"/>
  <c r="AA201" i="3"/>
  <c r="W203" i="3"/>
  <c r="P205" i="3"/>
  <c r="V206" i="3"/>
  <c r="AA207" i="3"/>
  <c r="S209" i="3"/>
  <c r="X210" i="3"/>
  <c r="Q212" i="3"/>
  <c r="V213" i="3"/>
  <c r="AA214" i="3"/>
  <c r="T216" i="3"/>
  <c r="Y217" i="3"/>
  <c r="Q219" i="3"/>
  <c r="V220" i="3"/>
  <c r="AB221" i="3"/>
  <c r="T223" i="3"/>
  <c r="Y224" i="3"/>
  <c r="R226" i="3"/>
  <c r="W227" i="3"/>
  <c r="AB228" i="3"/>
  <c r="T230" i="3"/>
  <c r="Z231" i="3"/>
  <c r="R233" i="3"/>
  <c r="W234" i="3"/>
  <c r="AA235" i="3"/>
  <c r="Q237" i="3"/>
  <c r="T238" i="3"/>
  <c r="W239" i="3"/>
  <c r="Z240" i="3"/>
  <c r="P242" i="3"/>
  <c r="S243" i="3"/>
  <c r="V244" i="3"/>
  <c r="Y245" i="3"/>
  <c r="AB246" i="3"/>
  <c r="R248" i="3"/>
  <c r="U249" i="3"/>
  <c r="AE249" i="3" s="1"/>
  <c r="X250" i="3"/>
  <c r="AA251" i="3"/>
  <c r="Q253" i="3"/>
  <c r="P254" i="3"/>
  <c r="Q255" i="3"/>
  <c r="R256" i="3"/>
  <c r="P257" i="3"/>
  <c r="Q258" i="3"/>
  <c r="AB258" i="3"/>
  <c r="P260" i="3"/>
  <c r="Q261" i="3"/>
  <c r="AB261" i="3"/>
  <c r="P263" i="3"/>
  <c r="AA263" i="3"/>
  <c r="AB264" i="3"/>
  <c r="AB265" i="3"/>
  <c r="Y266" i="3"/>
  <c r="V267" i="3"/>
  <c r="U268" i="3"/>
  <c r="AE268" i="3" s="1"/>
  <c r="R269" i="3"/>
  <c r="AB269" i="3"/>
  <c r="AA270" i="3"/>
  <c r="X271" i="3"/>
  <c r="U272" i="3"/>
  <c r="AE272" i="3" s="1"/>
  <c r="T273" i="3"/>
  <c r="Q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Q52" i="3"/>
  <c r="S83" i="3"/>
  <c r="AB97" i="3"/>
  <c r="Z110" i="3"/>
  <c r="X120" i="3"/>
  <c r="AA128" i="3"/>
  <c r="X135" i="3"/>
  <c r="Q142" i="3"/>
  <c r="AB147" i="3"/>
  <c r="V152" i="3"/>
  <c r="W156" i="3"/>
  <c r="S160" i="3"/>
  <c r="V163" i="3"/>
  <c r="Y166" i="3"/>
  <c r="Q170" i="3"/>
  <c r="Z172" i="3"/>
  <c r="S175" i="3"/>
  <c r="Y177" i="3"/>
  <c r="R180" i="3"/>
  <c r="X182" i="3"/>
  <c r="Q185" i="3"/>
  <c r="W187" i="3"/>
  <c r="W189" i="3"/>
  <c r="V191" i="3"/>
  <c r="U193" i="3"/>
  <c r="V195" i="3"/>
  <c r="Q197" i="3"/>
  <c r="Z198" i="3"/>
  <c r="V200" i="3"/>
  <c r="P202" i="3"/>
  <c r="Y203" i="3"/>
  <c r="S205" i="3"/>
  <c r="X206" i="3"/>
  <c r="P208" i="3"/>
  <c r="U209" i="3"/>
  <c r="AE209" i="3" s="1"/>
  <c r="AA210" i="3"/>
  <c r="S212" i="3"/>
  <c r="X213" i="3"/>
  <c r="Q215" i="3"/>
  <c r="V216" i="3"/>
  <c r="AA217" i="3"/>
  <c r="S219" i="3"/>
  <c r="Y220" i="3"/>
  <c r="Q222" i="3"/>
  <c r="V223" i="3"/>
  <c r="AB224" i="3"/>
  <c r="T226" i="3"/>
  <c r="Y227" i="3"/>
  <c r="Q229" i="3"/>
  <c r="W230" i="3"/>
  <c r="AB231" i="3"/>
  <c r="T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T254" i="3"/>
  <c r="R255" i="3"/>
  <c r="S256" i="3"/>
  <c r="Q257" i="3"/>
  <c r="R258" i="3"/>
  <c r="S259" i="3"/>
  <c r="Q260" i="3"/>
  <c r="R261" i="3"/>
  <c r="P262" i="3"/>
  <c r="Q263" i="3"/>
  <c r="R264" i="3"/>
  <c r="P265" i="3"/>
  <c r="P266" i="3"/>
  <c r="Z266" i="3"/>
  <c r="W267" i="3"/>
  <c r="V268" i="3"/>
  <c r="S269" i="3"/>
  <c r="P270" i="3"/>
  <c r="AB270" i="3"/>
  <c r="Y271" i="3"/>
  <c r="V272" i="3"/>
  <c r="U273" i="3"/>
  <c r="AE273" i="3" s="1"/>
  <c r="R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T66" i="3"/>
  <c r="X89" i="3"/>
  <c r="AA102" i="3"/>
  <c r="V114" i="3"/>
  <c r="AB123" i="3"/>
  <c r="V131" i="3"/>
  <c r="Q138" i="3"/>
  <c r="U144" i="3"/>
  <c r="AE144" i="3" s="1"/>
  <c r="AB149" i="3"/>
  <c r="Q154" i="3"/>
  <c r="AB157" i="3"/>
  <c r="V161" i="3"/>
  <c r="Y164" i="3"/>
  <c r="AB167" i="3"/>
  <c r="S171" i="3"/>
  <c r="Y173" i="3"/>
  <c r="R176" i="3"/>
  <c r="X178" i="3"/>
  <c r="Q181" i="3"/>
  <c r="W183" i="3"/>
  <c r="P186" i="3"/>
  <c r="T188" i="3"/>
  <c r="S190" i="3"/>
  <c r="R192" i="3"/>
  <c r="S194" i="3"/>
  <c r="R196" i="3"/>
  <c r="Y197" i="3"/>
  <c r="U199" i="3"/>
  <c r="Q201" i="3"/>
  <c r="X202" i="3"/>
  <c r="T204" i="3"/>
  <c r="Y205" i="3"/>
  <c r="R207" i="3"/>
  <c r="W208" i="3"/>
  <c r="AB209" i="3"/>
  <c r="U211" i="3"/>
  <c r="AE211" i="3" s="1"/>
  <c r="Z212" i="3"/>
  <c r="R214" i="3"/>
  <c r="W215" i="3"/>
  <c r="P217" i="3"/>
  <c r="U218" i="3"/>
  <c r="AE218" i="3" s="1"/>
  <c r="Z219" i="3"/>
  <c r="S221" i="3"/>
  <c r="X222" i="3"/>
  <c r="P224" i="3"/>
  <c r="U225" i="3"/>
  <c r="AA226" i="3"/>
  <c r="S228" i="3"/>
  <c r="X229" i="3"/>
  <c r="Q231" i="3"/>
  <c r="V232" i="3"/>
  <c r="AA233" i="3"/>
  <c r="S235" i="3"/>
  <c r="V236" i="3"/>
  <c r="Y237" i="3"/>
  <c r="AB238" i="3"/>
  <c r="R240" i="3"/>
  <c r="U241" i="3"/>
  <c r="AE241" i="3" s="1"/>
  <c r="X242" i="3"/>
  <c r="AA243" i="3"/>
  <c r="Q245" i="3"/>
  <c r="T246" i="3"/>
  <c r="W247" i="3"/>
  <c r="Z248" i="3"/>
  <c r="P250" i="3"/>
  <c r="S251" i="3"/>
  <c r="V252" i="3"/>
  <c r="Y253" i="3"/>
  <c r="W254" i="3"/>
  <c r="X255" i="3"/>
  <c r="V256" i="3"/>
  <c r="W257" i="3"/>
  <c r="X258" i="3"/>
  <c r="V259" i="3"/>
  <c r="W260" i="3"/>
  <c r="U261" i="3"/>
  <c r="V262" i="3"/>
  <c r="W263" i="3"/>
  <c r="U264" i="3"/>
  <c r="AE264" i="3" s="1"/>
  <c r="V265" i="3"/>
  <c r="S266" i="3"/>
  <c r="R267" i="3"/>
  <c r="AB267" i="3"/>
  <c r="Y268" i="3"/>
  <c r="X269" i="3"/>
  <c r="U270" i="3"/>
  <c r="R271" i="3"/>
  <c r="Q272" i="3"/>
  <c r="AA272" i="3"/>
  <c r="X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U70" i="3"/>
  <c r="V91" i="3"/>
  <c r="W104" i="3"/>
  <c r="Y115" i="3"/>
  <c r="AA124" i="3"/>
  <c r="S132" i="3"/>
  <c r="AA138" i="3"/>
  <c r="Q145" i="3"/>
  <c r="W150" i="3"/>
  <c r="U154" i="3"/>
  <c r="AE154" i="3" s="1"/>
  <c r="V158" i="3"/>
  <c r="Z161" i="3"/>
  <c r="R165" i="3"/>
  <c r="U168" i="3"/>
  <c r="AE168" i="3" s="1"/>
  <c r="W171" i="3"/>
  <c r="P174" i="3"/>
  <c r="V176" i="3"/>
  <c r="AB178" i="3"/>
  <c r="U181" i="3"/>
  <c r="AE181" i="3" s="1"/>
  <c r="AA183" i="3"/>
  <c r="T186" i="3"/>
  <c r="V188" i="3"/>
  <c r="W190" i="3"/>
  <c r="V192" i="3"/>
  <c r="V194" i="3"/>
  <c r="T196" i="3"/>
  <c r="P198" i="3"/>
  <c r="W199" i="3"/>
  <c r="S201" i="3"/>
  <c r="AB202" i="3"/>
  <c r="V204" i="3"/>
  <c r="AB205" i="3"/>
  <c r="T207" i="3"/>
  <c r="Y208" i="3"/>
  <c r="R210" i="3"/>
  <c r="W211" i="3"/>
  <c r="AB212" i="3"/>
  <c r="T214" i="3"/>
  <c r="Z215" i="3"/>
  <c r="R217" i="3"/>
  <c r="W218" i="3"/>
  <c r="P220" i="3"/>
  <c r="U221" i="3"/>
  <c r="AE221" i="3" s="1"/>
  <c r="Z222" i="3"/>
  <c r="R224" i="3"/>
  <c r="X225" i="3"/>
  <c r="P227" i="3"/>
  <c r="U228" i="3"/>
  <c r="AE228" i="3" s="1"/>
  <c r="AA229" i="3"/>
  <c r="S231" i="3"/>
  <c r="X232" i="3"/>
  <c r="P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Z253" i="3"/>
  <c r="X254" i="3"/>
  <c r="Y255" i="3"/>
  <c r="Z256" i="3"/>
  <c r="X257" i="3"/>
  <c r="Y258" i="3"/>
  <c r="W259" i="3"/>
  <c r="X260" i="3"/>
  <c r="Y261" i="3"/>
  <c r="W262" i="3"/>
  <c r="X263" i="3"/>
  <c r="V264" i="3"/>
  <c r="W265" i="3"/>
  <c r="T266" i="3"/>
  <c r="S267" i="3"/>
  <c r="P268" i="3"/>
  <c r="Z268" i="3"/>
  <c r="Y269" i="3"/>
  <c r="V270" i="3"/>
  <c r="S271" i="3"/>
  <c r="R272" i="3"/>
  <c r="AB272" i="3"/>
  <c r="Y273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AE289" i="3" s="1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X57" i="3"/>
  <c r="W99" i="3"/>
  <c r="Z121" i="3"/>
  <c r="T136" i="3"/>
  <c r="W148" i="3"/>
  <c r="Z156" i="3"/>
  <c r="AA163" i="3"/>
  <c r="T170" i="3"/>
  <c r="V175" i="3"/>
  <c r="U180" i="3"/>
  <c r="AE180" i="3" s="1"/>
  <c r="T185" i="3"/>
  <c r="X189" i="3"/>
  <c r="X193" i="3"/>
  <c r="T197" i="3"/>
  <c r="W200" i="3"/>
  <c r="Z203" i="3"/>
  <c r="Y206" i="3"/>
  <c r="W209" i="3"/>
  <c r="T212" i="3"/>
  <c r="R215" i="3"/>
  <c r="AB217" i="3"/>
  <c r="Z220" i="3"/>
  <c r="W223" i="3"/>
  <c r="U226" i="3"/>
  <c r="AE226" i="3" s="1"/>
  <c r="S229" i="3"/>
  <c r="P232" i="3"/>
  <c r="AA234" i="3"/>
  <c r="T237" i="3"/>
  <c r="Z239" i="3"/>
  <c r="S242" i="3"/>
  <c r="Y244" i="3"/>
  <c r="R247" i="3"/>
  <c r="X249" i="3"/>
  <c r="Q252" i="3"/>
  <c r="U254" i="3"/>
  <c r="T256" i="3"/>
  <c r="S258" i="3"/>
  <c r="R260" i="3"/>
  <c r="T262" i="3"/>
  <c r="S264" i="3"/>
  <c r="Q266" i="3"/>
  <c r="Z267" i="3"/>
  <c r="T269" i="3"/>
  <c r="P271" i="3"/>
  <c r="Y272" i="3"/>
  <c r="S274" i="3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S312" i="3"/>
  <c r="S313" i="3"/>
  <c r="R314" i="3"/>
  <c r="S315" i="3"/>
  <c r="S316" i="3"/>
  <c r="R317" i="3"/>
  <c r="R318" i="3"/>
  <c r="Q319" i="3"/>
  <c r="R320" i="3"/>
  <c r="R321" i="3"/>
  <c r="Q322" i="3"/>
  <c r="Q323" i="3"/>
  <c r="AB323" i="3"/>
  <c r="AA324" i="3"/>
  <c r="X325" i="3"/>
  <c r="U326" i="3"/>
  <c r="T327" i="3"/>
  <c r="Q328" i="3"/>
  <c r="AA328" i="3"/>
  <c r="W329" i="3"/>
  <c r="T330" i="3"/>
  <c r="P331" i="3"/>
  <c r="Y331" i="3"/>
  <c r="U332" i="3"/>
  <c r="Q333" i="3"/>
  <c r="Z333" i="3"/>
  <c r="V334" i="3"/>
  <c r="S335" i="3"/>
  <c r="AB335" i="3"/>
  <c r="X336" i="3"/>
  <c r="T337" i="3"/>
  <c r="P338" i="3"/>
  <c r="Y338" i="3"/>
  <c r="U339" i="3"/>
  <c r="R340" i="3"/>
  <c r="AA340" i="3"/>
  <c r="W341" i="3"/>
  <c r="S342" i="3"/>
  <c r="AB342" i="3"/>
  <c r="X343" i="3"/>
  <c r="T344" i="3"/>
  <c r="Q345" i="3"/>
  <c r="Z345" i="3"/>
  <c r="V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Y57" i="3"/>
  <c r="X99" i="3"/>
  <c r="AA121" i="3"/>
  <c r="U136" i="3"/>
  <c r="AE136" i="3" s="1"/>
  <c r="X148" i="3"/>
  <c r="AA156" i="3"/>
  <c r="AB163" i="3"/>
  <c r="U170" i="3"/>
  <c r="AE170" i="3" s="1"/>
  <c r="W175" i="3"/>
  <c r="V180" i="3"/>
  <c r="U185" i="3"/>
  <c r="Y189" i="3"/>
  <c r="Y193" i="3"/>
  <c r="U197" i="3"/>
  <c r="AE197" i="3" s="1"/>
  <c r="X200" i="3"/>
  <c r="AA203" i="3"/>
  <c r="Z206" i="3"/>
  <c r="X209" i="3"/>
  <c r="U212" i="3"/>
  <c r="S215" i="3"/>
  <c r="P218" i="3"/>
  <c r="AA220" i="3"/>
  <c r="Y223" i="3"/>
  <c r="V226" i="3"/>
  <c r="T229" i="3"/>
  <c r="Q232" i="3"/>
  <c r="AB234" i="3"/>
  <c r="U237" i="3"/>
  <c r="AE237" i="3" s="1"/>
  <c r="AA239" i="3"/>
  <c r="T242" i="3"/>
  <c r="Z244" i="3"/>
  <c r="S247" i="3"/>
  <c r="Y249" i="3"/>
  <c r="R252" i="3"/>
  <c r="V254" i="3"/>
  <c r="U256" i="3"/>
  <c r="AE256" i="3" s="1"/>
  <c r="T258" i="3"/>
  <c r="V260" i="3"/>
  <c r="U262" i="3"/>
  <c r="AE262" i="3" s="1"/>
  <c r="T264" i="3"/>
  <c r="R266" i="3"/>
  <c r="AA267" i="3"/>
  <c r="U269" i="3"/>
  <c r="Q271" i="3"/>
  <c r="Z272" i="3"/>
  <c r="T274" i="3"/>
  <c r="Y275" i="3"/>
  <c r="AB276" i="3"/>
  <c r="R278" i="3"/>
  <c r="U279" i="3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T312" i="3"/>
  <c r="U313" i="3"/>
  <c r="AE313" i="3" s="1"/>
  <c r="U314" i="3"/>
  <c r="AE314" i="3" s="1"/>
  <c r="T315" i="3"/>
  <c r="T316" i="3"/>
  <c r="S317" i="3"/>
  <c r="T318" i="3"/>
  <c r="T319" i="3"/>
  <c r="S320" i="3"/>
  <c r="S321" i="3"/>
  <c r="R322" i="3"/>
  <c r="S323" i="3"/>
  <c r="P324" i="3"/>
  <c r="AB324" i="3"/>
  <c r="Y325" i="3"/>
  <c r="V326" i="3"/>
  <c r="U327" i="3"/>
  <c r="R328" i="3"/>
  <c r="AB328" i="3"/>
  <c r="Y329" i="3"/>
  <c r="U330" i="3"/>
  <c r="AE330" i="3" s="1"/>
  <c r="Q331" i="3"/>
  <c r="Z331" i="3"/>
  <c r="V332" i="3"/>
  <c r="R333" i="3"/>
  <c r="AA333" i="3"/>
  <c r="X334" i="3"/>
  <c r="T335" i="3"/>
  <c r="P336" i="3"/>
  <c r="Y336" i="3"/>
  <c r="U337" i="3"/>
  <c r="AE337" i="3" s="1"/>
  <c r="Q338" i="3"/>
  <c r="Z338" i="3"/>
  <c r="W339" i="3"/>
  <c r="S340" i="3"/>
  <c r="AB340" i="3"/>
  <c r="X341" i="3"/>
  <c r="T342" i="3"/>
  <c r="P343" i="3"/>
  <c r="Y343" i="3"/>
  <c r="V344" i="3"/>
  <c r="R345" i="3"/>
  <c r="AA345" i="3"/>
  <c r="W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74" i="3"/>
  <c r="R106" i="3"/>
  <c r="Z125" i="3"/>
  <c r="W139" i="3"/>
  <c r="P151" i="3"/>
  <c r="Y158" i="3"/>
  <c r="U165" i="3"/>
  <c r="AE165" i="3" s="1"/>
  <c r="Z171" i="3"/>
  <c r="Y176" i="3"/>
  <c r="X181" i="3"/>
  <c r="W186" i="3"/>
  <c r="X190" i="3"/>
  <c r="W194" i="3"/>
  <c r="Q198" i="3"/>
  <c r="T201" i="3"/>
  <c r="X204" i="3"/>
  <c r="U207" i="3"/>
  <c r="S210" i="3"/>
  <c r="P213" i="3"/>
  <c r="AA215" i="3"/>
  <c r="X218" i="3"/>
  <c r="V221" i="3"/>
  <c r="T224" i="3"/>
  <c r="Q227" i="3"/>
  <c r="AB229" i="3"/>
  <c r="Y232" i="3"/>
  <c r="V235" i="3"/>
  <c r="AB237" i="3"/>
  <c r="U240" i="3"/>
  <c r="AE240" i="3" s="1"/>
  <c r="AA242" i="3"/>
  <c r="T245" i="3"/>
  <c r="Z247" i="3"/>
  <c r="S250" i="3"/>
  <c r="Y252" i="3"/>
  <c r="AB254" i="3"/>
  <c r="AA256" i="3"/>
  <c r="Z258" i="3"/>
  <c r="Y260" i="3"/>
  <c r="X262" i="3"/>
  <c r="Z264" i="3"/>
  <c r="W266" i="3"/>
  <c r="Q268" i="3"/>
  <c r="Z269" i="3"/>
  <c r="V271" i="3"/>
  <c r="P273" i="3"/>
  <c r="Y274" i="3"/>
  <c r="AB275" i="3"/>
  <c r="R277" i="3"/>
  <c r="U278" i="3"/>
  <c r="AE278" i="3" s="1"/>
  <c r="X279" i="3"/>
  <c r="AA280" i="3"/>
  <c r="Q282" i="3"/>
  <c r="T283" i="3"/>
  <c r="W284" i="3"/>
  <c r="Z285" i="3"/>
  <c r="P287" i="3"/>
  <c r="S288" i="3"/>
  <c r="V289" i="3"/>
  <c r="Y290" i="3"/>
  <c r="AB291" i="3"/>
  <c r="R293" i="3"/>
  <c r="U294" i="3"/>
  <c r="AE294" i="3" s="1"/>
  <c r="X295" i="3"/>
  <c r="AA296" i="3"/>
  <c r="Q298" i="3"/>
  <c r="T299" i="3"/>
  <c r="W300" i="3"/>
  <c r="Z301" i="3"/>
  <c r="P303" i="3"/>
  <c r="S304" i="3"/>
  <c r="V305" i="3"/>
  <c r="Y306" i="3"/>
  <c r="AB307" i="3"/>
  <c r="R309" i="3"/>
  <c r="U310" i="3"/>
  <c r="W311" i="3"/>
  <c r="W312" i="3"/>
  <c r="V313" i="3"/>
  <c r="V314" i="3"/>
  <c r="U315" i="3"/>
  <c r="V316" i="3"/>
  <c r="V317" i="3"/>
  <c r="U318" i="3"/>
  <c r="U319" i="3"/>
  <c r="AE319" i="3" s="1"/>
  <c r="T320" i="3"/>
  <c r="U321" i="3"/>
  <c r="AE321" i="3" s="1"/>
  <c r="U322" i="3"/>
  <c r="AE322" i="3" s="1"/>
  <c r="T323" i="3"/>
  <c r="S324" i="3"/>
  <c r="P325" i="3"/>
  <c r="Z325" i="3"/>
  <c r="Y326" i="3"/>
  <c r="V327" i="3"/>
  <c r="S328" i="3"/>
  <c r="Q329" i="3"/>
  <c r="Z329" i="3"/>
  <c r="V330" i="3"/>
  <c r="R331" i="3"/>
  <c r="AA331" i="3"/>
  <c r="W332" i="3"/>
  <c r="S333" i="3"/>
  <c r="P334" i="3"/>
  <c r="Y334" i="3"/>
  <c r="U335" i="3"/>
  <c r="Q336" i="3"/>
  <c r="Z336" i="3"/>
  <c r="V337" i="3"/>
  <c r="R338" i="3"/>
  <c r="AB338" i="3"/>
  <c r="X339" i="3"/>
  <c r="T340" i="3"/>
  <c r="P341" i="3"/>
  <c r="Y341" i="3"/>
  <c r="U342" i="3"/>
  <c r="AE342" i="3" s="1"/>
  <c r="Q343" i="3"/>
  <c r="AA343" i="3"/>
  <c r="W344" i="3"/>
  <c r="S345" i="3"/>
  <c r="AB345" i="3"/>
  <c r="X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V85" i="3"/>
  <c r="AB111" i="3"/>
  <c r="Y129" i="3"/>
  <c r="Z142" i="3"/>
  <c r="AB152" i="3"/>
  <c r="V160" i="3"/>
  <c r="Q167" i="3"/>
  <c r="P173" i="3"/>
  <c r="AB177" i="3"/>
  <c r="AA182" i="3"/>
  <c r="Y187" i="3"/>
  <c r="W191" i="3"/>
  <c r="W195" i="3"/>
  <c r="AA198" i="3"/>
  <c r="S202" i="3"/>
  <c r="T205" i="3"/>
  <c r="Q208" i="3"/>
  <c r="AB210" i="3"/>
  <c r="Y213" i="3"/>
  <c r="W216" i="3"/>
  <c r="U219" i="3"/>
  <c r="AE219" i="3" s="1"/>
  <c r="R222" i="3"/>
  <c r="P225" i="3"/>
  <c r="Z227" i="3"/>
  <c r="X230" i="3"/>
  <c r="U233" i="3"/>
  <c r="AE233" i="3" s="1"/>
  <c r="Q236" i="3"/>
  <c r="W238" i="3"/>
  <c r="P241" i="3"/>
  <c r="V243" i="3"/>
  <c r="AB245" i="3"/>
  <c r="U248" i="3"/>
  <c r="AE248" i="3" s="1"/>
  <c r="AA250" i="3"/>
  <c r="T253" i="3"/>
  <c r="S255" i="3"/>
  <c r="U257" i="3"/>
  <c r="AE257" i="3" s="1"/>
  <c r="T259" i="3"/>
  <c r="S261" i="3"/>
  <c r="R263" i="3"/>
  <c r="Q265" i="3"/>
  <c r="AA266" i="3"/>
  <c r="W268" i="3"/>
  <c r="S270" i="3"/>
  <c r="Z271" i="3"/>
  <c r="V273" i="3"/>
  <c r="P275" i="3"/>
  <c r="S276" i="3"/>
  <c r="V277" i="3"/>
  <c r="Y278" i="3"/>
  <c r="AB279" i="3"/>
  <c r="R281" i="3"/>
  <c r="U282" i="3"/>
  <c r="AE282" i="3" s="1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X299" i="3"/>
  <c r="AA300" i="3"/>
  <c r="Q302" i="3"/>
  <c r="T303" i="3"/>
  <c r="W304" i="3"/>
  <c r="Z305" i="3"/>
  <c r="P307" i="3"/>
  <c r="S308" i="3"/>
  <c r="V309" i="3"/>
  <c r="Y310" i="3"/>
  <c r="Y311" i="3"/>
  <c r="Z312" i="3"/>
  <c r="Z313" i="3"/>
  <c r="Y314" i="3"/>
  <c r="Y315" i="3"/>
  <c r="X316" i="3"/>
  <c r="Y317" i="3"/>
  <c r="Y318" i="3"/>
  <c r="X319" i="3"/>
  <c r="X320" i="3"/>
  <c r="W321" i="3"/>
  <c r="X322" i="3"/>
  <c r="X323" i="3"/>
  <c r="U324" i="3"/>
  <c r="R325" i="3"/>
  <c r="Q326" i="3"/>
  <c r="AA326" i="3"/>
  <c r="X327" i="3"/>
  <c r="W328" i="3"/>
  <c r="S329" i="3"/>
  <c r="AB329" i="3"/>
  <c r="X330" i="3"/>
  <c r="T331" i="3"/>
  <c r="P332" i="3"/>
  <c r="Z332" i="3"/>
  <c r="V333" i="3"/>
  <c r="R334" i="3"/>
  <c r="AA334" i="3"/>
  <c r="W335" i="3"/>
  <c r="S336" i="3"/>
  <c r="AB336" i="3"/>
  <c r="Y337" i="3"/>
  <c r="U338" i="3"/>
  <c r="AE338" i="3" s="1"/>
  <c r="Q339" i="3"/>
  <c r="Z339" i="3"/>
  <c r="V340" i="3"/>
  <c r="R341" i="3"/>
  <c r="AA341" i="3"/>
  <c r="X342" i="3"/>
  <c r="T343" i="3"/>
  <c r="P344" i="3"/>
  <c r="Y344" i="3"/>
  <c r="U345" i="3"/>
  <c r="Q346" i="3"/>
  <c r="Z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S74" i="3"/>
  <c r="AA125" i="3"/>
  <c r="Q151" i="3"/>
  <c r="V165" i="3"/>
  <c r="Z176" i="3"/>
  <c r="X186" i="3"/>
  <c r="X194" i="3"/>
  <c r="U201" i="3"/>
  <c r="V207" i="3"/>
  <c r="Q213" i="3"/>
  <c r="Z218" i="3"/>
  <c r="U224" i="3"/>
  <c r="AE224" i="3" s="1"/>
  <c r="P230" i="3"/>
  <c r="W235" i="3"/>
  <c r="V240" i="3"/>
  <c r="U245" i="3"/>
  <c r="T250" i="3"/>
  <c r="P255" i="3"/>
  <c r="AA258" i="3"/>
  <c r="AB262" i="3"/>
  <c r="X266" i="3"/>
  <c r="AA269" i="3"/>
  <c r="Q273" i="3"/>
  <c r="P276" i="3"/>
  <c r="V278" i="3"/>
  <c r="AB280" i="3"/>
  <c r="U283" i="3"/>
  <c r="AA285" i="3"/>
  <c r="T288" i="3"/>
  <c r="Z290" i="3"/>
  <c r="S293" i="3"/>
  <c r="Y295" i="3"/>
  <c r="R298" i="3"/>
  <c r="X300" i="3"/>
  <c r="Q303" i="3"/>
  <c r="W305" i="3"/>
  <c r="P308" i="3"/>
  <c r="V310" i="3"/>
  <c r="X312" i="3"/>
  <c r="X314" i="3"/>
  <c r="W316" i="3"/>
  <c r="V318" i="3"/>
  <c r="W320" i="3"/>
  <c r="V322" i="3"/>
  <c r="T324" i="3"/>
  <c r="AA325" i="3"/>
  <c r="W327" i="3"/>
  <c r="R329" i="3"/>
  <c r="W330" i="3"/>
  <c r="AB331" i="3"/>
  <c r="U333" i="3"/>
  <c r="Z334" i="3"/>
  <c r="R336" i="3"/>
  <c r="W337" i="3"/>
  <c r="P339" i="3"/>
  <c r="U340" i="3"/>
  <c r="Z341" i="3"/>
  <c r="S343" i="3"/>
  <c r="X344" i="3"/>
  <c r="P346" i="3"/>
  <c r="U347" i="3"/>
  <c r="AE347" i="3" s="1"/>
  <c r="X348" i="3"/>
  <c r="AA349" i="3"/>
  <c r="Q351" i="3"/>
  <c r="T352" i="3"/>
  <c r="W353" i="3"/>
  <c r="Z354" i="3"/>
  <c r="P356" i="3"/>
  <c r="S357" i="3"/>
  <c r="V358" i="3"/>
  <c r="Y359" i="3"/>
  <c r="AB360" i="3"/>
  <c r="R362" i="3"/>
  <c r="U363" i="3"/>
  <c r="AE363" i="3" s="1"/>
  <c r="X364" i="3"/>
  <c r="AA365" i="3"/>
  <c r="Q367" i="3"/>
  <c r="T368" i="3"/>
  <c r="W369" i="3"/>
  <c r="Z370" i="3"/>
  <c r="P372" i="3"/>
  <c r="S373" i="3"/>
  <c r="V374" i="3"/>
  <c r="Y375" i="3"/>
  <c r="AB376" i="3"/>
  <c r="Q378" i="3"/>
  <c r="P379" i="3"/>
  <c r="P380" i="3"/>
  <c r="AB380" i="3"/>
  <c r="P382" i="3"/>
  <c r="P383" i="3"/>
  <c r="AB383" i="3"/>
  <c r="AB384" i="3"/>
  <c r="Z385" i="3"/>
  <c r="Y386" i="3"/>
  <c r="V387" i="3"/>
  <c r="S388" i="3"/>
  <c r="R389" i="3"/>
  <c r="AB389" i="3"/>
  <c r="Y390" i="3"/>
  <c r="X391" i="3"/>
  <c r="U392" i="3"/>
  <c r="AE392" i="3" s="1"/>
  <c r="R393" i="3"/>
  <c r="Q394" i="3"/>
  <c r="AA394" i="3"/>
  <c r="X395" i="3"/>
  <c r="W396" i="3"/>
  <c r="T397" i="3"/>
  <c r="Q398" i="3"/>
  <c r="P399" i="3"/>
  <c r="Z399" i="3"/>
  <c r="W400" i="3"/>
  <c r="V401" i="3"/>
  <c r="S402" i="3"/>
  <c r="P403" i="3"/>
  <c r="AB403" i="3"/>
  <c r="Y404" i="3"/>
  <c r="V405" i="3"/>
  <c r="U406" i="3"/>
  <c r="AE406" i="3" s="1"/>
  <c r="R407" i="3"/>
  <c r="AB407" i="3"/>
  <c r="AA408" i="3"/>
  <c r="X409" i="3"/>
  <c r="U410" i="3"/>
  <c r="AE410" i="3" s="1"/>
  <c r="T411" i="3"/>
  <c r="Q412" i="3"/>
  <c r="AA412" i="3"/>
  <c r="Z413" i="3"/>
  <c r="W414" i="3"/>
  <c r="T415" i="3"/>
  <c r="S416" i="3"/>
  <c r="P417" i="3"/>
  <c r="Z417" i="3"/>
  <c r="Y418" i="3"/>
  <c r="V419" i="3"/>
  <c r="S420" i="3"/>
  <c r="R421" i="3"/>
  <c r="AA421" i="3"/>
  <c r="W422" i="3"/>
  <c r="S423" i="3"/>
  <c r="AB423" i="3"/>
  <c r="X424" i="3"/>
  <c r="T425" i="3"/>
  <c r="Q426" i="3"/>
  <c r="Z426" i="3"/>
  <c r="V427" i="3"/>
  <c r="R428" i="3"/>
  <c r="AA428" i="3"/>
  <c r="W429" i="3"/>
  <c r="S430" i="3"/>
  <c r="P431" i="3"/>
  <c r="Y431" i="3"/>
  <c r="T432" i="3"/>
  <c r="AB432" i="3"/>
  <c r="W433" i="3"/>
  <c r="R434" i="3"/>
  <c r="Z434" i="3"/>
  <c r="U435" i="3"/>
  <c r="AE435" i="3" s="1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W85" i="3"/>
  <c r="Z129" i="3"/>
  <c r="P153" i="3"/>
  <c r="R167" i="3"/>
  <c r="P178" i="3"/>
  <c r="Z187" i="3"/>
  <c r="Y195" i="3"/>
  <c r="T202" i="3"/>
  <c r="R208" i="3"/>
  <c r="AA213" i="3"/>
  <c r="V219" i="3"/>
  <c r="Q225" i="3"/>
  <c r="Y230" i="3"/>
  <c r="R236" i="3"/>
  <c r="Q241" i="3"/>
  <c r="P246" i="3"/>
  <c r="AB250" i="3"/>
  <c r="W255" i="3"/>
  <c r="U259" i="3"/>
  <c r="AE259" i="3" s="1"/>
  <c r="S263" i="3"/>
  <c r="AB266" i="3"/>
  <c r="T270" i="3"/>
  <c r="W273" i="3"/>
  <c r="T276" i="3"/>
  <c r="Z278" i="3"/>
  <c r="S281" i="3"/>
  <c r="Y283" i="3"/>
  <c r="R286" i="3"/>
  <c r="X288" i="3"/>
  <c r="Q291" i="3"/>
  <c r="W293" i="3"/>
  <c r="P296" i="3"/>
  <c r="V298" i="3"/>
  <c r="AB300" i="3"/>
  <c r="U303" i="3"/>
  <c r="AE303" i="3" s="1"/>
  <c r="AA305" i="3"/>
  <c r="T308" i="3"/>
  <c r="Z310" i="3"/>
  <c r="AA312" i="3"/>
  <c r="Z314" i="3"/>
  <c r="AA316" i="3"/>
  <c r="Z318" i="3"/>
  <c r="Z320" i="3"/>
  <c r="Y322" i="3"/>
  <c r="V324" i="3"/>
  <c r="R326" i="3"/>
  <c r="Y327" i="3"/>
  <c r="T329" i="3"/>
  <c r="Y330" i="3"/>
  <c r="R332" i="3"/>
  <c r="W333" i="3"/>
  <c r="AB334" i="3"/>
  <c r="T336" i="3"/>
  <c r="Z337" i="3"/>
  <c r="R339" i="3"/>
  <c r="W340" i="3"/>
  <c r="P342" i="3"/>
  <c r="U343" i="3"/>
  <c r="AE343" i="3" s="1"/>
  <c r="Z344" i="3"/>
  <c r="R346" i="3"/>
  <c r="W347" i="3"/>
  <c r="Z348" i="3"/>
  <c r="P350" i="3"/>
  <c r="S351" i="3"/>
  <c r="V352" i="3"/>
  <c r="Y353" i="3"/>
  <c r="AB354" i="3"/>
  <c r="R356" i="3"/>
  <c r="U357" i="3"/>
  <c r="X358" i="3"/>
  <c r="AA359" i="3"/>
  <c r="Q361" i="3"/>
  <c r="T362" i="3"/>
  <c r="W363" i="3"/>
  <c r="Z364" i="3"/>
  <c r="P366" i="3"/>
  <c r="S367" i="3"/>
  <c r="V368" i="3"/>
  <c r="Y369" i="3"/>
  <c r="AB370" i="3"/>
  <c r="R372" i="3"/>
  <c r="U373" i="3"/>
  <c r="AE373" i="3" s="1"/>
  <c r="X374" i="3"/>
  <c r="AA375" i="3"/>
  <c r="Q377" i="3"/>
  <c r="R378" i="3"/>
  <c r="Q379" i="3"/>
  <c r="R380" i="3"/>
  <c r="R381" i="3"/>
  <c r="Q382" i="3"/>
  <c r="Q383" i="3"/>
  <c r="P384" i="3"/>
  <c r="Q385" i="3"/>
  <c r="AA385" i="3"/>
  <c r="Z386" i="3"/>
  <c r="W387" i="3"/>
  <c r="T388" i="3"/>
  <c r="S389" i="3"/>
  <c r="P390" i="3"/>
  <c r="Z390" i="3"/>
  <c r="Y391" i="3"/>
  <c r="V392" i="3"/>
  <c r="S393" i="3"/>
  <c r="R394" i="3"/>
  <c r="AB394" i="3"/>
  <c r="Y395" i="3"/>
  <c r="X396" i="3"/>
  <c r="U397" i="3"/>
  <c r="AE397" i="3" s="1"/>
  <c r="R398" i="3"/>
  <c r="Q399" i="3"/>
  <c r="AA399" i="3"/>
  <c r="X400" i="3"/>
  <c r="W401" i="3"/>
  <c r="T402" i="3"/>
  <c r="Q403" i="3"/>
  <c r="P404" i="3"/>
  <c r="Z404" i="3"/>
  <c r="W405" i="3"/>
  <c r="V406" i="3"/>
  <c r="S407" i="3"/>
  <c r="P408" i="3"/>
  <c r="AB408" i="3"/>
  <c r="Y409" i="3"/>
  <c r="V410" i="3"/>
  <c r="U411" i="3"/>
  <c r="R412" i="3"/>
  <c r="AB412" i="3"/>
  <c r="AA413" i="3"/>
  <c r="X414" i="3"/>
  <c r="U415" i="3"/>
  <c r="AE415" i="3" s="1"/>
  <c r="T416" i="3"/>
  <c r="Q417" i="3"/>
  <c r="AA417" i="3"/>
  <c r="Z418" i="3"/>
  <c r="W419" i="3"/>
  <c r="T420" i="3"/>
  <c r="S421" i="3"/>
  <c r="AB421" i="3"/>
  <c r="X422" i="3"/>
  <c r="T423" i="3"/>
  <c r="P424" i="3"/>
  <c r="Y424" i="3"/>
  <c r="V425" i="3"/>
  <c r="R426" i="3"/>
  <c r="AA426" i="3"/>
  <c r="W427" i="3"/>
  <c r="S428" i="3"/>
  <c r="AB428" i="3"/>
  <c r="X429" i="3"/>
  <c r="U430" i="3"/>
  <c r="AE430" i="3" s="1"/>
  <c r="Q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S106" i="3"/>
  <c r="X139" i="3"/>
  <c r="P159" i="3"/>
  <c r="AA171" i="3"/>
  <c r="Y181" i="3"/>
  <c r="Z190" i="3"/>
  <c r="R198" i="3"/>
  <c r="Y204" i="3"/>
  <c r="T210" i="3"/>
  <c r="AB215" i="3"/>
  <c r="W221" i="3"/>
  <c r="R227" i="3"/>
  <c r="Z232" i="3"/>
  <c r="P238" i="3"/>
  <c r="AB242" i="3"/>
  <c r="AA247" i="3"/>
  <c r="Z252" i="3"/>
  <c r="AB256" i="3"/>
  <c r="Z260" i="3"/>
  <c r="AA264" i="3"/>
  <c r="R268" i="3"/>
  <c r="W271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X311" i="3"/>
  <c r="W313" i="3"/>
  <c r="X315" i="3"/>
  <c r="W317" i="3"/>
  <c r="W319" i="3"/>
  <c r="V321" i="3"/>
  <c r="U323" i="3"/>
  <c r="AE323" i="3" s="1"/>
  <c r="Q325" i="3"/>
  <c r="Z326" i="3"/>
  <c r="T328" i="3"/>
  <c r="AA329" i="3"/>
  <c r="S331" i="3"/>
  <c r="X332" i="3"/>
  <c r="Q334" i="3"/>
  <c r="V335" i="3"/>
  <c r="AA336" i="3"/>
  <c r="T338" i="3"/>
  <c r="Y339" i="3"/>
  <c r="Q341" i="3"/>
  <c r="V342" i="3"/>
  <c r="AB343" i="3"/>
  <c r="T345" i="3"/>
  <c r="Y346" i="3"/>
  <c r="P348" i="3"/>
  <c r="S349" i="3"/>
  <c r="V350" i="3"/>
  <c r="Y351" i="3"/>
  <c r="AB352" i="3"/>
  <c r="R354" i="3"/>
  <c r="U355" i="3"/>
  <c r="X356" i="3"/>
  <c r="AA357" i="3"/>
  <c r="Q359" i="3"/>
  <c r="T360" i="3"/>
  <c r="W361" i="3"/>
  <c r="Z362" i="3"/>
  <c r="P364" i="3"/>
  <c r="S365" i="3"/>
  <c r="V366" i="3"/>
  <c r="Y367" i="3"/>
  <c r="AB368" i="3"/>
  <c r="R370" i="3"/>
  <c r="U371" i="3"/>
  <c r="AE371" i="3" s="1"/>
  <c r="X372" i="3"/>
  <c r="AA373" i="3"/>
  <c r="Q375" i="3"/>
  <c r="T376" i="3"/>
  <c r="W377" i="3"/>
  <c r="V378" i="3"/>
  <c r="W379" i="3"/>
  <c r="W380" i="3"/>
  <c r="V381" i="3"/>
  <c r="V382" i="3"/>
  <c r="U383" i="3"/>
  <c r="AE383" i="3" s="1"/>
  <c r="V384" i="3"/>
  <c r="V385" i="3"/>
  <c r="S386" i="3"/>
  <c r="P387" i="3"/>
  <c r="AB387" i="3"/>
  <c r="Y388" i="3"/>
  <c r="V389" i="3"/>
  <c r="U390" i="3"/>
  <c r="AE390" i="3" s="1"/>
  <c r="R391" i="3"/>
  <c r="AB391" i="3"/>
  <c r="AA392" i="3"/>
  <c r="X393" i="3"/>
  <c r="U394" i="3"/>
  <c r="AE394" i="3" s="1"/>
  <c r="T395" i="3"/>
  <c r="Q396" i="3"/>
  <c r="AA396" i="3"/>
  <c r="Z397" i="3"/>
  <c r="W398" i="3"/>
  <c r="T399" i="3"/>
  <c r="S400" i="3"/>
  <c r="P401" i="3"/>
  <c r="Z401" i="3"/>
  <c r="Y402" i="3"/>
  <c r="V403" i="3"/>
  <c r="S404" i="3"/>
  <c r="R405" i="3"/>
  <c r="AB405" i="3"/>
  <c r="Y406" i="3"/>
  <c r="X407" i="3"/>
  <c r="U408" i="3"/>
  <c r="AE408" i="3" s="1"/>
  <c r="R409" i="3"/>
  <c r="Q410" i="3"/>
  <c r="AA410" i="3"/>
  <c r="X411" i="3"/>
  <c r="W412" i="3"/>
  <c r="T413" i="3"/>
  <c r="Q414" i="3"/>
  <c r="P415" i="3"/>
  <c r="Z415" i="3"/>
  <c r="W416" i="3"/>
  <c r="V417" i="3"/>
  <c r="S418" i="3"/>
  <c r="P419" i="3"/>
  <c r="AB419" i="3"/>
  <c r="Y420" i="3"/>
  <c r="V421" i="3"/>
  <c r="R422" i="3"/>
  <c r="AA422" i="3"/>
  <c r="X423" i="3"/>
  <c r="T424" i="3"/>
  <c r="P425" i="3"/>
  <c r="Y425" i="3"/>
  <c r="U426" i="3"/>
  <c r="AE426" i="3" s="1"/>
  <c r="Q427" i="3"/>
  <c r="Z427" i="3"/>
  <c r="W428" i="3"/>
  <c r="S429" i="3"/>
  <c r="AB429" i="3"/>
  <c r="X430" i="3"/>
  <c r="T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P112" i="3"/>
  <c r="P143" i="3"/>
  <c r="W160" i="3"/>
  <c r="Q173" i="3"/>
  <c r="AB182" i="3"/>
  <c r="Z191" i="3"/>
  <c r="AB198" i="3"/>
  <c r="U205" i="3"/>
  <c r="AE205" i="3" s="1"/>
  <c r="P211" i="3"/>
  <c r="X216" i="3"/>
  <c r="S222" i="3"/>
  <c r="AA227" i="3"/>
  <c r="W233" i="3"/>
  <c r="X238" i="3"/>
  <c r="W243" i="3"/>
  <c r="V248" i="3"/>
  <c r="U253" i="3"/>
  <c r="V257" i="3"/>
  <c r="T261" i="3"/>
  <c r="U265" i="3"/>
  <c r="AE265" i="3" s="1"/>
  <c r="X268" i="3"/>
  <c r="AA271" i="3"/>
  <c r="Q275" i="3"/>
  <c r="W277" i="3"/>
  <c r="P280" i="3"/>
  <c r="V282" i="3"/>
  <c r="AB284" i="3"/>
  <c r="U287" i="3"/>
  <c r="AE287" i="3" s="1"/>
  <c r="AA289" i="3"/>
  <c r="T292" i="3"/>
  <c r="Z294" i="3"/>
  <c r="S297" i="3"/>
  <c r="Y299" i="3"/>
  <c r="R302" i="3"/>
  <c r="X304" i="3"/>
  <c r="Q307" i="3"/>
  <c r="W309" i="3"/>
  <c r="AB311" i="3"/>
  <c r="AA313" i="3"/>
  <c r="AA315" i="3"/>
  <c r="Z317" i="3"/>
  <c r="Y319" i="3"/>
  <c r="Z321" i="3"/>
  <c r="Y323" i="3"/>
  <c r="S325" i="3"/>
  <c r="AB326" i="3"/>
  <c r="X328" i="3"/>
  <c r="P330" i="3"/>
  <c r="U331" i="3"/>
  <c r="AE331" i="3" s="1"/>
  <c r="AA332" i="3"/>
  <c r="S334" i="3"/>
  <c r="X335" i="3"/>
  <c r="Q337" i="3"/>
  <c r="V338" i="3"/>
  <c r="AA339" i="3"/>
  <c r="S341" i="3"/>
  <c r="Y342" i="3"/>
  <c r="Q344" i="3"/>
  <c r="V345" i="3"/>
  <c r="AB346" i="3"/>
  <c r="R348" i="3"/>
  <c r="U349" i="3"/>
  <c r="X350" i="3"/>
  <c r="AA351" i="3"/>
  <c r="Q353" i="3"/>
  <c r="T354" i="3"/>
  <c r="W355" i="3"/>
  <c r="Z356" i="3"/>
  <c r="P358" i="3"/>
  <c r="S359" i="3"/>
  <c r="V360" i="3"/>
  <c r="Y361" i="3"/>
  <c r="AB362" i="3"/>
  <c r="R364" i="3"/>
  <c r="U365" i="3"/>
  <c r="AE365" i="3" s="1"/>
  <c r="X366" i="3"/>
  <c r="AA367" i="3"/>
  <c r="Q369" i="3"/>
  <c r="T370" i="3"/>
  <c r="W371" i="3"/>
  <c r="Z372" i="3"/>
  <c r="P374" i="3"/>
  <c r="S375" i="3"/>
  <c r="V376" i="3"/>
  <c r="Y377" i="3"/>
  <c r="Y378" i="3"/>
  <c r="X379" i="3"/>
  <c r="X380" i="3"/>
  <c r="W381" i="3"/>
  <c r="X382" i="3"/>
  <c r="X383" i="3"/>
  <c r="W384" i="3"/>
  <c r="W385" i="3"/>
  <c r="T386" i="3"/>
  <c r="Q387" i="3"/>
  <c r="P388" i="3"/>
  <c r="Z388" i="3"/>
  <c r="W389" i="3"/>
  <c r="V390" i="3"/>
  <c r="S391" i="3"/>
  <c r="P392" i="3"/>
  <c r="AB392" i="3"/>
  <c r="Y393" i="3"/>
  <c r="V394" i="3"/>
  <c r="U395" i="3"/>
  <c r="AE395" i="3" s="1"/>
  <c r="R396" i="3"/>
  <c r="AB396" i="3"/>
  <c r="AA397" i="3"/>
  <c r="X398" i="3"/>
  <c r="U399" i="3"/>
  <c r="T400" i="3"/>
  <c r="Q401" i="3"/>
  <c r="AA401" i="3"/>
  <c r="Z402" i="3"/>
  <c r="W403" i="3"/>
  <c r="T404" i="3"/>
  <c r="S405" i="3"/>
  <c r="P406" i="3"/>
  <c r="Z406" i="3"/>
  <c r="Y407" i="3"/>
  <c r="V408" i="3"/>
  <c r="S409" i="3"/>
  <c r="R410" i="3"/>
  <c r="AB410" i="3"/>
  <c r="Y411" i="3"/>
  <c r="X412" i="3"/>
  <c r="U413" i="3"/>
  <c r="AE413" i="3" s="1"/>
  <c r="R414" i="3"/>
  <c r="Q415" i="3"/>
  <c r="AA415" i="3"/>
  <c r="X416" i="3"/>
  <c r="W417" i="3"/>
  <c r="T418" i="3"/>
  <c r="Q419" i="3"/>
  <c r="P420" i="3"/>
  <c r="Z420" i="3"/>
  <c r="W421" i="3"/>
  <c r="S422" i="3"/>
  <c r="P423" i="3"/>
  <c r="Y423" i="3"/>
  <c r="U424" i="3"/>
  <c r="AE424" i="3" s="1"/>
  <c r="Q425" i="3"/>
  <c r="Z425" i="3"/>
  <c r="V426" i="3"/>
  <c r="R427" i="3"/>
  <c r="AB427" i="3"/>
  <c r="X428" i="3"/>
  <c r="T429" i="3"/>
  <c r="P430" i="3"/>
  <c r="Y430" i="3"/>
  <c r="U431" i="3"/>
  <c r="AE431" i="3" s="1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U5" i="3"/>
  <c r="Y145" i="3"/>
  <c r="S174" i="3"/>
  <c r="X192" i="3"/>
  <c r="P206" i="3"/>
  <c r="S217" i="3"/>
  <c r="V228" i="3"/>
  <c r="R239" i="3"/>
  <c r="P249" i="3"/>
  <c r="Y257" i="3"/>
  <c r="X265" i="3"/>
  <c r="S272" i="3"/>
  <c r="Z277" i="3"/>
  <c r="Y282" i="3"/>
  <c r="X287" i="3"/>
  <c r="W292" i="3"/>
  <c r="V297" i="3"/>
  <c r="U302" i="3"/>
  <c r="AE302" i="3" s="1"/>
  <c r="T307" i="3"/>
  <c r="P312" i="3"/>
  <c r="AB315" i="3"/>
  <c r="AB319" i="3"/>
  <c r="Z323" i="3"/>
  <c r="P327" i="3"/>
  <c r="Q330" i="3"/>
  <c r="AB332" i="3"/>
  <c r="Y335" i="3"/>
  <c r="W338" i="3"/>
  <c r="U341" i="3"/>
  <c r="AE341" i="3" s="1"/>
  <c r="R344" i="3"/>
  <c r="P347" i="3"/>
  <c r="V349" i="3"/>
  <c r="AB351" i="3"/>
  <c r="U354" i="3"/>
  <c r="AE354" i="3" s="1"/>
  <c r="AA356" i="3"/>
  <c r="T359" i="3"/>
  <c r="Z361" i="3"/>
  <c r="S364" i="3"/>
  <c r="Y366" i="3"/>
  <c r="R369" i="3"/>
  <c r="X371" i="3"/>
  <c r="Q374" i="3"/>
  <c r="W376" i="3"/>
  <c r="Z378" i="3"/>
  <c r="Z380" i="3"/>
  <c r="Y382" i="3"/>
  <c r="X384" i="3"/>
  <c r="U386" i="3"/>
  <c r="AE386" i="3" s="1"/>
  <c r="Q388" i="3"/>
  <c r="Z389" i="3"/>
  <c r="T391" i="3"/>
  <c r="P393" i="3"/>
  <c r="Y394" i="3"/>
  <c r="S396" i="3"/>
  <c r="AB397" i="3"/>
  <c r="X399" i="3"/>
  <c r="R401" i="3"/>
  <c r="AA402" i="3"/>
  <c r="W404" i="3"/>
  <c r="Q406" i="3"/>
  <c r="Z407" i="3"/>
  <c r="V409" i="3"/>
  <c r="P411" i="3"/>
  <c r="Y412" i="3"/>
  <c r="U414" i="3"/>
  <c r="AE414" i="3" s="1"/>
  <c r="AB415" i="3"/>
  <c r="X417" i="3"/>
  <c r="T419" i="3"/>
  <c r="AB92" i="3"/>
  <c r="AA154" i="3"/>
  <c r="R179" i="3"/>
  <c r="U196" i="3"/>
  <c r="AE196" i="3" s="1"/>
  <c r="Z208" i="3"/>
  <c r="Q220" i="3"/>
  <c r="T231" i="3"/>
  <c r="X241" i="3"/>
  <c r="V251" i="3"/>
  <c r="AA259" i="3"/>
  <c r="T267" i="3"/>
  <c r="AB273" i="3"/>
  <c r="P279" i="3"/>
  <c r="AB283" i="3"/>
  <c r="AA288" i="3"/>
  <c r="Z293" i="3"/>
  <c r="Y298" i="3"/>
  <c r="X303" i="3"/>
  <c r="W308" i="3"/>
  <c r="AB312" i="3"/>
  <c r="AB316" i="3"/>
  <c r="AA320" i="3"/>
  <c r="W324" i="3"/>
  <c r="AB327" i="3"/>
  <c r="Z330" i="3"/>
  <c r="X333" i="3"/>
  <c r="V336" i="3"/>
  <c r="S339" i="3"/>
  <c r="Q342" i="3"/>
  <c r="AA344" i="3"/>
  <c r="X347" i="3"/>
  <c r="Q350" i="3"/>
  <c r="W352" i="3"/>
  <c r="P355" i="3"/>
  <c r="V357" i="3"/>
  <c r="AB359" i="3"/>
  <c r="U362" i="3"/>
  <c r="AE362" i="3" s="1"/>
  <c r="AA364" i="3"/>
  <c r="T367" i="3"/>
  <c r="Z369" i="3"/>
  <c r="S372" i="3"/>
  <c r="Y374" i="3"/>
  <c r="R377" i="3"/>
  <c r="T379" i="3"/>
  <c r="S381" i="3"/>
  <c r="S383" i="3"/>
  <c r="R385" i="3"/>
  <c r="AA386" i="3"/>
  <c r="W388" i="3"/>
  <c r="Q390" i="3"/>
  <c r="Z391" i="3"/>
  <c r="V393" i="3"/>
  <c r="P395" i="3"/>
  <c r="Y396" i="3"/>
  <c r="U398" i="3"/>
  <c r="AE398" i="3" s="1"/>
  <c r="AB399" i="3"/>
  <c r="X401" i="3"/>
  <c r="T403" i="3"/>
  <c r="AA404" i="3"/>
  <c r="W406" i="3"/>
  <c r="S408" i="3"/>
  <c r="Z409" i="3"/>
  <c r="V411" i="3"/>
  <c r="R413" i="3"/>
  <c r="Y414" i="3"/>
  <c r="U416" i="3"/>
  <c r="AE416" i="3" s="1"/>
  <c r="Q418" i="3"/>
  <c r="X419" i="3"/>
  <c r="T421" i="3"/>
  <c r="Y422" i="3"/>
  <c r="Q424" i="3"/>
  <c r="W425" i="3"/>
  <c r="AB426" i="3"/>
  <c r="T428" i="3"/>
  <c r="Z429" i="3"/>
  <c r="R431" i="3"/>
  <c r="V432" i="3"/>
  <c r="Y433" i="3"/>
  <c r="AB434" i="3"/>
  <c r="R436" i="3"/>
  <c r="U437" i="3"/>
  <c r="AE437" i="3" s="1"/>
  <c r="X438" i="3"/>
  <c r="AA439" i="3"/>
  <c r="Q441" i="3"/>
  <c r="T442" i="3"/>
  <c r="W443" i="3"/>
  <c r="U444" i="3"/>
  <c r="AE444" i="3" s="1"/>
  <c r="R445" i="3"/>
  <c r="P446" i="3"/>
  <c r="AA446" i="3"/>
  <c r="X447" i="3"/>
  <c r="V448" i="3"/>
  <c r="T449" i="3"/>
  <c r="P450" i="3"/>
  <c r="Y450" i="3"/>
  <c r="V451" i="3"/>
  <c r="R452" i="3"/>
  <c r="AA452" i="3"/>
  <c r="W453" i="3"/>
  <c r="S454" i="3"/>
  <c r="AB454" i="3"/>
  <c r="X455" i="3"/>
  <c r="U456" i="3"/>
  <c r="AE456" i="3" s="1"/>
  <c r="Q457" i="3"/>
  <c r="Z457" i="3"/>
  <c r="V458" i="3"/>
  <c r="R459" i="3"/>
  <c r="AA459" i="3"/>
  <c r="W460" i="3"/>
  <c r="T461" i="3"/>
  <c r="P462" i="3"/>
  <c r="Y462" i="3"/>
  <c r="U463" i="3"/>
  <c r="AE463" i="3" s="1"/>
  <c r="Q464" i="3"/>
  <c r="Z464" i="3"/>
  <c r="V465" i="3"/>
  <c r="S466" i="3"/>
  <c r="AB466" i="3"/>
  <c r="X467" i="3"/>
  <c r="T468" i="3"/>
  <c r="P469" i="3"/>
  <c r="Y469" i="3"/>
  <c r="U470" i="3"/>
  <c r="R471" i="3"/>
  <c r="AA471" i="3"/>
  <c r="W472" i="3"/>
  <c r="S473" i="3"/>
  <c r="AB473" i="3"/>
  <c r="X474" i="3"/>
  <c r="T475" i="3"/>
  <c r="Q476" i="3"/>
  <c r="Z476" i="3"/>
  <c r="V477" i="3"/>
  <c r="R478" i="3"/>
  <c r="AA478" i="3"/>
  <c r="W479" i="3"/>
  <c r="S480" i="3"/>
  <c r="P481" i="3"/>
  <c r="Y481" i="3"/>
  <c r="U482" i="3"/>
  <c r="AE482" i="3" s="1"/>
  <c r="Q483" i="3"/>
  <c r="Z483" i="3"/>
  <c r="V484" i="3"/>
  <c r="R485" i="3"/>
  <c r="AB485" i="3"/>
  <c r="X486" i="3"/>
  <c r="T487" i="3"/>
  <c r="P488" i="3"/>
  <c r="Y488" i="3"/>
  <c r="U489" i="3"/>
  <c r="AE489" i="3" s="1"/>
  <c r="Q490" i="3"/>
  <c r="AA490" i="3"/>
  <c r="W491" i="3"/>
  <c r="S492" i="3"/>
  <c r="AB492" i="3"/>
  <c r="X493" i="3"/>
  <c r="T494" i="3"/>
  <c r="P495" i="3"/>
  <c r="Z495" i="3"/>
  <c r="V496" i="3"/>
  <c r="R497" i="3"/>
  <c r="AA497" i="3"/>
  <c r="V498" i="3"/>
  <c r="Q499" i="3"/>
  <c r="Y499" i="3"/>
  <c r="T500" i="3"/>
  <c r="AB500" i="3"/>
  <c r="W501" i="3"/>
  <c r="R502" i="3"/>
  <c r="Z502" i="3"/>
  <c r="U503" i="3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AE527" i="3" s="1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AE535" i="3" s="1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AA545" i="3"/>
  <c r="V546" i="3"/>
  <c r="Q547" i="3"/>
  <c r="Y547" i="3"/>
  <c r="T548" i="3"/>
  <c r="AB548" i="3"/>
  <c r="W549" i="3"/>
  <c r="R550" i="3"/>
  <c r="Z550" i="3"/>
  <c r="U551" i="3"/>
  <c r="AE551" i="3" s="1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AE559" i="3" s="1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AE583" i="3" s="1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AE607" i="3" s="1"/>
  <c r="P608" i="3"/>
  <c r="P93" i="3"/>
  <c r="AB154" i="3"/>
  <c r="S179" i="3"/>
  <c r="V196" i="3"/>
  <c r="AB208" i="3"/>
  <c r="R220" i="3"/>
  <c r="U231" i="3"/>
  <c r="AE231" i="3" s="1"/>
  <c r="Y241" i="3"/>
  <c r="W251" i="3"/>
  <c r="AB259" i="3"/>
  <c r="U267" i="3"/>
  <c r="P274" i="3"/>
  <c r="Q279" i="3"/>
  <c r="P284" i="3"/>
  <c r="AB288" i="3"/>
  <c r="AA293" i="3"/>
  <c r="Z298" i="3"/>
  <c r="Y303" i="3"/>
  <c r="X308" i="3"/>
  <c r="R313" i="3"/>
  <c r="Q317" i="3"/>
  <c r="AB320" i="3"/>
  <c r="X324" i="3"/>
  <c r="P328" i="3"/>
  <c r="AB330" i="3"/>
  <c r="Y333" i="3"/>
  <c r="W336" i="3"/>
  <c r="T339" i="3"/>
  <c r="R342" i="3"/>
  <c r="AB344" i="3"/>
  <c r="Y347" i="3"/>
  <c r="R350" i="3"/>
  <c r="X352" i="3"/>
  <c r="Q355" i="3"/>
  <c r="W357" i="3"/>
  <c r="P360" i="3"/>
  <c r="V362" i="3"/>
  <c r="AB364" i="3"/>
  <c r="U367" i="3"/>
  <c r="AE367" i="3" s="1"/>
  <c r="AA369" i="3"/>
  <c r="T372" i="3"/>
  <c r="Z374" i="3"/>
  <c r="S377" i="3"/>
  <c r="U379" i="3"/>
  <c r="AE379" i="3" s="1"/>
  <c r="U381" i="3"/>
  <c r="AE381" i="3" s="1"/>
  <c r="T383" i="3"/>
  <c r="S385" i="3"/>
  <c r="AB386" i="3"/>
  <c r="X388" i="3"/>
  <c r="R390" i="3"/>
  <c r="AA391" i="3"/>
  <c r="W393" i="3"/>
  <c r="Q395" i="3"/>
  <c r="Z396" i="3"/>
  <c r="V398" i="3"/>
  <c r="P400" i="3"/>
  <c r="Y401" i="3"/>
  <c r="U403" i="3"/>
  <c r="AE403" i="3" s="1"/>
  <c r="AB404" i="3"/>
  <c r="X406" i="3"/>
  <c r="T408" i="3"/>
  <c r="AA409" i="3"/>
  <c r="W411" i="3"/>
  <c r="S413" i="3"/>
  <c r="Z414" i="3"/>
  <c r="V416" i="3"/>
  <c r="R418" i="3"/>
  <c r="Y419" i="3"/>
  <c r="U421" i="3"/>
  <c r="AE421" i="3" s="1"/>
  <c r="Z422" i="3"/>
  <c r="S424" i="3"/>
  <c r="X425" i="3"/>
  <c r="P427" i="3"/>
  <c r="U428" i="3"/>
  <c r="AE428" i="3" s="1"/>
  <c r="AA429" i="3"/>
  <c r="S431" i="3"/>
  <c r="W432" i="3"/>
  <c r="Z433" i="3"/>
  <c r="P435" i="3"/>
  <c r="S436" i="3"/>
  <c r="V437" i="3"/>
  <c r="Y438" i="3"/>
  <c r="AB439" i="3"/>
  <c r="R441" i="3"/>
  <c r="U442" i="3"/>
  <c r="AE442" i="3" s="1"/>
  <c r="X443" i="3"/>
  <c r="V444" i="3"/>
  <c r="T445" i="3"/>
  <c r="Q446" i="3"/>
  <c r="AB446" i="3"/>
  <c r="Z447" i="3"/>
  <c r="W448" i="3"/>
  <c r="U449" i="3"/>
  <c r="AE449" i="3" s="1"/>
  <c r="Q450" i="3"/>
  <c r="AA450" i="3"/>
  <c r="W451" i="3"/>
  <c r="S452" i="3"/>
  <c r="AB452" i="3"/>
  <c r="X453" i="3"/>
  <c r="T454" i="3"/>
  <c r="P455" i="3"/>
  <c r="Z455" i="3"/>
  <c r="V456" i="3"/>
  <c r="R457" i="3"/>
  <c r="AA457" i="3"/>
  <c r="W458" i="3"/>
  <c r="S459" i="3"/>
  <c r="AB459" i="3"/>
  <c r="Y460" i="3"/>
  <c r="U461" i="3"/>
  <c r="AE461" i="3" s="1"/>
  <c r="Q462" i="3"/>
  <c r="Z462" i="3"/>
  <c r="V463" i="3"/>
  <c r="R464" i="3"/>
  <c r="AA464" i="3"/>
  <c r="X465" i="3"/>
  <c r="T466" i="3"/>
  <c r="P467" i="3"/>
  <c r="Y467" i="3"/>
  <c r="U468" i="3"/>
  <c r="AE468" i="3" s="1"/>
  <c r="Q469" i="3"/>
  <c r="Z469" i="3"/>
  <c r="W470" i="3"/>
  <c r="S471" i="3"/>
  <c r="AB471" i="3"/>
  <c r="X472" i="3"/>
  <c r="T473" i="3"/>
  <c r="P474" i="3"/>
  <c r="Y474" i="3"/>
  <c r="V475" i="3"/>
  <c r="R476" i="3"/>
  <c r="AA476" i="3"/>
  <c r="W477" i="3"/>
  <c r="S478" i="3"/>
  <c r="AB478" i="3"/>
  <c r="X479" i="3"/>
  <c r="U480" i="3"/>
  <c r="AE480" i="3" s="1"/>
  <c r="Q481" i="3"/>
  <c r="Z481" i="3"/>
  <c r="V482" i="3"/>
  <c r="R483" i="3"/>
  <c r="AA483" i="3"/>
  <c r="W484" i="3"/>
  <c r="T485" i="3"/>
  <c r="P486" i="3"/>
  <c r="Y486" i="3"/>
  <c r="U487" i="3"/>
  <c r="Q488" i="3"/>
  <c r="Z488" i="3"/>
  <c r="V489" i="3"/>
  <c r="S490" i="3"/>
  <c r="AB490" i="3"/>
  <c r="X491" i="3"/>
  <c r="T492" i="3"/>
  <c r="P493" i="3"/>
  <c r="Y493" i="3"/>
  <c r="U494" i="3"/>
  <c r="R495" i="3"/>
  <c r="AA495" i="3"/>
  <c r="W496" i="3"/>
  <c r="S497" i="3"/>
  <c r="AB497" i="3"/>
  <c r="W498" i="3"/>
  <c r="R499" i="3"/>
  <c r="Z499" i="3"/>
  <c r="U500" i="3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AE548" i="3" s="1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AA116" i="3"/>
  <c r="R162" i="3"/>
  <c r="Q184" i="3"/>
  <c r="Z199" i="3"/>
  <c r="X211" i="3"/>
  <c r="AA222" i="3"/>
  <c r="R234" i="3"/>
  <c r="Q244" i="3"/>
  <c r="AA253" i="3"/>
  <c r="Z261" i="3"/>
  <c r="P269" i="3"/>
  <c r="T275" i="3"/>
  <c r="S280" i="3"/>
  <c r="R285" i="3"/>
  <c r="Q290" i="3"/>
  <c r="P295" i="3"/>
  <c r="AB299" i="3"/>
  <c r="AA304" i="3"/>
  <c r="Z309" i="3"/>
  <c r="P314" i="3"/>
  <c r="AA317" i="3"/>
  <c r="AA321" i="3"/>
  <c r="V325" i="3"/>
  <c r="Y328" i="3"/>
  <c r="W331" i="3"/>
  <c r="T334" i="3"/>
  <c r="R337" i="3"/>
  <c r="AB339" i="3"/>
  <c r="Z342" i="3"/>
  <c r="W345" i="3"/>
  <c r="S348" i="3"/>
  <c r="Y350" i="3"/>
  <c r="R353" i="3"/>
  <c r="X355" i="3"/>
  <c r="Q358" i="3"/>
  <c r="W360" i="3"/>
  <c r="P363" i="3"/>
  <c r="V365" i="3"/>
  <c r="AB367" i="3"/>
  <c r="U370" i="3"/>
  <c r="AE370" i="3" s="1"/>
  <c r="AA372" i="3"/>
  <c r="T375" i="3"/>
  <c r="Z377" i="3"/>
  <c r="Y379" i="3"/>
  <c r="Z381" i="3"/>
  <c r="Y383" i="3"/>
  <c r="X385" i="3"/>
  <c r="T387" i="3"/>
  <c r="AA388" i="3"/>
  <c r="W390" i="3"/>
  <c r="S392" i="3"/>
  <c r="Z393" i="3"/>
  <c r="V395" i="3"/>
  <c r="R397" i="3"/>
  <c r="Y398" i="3"/>
  <c r="U400" i="3"/>
  <c r="AE400" i="3" s="1"/>
  <c r="Q402" i="3"/>
  <c r="X403" i="3"/>
  <c r="T405" i="3"/>
  <c r="P407" i="3"/>
  <c r="W408" i="3"/>
  <c r="S410" i="3"/>
  <c r="AB411" i="3"/>
  <c r="V413" i="3"/>
  <c r="R415" i="3"/>
  <c r="AA416" i="3"/>
  <c r="U418" i="3"/>
  <c r="AE418" i="3" s="1"/>
  <c r="Q420" i="3"/>
  <c r="X421" i="3"/>
  <c r="Q423" i="3"/>
  <c r="V424" i="3"/>
  <c r="AA425" i="3"/>
  <c r="T427" i="3"/>
  <c r="Y428" i="3"/>
  <c r="Q430" i="3"/>
  <c r="V431" i="3"/>
  <c r="Z432" i="3"/>
  <c r="P434" i="3"/>
  <c r="S435" i="3"/>
  <c r="V436" i="3"/>
  <c r="Y437" i="3"/>
  <c r="AB438" i="3"/>
  <c r="R440" i="3"/>
  <c r="U441" i="3"/>
  <c r="AE441" i="3" s="1"/>
  <c r="X442" i="3"/>
  <c r="Z443" i="3"/>
  <c r="W444" i="3"/>
  <c r="U445" i="3"/>
  <c r="AE445" i="3" s="1"/>
  <c r="S446" i="3"/>
  <c r="P447" i="3"/>
  <c r="AA447" i="3"/>
  <c r="Y448" i="3"/>
  <c r="V449" i="3"/>
  <c r="S450" i="3"/>
  <c r="AB450" i="3"/>
  <c r="X451" i="3"/>
  <c r="T452" i="3"/>
  <c r="P453" i="3"/>
  <c r="Y453" i="3"/>
  <c r="U454" i="3"/>
  <c r="AE454" i="3" s="1"/>
  <c r="R455" i="3"/>
  <c r="AA455" i="3"/>
  <c r="W456" i="3"/>
  <c r="S457" i="3"/>
  <c r="AB457" i="3"/>
  <c r="X458" i="3"/>
  <c r="T459" i="3"/>
  <c r="Q460" i="3"/>
  <c r="Z460" i="3"/>
  <c r="V461" i="3"/>
  <c r="R462" i="3"/>
  <c r="AA462" i="3"/>
  <c r="W463" i="3"/>
  <c r="S464" i="3"/>
  <c r="P465" i="3"/>
  <c r="Y465" i="3"/>
  <c r="U466" i="3"/>
  <c r="AE466" i="3" s="1"/>
  <c r="Q467" i="3"/>
  <c r="Z467" i="3"/>
  <c r="V468" i="3"/>
  <c r="R469" i="3"/>
  <c r="AB469" i="3"/>
  <c r="X470" i="3"/>
  <c r="T471" i="3"/>
  <c r="P472" i="3"/>
  <c r="Y472" i="3"/>
  <c r="U473" i="3"/>
  <c r="AE473" i="3" s="1"/>
  <c r="Q474" i="3"/>
  <c r="AA474" i="3"/>
  <c r="W475" i="3"/>
  <c r="S476" i="3"/>
  <c r="AB476" i="3"/>
  <c r="X477" i="3"/>
  <c r="T478" i="3"/>
  <c r="P479" i="3"/>
  <c r="Z479" i="3"/>
  <c r="V480" i="3"/>
  <c r="R481" i="3"/>
  <c r="AA481" i="3"/>
  <c r="W482" i="3"/>
  <c r="S483" i="3"/>
  <c r="AB483" i="3"/>
  <c r="Y484" i="3"/>
  <c r="U485" i="3"/>
  <c r="AE485" i="3" s="1"/>
  <c r="Q486" i="3"/>
  <c r="Z486" i="3"/>
  <c r="V487" i="3"/>
  <c r="R488" i="3"/>
  <c r="AA488" i="3"/>
  <c r="X489" i="3"/>
  <c r="T490" i="3"/>
  <c r="P491" i="3"/>
  <c r="Y491" i="3"/>
  <c r="U492" i="3"/>
  <c r="AE492" i="3" s="1"/>
  <c r="Q493" i="3"/>
  <c r="Z493" i="3"/>
  <c r="W494" i="3"/>
  <c r="S495" i="3"/>
  <c r="AB495" i="3"/>
  <c r="X496" i="3"/>
  <c r="T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AB132" i="3"/>
  <c r="Z168" i="3"/>
  <c r="Y188" i="3"/>
  <c r="P203" i="3"/>
  <c r="V214" i="3"/>
  <c r="Y225" i="3"/>
  <c r="Y236" i="3"/>
  <c r="W246" i="3"/>
  <c r="Z255" i="3"/>
  <c r="Y263" i="3"/>
  <c r="W270" i="3"/>
  <c r="W276" i="3"/>
  <c r="V281" i="3"/>
  <c r="U286" i="3"/>
  <c r="AE286" i="3" s="1"/>
  <c r="T291" i="3"/>
  <c r="S296" i="3"/>
  <c r="R301" i="3"/>
  <c r="Q306" i="3"/>
  <c r="P311" i="3"/>
  <c r="P315" i="3"/>
  <c r="AB318" i="3"/>
  <c r="Z322" i="3"/>
  <c r="S326" i="3"/>
  <c r="U329" i="3"/>
  <c r="AE329" i="3" s="1"/>
  <c r="S332" i="3"/>
  <c r="P335" i="3"/>
  <c r="AA337" i="3"/>
  <c r="X340" i="3"/>
  <c r="V343" i="3"/>
  <c r="T346" i="3"/>
  <c r="AA348" i="3"/>
  <c r="T351" i="3"/>
  <c r="Z353" i="3"/>
  <c r="S356" i="3"/>
  <c r="Y358" i="3"/>
  <c r="R361" i="3"/>
  <c r="X363" i="3"/>
  <c r="Q366" i="3"/>
  <c r="W368" i="3"/>
  <c r="P371" i="3"/>
  <c r="V373" i="3"/>
  <c r="AB375" i="3"/>
  <c r="T378" i="3"/>
  <c r="S380" i="3"/>
  <c r="R382" i="3"/>
  <c r="S384" i="3"/>
  <c r="Q386" i="3"/>
  <c r="X387" i="3"/>
  <c r="T389" i="3"/>
  <c r="P391" i="3"/>
  <c r="W392" i="3"/>
  <c r="S394" i="3"/>
  <c r="AB395" i="3"/>
  <c r="V397" i="3"/>
  <c r="R399" i="3"/>
  <c r="AA400" i="3"/>
  <c r="U402" i="3"/>
  <c r="Q404" i="3"/>
  <c r="Z405" i="3"/>
  <c r="T407" i="3"/>
  <c r="P409" i="3"/>
  <c r="Y410" i="3"/>
  <c r="S412" i="3"/>
  <c r="AB413" i="3"/>
  <c r="X415" i="3"/>
  <c r="R417" i="3"/>
  <c r="AA418" i="3"/>
  <c r="W420" i="3"/>
  <c r="P422" i="3"/>
  <c r="U423" i="3"/>
  <c r="AE423" i="3" s="1"/>
  <c r="AA424" i="3"/>
  <c r="S426" i="3"/>
  <c r="X427" i="3"/>
  <c r="P429" i="3"/>
  <c r="V430" i="3"/>
  <c r="AA431" i="3"/>
  <c r="Q433" i="3"/>
  <c r="T434" i="3"/>
  <c r="W435" i="3"/>
  <c r="Z436" i="3"/>
  <c r="P438" i="3"/>
  <c r="S439" i="3"/>
  <c r="V440" i="3"/>
  <c r="Y441" i="3"/>
  <c r="AB442" i="3"/>
  <c r="AB443" i="3"/>
  <c r="Z444" i="3"/>
  <c r="X445" i="3"/>
  <c r="U446" i="3"/>
  <c r="S447" i="3"/>
  <c r="Q448" i="3"/>
  <c r="AA448" i="3"/>
  <c r="Y449" i="3"/>
  <c r="U450" i="3"/>
  <c r="AE450" i="3" s="1"/>
  <c r="Q451" i="3"/>
  <c r="Z451" i="3"/>
  <c r="V452" i="3"/>
  <c r="R453" i="3"/>
  <c r="AB453" i="3"/>
  <c r="X454" i="3"/>
  <c r="T455" i="3"/>
  <c r="P456" i="3"/>
  <c r="Y456" i="3"/>
  <c r="U457" i="3"/>
  <c r="AE457" i="3" s="1"/>
  <c r="Q458" i="3"/>
  <c r="AA458" i="3"/>
  <c r="W459" i="3"/>
  <c r="S460" i="3"/>
  <c r="AB460" i="3"/>
  <c r="X461" i="3"/>
  <c r="T462" i="3"/>
  <c r="P463" i="3"/>
  <c r="Z463" i="3"/>
  <c r="V464" i="3"/>
  <c r="R465" i="3"/>
  <c r="AA465" i="3"/>
  <c r="W466" i="3"/>
  <c r="S467" i="3"/>
  <c r="AB467" i="3"/>
  <c r="Y468" i="3"/>
  <c r="U469" i="3"/>
  <c r="Q470" i="3"/>
  <c r="Z470" i="3"/>
  <c r="V471" i="3"/>
  <c r="R472" i="3"/>
  <c r="AA472" i="3"/>
  <c r="X473" i="3"/>
  <c r="T474" i="3"/>
  <c r="P475" i="3"/>
  <c r="Y475" i="3"/>
  <c r="U476" i="3"/>
  <c r="AE476" i="3" s="1"/>
  <c r="Q477" i="3"/>
  <c r="Z477" i="3"/>
  <c r="W478" i="3"/>
  <c r="S479" i="3"/>
  <c r="AB479" i="3"/>
  <c r="X480" i="3"/>
  <c r="T481" i="3"/>
  <c r="P482" i="3"/>
  <c r="Y482" i="3"/>
  <c r="V483" i="3"/>
  <c r="R484" i="3"/>
  <c r="AA484" i="3"/>
  <c r="W485" i="3"/>
  <c r="S486" i="3"/>
  <c r="AB486" i="3"/>
  <c r="X487" i="3"/>
  <c r="U488" i="3"/>
  <c r="Q489" i="3"/>
  <c r="Z489" i="3"/>
  <c r="V490" i="3"/>
  <c r="R491" i="3"/>
  <c r="AA491" i="3"/>
  <c r="W492" i="3"/>
  <c r="T493" i="3"/>
  <c r="P494" i="3"/>
  <c r="Y494" i="3"/>
  <c r="U495" i="3"/>
  <c r="AE495" i="3" s="1"/>
  <c r="Q496" i="3"/>
  <c r="Z496" i="3"/>
  <c r="V497" i="3"/>
  <c r="R498" i="3"/>
  <c r="Z498" i="3"/>
  <c r="U499" i="3"/>
  <c r="AE499" i="3" s="1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AE539" i="3" s="1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AE547" i="3" s="1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AE555" i="3" s="1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AE563" i="3" s="1"/>
  <c r="P564" i="3"/>
  <c r="X564" i="3"/>
  <c r="S565" i="3"/>
  <c r="AA565" i="3"/>
  <c r="V566" i="3"/>
  <c r="Q567" i="3"/>
  <c r="Y567" i="3"/>
  <c r="T568" i="3"/>
  <c r="AB568" i="3"/>
  <c r="W569" i="3"/>
  <c r="R570" i="3"/>
  <c r="Z570" i="3"/>
  <c r="U571" i="3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AE603" i="3" s="1"/>
  <c r="P604" i="3"/>
  <c r="X604" i="3"/>
  <c r="S605" i="3"/>
  <c r="AA605" i="3"/>
  <c r="V606" i="3"/>
  <c r="Q607" i="3"/>
  <c r="Y607" i="3"/>
  <c r="T608" i="3"/>
  <c r="R133" i="3"/>
  <c r="AA168" i="3"/>
  <c r="Z188" i="3"/>
  <c r="Q203" i="3"/>
  <c r="W214" i="3"/>
  <c r="Z225" i="3"/>
  <c r="Z236" i="3"/>
  <c r="X246" i="3"/>
  <c r="AA255" i="3"/>
  <c r="Z263" i="3"/>
  <c r="X270" i="3"/>
  <c r="X276" i="3"/>
  <c r="W281" i="3"/>
  <c r="V286" i="3"/>
  <c r="U291" i="3"/>
  <c r="AE291" i="3" s="1"/>
  <c r="T296" i="3"/>
  <c r="S301" i="3"/>
  <c r="R306" i="3"/>
  <c r="Q311" i="3"/>
  <c r="Q315" i="3"/>
  <c r="P319" i="3"/>
  <c r="P323" i="3"/>
  <c r="T326" i="3"/>
  <c r="V329" i="3"/>
  <c r="T332" i="3"/>
  <c r="Q335" i="3"/>
  <c r="AB337" i="3"/>
  <c r="Z340" i="3"/>
  <c r="W343" i="3"/>
  <c r="U346" i="3"/>
  <c r="AE346" i="3" s="1"/>
  <c r="AB348" i="3"/>
  <c r="U351" i="3"/>
  <c r="AE351" i="3" s="1"/>
  <c r="AA353" i="3"/>
  <c r="T356" i="3"/>
  <c r="Z358" i="3"/>
  <c r="S361" i="3"/>
  <c r="Y363" i="3"/>
  <c r="R366" i="3"/>
  <c r="X368" i="3"/>
  <c r="Q371" i="3"/>
  <c r="W373" i="3"/>
  <c r="P376" i="3"/>
  <c r="U378" i="3"/>
  <c r="AE378" i="3" s="1"/>
  <c r="T380" i="3"/>
  <c r="U382" i="3"/>
  <c r="AE382" i="3" s="1"/>
  <c r="T384" i="3"/>
  <c r="R386" i="3"/>
  <c r="Y387" i="3"/>
  <c r="U389" i="3"/>
  <c r="AE389" i="3" s="1"/>
  <c r="Q391" i="3"/>
  <c r="X392" i="3"/>
  <c r="T394" i="3"/>
  <c r="P396" i="3"/>
  <c r="W397" i="3"/>
  <c r="S399" i="3"/>
  <c r="AB400" i="3"/>
  <c r="V402" i="3"/>
  <c r="R404" i="3"/>
  <c r="AA405" i="3"/>
  <c r="U407" i="3"/>
  <c r="Q409" i="3"/>
  <c r="Z410" i="3"/>
  <c r="T412" i="3"/>
  <c r="P414" i="3"/>
  <c r="Y415" i="3"/>
  <c r="S417" i="3"/>
  <c r="AB418" i="3"/>
  <c r="Q7" i="3"/>
  <c r="Q206" i="3"/>
  <c r="Q249" i="3"/>
  <c r="AA277" i="3"/>
  <c r="W297" i="3"/>
  <c r="P316" i="3"/>
  <c r="R330" i="3"/>
  <c r="V341" i="3"/>
  <c r="P352" i="3"/>
  <c r="AA361" i="3"/>
  <c r="Y371" i="3"/>
  <c r="AA380" i="3"/>
  <c r="R388" i="3"/>
  <c r="Z394" i="3"/>
  <c r="S401" i="3"/>
  <c r="AA407" i="3"/>
  <c r="V414" i="3"/>
  <c r="X420" i="3"/>
  <c r="V423" i="3"/>
  <c r="T426" i="3"/>
  <c r="R429" i="3"/>
  <c r="AB431" i="3"/>
  <c r="U434" i="3"/>
  <c r="AE434" i="3" s="1"/>
  <c r="AA436" i="3"/>
  <c r="T439" i="3"/>
  <c r="Z441" i="3"/>
  <c r="Q444" i="3"/>
  <c r="Y445" i="3"/>
  <c r="T447" i="3"/>
  <c r="P449" i="3"/>
  <c r="V450" i="3"/>
  <c r="AA451" i="3"/>
  <c r="T453" i="3"/>
  <c r="Y454" i="3"/>
  <c r="Q456" i="3"/>
  <c r="V457" i="3"/>
  <c r="AB458" i="3"/>
  <c r="T460" i="3"/>
  <c r="Y461" i="3"/>
  <c r="R463" i="3"/>
  <c r="W464" i="3"/>
  <c r="AB465" i="3"/>
  <c r="T467" i="3"/>
  <c r="Z468" i="3"/>
  <c r="R470" i="3"/>
  <c r="W471" i="3"/>
  <c r="P473" i="3"/>
  <c r="U474" i="3"/>
  <c r="AE474" i="3" s="1"/>
  <c r="Z475" i="3"/>
  <c r="R477" i="3"/>
  <c r="X478" i="3"/>
  <c r="P480" i="3"/>
  <c r="U481" i="3"/>
  <c r="AE481" i="3" s="1"/>
  <c r="AA482" i="3"/>
  <c r="S484" i="3"/>
  <c r="X485" i="3"/>
  <c r="P487" i="3"/>
  <c r="V488" i="3"/>
  <c r="AA489" i="3"/>
  <c r="S491" i="3"/>
  <c r="Y492" i="3"/>
  <c r="Q494" i="3"/>
  <c r="V495" i="3"/>
  <c r="AA496" i="3"/>
  <c r="S498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Z145" i="3"/>
  <c r="T217" i="3"/>
  <c r="P258" i="3"/>
  <c r="Z282" i="3"/>
  <c r="V302" i="3"/>
  <c r="P320" i="3"/>
  <c r="P333" i="3"/>
  <c r="S344" i="3"/>
  <c r="V354" i="3"/>
  <c r="T364" i="3"/>
  <c r="R374" i="3"/>
  <c r="Z382" i="3"/>
  <c r="AA389" i="3"/>
  <c r="T396" i="3"/>
  <c r="AB402" i="3"/>
  <c r="W409" i="3"/>
  <c r="P416" i="3"/>
  <c r="AB420" i="3"/>
  <c r="AA423" i="3"/>
  <c r="Y426" i="3"/>
  <c r="V429" i="3"/>
  <c r="S432" i="3"/>
  <c r="Y434" i="3"/>
  <c r="R437" i="3"/>
  <c r="X439" i="3"/>
  <c r="Q442" i="3"/>
  <c r="S444" i="3"/>
  <c r="AB445" i="3"/>
  <c r="W447" i="3"/>
  <c r="R449" i="3"/>
  <c r="X450" i="3"/>
  <c r="Q452" i="3"/>
  <c r="V453" i="3"/>
  <c r="AA454" i="3"/>
  <c r="S456" i="3"/>
  <c r="Y457" i="3"/>
  <c r="Q459" i="3"/>
  <c r="V460" i="3"/>
  <c r="AB461" i="3"/>
  <c r="T463" i="3"/>
  <c r="Y464" i="3"/>
  <c r="Q466" i="3"/>
  <c r="W467" i="3"/>
  <c r="AB468" i="3"/>
  <c r="T470" i="3"/>
  <c r="Z471" i="3"/>
  <c r="R473" i="3"/>
  <c r="W474" i="3"/>
  <c r="AB475" i="3"/>
  <c r="U477" i="3"/>
  <c r="AE477" i="3" s="1"/>
  <c r="Z478" i="3"/>
  <c r="R480" i="3"/>
  <c r="X481" i="3"/>
  <c r="P483" i="3"/>
  <c r="U484" i="3"/>
  <c r="AE484" i="3" s="1"/>
  <c r="Z485" i="3"/>
  <c r="S487" i="3"/>
  <c r="X488" i="3"/>
  <c r="P490" i="3"/>
  <c r="V491" i="3"/>
  <c r="AA492" i="3"/>
  <c r="S494" i="3"/>
  <c r="X495" i="3"/>
  <c r="Q497" i="3"/>
  <c r="U498" i="3"/>
  <c r="AE498" i="3" s="1"/>
  <c r="X499" i="3"/>
  <c r="AA500" i="3"/>
  <c r="Q502" i="3"/>
  <c r="T503" i="3"/>
  <c r="W504" i="3"/>
  <c r="Z505" i="3"/>
  <c r="P507" i="3"/>
  <c r="S508" i="3"/>
  <c r="V509" i="3"/>
  <c r="Y510" i="3"/>
  <c r="AB511" i="3"/>
  <c r="R513" i="3"/>
  <c r="U514" i="3"/>
  <c r="AE514" i="3" s="1"/>
  <c r="X515" i="3"/>
  <c r="AA516" i="3"/>
  <c r="Q518" i="3"/>
  <c r="T519" i="3"/>
  <c r="W520" i="3"/>
  <c r="Z521" i="3"/>
  <c r="P523" i="3"/>
  <c r="S524" i="3"/>
  <c r="V525" i="3"/>
  <c r="Y526" i="3"/>
  <c r="AB527" i="3"/>
  <c r="R529" i="3"/>
  <c r="U530" i="3"/>
  <c r="AE530" i="3" s="1"/>
  <c r="X531" i="3"/>
  <c r="AA532" i="3"/>
  <c r="Q534" i="3"/>
  <c r="T535" i="3"/>
  <c r="W536" i="3"/>
  <c r="Z537" i="3"/>
  <c r="P539" i="3"/>
  <c r="S540" i="3"/>
  <c r="V541" i="3"/>
  <c r="Y542" i="3"/>
  <c r="AB543" i="3"/>
  <c r="R545" i="3"/>
  <c r="U546" i="3"/>
  <c r="AE546" i="3" s="1"/>
  <c r="X547" i="3"/>
  <c r="AA548" i="3"/>
  <c r="Q550" i="3"/>
  <c r="T551" i="3"/>
  <c r="W552" i="3"/>
  <c r="Z553" i="3"/>
  <c r="P555" i="3"/>
  <c r="S556" i="3"/>
  <c r="V557" i="3"/>
  <c r="Y558" i="3"/>
  <c r="AB559" i="3"/>
  <c r="R561" i="3"/>
  <c r="U562" i="3"/>
  <c r="AE562" i="3" s="1"/>
  <c r="X563" i="3"/>
  <c r="AA564" i="3"/>
  <c r="Q566" i="3"/>
  <c r="T567" i="3"/>
  <c r="W568" i="3"/>
  <c r="Z569" i="3"/>
  <c r="P571" i="3"/>
  <c r="S572" i="3"/>
  <c r="V573" i="3"/>
  <c r="Y574" i="3"/>
  <c r="AB575" i="3"/>
  <c r="R577" i="3"/>
  <c r="U578" i="3"/>
  <c r="AE578" i="3" s="1"/>
  <c r="X579" i="3"/>
  <c r="AA580" i="3"/>
  <c r="Q582" i="3"/>
  <c r="T583" i="3"/>
  <c r="W584" i="3"/>
  <c r="Z585" i="3"/>
  <c r="P587" i="3"/>
  <c r="S588" i="3"/>
  <c r="V589" i="3"/>
  <c r="Y590" i="3"/>
  <c r="AB591" i="3"/>
  <c r="R593" i="3"/>
  <c r="U594" i="3"/>
  <c r="AE594" i="3" s="1"/>
  <c r="X595" i="3"/>
  <c r="AA596" i="3"/>
  <c r="Q598" i="3"/>
  <c r="T599" i="3"/>
  <c r="W600" i="3"/>
  <c r="Z601" i="3"/>
  <c r="P603" i="3"/>
  <c r="S604" i="3"/>
  <c r="V605" i="3"/>
  <c r="Y606" i="3"/>
  <c r="AB607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S162" i="3"/>
  <c r="AB222" i="3"/>
  <c r="AA261" i="3"/>
  <c r="S285" i="3"/>
  <c r="AB304" i="3"/>
  <c r="P322" i="3"/>
  <c r="U334" i="3"/>
  <c r="AE334" i="3" s="1"/>
  <c r="Y345" i="3"/>
  <c r="Y355" i="3"/>
  <c r="W365" i="3"/>
  <c r="U375" i="3"/>
  <c r="AE375" i="3" s="1"/>
  <c r="AA383" i="3"/>
  <c r="X390" i="3"/>
  <c r="S397" i="3"/>
  <c r="Y403" i="3"/>
  <c r="T410" i="3"/>
  <c r="AB416" i="3"/>
  <c r="Z421" i="3"/>
  <c r="W424" i="3"/>
  <c r="U427" i="3"/>
  <c r="AE427" i="3" s="1"/>
  <c r="R430" i="3"/>
  <c r="AA432" i="3"/>
  <c r="T435" i="3"/>
  <c r="Z437" i="3"/>
  <c r="S440" i="3"/>
  <c r="Y442" i="3"/>
  <c r="Y444" i="3"/>
  <c r="T446" i="3"/>
  <c r="AB447" i="3"/>
  <c r="X449" i="3"/>
  <c r="P451" i="3"/>
  <c r="U452" i="3"/>
  <c r="AE452" i="3" s="1"/>
  <c r="Z453" i="3"/>
  <c r="S455" i="3"/>
  <c r="X456" i="3"/>
  <c r="P458" i="3"/>
  <c r="V459" i="3"/>
  <c r="AA460" i="3"/>
  <c r="S462" i="3"/>
  <c r="X463" i="3"/>
  <c r="Q465" i="3"/>
  <c r="V466" i="3"/>
  <c r="AA467" i="3"/>
  <c r="T469" i="3"/>
  <c r="Y470" i="3"/>
  <c r="Q472" i="3"/>
  <c r="V473" i="3"/>
  <c r="AB474" i="3"/>
  <c r="T476" i="3"/>
  <c r="Y477" i="3"/>
  <c r="R479" i="3"/>
  <c r="W480" i="3"/>
  <c r="AB481" i="3"/>
  <c r="T483" i="3"/>
  <c r="Z484" i="3"/>
  <c r="R486" i="3"/>
  <c r="W487" i="3"/>
  <c r="P489" i="3"/>
  <c r="U490" i="3"/>
  <c r="AE490" i="3" s="1"/>
  <c r="Z491" i="3"/>
  <c r="R493" i="3"/>
  <c r="X494" i="3"/>
  <c r="P496" i="3"/>
  <c r="U497" i="3"/>
  <c r="AE497" i="3" s="1"/>
  <c r="Y498" i="3"/>
  <c r="AB499" i="3"/>
  <c r="R501" i="3"/>
  <c r="U502" i="3"/>
  <c r="AE502" i="3" s="1"/>
  <c r="X503" i="3"/>
  <c r="AA504" i="3"/>
  <c r="Q506" i="3"/>
  <c r="T507" i="3"/>
  <c r="W508" i="3"/>
  <c r="Z509" i="3"/>
  <c r="P511" i="3"/>
  <c r="S512" i="3"/>
  <c r="V513" i="3"/>
  <c r="Y514" i="3"/>
  <c r="AB515" i="3"/>
  <c r="R517" i="3"/>
  <c r="U518" i="3"/>
  <c r="AE518" i="3" s="1"/>
  <c r="X519" i="3"/>
  <c r="AA520" i="3"/>
  <c r="Q522" i="3"/>
  <c r="T523" i="3"/>
  <c r="W524" i="3"/>
  <c r="Z525" i="3"/>
  <c r="P527" i="3"/>
  <c r="S528" i="3"/>
  <c r="V529" i="3"/>
  <c r="Y530" i="3"/>
  <c r="AB531" i="3"/>
  <c r="R533" i="3"/>
  <c r="U534" i="3"/>
  <c r="AE534" i="3" s="1"/>
  <c r="X535" i="3"/>
  <c r="AA536" i="3"/>
  <c r="Q538" i="3"/>
  <c r="T539" i="3"/>
  <c r="W540" i="3"/>
  <c r="Z541" i="3"/>
  <c r="P543" i="3"/>
  <c r="S544" i="3"/>
  <c r="V545" i="3"/>
  <c r="Y546" i="3"/>
  <c r="AB547" i="3"/>
  <c r="R549" i="3"/>
  <c r="U550" i="3"/>
  <c r="AE550" i="3" s="1"/>
  <c r="X551" i="3"/>
  <c r="AA552" i="3"/>
  <c r="Q554" i="3"/>
  <c r="T555" i="3"/>
  <c r="W556" i="3"/>
  <c r="Z557" i="3"/>
  <c r="P559" i="3"/>
  <c r="S560" i="3"/>
  <c r="V561" i="3"/>
  <c r="Y562" i="3"/>
  <c r="AB563" i="3"/>
  <c r="R565" i="3"/>
  <c r="U566" i="3"/>
  <c r="AE566" i="3" s="1"/>
  <c r="X567" i="3"/>
  <c r="AA568" i="3"/>
  <c r="Q570" i="3"/>
  <c r="T571" i="3"/>
  <c r="W572" i="3"/>
  <c r="Z573" i="3"/>
  <c r="P575" i="3"/>
  <c r="S576" i="3"/>
  <c r="V577" i="3"/>
  <c r="Y578" i="3"/>
  <c r="AB579" i="3"/>
  <c r="R581" i="3"/>
  <c r="U582" i="3"/>
  <c r="AE582" i="3" s="1"/>
  <c r="X583" i="3"/>
  <c r="AA584" i="3"/>
  <c r="Q586" i="3"/>
  <c r="T587" i="3"/>
  <c r="W588" i="3"/>
  <c r="Z589" i="3"/>
  <c r="P591" i="3"/>
  <c r="S592" i="3"/>
  <c r="V593" i="3"/>
  <c r="Y594" i="3"/>
  <c r="AB595" i="3"/>
  <c r="R597" i="3"/>
  <c r="U598" i="3"/>
  <c r="AE598" i="3" s="1"/>
  <c r="X599" i="3"/>
  <c r="AA600" i="3"/>
  <c r="Q602" i="3"/>
  <c r="T603" i="3"/>
  <c r="W604" i="3"/>
  <c r="Z605" i="3"/>
  <c r="P607" i="3"/>
  <c r="S608" i="3"/>
  <c r="AB608" i="3"/>
  <c r="W609" i="3"/>
  <c r="R610" i="3"/>
  <c r="Z610" i="3"/>
  <c r="U611" i="3"/>
  <c r="AE611" i="3" s="1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AE627" i="3" s="1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AE675" i="3" s="1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AE683" i="3" s="1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AE691" i="3" s="1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T174" i="3"/>
  <c r="X228" i="3"/>
  <c r="Y265" i="3"/>
  <c r="Y287" i="3"/>
  <c r="U307" i="3"/>
  <c r="AE307" i="3" s="1"/>
  <c r="AA323" i="3"/>
  <c r="AA335" i="3"/>
  <c r="Q347" i="3"/>
  <c r="AB356" i="3"/>
  <c r="Z366" i="3"/>
  <c r="X376" i="3"/>
  <c r="AA384" i="3"/>
  <c r="U391" i="3"/>
  <c r="AE391" i="3" s="1"/>
  <c r="P398" i="3"/>
  <c r="X404" i="3"/>
  <c r="Q411" i="3"/>
  <c r="Y417" i="3"/>
  <c r="Q422" i="3"/>
  <c r="AB424" i="3"/>
  <c r="Y427" i="3"/>
  <c r="W430" i="3"/>
  <c r="R433" i="3"/>
  <c r="X435" i="3"/>
  <c r="Q438" i="3"/>
  <c r="W440" i="3"/>
  <c r="P443" i="3"/>
  <c r="AA444" i="3"/>
  <c r="W446" i="3"/>
  <c r="R448" i="3"/>
  <c r="Z449" i="3"/>
  <c r="R451" i="3"/>
  <c r="W452" i="3"/>
  <c r="P454" i="3"/>
  <c r="U455" i="3"/>
  <c r="AE455" i="3" s="1"/>
  <c r="Z456" i="3"/>
  <c r="S458" i="3"/>
  <c r="X459" i="3"/>
  <c r="P461" i="3"/>
  <c r="U462" i="3"/>
  <c r="AE462" i="3" s="1"/>
  <c r="AA463" i="3"/>
  <c r="S465" i="3"/>
  <c r="X466" i="3"/>
  <c r="Q468" i="3"/>
  <c r="V469" i="3"/>
  <c r="AA470" i="3"/>
  <c r="S472" i="3"/>
  <c r="Y473" i="3"/>
  <c r="Q475" i="3"/>
  <c r="V476" i="3"/>
  <c r="AB477" i="3"/>
  <c r="T479" i="3"/>
  <c r="Y480" i="3"/>
  <c r="Q482" i="3"/>
  <c r="W483" i="3"/>
  <c r="AB484" i="3"/>
  <c r="T486" i="3"/>
  <c r="Z487" i="3"/>
  <c r="R489" i="3"/>
  <c r="W490" i="3"/>
  <c r="AB491" i="3"/>
  <c r="U493" i="3"/>
  <c r="AE493" i="3" s="1"/>
  <c r="Z494" i="3"/>
  <c r="R496" i="3"/>
  <c r="X497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X513" i="3"/>
  <c r="AA514" i="3"/>
  <c r="Q516" i="3"/>
  <c r="T517" i="3"/>
  <c r="W518" i="3"/>
  <c r="Z519" i="3"/>
  <c r="P521" i="3"/>
  <c r="S522" i="3"/>
  <c r="V523" i="3"/>
  <c r="Y524" i="3"/>
  <c r="Y192" i="3"/>
  <c r="S239" i="3"/>
  <c r="T272" i="3"/>
  <c r="X292" i="3"/>
  <c r="R312" i="3"/>
  <c r="Q327" i="3"/>
  <c r="X338" i="3"/>
  <c r="W349" i="3"/>
  <c r="U359" i="3"/>
  <c r="AE359" i="3" s="1"/>
  <c r="S369" i="3"/>
  <c r="AB378" i="3"/>
  <c r="V386" i="3"/>
  <c r="Q393" i="3"/>
  <c r="Y399" i="3"/>
  <c r="R406" i="3"/>
  <c r="Z412" i="3"/>
  <c r="U419" i="3"/>
  <c r="AE419" i="3" s="1"/>
  <c r="V422" i="3"/>
  <c r="S425" i="3"/>
  <c r="Q428" i="3"/>
  <c r="AA430" i="3"/>
  <c r="V433" i="3"/>
  <c r="AB435" i="3"/>
  <c r="U438" i="3"/>
  <c r="AE438" i="3" s="1"/>
  <c r="AA440" i="3"/>
  <c r="T443" i="3"/>
  <c r="Q445" i="3"/>
  <c r="Y446" i="3"/>
  <c r="U448" i="3"/>
  <c r="AE448" i="3" s="1"/>
  <c r="AB449" i="3"/>
  <c r="T451" i="3"/>
  <c r="Z452" i="3"/>
  <c r="R454" i="3"/>
  <c r="W455" i="3"/>
  <c r="P457" i="3"/>
  <c r="U458" i="3"/>
  <c r="AE458" i="3" s="1"/>
  <c r="Z459" i="3"/>
  <c r="R461" i="3"/>
  <c r="X462" i="3"/>
  <c r="P464" i="3"/>
  <c r="U465" i="3"/>
  <c r="AE465" i="3" s="1"/>
  <c r="AA466" i="3"/>
  <c r="S468" i="3"/>
  <c r="X469" i="3"/>
  <c r="P471" i="3"/>
  <c r="V472" i="3"/>
  <c r="AA473" i="3"/>
  <c r="S475" i="3"/>
  <c r="Y476" i="3"/>
  <c r="Q478" i="3"/>
  <c r="V479" i="3"/>
  <c r="AA480" i="3"/>
  <c r="T482" i="3"/>
  <c r="Y483" i="3"/>
  <c r="Q485" i="3"/>
  <c r="W486" i="3"/>
  <c r="AB487" i="3"/>
  <c r="T489" i="3"/>
  <c r="Y490" i="3"/>
  <c r="R492" i="3"/>
  <c r="W493" i="3"/>
  <c r="AB494" i="3"/>
  <c r="U496" i="3"/>
  <c r="AE496" i="3" s="1"/>
  <c r="Z497" i="3"/>
  <c r="P499" i="3"/>
  <c r="S500" i="3"/>
  <c r="V501" i="3"/>
  <c r="Y502" i="3"/>
  <c r="AB503" i="3"/>
  <c r="R505" i="3"/>
  <c r="U506" i="3"/>
  <c r="AE506" i="3" s="1"/>
  <c r="X507" i="3"/>
  <c r="AA508" i="3"/>
  <c r="Q510" i="3"/>
  <c r="T511" i="3"/>
  <c r="W512" i="3"/>
  <c r="Z513" i="3"/>
  <c r="P515" i="3"/>
  <c r="S516" i="3"/>
  <c r="V517" i="3"/>
  <c r="Y518" i="3"/>
  <c r="AB519" i="3"/>
  <c r="R521" i="3"/>
  <c r="U522" i="3"/>
  <c r="AE522" i="3" s="1"/>
  <c r="X523" i="3"/>
  <c r="AA524" i="3"/>
  <c r="Q526" i="3"/>
  <c r="T527" i="3"/>
  <c r="W528" i="3"/>
  <c r="Z529" i="3"/>
  <c r="P531" i="3"/>
  <c r="S532" i="3"/>
  <c r="V533" i="3"/>
  <c r="Y534" i="3"/>
  <c r="AB535" i="3"/>
  <c r="R537" i="3"/>
  <c r="U538" i="3"/>
  <c r="AE538" i="3" s="1"/>
  <c r="X539" i="3"/>
  <c r="AA540" i="3"/>
  <c r="Q542" i="3"/>
  <c r="T543" i="3"/>
  <c r="W544" i="3"/>
  <c r="Z545" i="3"/>
  <c r="P547" i="3"/>
  <c r="S548" i="3"/>
  <c r="V549" i="3"/>
  <c r="Y550" i="3"/>
  <c r="AB551" i="3"/>
  <c r="R553" i="3"/>
  <c r="U554" i="3"/>
  <c r="AE554" i="3" s="1"/>
  <c r="X555" i="3"/>
  <c r="AA556" i="3"/>
  <c r="Q558" i="3"/>
  <c r="T559" i="3"/>
  <c r="W560" i="3"/>
  <c r="Z561" i="3"/>
  <c r="P563" i="3"/>
  <c r="S564" i="3"/>
  <c r="V565" i="3"/>
  <c r="Y566" i="3"/>
  <c r="AB567" i="3"/>
  <c r="R569" i="3"/>
  <c r="U570" i="3"/>
  <c r="AE570" i="3" s="1"/>
  <c r="X571" i="3"/>
  <c r="AA572" i="3"/>
  <c r="Q574" i="3"/>
  <c r="T575" i="3"/>
  <c r="W576" i="3"/>
  <c r="Z577" i="3"/>
  <c r="P579" i="3"/>
  <c r="S580" i="3"/>
  <c r="V581" i="3"/>
  <c r="Y582" i="3"/>
  <c r="AB583" i="3"/>
  <c r="R585" i="3"/>
  <c r="U586" i="3"/>
  <c r="AE586" i="3" s="1"/>
  <c r="X587" i="3"/>
  <c r="AA588" i="3"/>
  <c r="Q590" i="3"/>
  <c r="T591" i="3"/>
  <c r="W592" i="3"/>
  <c r="Z593" i="3"/>
  <c r="P595" i="3"/>
  <c r="S596" i="3"/>
  <c r="V597" i="3"/>
  <c r="Y598" i="3"/>
  <c r="AB599" i="3"/>
  <c r="R601" i="3"/>
  <c r="U602" i="3"/>
  <c r="AE602" i="3" s="1"/>
  <c r="X603" i="3"/>
  <c r="AA604" i="3"/>
  <c r="Q606" i="3"/>
  <c r="T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AA199" i="3"/>
  <c r="R244" i="3"/>
  <c r="U275" i="3"/>
  <c r="AE275" i="3" s="1"/>
  <c r="Q295" i="3"/>
  <c r="Q314" i="3"/>
  <c r="Z328" i="3"/>
  <c r="P340" i="3"/>
  <c r="Z350" i="3"/>
  <c r="X360" i="3"/>
  <c r="V370" i="3"/>
  <c r="AB379" i="3"/>
  <c r="U387" i="3"/>
  <c r="AE387" i="3" s="1"/>
  <c r="AA393" i="3"/>
  <c r="V400" i="3"/>
  <c r="Q407" i="3"/>
  <c r="W413" i="3"/>
  <c r="R420" i="3"/>
  <c r="R423" i="3"/>
  <c r="AB425" i="3"/>
  <c r="Z428" i="3"/>
  <c r="X431" i="3"/>
  <c r="Q434" i="3"/>
  <c r="W436" i="3"/>
  <c r="P439" i="3"/>
  <c r="V441" i="3"/>
  <c r="AA443" i="3"/>
  <c r="V445" i="3"/>
  <c r="R447" i="3"/>
  <c r="Z448" i="3"/>
  <c r="T450" i="3"/>
  <c r="Y451" i="3"/>
  <c r="Q453" i="3"/>
  <c r="W454" i="3"/>
  <c r="AB455" i="3"/>
  <c r="T457" i="3"/>
  <c r="Y458" i="3"/>
  <c r="R460" i="3"/>
  <c r="W461" i="3"/>
  <c r="AB462" i="3"/>
  <c r="U464" i="3"/>
  <c r="AE464" i="3" s="1"/>
  <c r="Z465" i="3"/>
  <c r="R467" i="3"/>
  <c r="W468" i="3"/>
  <c r="P470" i="3"/>
  <c r="U471" i="3"/>
  <c r="AE471" i="3" s="1"/>
  <c r="Z472" i="3"/>
  <c r="S474" i="3"/>
  <c r="X475" i="3"/>
  <c r="P477" i="3"/>
  <c r="U478" i="3"/>
  <c r="AE478" i="3" s="1"/>
  <c r="AA479" i="3"/>
  <c r="S481" i="3"/>
  <c r="X482" i="3"/>
  <c r="Q484" i="3"/>
  <c r="V485" i="3"/>
  <c r="AA486" i="3"/>
  <c r="S488" i="3"/>
  <c r="Y489" i="3"/>
  <c r="Q491" i="3"/>
  <c r="V492" i="3"/>
  <c r="AB493" i="3"/>
  <c r="T495" i="3"/>
  <c r="Y496" i="3"/>
  <c r="Q498" i="3"/>
  <c r="T499" i="3"/>
  <c r="W500" i="3"/>
  <c r="Z501" i="3"/>
  <c r="P503" i="3"/>
  <c r="S504" i="3"/>
  <c r="V505" i="3"/>
  <c r="Y506" i="3"/>
  <c r="AB507" i="3"/>
  <c r="R509" i="3"/>
  <c r="U510" i="3"/>
  <c r="AE510" i="3" s="1"/>
  <c r="X511" i="3"/>
  <c r="AA512" i="3"/>
  <c r="Q514" i="3"/>
  <c r="T515" i="3"/>
  <c r="W516" i="3"/>
  <c r="Z517" i="3"/>
  <c r="P519" i="3"/>
  <c r="S520" i="3"/>
  <c r="V521" i="3"/>
  <c r="Y522" i="3"/>
  <c r="AB523" i="3"/>
  <c r="R525" i="3"/>
  <c r="U526" i="3"/>
  <c r="X527" i="3"/>
  <c r="AA528" i="3"/>
  <c r="Q530" i="3"/>
  <c r="T531" i="3"/>
  <c r="W532" i="3"/>
  <c r="Z533" i="3"/>
  <c r="P535" i="3"/>
  <c r="S536" i="3"/>
  <c r="V537" i="3"/>
  <c r="Y538" i="3"/>
  <c r="AB539" i="3"/>
  <c r="R541" i="3"/>
  <c r="U542" i="3"/>
  <c r="AE542" i="3" s="1"/>
  <c r="X543" i="3"/>
  <c r="AA544" i="3"/>
  <c r="Q546" i="3"/>
  <c r="T547" i="3"/>
  <c r="W548" i="3"/>
  <c r="Z549" i="3"/>
  <c r="P551" i="3"/>
  <c r="S552" i="3"/>
  <c r="V553" i="3"/>
  <c r="Y554" i="3"/>
  <c r="AB555" i="3"/>
  <c r="R557" i="3"/>
  <c r="U558" i="3"/>
  <c r="AE558" i="3" s="1"/>
  <c r="X559" i="3"/>
  <c r="AA560" i="3"/>
  <c r="Q562" i="3"/>
  <c r="T563" i="3"/>
  <c r="W564" i="3"/>
  <c r="Z565" i="3"/>
  <c r="P567" i="3"/>
  <c r="S568" i="3"/>
  <c r="V569" i="3"/>
  <c r="Y570" i="3"/>
  <c r="AB571" i="3"/>
  <c r="R573" i="3"/>
  <c r="U574" i="3"/>
  <c r="AE574" i="3" s="1"/>
  <c r="X575" i="3"/>
  <c r="AA576" i="3"/>
  <c r="Q578" i="3"/>
  <c r="T579" i="3"/>
  <c r="W580" i="3"/>
  <c r="Z581" i="3"/>
  <c r="P583" i="3"/>
  <c r="S584" i="3"/>
  <c r="V585" i="3"/>
  <c r="Y586" i="3"/>
  <c r="AB587" i="3"/>
  <c r="R589" i="3"/>
  <c r="U590" i="3"/>
  <c r="AE590" i="3" s="1"/>
  <c r="X591" i="3"/>
  <c r="AA592" i="3"/>
  <c r="Q594" i="3"/>
  <c r="T595" i="3"/>
  <c r="W596" i="3"/>
  <c r="Z597" i="3"/>
  <c r="P599" i="3"/>
  <c r="S600" i="3"/>
  <c r="V601" i="3"/>
  <c r="Y602" i="3"/>
  <c r="AB603" i="3"/>
  <c r="R605" i="3"/>
  <c r="U606" i="3"/>
  <c r="AE606" i="3" s="1"/>
  <c r="X607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AE615" i="3" s="1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AE623" i="3" s="1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AE639" i="3" s="1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AE679" i="3" s="1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AE711" i="3" s="1"/>
  <c r="P712" i="3"/>
  <c r="X712" i="3"/>
  <c r="S713" i="3"/>
  <c r="AA713" i="3"/>
  <c r="V714" i="3"/>
  <c r="Q715" i="3"/>
  <c r="Y715" i="3"/>
  <c r="T716" i="3"/>
  <c r="AB716" i="3"/>
  <c r="AB116" i="3"/>
  <c r="P300" i="3"/>
  <c r="S353" i="3"/>
  <c r="AB388" i="3"/>
  <c r="S415" i="3"/>
  <c r="U429" i="3"/>
  <c r="AE429" i="3" s="1"/>
  <c r="W439" i="3"/>
  <c r="V447" i="3"/>
  <c r="U453" i="3"/>
  <c r="AE453" i="3" s="1"/>
  <c r="P459" i="3"/>
  <c r="X464" i="3"/>
  <c r="S470" i="3"/>
  <c r="AA475" i="3"/>
  <c r="V481" i="3"/>
  <c r="R487" i="3"/>
  <c r="Z492" i="3"/>
  <c r="T498" i="3"/>
  <c r="S503" i="3"/>
  <c r="R508" i="3"/>
  <c r="Q513" i="3"/>
  <c r="P518" i="3"/>
  <c r="AB522" i="3"/>
  <c r="P526" i="3"/>
  <c r="V528" i="3"/>
  <c r="AB530" i="3"/>
  <c r="U533" i="3"/>
  <c r="AE533" i="3" s="1"/>
  <c r="AA535" i="3"/>
  <c r="T538" i="3"/>
  <c r="Z540" i="3"/>
  <c r="S543" i="3"/>
  <c r="Y545" i="3"/>
  <c r="R548" i="3"/>
  <c r="X550" i="3"/>
  <c r="Q553" i="3"/>
  <c r="W555" i="3"/>
  <c r="P558" i="3"/>
  <c r="V560" i="3"/>
  <c r="AB562" i="3"/>
  <c r="U565" i="3"/>
  <c r="AE565" i="3" s="1"/>
  <c r="AA567" i="3"/>
  <c r="T570" i="3"/>
  <c r="Z572" i="3"/>
  <c r="S575" i="3"/>
  <c r="Y577" i="3"/>
  <c r="R580" i="3"/>
  <c r="X582" i="3"/>
  <c r="Q585" i="3"/>
  <c r="W587" i="3"/>
  <c r="P590" i="3"/>
  <c r="V592" i="3"/>
  <c r="AB594" i="3"/>
  <c r="U597" i="3"/>
  <c r="AE597" i="3" s="1"/>
  <c r="AA599" i="3"/>
  <c r="T602" i="3"/>
  <c r="Z604" i="3"/>
  <c r="S607" i="3"/>
  <c r="Q609" i="3"/>
  <c r="T610" i="3"/>
  <c r="W611" i="3"/>
  <c r="Z612" i="3"/>
  <c r="P614" i="3"/>
  <c r="S615" i="3"/>
  <c r="V616" i="3"/>
  <c r="Y617" i="3"/>
  <c r="AB618" i="3"/>
  <c r="R620" i="3"/>
  <c r="U621" i="3"/>
  <c r="AE621" i="3" s="1"/>
  <c r="X622" i="3"/>
  <c r="AA623" i="3"/>
  <c r="Q625" i="3"/>
  <c r="T626" i="3"/>
  <c r="W627" i="3"/>
  <c r="Z628" i="3"/>
  <c r="P630" i="3"/>
  <c r="S631" i="3"/>
  <c r="V632" i="3"/>
  <c r="Y633" i="3"/>
  <c r="AB634" i="3"/>
  <c r="R636" i="3"/>
  <c r="U637" i="3"/>
  <c r="AE637" i="3" s="1"/>
  <c r="X638" i="3"/>
  <c r="AA639" i="3"/>
  <c r="Q641" i="3"/>
  <c r="T642" i="3"/>
  <c r="W643" i="3"/>
  <c r="Z644" i="3"/>
  <c r="P646" i="3"/>
  <c r="S647" i="3"/>
  <c r="V648" i="3"/>
  <c r="Y649" i="3"/>
  <c r="AB650" i="3"/>
  <c r="R652" i="3"/>
  <c r="U653" i="3"/>
  <c r="AE653" i="3" s="1"/>
  <c r="X654" i="3"/>
  <c r="AA655" i="3"/>
  <c r="Q657" i="3"/>
  <c r="T658" i="3"/>
  <c r="W659" i="3"/>
  <c r="Z660" i="3"/>
  <c r="P662" i="3"/>
  <c r="S663" i="3"/>
  <c r="V664" i="3"/>
  <c r="Y665" i="3"/>
  <c r="AB666" i="3"/>
  <c r="R668" i="3"/>
  <c r="U669" i="3"/>
  <c r="AE669" i="3" s="1"/>
  <c r="X670" i="3"/>
  <c r="AA671" i="3"/>
  <c r="Q673" i="3"/>
  <c r="T674" i="3"/>
  <c r="W675" i="3"/>
  <c r="Z676" i="3"/>
  <c r="P678" i="3"/>
  <c r="S679" i="3"/>
  <c r="V680" i="3"/>
  <c r="Y681" i="3"/>
  <c r="AB682" i="3"/>
  <c r="R684" i="3"/>
  <c r="U685" i="3"/>
  <c r="AE685" i="3" s="1"/>
  <c r="X686" i="3"/>
  <c r="AA687" i="3"/>
  <c r="Q689" i="3"/>
  <c r="T690" i="3"/>
  <c r="W691" i="3"/>
  <c r="Z692" i="3"/>
  <c r="P694" i="3"/>
  <c r="S695" i="3"/>
  <c r="V696" i="3"/>
  <c r="Y697" i="3"/>
  <c r="AB698" i="3"/>
  <c r="R700" i="3"/>
  <c r="U701" i="3"/>
  <c r="AE701" i="3" s="1"/>
  <c r="X702" i="3"/>
  <c r="AA703" i="3"/>
  <c r="Q705" i="3"/>
  <c r="T706" i="3"/>
  <c r="W707" i="3"/>
  <c r="Z708" i="3"/>
  <c r="AB709" i="3"/>
  <c r="AB710" i="3"/>
  <c r="AA711" i="3"/>
  <c r="AB712" i="3"/>
  <c r="AB713" i="3"/>
  <c r="AA714" i="3"/>
  <c r="Z715" i="3"/>
  <c r="X716" i="3"/>
  <c r="U717" i="3"/>
  <c r="AE717" i="3" s="1"/>
  <c r="Q718" i="3"/>
  <c r="Z718" i="3"/>
  <c r="V719" i="3"/>
  <c r="R720" i="3"/>
  <c r="AB720" i="3"/>
  <c r="X721" i="3"/>
  <c r="T722" i="3"/>
  <c r="P723" i="3"/>
  <c r="Y723" i="3"/>
  <c r="U724" i="3"/>
  <c r="Q725" i="3"/>
  <c r="AA725" i="3"/>
  <c r="W726" i="3"/>
  <c r="S727" i="3"/>
  <c r="AB727" i="3"/>
  <c r="X728" i="3"/>
  <c r="T729" i="3"/>
  <c r="P730" i="3"/>
  <c r="Z730" i="3"/>
  <c r="V731" i="3"/>
  <c r="R732" i="3"/>
  <c r="AA732" i="3"/>
  <c r="W733" i="3"/>
  <c r="R184" i="3"/>
  <c r="AA309" i="3"/>
  <c r="R358" i="3"/>
  <c r="T392" i="3"/>
  <c r="V418" i="3"/>
  <c r="Z430" i="3"/>
  <c r="Z440" i="3"/>
  <c r="S448" i="3"/>
  <c r="Q454" i="3"/>
  <c r="Y459" i="3"/>
  <c r="T465" i="3"/>
  <c r="AB470" i="3"/>
  <c r="W476" i="3"/>
  <c r="S482" i="3"/>
  <c r="AA487" i="3"/>
  <c r="V493" i="3"/>
  <c r="AB498" i="3"/>
  <c r="AA503" i="3"/>
  <c r="Z508" i="3"/>
  <c r="Y513" i="3"/>
  <c r="X518" i="3"/>
  <c r="W523" i="3"/>
  <c r="W526" i="3"/>
  <c r="P529" i="3"/>
  <c r="V531" i="3"/>
  <c r="AB533" i="3"/>
  <c r="U536" i="3"/>
  <c r="AE536" i="3" s="1"/>
  <c r="AA538" i="3"/>
  <c r="T541" i="3"/>
  <c r="Z543" i="3"/>
  <c r="S546" i="3"/>
  <c r="Y548" i="3"/>
  <c r="R551" i="3"/>
  <c r="X553" i="3"/>
  <c r="Q556" i="3"/>
  <c r="W558" i="3"/>
  <c r="P561" i="3"/>
  <c r="V563" i="3"/>
  <c r="AB565" i="3"/>
  <c r="U568" i="3"/>
  <c r="AE568" i="3" s="1"/>
  <c r="AA570" i="3"/>
  <c r="T573" i="3"/>
  <c r="Z575" i="3"/>
  <c r="S578" i="3"/>
  <c r="Y580" i="3"/>
  <c r="R583" i="3"/>
  <c r="X585" i="3"/>
  <c r="Q588" i="3"/>
  <c r="W590" i="3"/>
  <c r="P593" i="3"/>
  <c r="V595" i="3"/>
  <c r="AB597" i="3"/>
  <c r="U600" i="3"/>
  <c r="AE600" i="3" s="1"/>
  <c r="AA602" i="3"/>
  <c r="T605" i="3"/>
  <c r="Z607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Y211" i="3"/>
  <c r="Q318" i="3"/>
  <c r="Q363" i="3"/>
  <c r="W395" i="3"/>
  <c r="AA420" i="3"/>
  <c r="R432" i="3"/>
  <c r="P442" i="3"/>
  <c r="Q449" i="3"/>
  <c r="Z454" i="3"/>
  <c r="U460" i="3"/>
  <c r="AE460" i="3" s="1"/>
  <c r="P466" i="3"/>
  <c r="X471" i="3"/>
  <c r="T477" i="3"/>
  <c r="AB482" i="3"/>
  <c r="W488" i="3"/>
  <c r="R494" i="3"/>
  <c r="W499" i="3"/>
  <c r="V504" i="3"/>
  <c r="U509" i="3"/>
  <c r="AE509" i="3" s="1"/>
  <c r="T514" i="3"/>
  <c r="S519" i="3"/>
  <c r="Q524" i="3"/>
  <c r="X526" i="3"/>
  <c r="Q529" i="3"/>
  <c r="W531" i="3"/>
  <c r="P534" i="3"/>
  <c r="V536" i="3"/>
  <c r="AB538" i="3"/>
  <c r="U541" i="3"/>
  <c r="AE541" i="3" s="1"/>
  <c r="AA543" i="3"/>
  <c r="T546" i="3"/>
  <c r="Z548" i="3"/>
  <c r="S551" i="3"/>
  <c r="Y553" i="3"/>
  <c r="R556" i="3"/>
  <c r="X558" i="3"/>
  <c r="Q561" i="3"/>
  <c r="W563" i="3"/>
  <c r="P566" i="3"/>
  <c r="V568" i="3"/>
  <c r="AB570" i="3"/>
  <c r="U573" i="3"/>
  <c r="AE573" i="3" s="1"/>
  <c r="AA575" i="3"/>
  <c r="T578" i="3"/>
  <c r="Z580" i="3"/>
  <c r="S583" i="3"/>
  <c r="Y585" i="3"/>
  <c r="R588" i="3"/>
  <c r="X590" i="3"/>
  <c r="Q593" i="3"/>
  <c r="W595" i="3"/>
  <c r="P598" i="3"/>
  <c r="V600" i="3"/>
  <c r="AB602" i="3"/>
  <c r="U605" i="3"/>
  <c r="AE605" i="3" s="1"/>
  <c r="AA607" i="3"/>
  <c r="U609" i="3"/>
  <c r="AE609" i="3" s="1"/>
  <c r="X610" i="3"/>
  <c r="AA611" i="3"/>
  <c r="Q613" i="3"/>
  <c r="T614" i="3"/>
  <c r="W615" i="3"/>
  <c r="Z616" i="3"/>
  <c r="P618" i="3"/>
  <c r="S619" i="3"/>
  <c r="V620" i="3"/>
  <c r="Y621" i="3"/>
  <c r="AB622" i="3"/>
  <c r="R624" i="3"/>
  <c r="U625" i="3"/>
  <c r="AE625" i="3" s="1"/>
  <c r="X626" i="3"/>
  <c r="AA627" i="3"/>
  <c r="Q629" i="3"/>
  <c r="T630" i="3"/>
  <c r="W631" i="3"/>
  <c r="Z632" i="3"/>
  <c r="P634" i="3"/>
  <c r="S635" i="3"/>
  <c r="V636" i="3"/>
  <c r="Y637" i="3"/>
  <c r="AB638" i="3"/>
  <c r="R640" i="3"/>
  <c r="U641" i="3"/>
  <c r="AE641" i="3" s="1"/>
  <c r="X642" i="3"/>
  <c r="AA643" i="3"/>
  <c r="Q645" i="3"/>
  <c r="T646" i="3"/>
  <c r="W647" i="3"/>
  <c r="Z648" i="3"/>
  <c r="P650" i="3"/>
  <c r="S651" i="3"/>
  <c r="V652" i="3"/>
  <c r="Y653" i="3"/>
  <c r="AB654" i="3"/>
  <c r="R656" i="3"/>
  <c r="U657" i="3"/>
  <c r="AE657" i="3" s="1"/>
  <c r="X658" i="3"/>
  <c r="AA659" i="3"/>
  <c r="Q661" i="3"/>
  <c r="T662" i="3"/>
  <c r="W663" i="3"/>
  <c r="Z664" i="3"/>
  <c r="P666" i="3"/>
  <c r="S667" i="3"/>
  <c r="V668" i="3"/>
  <c r="Y669" i="3"/>
  <c r="AB670" i="3"/>
  <c r="R672" i="3"/>
  <c r="U673" i="3"/>
  <c r="AE673" i="3" s="1"/>
  <c r="X674" i="3"/>
  <c r="AA675" i="3"/>
  <c r="Q677" i="3"/>
  <c r="T678" i="3"/>
  <c r="W679" i="3"/>
  <c r="Z680" i="3"/>
  <c r="P682" i="3"/>
  <c r="S683" i="3"/>
  <c r="V684" i="3"/>
  <c r="Y685" i="3"/>
  <c r="AB686" i="3"/>
  <c r="R688" i="3"/>
  <c r="U689" i="3"/>
  <c r="AE689" i="3" s="1"/>
  <c r="X690" i="3"/>
  <c r="AA691" i="3"/>
  <c r="Q693" i="3"/>
  <c r="T694" i="3"/>
  <c r="W695" i="3"/>
  <c r="Z696" i="3"/>
  <c r="P698" i="3"/>
  <c r="S699" i="3"/>
  <c r="V700" i="3"/>
  <c r="Y701" i="3"/>
  <c r="AB702" i="3"/>
  <c r="R704" i="3"/>
  <c r="U705" i="3"/>
  <c r="AE705" i="3" s="1"/>
  <c r="X706" i="3"/>
  <c r="AA707" i="3"/>
  <c r="Q709" i="3"/>
  <c r="S710" i="3"/>
  <c r="R711" i="3"/>
  <c r="R712" i="3"/>
  <c r="Q713" i="3"/>
  <c r="R714" i="3"/>
  <c r="R715" i="3"/>
  <c r="P716" i="3"/>
  <c r="Z716" i="3"/>
  <c r="W717" i="3"/>
  <c r="S718" i="3"/>
  <c r="AB718" i="3"/>
  <c r="Y719" i="3"/>
  <c r="U720" i="3"/>
  <c r="AE720" i="3" s="1"/>
  <c r="Q721" i="3"/>
  <c r="Z721" i="3"/>
  <c r="V722" i="3"/>
  <c r="R723" i="3"/>
  <c r="AA723" i="3"/>
  <c r="X724" i="3"/>
  <c r="T725" i="3"/>
  <c r="P726" i="3"/>
  <c r="Y726" i="3"/>
  <c r="U727" i="3"/>
  <c r="AE727" i="3" s="1"/>
  <c r="Q728" i="3"/>
  <c r="Z728" i="3"/>
  <c r="W729" i="3"/>
  <c r="S730" i="3"/>
  <c r="AB730" i="3"/>
  <c r="X731" i="3"/>
  <c r="T732" i="3"/>
  <c r="P733" i="3"/>
  <c r="Y733" i="3"/>
  <c r="V734" i="3"/>
  <c r="R735" i="3"/>
  <c r="AA735" i="3"/>
  <c r="W736" i="3"/>
  <c r="S737" i="3"/>
  <c r="AB737" i="3"/>
  <c r="X738" i="3"/>
  <c r="U739" i="3"/>
  <c r="AE739" i="3" s="1"/>
  <c r="Q740" i="3"/>
  <c r="Z740" i="3"/>
  <c r="V741" i="3"/>
  <c r="R742" i="3"/>
  <c r="AA742" i="3"/>
  <c r="W743" i="3"/>
  <c r="T744" i="3"/>
  <c r="P745" i="3"/>
  <c r="Y745" i="3"/>
  <c r="U746" i="3"/>
  <c r="Q747" i="3"/>
  <c r="Z747" i="3"/>
  <c r="V748" i="3"/>
  <c r="S749" i="3"/>
  <c r="AB749" i="3"/>
  <c r="X750" i="3"/>
  <c r="T751" i="3"/>
  <c r="P752" i="3"/>
  <c r="Y752" i="3"/>
  <c r="U753" i="3"/>
  <c r="AE753" i="3" s="1"/>
  <c r="R754" i="3"/>
  <c r="AA754" i="3"/>
  <c r="W755" i="3"/>
  <c r="S756" i="3"/>
  <c r="AB756" i="3"/>
  <c r="X757" i="3"/>
  <c r="T758" i="3"/>
  <c r="Q759" i="3"/>
  <c r="Z759" i="3"/>
  <c r="V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S234" i="3"/>
  <c r="W325" i="3"/>
  <c r="P368" i="3"/>
  <c r="Z398" i="3"/>
  <c r="U422" i="3"/>
  <c r="U433" i="3"/>
  <c r="AE433" i="3" s="1"/>
  <c r="S443" i="3"/>
  <c r="AA449" i="3"/>
  <c r="V455" i="3"/>
  <c r="Q461" i="3"/>
  <c r="Y466" i="3"/>
  <c r="U472" i="3"/>
  <c r="AE472" i="3" s="1"/>
  <c r="P478" i="3"/>
  <c r="X483" i="3"/>
  <c r="S489" i="3"/>
  <c r="AA494" i="3"/>
  <c r="R500" i="3"/>
  <c r="Q505" i="3"/>
  <c r="P510" i="3"/>
  <c r="AB514" i="3"/>
  <c r="AA519" i="3"/>
  <c r="R524" i="3"/>
  <c r="R527" i="3"/>
  <c r="X529" i="3"/>
  <c r="Q532" i="3"/>
  <c r="W534" i="3"/>
  <c r="P537" i="3"/>
  <c r="V539" i="3"/>
  <c r="AB541" i="3"/>
  <c r="U544" i="3"/>
  <c r="AE544" i="3" s="1"/>
  <c r="AA546" i="3"/>
  <c r="T549" i="3"/>
  <c r="Z551" i="3"/>
  <c r="S554" i="3"/>
  <c r="Y556" i="3"/>
  <c r="R559" i="3"/>
  <c r="X561" i="3"/>
  <c r="Q564" i="3"/>
  <c r="W566" i="3"/>
  <c r="P569" i="3"/>
  <c r="V571" i="3"/>
  <c r="AB573" i="3"/>
  <c r="U576" i="3"/>
  <c r="AE576" i="3" s="1"/>
  <c r="AA578" i="3"/>
  <c r="T581" i="3"/>
  <c r="Z583" i="3"/>
  <c r="S586" i="3"/>
  <c r="Y588" i="3"/>
  <c r="R591" i="3"/>
  <c r="X593" i="3"/>
  <c r="Q596" i="3"/>
  <c r="W598" i="3"/>
  <c r="P601" i="3"/>
  <c r="V603" i="3"/>
  <c r="AB605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P665" i="3"/>
  <c r="S666" i="3"/>
  <c r="V667" i="3"/>
  <c r="Y668" i="3"/>
  <c r="AB669" i="3"/>
  <c r="R671" i="3"/>
  <c r="U672" i="3"/>
  <c r="AE672" i="3" s="1"/>
  <c r="X673" i="3"/>
  <c r="AA674" i="3"/>
  <c r="Q676" i="3"/>
  <c r="T677" i="3"/>
  <c r="W678" i="3"/>
  <c r="Z679" i="3"/>
  <c r="P681" i="3"/>
  <c r="S682" i="3"/>
  <c r="V683" i="3"/>
  <c r="Y684" i="3"/>
  <c r="AB685" i="3"/>
  <c r="R687" i="3"/>
  <c r="U688" i="3"/>
  <c r="AE688" i="3" s="1"/>
  <c r="X689" i="3"/>
  <c r="AA690" i="3"/>
  <c r="Q692" i="3"/>
  <c r="T693" i="3"/>
  <c r="W694" i="3"/>
  <c r="Z695" i="3"/>
  <c r="P697" i="3"/>
  <c r="S698" i="3"/>
  <c r="V699" i="3"/>
  <c r="Y700" i="3"/>
  <c r="AB701" i="3"/>
  <c r="R703" i="3"/>
  <c r="U704" i="3"/>
  <c r="AE704" i="3" s="1"/>
  <c r="X705" i="3"/>
  <c r="AA706" i="3"/>
  <c r="Q708" i="3"/>
  <c r="T709" i="3"/>
  <c r="T710" i="3"/>
  <c r="S711" i="3"/>
  <c r="T712" i="3"/>
  <c r="T713" i="3"/>
  <c r="S714" i="3"/>
  <c r="S715" i="3"/>
  <c r="Q716" i="3"/>
  <c r="AA716" i="3"/>
  <c r="X717" i="3"/>
  <c r="T718" i="3"/>
  <c r="Q719" i="3"/>
  <c r="Z719" i="3"/>
  <c r="V720" i="3"/>
  <c r="R721" i="3"/>
  <c r="AA721" i="3"/>
  <c r="W722" i="3"/>
  <c r="S723" i="3"/>
  <c r="P724" i="3"/>
  <c r="Y724" i="3"/>
  <c r="U725" i="3"/>
  <c r="AE725" i="3" s="1"/>
  <c r="Q726" i="3"/>
  <c r="Z726" i="3"/>
  <c r="V727" i="3"/>
  <c r="R728" i="3"/>
  <c r="AB728" i="3"/>
  <c r="X729" i="3"/>
  <c r="T730" i="3"/>
  <c r="P731" i="3"/>
  <c r="Y731" i="3"/>
  <c r="U732" i="3"/>
  <c r="AE732" i="3" s="1"/>
  <c r="Q733" i="3"/>
  <c r="AA733" i="3"/>
  <c r="W734" i="3"/>
  <c r="S735" i="3"/>
  <c r="AB735" i="3"/>
  <c r="X736" i="3"/>
  <c r="T737" i="3"/>
  <c r="P738" i="3"/>
  <c r="Z738" i="3"/>
  <c r="V739" i="3"/>
  <c r="R740" i="3"/>
  <c r="AA740" i="3"/>
  <c r="W741" i="3"/>
  <c r="S742" i="3"/>
  <c r="AB742" i="3"/>
  <c r="Y743" i="3"/>
  <c r="U744" i="3"/>
  <c r="AE744" i="3" s="1"/>
  <c r="Q745" i="3"/>
  <c r="Z745" i="3"/>
  <c r="V746" i="3"/>
  <c r="R747" i="3"/>
  <c r="AA747" i="3"/>
  <c r="X748" i="3"/>
  <c r="T749" i="3"/>
  <c r="P750" i="3"/>
  <c r="Y750" i="3"/>
  <c r="U751" i="3"/>
  <c r="AE751" i="3" s="1"/>
  <c r="Q752" i="3"/>
  <c r="Z752" i="3"/>
  <c r="W753" i="3"/>
  <c r="S754" i="3"/>
  <c r="AB754" i="3"/>
  <c r="X755" i="3"/>
  <c r="T756" i="3"/>
  <c r="P757" i="3"/>
  <c r="Y757" i="3"/>
  <c r="V758" i="3"/>
  <c r="R759" i="3"/>
  <c r="AA759" i="3"/>
  <c r="W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AB253" i="3"/>
  <c r="X331" i="3"/>
  <c r="AB372" i="3"/>
  <c r="R402" i="3"/>
  <c r="Z423" i="3"/>
  <c r="X434" i="3"/>
  <c r="R444" i="3"/>
  <c r="W450" i="3"/>
  <c r="R456" i="3"/>
  <c r="Z461" i="3"/>
  <c r="V467" i="3"/>
  <c r="Q473" i="3"/>
  <c r="Y478" i="3"/>
  <c r="T484" i="3"/>
  <c r="AB489" i="3"/>
  <c r="W495" i="3"/>
  <c r="Z500" i="3"/>
  <c r="Y505" i="3"/>
  <c r="X510" i="3"/>
  <c r="W515" i="3"/>
  <c r="V520" i="3"/>
  <c r="Z524" i="3"/>
  <c r="S527" i="3"/>
  <c r="Y529" i="3"/>
  <c r="R532" i="3"/>
  <c r="X534" i="3"/>
  <c r="Q537" i="3"/>
  <c r="W539" i="3"/>
  <c r="P542" i="3"/>
  <c r="V544" i="3"/>
  <c r="AB546" i="3"/>
  <c r="U549" i="3"/>
  <c r="AE549" i="3" s="1"/>
  <c r="AA551" i="3"/>
  <c r="T554" i="3"/>
  <c r="Z556" i="3"/>
  <c r="S559" i="3"/>
  <c r="Y561" i="3"/>
  <c r="R564" i="3"/>
  <c r="X566" i="3"/>
  <c r="Q569" i="3"/>
  <c r="W571" i="3"/>
  <c r="P574" i="3"/>
  <c r="V576" i="3"/>
  <c r="AB578" i="3"/>
  <c r="U581" i="3"/>
  <c r="AE581" i="3" s="1"/>
  <c r="AA583" i="3"/>
  <c r="T586" i="3"/>
  <c r="Z588" i="3"/>
  <c r="S591" i="3"/>
  <c r="Y593" i="3"/>
  <c r="R596" i="3"/>
  <c r="X598" i="3"/>
  <c r="Q601" i="3"/>
  <c r="W603" i="3"/>
  <c r="P606" i="3"/>
  <c r="V608" i="3"/>
  <c r="Y609" i="3"/>
  <c r="AB610" i="3"/>
  <c r="R612" i="3"/>
  <c r="U613" i="3"/>
  <c r="AE613" i="3" s="1"/>
  <c r="X614" i="3"/>
  <c r="AA615" i="3"/>
  <c r="Q617" i="3"/>
  <c r="T618" i="3"/>
  <c r="W619" i="3"/>
  <c r="Z620" i="3"/>
  <c r="P622" i="3"/>
  <c r="S623" i="3"/>
  <c r="V624" i="3"/>
  <c r="Y625" i="3"/>
  <c r="AB626" i="3"/>
  <c r="R628" i="3"/>
  <c r="U629" i="3"/>
  <c r="AE629" i="3" s="1"/>
  <c r="X630" i="3"/>
  <c r="AA631" i="3"/>
  <c r="Q633" i="3"/>
  <c r="T634" i="3"/>
  <c r="W635" i="3"/>
  <c r="Z636" i="3"/>
  <c r="P638" i="3"/>
  <c r="S639" i="3"/>
  <c r="V640" i="3"/>
  <c r="Y641" i="3"/>
  <c r="AB642" i="3"/>
  <c r="R644" i="3"/>
  <c r="U645" i="3"/>
  <c r="AE645" i="3" s="1"/>
  <c r="X646" i="3"/>
  <c r="AA647" i="3"/>
  <c r="Q649" i="3"/>
  <c r="T650" i="3"/>
  <c r="W651" i="3"/>
  <c r="Z652" i="3"/>
  <c r="P654" i="3"/>
  <c r="S655" i="3"/>
  <c r="V656" i="3"/>
  <c r="Y657" i="3"/>
  <c r="AB658" i="3"/>
  <c r="R660" i="3"/>
  <c r="U661" i="3"/>
  <c r="AE661" i="3" s="1"/>
  <c r="X662" i="3"/>
  <c r="AA663" i="3"/>
  <c r="Q665" i="3"/>
  <c r="T666" i="3"/>
  <c r="W667" i="3"/>
  <c r="Z668" i="3"/>
  <c r="P670" i="3"/>
  <c r="S671" i="3"/>
  <c r="V672" i="3"/>
  <c r="Y673" i="3"/>
  <c r="AB674" i="3"/>
  <c r="R676" i="3"/>
  <c r="U677" i="3"/>
  <c r="AE677" i="3" s="1"/>
  <c r="X678" i="3"/>
  <c r="AA679" i="3"/>
  <c r="Q681" i="3"/>
  <c r="T682" i="3"/>
  <c r="W683" i="3"/>
  <c r="Z684" i="3"/>
  <c r="P686" i="3"/>
  <c r="S687" i="3"/>
  <c r="V688" i="3"/>
  <c r="Y689" i="3"/>
  <c r="AB690" i="3"/>
  <c r="R692" i="3"/>
  <c r="U693" i="3"/>
  <c r="AE693" i="3" s="1"/>
  <c r="X694" i="3"/>
  <c r="AA695" i="3"/>
  <c r="Q697" i="3"/>
  <c r="T698" i="3"/>
  <c r="W699" i="3"/>
  <c r="Z700" i="3"/>
  <c r="P702" i="3"/>
  <c r="S703" i="3"/>
  <c r="V704" i="3"/>
  <c r="Y705" i="3"/>
  <c r="AB706" i="3"/>
  <c r="R708" i="3"/>
  <c r="U709" i="3"/>
  <c r="AE709" i="3" s="1"/>
  <c r="V710" i="3"/>
  <c r="V711" i="3"/>
  <c r="U712" i="3"/>
  <c r="AE712" i="3" s="1"/>
  <c r="U713" i="3"/>
  <c r="AE713" i="3" s="1"/>
  <c r="T714" i="3"/>
  <c r="U715" i="3"/>
  <c r="AE715" i="3" s="1"/>
  <c r="R716" i="3"/>
  <c r="P717" i="3"/>
  <c r="Y717" i="3"/>
  <c r="V718" i="3"/>
  <c r="R719" i="3"/>
  <c r="AA719" i="3"/>
  <c r="W720" i="3"/>
  <c r="S721" i="3"/>
  <c r="AB721" i="3"/>
  <c r="X722" i="3"/>
  <c r="U723" i="3"/>
  <c r="AE723" i="3" s="1"/>
  <c r="Q724" i="3"/>
  <c r="Z724" i="3"/>
  <c r="V725" i="3"/>
  <c r="R726" i="3"/>
  <c r="AA726" i="3"/>
  <c r="W727" i="3"/>
  <c r="T728" i="3"/>
  <c r="P729" i="3"/>
  <c r="Y729" i="3"/>
  <c r="U730" i="3"/>
  <c r="AE730" i="3" s="1"/>
  <c r="Q731" i="3"/>
  <c r="Z731" i="3"/>
  <c r="V732" i="3"/>
  <c r="S733" i="3"/>
  <c r="AB733" i="3"/>
  <c r="X734" i="3"/>
  <c r="T735" i="3"/>
  <c r="P736" i="3"/>
  <c r="Y736" i="3"/>
  <c r="U737" i="3"/>
  <c r="AE737" i="3" s="1"/>
  <c r="R738" i="3"/>
  <c r="AA738" i="3"/>
  <c r="W739" i="3"/>
  <c r="S740" i="3"/>
  <c r="AB740" i="3"/>
  <c r="X741" i="3"/>
  <c r="T742" i="3"/>
  <c r="Q743" i="3"/>
  <c r="Z743" i="3"/>
  <c r="V744" i="3"/>
  <c r="R745" i="3"/>
  <c r="AA745" i="3"/>
  <c r="W746" i="3"/>
  <c r="S747" i="3"/>
  <c r="P748" i="3"/>
  <c r="Y748" i="3"/>
  <c r="U749" i="3"/>
  <c r="AE749" i="3" s="1"/>
  <c r="Q750" i="3"/>
  <c r="Z750" i="3"/>
  <c r="V751" i="3"/>
  <c r="R752" i="3"/>
  <c r="AB752" i="3"/>
  <c r="X753" i="3"/>
  <c r="T754" i="3"/>
  <c r="P755" i="3"/>
  <c r="Y755" i="3"/>
  <c r="U756" i="3"/>
  <c r="AE756" i="3" s="1"/>
  <c r="Q757" i="3"/>
  <c r="AA757" i="3"/>
  <c r="W758" i="3"/>
  <c r="S759" i="3"/>
  <c r="AB759" i="3"/>
  <c r="X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Q269" i="3"/>
  <c r="S337" i="3"/>
  <c r="AA377" i="3"/>
  <c r="U405" i="3"/>
  <c r="AE405" i="3" s="1"/>
  <c r="R425" i="3"/>
  <c r="AA435" i="3"/>
  <c r="P445" i="3"/>
  <c r="S451" i="3"/>
  <c r="AA456" i="3"/>
  <c r="W462" i="3"/>
  <c r="R468" i="3"/>
  <c r="Z473" i="3"/>
  <c r="U479" i="3"/>
  <c r="AE479" i="3" s="1"/>
  <c r="P485" i="3"/>
  <c r="X490" i="3"/>
  <c r="S496" i="3"/>
  <c r="U501" i="3"/>
  <c r="AE501" i="3" s="1"/>
  <c r="T506" i="3"/>
  <c r="S511" i="3"/>
  <c r="R516" i="3"/>
  <c r="Q521" i="3"/>
  <c r="T525" i="3"/>
  <c r="Z527" i="3"/>
  <c r="S530" i="3"/>
  <c r="Y532" i="3"/>
  <c r="R535" i="3"/>
  <c r="X537" i="3"/>
  <c r="Q540" i="3"/>
  <c r="W542" i="3"/>
  <c r="P545" i="3"/>
  <c r="V547" i="3"/>
  <c r="AB549" i="3"/>
  <c r="U552" i="3"/>
  <c r="AE552" i="3" s="1"/>
  <c r="AA554" i="3"/>
  <c r="T557" i="3"/>
  <c r="Z559" i="3"/>
  <c r="S562" i="3"/>
  <c r="Y564" i="3"/>
  <c r="R567" i="3"/>
  <c r="X569" i="3"/>
  <c r="Q572" i="3"/>
  <c r="W574" i="3"/>
  <c r="P577" i="3"/>
  <c r="V579" i="3"/>
  <c r="AB581" i="3"/>
  <c r="U584" i="3"/>
  <c r="AE584" i="3" s="1"/>
  <c r="AA586" i="3"/>
  <c r="T589" i="3"/>
  <c r="Z591" i="3"/>
  <c r="S594" i="3"/>
  <c r="Y596" i="3"/>
  <c r="R599" i="3"/>
  <c r="X601" i="3"/>
  <c r="Q604" i="3"/>
  <c r="W606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T280" i="3"/>
  <c r="AA342" i="3"/>
  <c r="AA381" i="3"/>
  <c r="X408" i="3"/>
  <c r="W426" i="3"/>
  <c r="Q437" i="3"/>
  <c r="Z445" i="3"/>
  <c r="AB451" i="3"/>
  <c r="X457" i="3"/>
  <c r="S463" i="3"/>
  <c r="AA468" i="3"/>
  <c r="V474" i="3"/>
  <c r="Q480" i="3"/>
  <c r="Y485" i="3"/>
  <c r="T491" i="3"/>
  <c r="P497" i="3"/>
  <c r="P502" i="3"/>
  <c r="AB506" i="3"/>
  <c r="AA511" i="3"/>
  <c r="Z516" i="3"/>
  <c r="Y521" i="3"/>
  <c r="U525" i="3"/>
  <c r="AE525" i="3" s="1"/>
  <c r="AA527" i="3"/>
  <c r="T530" i="3"/>
  <c r="Z532" i="3"/>
  <c r="S535" i="3"/>
  <c r="Y537" i="3"/>
  <c r="R540" i="3"/>
  <c r="X542" i="3"/>
  <c r="Q545" i="3"/>
  <c r="W547" i="3"/>
  <c r="P550" i="3"/>
  <c r="V552" i="3"/>
  <c r="AB554" i="3"/>
  <c r="U557" i="3"/>
  <c r="AE557" i="3" s="1"/>
  <c r="AA559" i="3"/>
  <c r="T562" i="3"/>
  <c r="Z564" i="3"/>
  <c r="S567" i="3"/>
  <c r="Y569" i="3"/>
  <c r="R572" i="3"/>
  <c r="X574" i="3"/>
  <c r="Q577" i="3"/>
  <c r="W579" i="3"/>
  <c r="P582" i="3"/>
  <c r="V584" i="3"/>
  <c r="AB586" i="3"/>
  <c r="U589" i="3"/>
  <c r="AE589" i="3" s="1"/>
  <c r="AA591" i="3"/>
  <c r="T594" i="3"/>
  <c r="Z596" i="3"/>
  <c r="S599" i="3"/>
  <c r="Y601" i="3"/>
  <c r="R604" i="3"/>
  <c r="X606" i="3"/>
  <c r="Z608" i="3"/>
  <c r="P610" i="3"/>
  <c r="S611" i="3"/>
  <c r="V612" i="3"/>
  <c r="Y613" i="3"/>
  <c r="AB614" i="3"/>
  <c r="R616" i="3"/>
  <c r="U617" i="3"/>
  <c r="AE617" i="3" s="1"/>
  <c r="X618" i="3"/>
  <c r="AA619" i="3"/>
  <c r="Q621" i="3"/>
  <c r="T622" i="3"/>
  <c r="W623" i="3"/>
  <c r="Z624" i="3"/>
  <c r="P626" i="3"/>
  <c r="S627" i="3"/>
  <c r="V628" i="3"/>
  <c r="Y629" i="3"/>
  <c r="AB630" i="3"/>
  <c r="R632" i="3"/>
  <c r="U633" i="3"/>
  <c r="AE633" i="3" s="1"/>
  <c r="X634" i="3"/>
  <c r="AA635" i="3"/>
  <c r="Q637" i="3"/>
  <c r="T638" i="3"/>
  <c r="W639" i="3"/>
  <c r="Z640" i="3"/>
  <c r="P642" i="3"/>
  <c r="S643" i="3"/>
  <c r="V644" i="3"/>
  <c r="Y645" i="3"/>
  <c r="AB646" i="3"/>
  <c r="R648" i="3"/>
  <c r="U649" i="3"/>
  <c r="X650" i="3"/>
  <c r="AA651" i="3"/>
  <c r="Q653" i="3"/>
  <c r="T654" i="3"/>
  <c r="W655" i="3"/>
  <c r="Z656" i="3"/>
  <c r="P658" i="3"/>
  <c r="S659" i="3"/>
  <c r="V660" i="3"/>
  <c r="Y661" i="3"/>
  <c r="AB662" i="3"/>
  <c r="R664" i="3"/>
  <c r="U665" i="3"/>
  <c r="AE665" i="3" s="1"/>
  <c r="X666" i="3"/>
  <c r="AA667" i="3"/>
  <c r="Q669" i="3"/>
  <c r="T670" i="3"/>
  <c r="W671" i="3"/>
  <c r="Z672" i="3"/>
  <c r="P674" i="3"/>
  <c r="S675" i="3"/>
  <c r="V676" i="3"/>
  <c r="Y677" i="3"/>
  <c r="AB678" i="3"/>
  <c r="R680" i="3"/>
  <c r="U681" i="3"/>
  <c r="AE681" i="3" s="1"/>
  <c r="X682" i="3"/>
  <c r="AA683" i="3"/>
  <c r="Q685" i="3"/>
  <c r="T686" i="3"/>
  <c r="W687" i="3"/>
  <c r="Z688" i="3"/>
  <c r="P690" i="3"/>
  <c r="S691" i="3"/>
  <c r="V692" i="3"/>
  <c r="Y693" i="3"/>
  <c r="AB694" i="3"/>
  <c r="R696" i="3"/>
  <c r="U697" i="3"/>
  <c r="AE697" i="3" s="1"/>
  <c r="X698" i="3"/>
  <c r="AA699" i="3"/>
  <c r="Q701" i="3"/>
  <c r="T702" i="3"/>
  <c r="W703" i="3"/>
  <c r="Z704" i="3"/>
  <c r="P706" i="3"/>
  <c r="S707" i="3"/>
  <c r="V708" i="3"/>
  <c r="Y709" i="3"/>
  <c r="X710" i="3"/>
  <c r="Y711" i="3"/>
  <c r="Y712" i="3"/>
  <c r="X713" i="3"/>
  <c r="X714" i="3"/>
  <c r="W715" i="3"/>
  <c r="U716" i="3"/>
  <c r="S717" i="3"/>
  <c r="AB717" i="3"/>
  <c r="X718" i="3"/>
  <c r="T719" i="3"/>
  <c r="P720" i="3"/>
  <c r="Y720" i="3"/>
  <c r="U721" i="3"/>
  <c r="AE721" i="3" s="1"/>
  <c r="R722" i="3"/>
  <c r="AA722" i="3"/>
  <c r="W723" i="3"/>
  <c r="S724" i="3"/>
  <c r="AB724" i="3"/>
  <c r="X725" i="3"/>
  <c r="T726" i="3"/>
  <c r="Q727" i="3"/>
  <c r="Z727" i="3"/>
  <c r="V728" i="3"/>
  <c r="R729" i="3"/>
  <c r="AA729" i="3"/>
  <c r="W730" i="3"/>
  <c r="S731" i="3"/>
  <c r="P732" i="3"/>
  <c r="Y732" i="3"/>
  <c r="U733" i="3"/>
  <c r="AE733" i="3" s="1"/>
  <c r="Q734" i="3"/>
  <c r="Z734" i="3"/>
  <c r="V735" i="3"/>
  <c r="R736" i="3"/>
  <c r="AB736" i="3"/>
  <c r="X737" i="3"/>
  <c r="T738" i="3"/>
  <c r="P739" i="3"/>
  <c r="Y739" i="3"/>
  <c r="U740" i="3"/>
  <c r="AE740" i="3" s="1"/>
  <c r="Q741" i="3"/>
  <c r="AA741" i="3"/>
  <c r="W742" i="3"/>
  <c r="S743" i="3"/>
  <c r="AB743" i="3"/>
  <c r="X744" i="3"/>
  <c r="T745" i="3"/>
  <c r="P746" i="3"/>
  <c r="Z746" i="3"/>
  <c r="V747" i="3"/>
  <c r="R748" i="3"/>
  <c r="AA748" i="3"/>
  <c r="W749" i="3"/>
  <c r="S750" i="3"/>
  <c r="AB750" i="3"/>
  <c r="Y751" i="3"/>
  <c r="U752" i="3"/>
  <c r="AE752" i="3" s="1"/>
  <c r="Q753" i="3"/>
  <c r="Z753" i="3"/>
  <c r="V754" i="3"/>
  <c r="R755" i="3"/>
  <c r="AA755" i="3"/>
  <c r="X756" i="3"/>
  <c r="T757" i="3"/>
  <c r="P758" i="3"/>
  <c r="Y758" i="3"/>
  <c r="U759" i="3"/>
  <c r="AE759" i="3" s="1"/>
  <c r="Q760" i="3"/>
  <c r="Z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AE806" i="3" s="1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R290" i="3"/>
  <c r="T348" i="3"/>
  <c r="Y385" i="3"/>
  <c r="P412" i="3"/>
  <c r="P428" i="3"/>
  <c r="T438" i="3"/>
  <c r="X446" i="3"/>
  <c r="Y452" i="3"/>
  <c r="T458" i="3"/>
  <c r="AB463" i="3"/>
  <c r="W469" i="3"/>
  <c r="R475" i="3"/>
  <c r="Z480" i="3"/>
  <c r="U486" i="3"/>
  <c r="AE486" i="3" s="1"/>
  <c r="Q492" i="3"/>
  <c r="Y497" i="3"/>
  <c r="X502" i="3"/>
  <c r="W507" i="3"/>
  <c r="V512" i="3"/>
  <c r="U517" i="3"/>
  <c r="AE517" i="3" s="1"/>
  <c r="T522" i="3"/>
  <c r="AB525" i="3"/>
  <c r="U528" i="3"/>
  <c r="AE528" i="3" s="1"/>
  <c r="AA530" i="3"/>
  <c r="T533" i="3"/>
  <c r="Z535" i="3"/>
  <c r="S538" i="3"/>
  <c r="Y540" i="3"/>
  <c r="R543" i="3"/>
  <c r="X545" i="3"/>
  <c r="Q548" i="3"/>
  <c r="W550" i="3"/>
  <c r="P553" i="3"/>
  <c r="V555" i="3"/>
  <c r="AB557" i="3"/>
  <c r="U560" i="3"/>
  <c r="AE560" i="3" s="1"/>
  <c r="AA562" i="3"/>
  <c r="T565" i="3"/>
  <c r="Z567" i="3"/>
  <c r="S570" i="3"/>
  <c r="Y572" i="3"/>
  <c r="R575" i="3"/>
  <c r="X577" i="3"/>
  <c r="Q580" i="3"/>
  <c r="W582" i="3"/>
  <c r="P585" i="3"/>
  <c r="V587" i="3"/>
  <c r="AB589" i="3"/>
  <c r="U592" i="3"/>
  <c r="AE592" i="3" s="1"/>
  <c r="AA594" i="3"/>
  <c r="T597" i="3"/>
  <c r="Z599" i="3"/>
  <c r="S602" i="3"/>
  <c r="Y604" i="3"/>
  <c r="R607" i="3"/>
  <c r="P609" i="3"/>
  <c r="S610" i="3"/>
  <c r="V611" i="3"/>
  <c r="Y612" i="3"/>
  <c r="AB613" i="3"/>
  <c r="R615" i="3"/>
  <c r="U616" i="3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AE664" i="3" s="1"/>
  <c r="X665" i="3"/>
  <c r="AA666" i="3"/>
  <c r="Q668" i="3"/>
  <c r="T669" i="3"/>
  <c r="W670" i="3"/>
  <c r="Z671" i="3"/>
  <c r="P673" i="3"/>
  <c r="S674" i="3"/>
  <c r="V675" i="3"/>
  <c r="Y676" i="3"/>
  <c r="AB677" i="3"/>
  <c r="R679" i="3"/>
  <c r="U680" i="3"/>
  <c r="AE680" i="3" s="1"/>
  <c r="X681" i="3"/>
  <c r="AA682" i="3"/>
  <c r="Q684" i="3"/>
  <c r="T685" i="3"/>
  <c r="W686" i="3"/>
  <c r="Z687" i="3"/>
  <c r="P689" i="3"/>
  <c r="S690" i="3"/>
  <c r="V691" i="3"/>
  <c r="Y692" i="3"/>
  <c r="AB693" i="3"/>
  <c r="R695" i="3"/>
  <c r="U696" i="3"/>
  <c r="AE696" i="3" s="1"/>
  <c r="X697" i="3"/>
  <c r="AA698" i="3"/>
  <c r="Q700" i="3"/>
  <c r="T701" i="3"/>
  <c r="W702" i="3"/>
  <c r="Z703" i="3"/>
  <c r="P705" i="3"/>
  <c r="S706" i="3"/>
  <c r="V707" i="3"/>
  <c r="Y708" i="3"/>
  <c r="AA709" i="3"/>
  <c r="AA710" i="3"/>
  <c r="Z711" i="3"/>
  <c r="Z712" i="3"/>
  <c r="Y713" i="3"/>
  <c r="Z714" i="3"/>
  <c r="X715" i="3"/>
  <c r="V716" i="3"/>
  <c r="T717" i="3"/>
  <c r="P718" i="3"/>
  <c r="Y718" i="3"/>
  <c r="U719" i="3"/>
  <c r="AE719" i="3" s="1"/>
  <c r="Q720" i="3"/>
  <c r="Z720" i="3"/>
  <c r="W721" i="3"/>
  <c r="S722" i="3"/>
  <c r="AB722" i="3"/>
  <c r="X723" i="3"/>
  <c r="T724" i="3"/>
  <c r="P725" i="3"/>
  <c r="Y725" i="3"/>
  <c r="V726" i="3"/>
  <c r="R727" i="3"/>
  <c r="AA727" i="3"/>
  <c r="W728" i="3"/>
  <c r="S729" i="3"/>
  <c r="AB729" i="3"/>
  <c r="X730" i="3"/>
  <c r="U731" i="3"/>
  <c r="AE731" i="3" s="1"/>
  <c r="Q732" i="3"/>
  <c r="Z732" i="3"/>
  <c r="V733" i="3"/>
  <c r="R734" i="3"/>
  <c r="Z627" i="3"/>
  <c r="Y632" i="3"/>
  <c r="X637" i="3"/>
  <c r="W642" i="3"/>
  <c r="V647" i="3"/>
  <c r="U652" i="3"/>
  <c r="AE652" i="3" s="1"/>
  <c r="T657" i="3"/>
  <c r="S662" i="3"/>
  <c r="R667" i="3"/>
  <c r="Q672" i="3"/>
  <c r="P677" i="3"/>
  <c r="AB681" i="3"/>
  <c r="AA686" i="3"/>
  <c r="Z691" i="3"/>
  <c r="Y696" i="3"/>
  <c r="X701" i="3"/>
  <c r="W706" i="3"/>
  <c r="Q711" i="3"/>
  <c r="AB714" i="3"/>
  <c r="R718" i="3"/>
  <c r="P721" i="3"/>
  <c r="Z723" i="3"/>
  <c r="X726" i="3"/>
  <c r="S732" i="3"/>
  <c r="Y734" i="3"/>
  <c r="Q736" i="3"/>
  <c r="W737" i="3"/>
  <c r="AB738" i="3"/>
  <c r="T740" i="3"/>
  <c r="Y741" i="3"/>
  <c r="R743" i="3"/>
  <c r="W744" i="3"/>
  <c r="AB745" i="3"/>
  <c r="U747" i="3"/>
  <c r="AE747" i="3" s="1"/>
  <c r="Z748" i="3"/>
  <c r="R750" i="3"/>
  <c r="W751" i="3"/>
  <c r="P753" i="3"/>
  <c r="U754" i="3"/>
  <c r="AE754" i="3" s="1"/>
  <c r="Z755" i="3"/>
  <c r="S757" i="3"/>
  <c r="X758" i="3"/>
  <c r="P760" i="3"/>
  <c r="U761" i="3"/>
  <c r="AE761" i="3" s="1"/>
  <c r="X762" i="3"/>
  <c r="AA763" i="3"/>
  <c r="Q765" i="3"/>
  <c r="T766" i="3"/>
  <c r="W767" i="3"/>
  <c r="Z768" i="3"/>
  <c r="P770" i="3"/>
  <c r="S771" i="3"/>
  <c r="V772" i="3"/>
  <c r="Y773" i="3"/>
  <c r="AB774" i="3"/>
  <c r="R776" i="3"/>
  <c r="U777" i="3"/>
  <c r="AE777" i="3" s="1"/>
  <c r="X778" i="3"/>
  <c r="AA779" i="3"/>
  <c r="Q781" i="3"/>
  <c r="T782" i="3"/>
  <c r="W783" i="3"/>
  <c r="Z784" i="3"/>
  <c r="P786" i="3"/>
  <c r="S787" i="3"/>
  <c r="V788" i="3"/>
  <c r="Y789" i="3"/>
  <c r="AB790" i="3"/>
  <c r="R792" i="3"/>
  <c r="U793" i="3"/>
  <c r="AE793" i="3" s="1"/>
  <c r="X794" i="3"/>
  <c r="AA795" i="3"/>
  <c r="Q797" i="3"/>
  <c r="T798" i="3"/>
  <c r="W799" i="3"/>
  <c r="Z800" i="3"/>
  <c r="P802" i="3"/>
  <c r="S803" i="3"/>
  <c r="V804" i="3"/>
  <c r="Y805" i="3"/>
  <c r="AB806" i="3"/>
  <c r="R808" i="3"/>
  <c r="U809" i="3"/>
  <c r="AE809" i="3" s="1"/>
  <c r="X810" i="3"/>
  <c r="AA811" i="3"/>
  <c r="Q813" i="3"/>
  <c r="T814" i="3"/>
  <c r="W815" i="3"/>
  <c r="Z816" i="3"/>
  <c r="P818" i="3"/>
  <c r="S819" i="3"/>
  <c r="V820" i="3"/>
  <c r="Y821" i="3"/>
  <c r="AB822" i="3"/>
  <c r="R824" i="3"/>
  <c r="U825" i="3"/>
  <c r="AE825" i="3" s="1"/>
  <c r="X826" i="3"/>
  <c r="AA827" i="3"/>
  <c r="Q829" i="3"/>
  <c r="T830" i="3"/>
  <c r="W831" i="3"/>
  <c r="Z832" i="3"/>
  <c r="P834" i="3"/>
  <c r="S835" i="3"/>
  <c r="Y837" i="3"/>
  <c r="AB838" i="3"/>
  <c r="R840" i="3"/>
  <c r="U841" i="3"/>
  <c r="AE841" i="3" s="1"/>
  <c r="X842" i="3"/>
  <c r="AA843" i="3"/>
  <c r="Q845" i="3"/>
  <c r="T846" i="3"/>
  <c r="W847" i="3"/>
  <c r="Z848" i="3"/>
  <c r="P850" i="3"/>
  <c r="S851" i="3"/>
  <c r="V852" i="3"/>
  <c r="Y853" i="3"/>
  <c r="AB854" i="3"/>
  <c r="R856" i="3"/>
  <c r="U857" i="3"/>
  <c r="AE857" i="3" s="1"/>
  <c r="X858" i="3"/>
  <c r="Q861" i="3"/>
  <c r="T862" i="3"/>
  <c r="W863" i="3"/>
  <c r="Z864" i="3"/>
  <c r="P866" i="3"/>
  <c r="S867" i="3"/>
  <c r="Y869" i="3"/>
  <c r="AB870" i="3"/>
  <c r="U873" i="3"/>
  <c r="AE873" i="3" s="1"/>
  <c r="Q877" i="3"/>
  <c r="Z880" i="3"/>
  <c r="V884" i="3"/>
  <c r="R888" i="3"/>
  <c r="X890" i="3"/>
  <c r="T894" i="3"/>
  <c r="P898" i="3"/>
  <c r="AB902" i="3"/>
  <c r="X906" i="3"/>
  <c r="T910" i="3"/>
  <c r="U913" i="3"/>
  <c r="AE913" i="3" s="1"/>
  <c r="U915" i="3"/>
  <c r="AE915" i="3" s="1"/>
  <c r="T918" i="3"/>
  <c r="AB920" i="3"/>
  <c r="W922" i="3"/>
  <c r="P925" i="3"/>
  <c r="V926" i="3"/>
  <c r="AA927" i="3"/>
  <c r="P930" i="3"/>
  <c r="U931" i="3"/>
  <c r="AE931" i="3" s="1"/>
  <c r="U933" i="3"/>
  <c r="AE933" i="3" s="1"/>
  <c r="U628" i="3"/>
  <c r="AE628" i="3" s="1"/>
  <c r="T633" i="3"/>
  <c r="S638" i="3"/>
  <c r="R643" i="3"/>
  <c r="Q648" i="3"/>
  <c r="P653" i="3"/>
  <c r="AB657" i="3"/>
  <c r="AA662" i="3"/>
  <c r="Z667" i="3"/>
  <c r="Y672" i="3"/>
  <c r="X677" i="3"/>
  <c r="W682" i="3"/>
  <c r="V687" i="3"/>
  <c r="U692" i="3"/>
  <c r="AE692" i="3" s="1"/>
  <c r="T697" i="3"/>
  <c r="S702" i="3"/>
  <c r="R707" i="3"/>
  <c r="W711" i="3"/>
  <c r="V715" i="3"/>
  <c r="W718" i="3"/>
  <c r="T721" i="3"/>
  <c r="R724" i="3"/>
  <c r="AB726" i="3"/>
  <c r="Z729" i="3"/>
  <c r="X732" i="3"/>
  <c r="AA734" i="3"/>
  <c r="T736" i="3"/>
  <c r="Y737" i="3"/>
  <c r="Q739" i="3"/>
  <c r="V740" i="3"/>
  <c r="AB741" i="3"/>
  <c r="T743" i="3"/>
  <c r="Y744" i="3"/>
  <c r="R746" i="3"/>
  <c r="W747" i="3"/>
  <c r="AB748" i="3"/>
  <c r="P629" i="3"/>
  <c r="AB633" i="3"/>
  <c r="AA638" i="3"/>
  <c r="Z643" i="3"/>
  <c r="Y648" i="3"/>
  <c r="X653" i="3"/>
  <c r="W658" i="3"/>
  <c r="V663" i="3"/>
  <c r="U668" i="3"/>
  <c r="AE668" i="3" s="1"/>
  <c r="T673" i="3"/>
  <c r="S678" i="3"/>
  <c r="R683" i="3"/>
  <c r="Q688" i="3"/>
  <c r="P693" i="3"/>
  <c r="AB697" i="3"/>
  <c r="AA702" i="3"/>
  <c r="Z707" i="3"/>
  <c r="Q712" i="3"/>
  <c r="AA715" i="3"/>
  <c r="AA718" i="3"/>
  <c r="Y721" i="3"/>
  <c r="V724" i="3"/>
  <c r="T727" i="3"/>
  <c r="R730" i="3"/>
  <c r="AB732" i="3"/>
  <c r="AB734" i="3"/>
  <c r="U736" i="3"/>
  <c r="AE736" i="3" s="1"/>
  <c r="Z737" i="3"/>
  <c r="R739" i="3"/>
  <c r="X740" i="3"/>
  <c r="P742" i="3"/>
  <c r="U743" i="3"/>
  <c r="Z744" i="3"/>
  <c r="S746" i="3"/>
  <c r="X747" i="3"/>
  <c r="P749" i="3"/>
  <c r="V750" i="3"/>
  <c r="AA751" i="3"/>
  <c r="S753" i="3"/>
  <c r="X754" i="3"/>
  <c r="Q756" i="3"/>
  <c r="V757" i="3"/>
  <c r="AA758" i="3"/>
  <c r="T760" i="3"/>
  <c r="X761" i="3"/>
  <c r="AA762" i="3"/>
  <c r="Q764" i="3"/>
  <c r="T765" i="3"/>
  <c r="W766" i="3"/>
  <c r="Z767" i="3"/>
  <c r="P769" i="3"/>
  <c r="S770" i="3"/>
  <c r="V771" i="3"/>
  <c r="Y772" i="3"/>
  <c r="AB773" i="3"/>
  <c r="R775" i="3"/>
  <c r="U776" i="3"/>
  <c r="AE776" i="3" s="1"/>
  <c r="X777" i="3"/>
  <c r="AA778" i="3"/>
  <c r="Q780" i="3"/>
  <c r="T781" i="3"/>
  <c r="W782" i="3"/>
  <c r="Z783" i="3"/>
  <c r="P785" i="3"/>
  <c r="S786" i="3"/>
  <c r="V787" i="3"/>
  <c r="Y788" i="3"/>
  <c r="AB789" i="3"/>
  <c r="R791" i="3"/>
  <c r="U792" i="3"/>
  <c r="AE792" i="3" s="1"/>
  <c r="X793" i="3"/>
  <c r="AA794" i="3"/>
  <c r="Q796" i="3"/>
  <c r="T797" i="3"/>
  <c r="W798" i="3"/>
  <c r="Z799" i="3"/>
  <c r="P801" i="3"/>
  <c r="S802" i="3"/>
  <c r="V803" i="3"/>
  <c r="Y804" i="3"/>
  <c r="AB805" i="3"/>
  <c r="R807" i="3"/>
  <c r="U808" i="3"/>
  <c r="AE808" i="3" s="1"/>
  <c r="X809" i="3"/>
  <c r="AA810" i="3"/>
  <c r="Q812" i="3"/>
  <c r="T813" i="3"/>
  <c r="W814" i="3"/>
  <c r="Z815" i="3"/>
  <c r="P817" i="3"/>
  <c r="S818" i="3"/>
  <c r="V819" i="3"/>
  <c r="Y820" i="3"/>
  <c r="AB821" i="3"/>
  <c r="R823" i="3"/>
  <c r="U824" i="3"/>
  <c r="AE824" i="3" s="1"/>
  <c r="X825" i="3"/>
  <c r="AA826" i="3"/>
  <c r="Q828" i="3"/>
  <c r="T829" i="3"/>
  <c r="W830" i="3"/>
  <c r="Z831" i="3"/>
  <c r="P833" i="3"/>
  <c r="S834" i="3"/>
  <c r="V835" i="3"/>
  <c r="Y836" i="3"/>
  <c r="AB837" i="3"/>
  <c r="R839" i="3"/>
  <c r="U840" i="3"/>
  <c r="AE840" i="3" s="1"/>
  <c r="X841" i="3"/>
  <c r="AA842" i="3"/>
  <c r="Q844" i="3"/>
  <c r="T845" i="3"/>
  <c r="W846" i="3"/>
  <c r="Z847" i="3"/>
  <c r="P849" i="3"/>
  <c r="S850" i="3"/>
  <c r="V851" i="3"/>
  <c r="Y852" i="3"/>
  <c r="AB853" i="3"/>
  <c r="R855" i="3"/>
  <c r="U856" i="3"/>
  <c r="AE856" i="3" s="1"/>
  <c r="X857" i="3"/>
  <c r="AA858" i="3"/>
  <c r="Q860" i="3"/>
  <c r="T861" i="3"/>
  <c r="W862" i="3"/>
  <c r="Z863" i="3"/>
  <c r="P865" i="3"/>
  <c r="S866" i="3"/>
  <c r="V867" i="3"/>
  <c r="Y868" i="3"/>
  <c r="AB869" i="3"/>
  <c r="R871" i="3"/>
  <c r="U872" i="3"/>
  <c r="AE872" i="3" s="1"/>
  <c r="X873" i="3"/>
  <c r="AA874" i="3"/>
  <c r="Q876" i="3"/>
  <c r="T877" i="3"/>
  <c r="W878" i="3"/>
  <c r="Z879" i="3"/>
  <c r="P881" i="3"/>
  <c r="S882" i="3"/>
  <c r="V883" i="3"/>
  <c r="Y884" i="3"/>
  <c r="AB885" i="3"/>
  <c r="R887" i="3"/>
  <c r="U888" i="3"/>
  <c r="AE888" i="3" s="1"/>
  <c r="X889" i="3"/>
  <c r="AA890" i="3"/>
  <c r="Q892" i="3"/>
  <c r="T893" i="3"/>
  <c r="W894" i="3"/>
  <c r="Z895" i="3"/>
  <c r="P897" i="3"/>
  <c r="S898" i="3"/>
  <c r="V899" i="3"/>
  <c r="Y900" i="3"/>
  <c r="AB901" i="3"/>
  <c r="R903" i="3"/>
  <c r="U904" i="3"/>
  <c r="AE904" i="3" s="1"/>
  <c r="X905" i="3"/>
  <c r="AA906" i="3"/>
  <c r="Q908" i="3"/>
  <c r="T909" i="3"/>
  <c r="W910" i="3"/>
  <c r="Y911" i="3"/>
  <c r="Y912" i="3"/>
  <c r="X913" i="3"/>
  <c r="X914" i="3"/>
  <c r="W915" i="3"/>
  <c r="X916" i="3"/>
  <c r="X917" i="3"/>
  <c r="W918" i="3"/>
  <c r="V919" i="3"/>
  <c r="T920" i="3"/>
  <c r="Q921" i="3"/>
  <c r="AB921" i="3"/>
  <c r="Z922" i="3"/>
  <c r="W923" i="3"/>
  <c r="U924" i="3"/>
  <c r="AE924" i="3" s="1"/>
  <c r="S925" i="3"/>
  <c r="AB925" i="3"/>
  <c r="X926" i="3"/>
  <c r="U927" i="3"/>
  <c r="AE927" i="3" s="1"/>
  <c r="Q928" i="3"/>
  <c r="Z928" i="3"/>
  <c r="V929" i="3"/>
  <c r="R930" i="3"/>
  <c r="AA930" i="3"/>
  <c r="W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AA730" i="3"/>
  <c r="S859" i="3"/>
  <c r="AB894" i="3"/>
  <c r="AB910" i="3"/>
  <c r="Z916" i="3"/>
  <c r="V920" i="3"/>
  <c r="AB922" i="3"/>
  <c r="U925" i="3"/>
  <c r="AE925" i="3" s="1"/>
  <c r="W927" i="3"/>
  <c r="AB928" i="3"/>
  <c r="Q931" i="3"/>
  <c r="V932" i="3"/>
  <c r="Y933" i="3"/>
  <c r="R936" i="3"/>
  <c r="X629" i="3"/>
  <c r="W634" i="3"/>
  <c r="V639" i="3"/>
  <c r="U644" i="3"/>
  <c r="AE644" i="3" s="1"/>
  <c r="T649" i="3"/>
  <c r="S654" i="3"/>
  <c r="R659" i="3"/>
  <c r="Q664" i="3"/>
  <c r="P669" i="3"/>
  <c r="AB673" i="3"/>
  <c r="AA678" i="3"/>
  <c r="Z683" i="3"/>
  <c r="Y688" i="3"/>
  <c r="X693" i="3"/>
  <c r="W698" i="3"/>
  <c r="V703" i="3"/>
  <c r="U708" i="3"/>
  <c r="AE708" i="3" s="1"/>
  <c r="V712" i="3"/>
  <c r="S716" i="3"/>
  <c r="S719" i="3"/>
  <c r="P722" i="3"/>
  <c r="AA724" i="3"/>
  <c r="Y727" i="3"/>
  <c r="V730" i="3"/>
  <c r="T733" i="3"/>
  <c r="Q735" i="3"/>
  <c r="V736" i="3"/>
  <c r="AA737" i="3"/>
  <c r="S739" i="3"/>
  <c r="Y740" i="3"/>
  <c r="Q742" i="3"/>
  <c r="V743" i="3"/>
  <c r="AB744" i="3"/>
  <c r="T746" i="3"/>
  <c r="Y747" i="3"/>
  <c r="Q749" i="3"/>
  <c r="W750" i="3"/>
  <c r="AB751" i="3"/>
  <c r="T753" i="3"/>
  <c r="Z754" i="3"/>
  <c r="R756" i="3"/>
  <c r="W757" i="3"/>
  <c r="AB758" i="3"/>
  <c r="U760" i="3"/>
  <c r="AE760" i="3" s="1"/>
  <c r="Y761" i="3"/>
  <c r="AB762" i="3"/>
  <c r="R764" i="3"/>
  <c r="U765" i="3"/>
  <c r="AE765" i="3" s="1"/>
  <c r="X766" i="3"/>
  <c r="AA767" i="3"/>
  <c r="Q769" i="3"/>
  <c r="T770" i="3"/>
  <c r="W771" i="3"/>
  <c r="Z772" i="3"/>
  <c r="P774" i="3"/>
  <c r="S775" i="3"/>
  <c r="V776" i="3"/>
  <c r="Y777" i="3"/>
  <c r="AB778" i="3"/>
  <c r="R780" i="3"/>
  <c r="U781" i="3"/>
  <c r="AE781" i="3" s="1"/>
  <c r="X782" i="3"/>
  <c r="AA783" i="3"/>
  <c r="Q785" i="3"/>
  <c r="T786" i="3"/>
  <c r="W787" i="3"/>
  <c r="Z788" i="3"/>
  <c r="P790" i="3"/>
  <c r="S791" i="3"/>
  <c r="V792" i="3"/>
  <c r="Y793" i="3"/>
  <c r="AB794" i="3"/>
  <c r="R796" i="3"/>
  <c r="U797" i="3"/>
  <c r="AE797" i="3" s="1"/>
  <c r="X798" i="3"/>
  <c r="AA799" i="3"/>
  <c r="Q801" i="3"/>
  <c r="T802" i="3"/>
  <c r="W803" i="3"/>
  <c r="Z804" i="3"/>
  <c r="P806" i="3"/>
  <c r="S807" i="3"/>
  <c r="V808" i="3"/>
  <c r="Y809" i="3"/>
  <c r="AB810" i="3"/>
  <c r="R812" i="3"/>
  <c r="U813" i="3"/>
  <c r="AE813" i="3" s="1"/>
  <c r="X814" i="3"/>
  <c r="AA815" i="3"/>
  <c r="Q817" i="3"/>
  <c r="T818" i="3"/>
  <c r="W819" i="3"/>
  <c r="Z820" i="3"/>
  <c r="P822" i="3"/>
  <c r="S823" i="3"/>
  <c r="V824" i="3"/>
  <c r="Y825" i="3"/>
  <c r="AB826" i="3"/>
  <c r="R828" i="3"/>
  <c r="U829" i="3"/>
  <c r="AE829" i="3" s="1"/>
  <c r="X830" i="3"/>
  <c r="AA831" i="3"/>
  <c r="Q833" i="3"/>
  <c r="T834" i="3"/>
  <c r="W835" i="3"/>
  <c r="Z836" i="3"/>
  <c r="P838" i="3"/>
  <c r="S839" i="3"/>
  <c r="V840" i="3"/>
  <c r="Y841" i="3"/>
  <c r="AB842" i="3"/>
  <c r="R844" i="3"/>
  <c r="U845" i="3"/>
  <c r="AE845" i="3" s="1"/>
  <c r="X846" i="3"/>
  <c r="AA847" i="3"/>
  <c r="Q849" i="3"/>
  <c r="T850" i="3"/>
  <c r="W851" i="3"/>
  <c r="Z852" i="3"/>
  <c r="P854" i="3"/>
  <c r="S855" i="3"/>
  <c r="V856" i="3"/>
  <c r="Y857" i="3"/>
  <c r="AB858" i="3"/>
  <c r="R860" i="3"/>
  <c r="U861" i="3"/>
  <c r="AE861" i="3" s="1"/>
  <c r="X862" i="3"/>
  <c r="AA863" i="3"/>
  <c r="Q865" i="3"/>
  <c r="T866" i="3"/>
  <c r="W867" i="3"/>
  <c r="Z868" i="3"/>
  <c r="P870" i="3"/>
  <c r="S871" i="3"/>
  <c r="V872" i="3"/>
  <c r="Y873" i="3"/>
  <c r="AB874" i="3"/>
  <c r="R876" i="3"/>
  <c r="U877" i="3"/>
  <c r="AE877" i="3" s="1"/>
  <c r="X878" i="3"/>
  <c r="AA879" i="3"/>
  <c r="Q881" i="3"/>
  <c r="T882" i="3"/>
  <c r="W883" i="3"/>
  <c r="Z884" i="3"/>
  <c r="P886" i="3"/>
  <c r="S887" i="3"/>
  <c r="V888" i="3"/>
  <c r="Y889" i="3"/>
  <c r="AB890" i="3"/>
  <c r="R892" i="3"/>
  <c r="U893" i="3"/>
  <c r="AE893" i="3" s="1"/>
  <c r="X894" i="3"/>
  <c r="AA895" i="3"/>
  <c r="Q897" i="3"/>
  <c r="T898" i="3"/>
  <c r="W899" i="3"/>
  <c r="Z900" i="3"/>
  <c r="P902" i="3"/>
  <c r="S903" i="3"/>
  <c r="V904" i="3"/>
  <c r="Y905" i="3"/>
  <c r="AB906" i="3"/>
  <c r="R908" i="3"/>
  <c r="U909" i="3"/>
  <c r="AE909" i="3" s="1"/>
  <c r="X910" i="3"/>
  <c r="Z911" i="3"/>
  <c r="Z912" i="3"/>
  <c r="Y913" i="3"/>
  <c r="Z914" i="3"/>
  <c r="Z915" i="3"/>
  <c r="Y916" i="3"/>
  <c r="Y917" i="3"/>
  <c r="X918" i="3"/>
  <c r="W919" i="3"/>
  <c r="U920" i="3"/>
  <c r="AE920" i="3" s="1"/>
  <c r="S921" i="3"/>
  <c r="P922" i="3"/>
  <c r="AA922" i="3"/>
  <c r="Y923" i="3"/>
  <c r="V924" i="3"/>
  <c r="T925" i="3"/>
  <c r="P926" i="3"/>
  <c r="Z926" i="3"/>
  <c r="V927" i="3"/>
  <c r="R928" i="3"/>
  <c r="AA928" i="3"/>
  <c r="W929" i="3"/>
  <c r="S930" i="3"/>
  <c r="AB930" i="3"/>
  <c r="Y931" i="3"/>
  <c r="U932" i="3"/>
  <c r="AE932" i="3" s="1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P728" i="3"/>
  <c r="X834" i="3"/>
  <c r="V860" i="3"/>
  <c r="Q869" i="3"/>
  <c r="Z872" i="3"/>
  <c r="P874" i="3"/>
  <c r="V876" i="3"/>
  <c r="Y877" i="3"/>
  <c r="R880" i="3"/>
  <c r="U881" i="3"/>
  <c r="AE881" i="3" s="1"/>
  <c r="AA883" i="3"/>
  <c r="Q885" i="3"/>
  <c r="W887" i="3"/>
  <c r="Z888" i="3"/>
  <c r="S891" i="3"/>
  <c r="Y893" i="3"/>
  <c r="R896" i="3"/>
  <c r="X898" i="3"/>
  <c r="Q901" i="3"/>
  <c r="W903" i="3"/>
  <c r="Z904" i="3"/>
  <c r="S907" i="3"/>
  <c r="V908" i="3"/>
  <c r="AA911" i="3"/>
  <c r="AB913" i="3"/>
  <c r="AA914" i="3"/>
  <c r="AA917" i="3"/>
  <c r="Y919" i="3"/>
  <c r="T921" i="3"/>
  <c r="Z923" i="3"/>
  <c r="R926" i="3"/>
  <c r="S928" i="3"/>
  <c r="X929" i="3"/>
  <c r="Z931" i="3"/>
  <c r="T934" i="3"/>
  <c r="W935" i="3"/>
  <c r="S630" i="3"/>
  <c r="R635" i="3"/>
  <c r="Q640" i="3"/>
  <c r="P645" i="3"/>
  <c r="AB649" i="3"/>
  <c r="AA654" i="3"/>
  <c r="Z659" i="3"/>
  <c r="Y664" i="3"/>
  <c r="X669" i="3"/>
  <c r="W674" i="3"/>
  <c r="V679" i="3"/>
  <c r="U684" i="3"/>
  <c r="AE684" i="3" s="1"/>
  <c r="T689" i="3"/>
  <c r="S694" i="3"/>
  <c r="R699" i="3"/>
  <c r="Q704" i="3"/>
  <c r="P709" i="3"/>
  <c r="P713" i="3"/>
  <c r="Y716" i="3"/>
  <c r="W719" i="3"/>
  <c r="U722" i="3"/>
  <c r="AE722" i="3" s="1"/>
  <c r="S725" i="3"/>
  <c r="X733" i="3"/>
  <c r="U735" i="3"/>
  <c r="AE735" i="3" s="1"/>
  <c r="Z736" i="3"/>
  <c r="S738" i="3"/>
  <c r="X739" i="3"/>
  <c r="P741" i="3"/>
  <c r="V742" i="3"/>
  <c r="AA743" i="3"/>
  <c r="S745" i="3"/>
  <c r="X746" i="3"/>
  <c r="Q748" i="3"/>
  <c r="V749" i="3"/>
  <c r="AA750" i="3"/>
  <c r="T752" i="3"/>
  <c r="Y753" i="3"/>
  <c r="Q755" i="3"/>
  <c r="V756" i="3"/>
  <c r="AB757" i="3"/>
  <c r="T759" i="3"/>
  <c r="Y760" i="3"/>
  <c r="P762" i="3"/>
  <c r="S763" i="3"/>
  <c r="V764" i="3"/>
  <c r="Y765" i="3"/>
  <c r="AB766" i="3"/>
  <c r="R768" i="3"/>
  <c r="U769" i="3"/>
  <c r="AE769" i="3" s="1"/>
  <c r="X770" i="3"/>
  <c r="AA771" i="3"/>
  <c r="Q773" i="3"/>
  <c r="T774" i="3"/>
  <c r="W775" i="3"/>
  <c r="Z776" i="3"/>
  <c r="P778" i="3"/>
  <c r="S779" i="3"/>
  <c r="V780" i="3"/>
  <c r="Y781" i="3"/>
  <c r="AB782" i="3"/>
  <c r="R784" i="3"/>
  <c r="U785" i="3"/>
  <c r="AE785" i="3" s="1"/>
  <c r="X786" i="3"/>
  <c r="AA787" i="3"/>
  <c r="Q789" i="3"/>
  <c r="T790" i="3"/>
  <c r="W791" i="3"/>
  <c r="Z792" i="3"/>
  <c r="P794" i="3"/>
  <c r="S795" i="3"/>
  <c r="V796" i="3"/>
  <c r="Y797" i="3"/>
  <c r="AB798" i="3"/>
  <c r="R800" i="3"/>
  <c r="U801" i="3"/>
  <c r="AE801" i="3" s="1"/>
  <c r="X802" i="3"/>
  <c r="AA803" i="3"/>
  <c r="Q805" i="3"/>
  <c r="T806" i="3"/>
  <c r="W807" i="3"/>
  <c r="Z808" i="3"/>
  <c r="P810" i="3"/>
  <c r="S811" i="3"/>
  <c r="V812" i="3"/>
  <c r="Y813" i="3"/>
  <c r="AB814" i="3"/>
  <c r="R816" i="3"/>
  <c r="U817" i="3"/>
  <c r="AE817" i="3" s="1"/>
  <c r="X818" i="3"/>
  <c r="AA819" i="3"/>
  <c r="Q821" i="3"/>
  <c r="T822" i="3"/>
  <c r="W823" i="3"/>
  <c r="Z824" i="3"/>
  <c r="P826" i="3"/>
  <c r="S827" i="3"/>
  <c r="V828" i="3"/>
  <c r="Y829" i="3"/>
  <c r="AB830" i="3"/>
  <c r="R832" i="3"/>
  <c r="U833" i="3"/>
  <c r="AE833" i="3" s="1"/>
  <c r="AA835" i="3"/>
  <c r="Q837" i="3"/>
  <c r="T838" i="3"/>
  <c r="W839" i="3"/>
  <c r="Z840" i="3"/>
  <c r="P842" i="3"/>
  <c r="S843" i="3"/>
  <c r="V844" i="3"/>
  <c r="Y845" i="3"/>
  <c r="AB846" i="3"/>
  <c r="R848" i="3"/>
  <c r="U849" i="3"/>
  <c r="AE849" i="3" s="1"/>
  <c r="X850" i="3"/>
  <c r="AA851" i="3"/>
  <c r="Q853" i="3"/>
  <c r="T854" i="3"/>
  <c r="W855" i="3"/>
  <c r="Z856" i="3"/>
  <c r="P858" i="3"/>
  <c r="Y861" i="3"/>
  <c r="AB862" i="3"/>
  <c r="R864" i="3"/>
  <c r="U865" i="3"/>
  <c r="AE865" i="3" s="1"/>
  <c r="X866" i="3"/>
  <c r="AA867" i="3"/>
  <c r="T870" i="3"/>
  <c r="W871" i="3"/>
  <c r="S875" i="3"/>
  <c r="AB878" i="3"/>
  <c r="X882" i="3"/>
  <c r="T886" i="3"/>
  <c r="P890" i="3"/>
  <c r="V892" i="3"/>
  <c r="U897" i="3"/>
  <c r="AE897" i="3" s="1"/>
  <c r="AA899" i="3"/>
  <c r="T902" i="3"/>
  <c r="P906" i="3"/>
  <c r="Y909" i="3"/>
  <c r="AB912" i="3"/>
  <c r="AA915" i="3"/>
  <c r="AA918" i="3"/>
  <c r="R922" i="3"/>
  <c r="X924" i="3"/>
  <c r="AA926" i="3"/>
  <c r="T930" i="3"/>
  <c r="Q933" i="3"/>
  <c r="AB934" i="3"/>
  <c r="AA630" i="3"/>
  <c r="Z635" i="3"/>
  <c r="Y640" i="3"/>
  <c r="X645" i="3"/>
  <c r="W650" i="3"/>
  <c r="V655" i="3"/>
  <c r="U660" i="3"/>
  <c r="AE660" i="3" s="1"/>
  <c r="T665" i="3"/>
  <c r="S670" i="3"/>
  <c r="R675" i="3"/>
  <c r="Q680" i="3"/>
  <c r="P685" i="3"/>
  <c r="AB689" i="3"/>
  <c r="AA694" i="3"/>
  <c r="Z699" i="3"/>
  <c r="Y704" i="3"/>
  <c r="X709" i="3"/>
  <c r="W713" i="3"/>
  <c r="Q717" i="3"/>
  <c r="AB719" i="3"/>
  <c r="Z722" i="3"/>
  <c r="W725" i="3"/>
  <c r="U728" i="3"/>
  <c r="AE728" i="3" s="1"/>
  <c r="R731" i="3"/>
  <c r="P734" i="3"/>
  <c r="W735" i="3"/>
  <c r="P737" i="3"/>
  <c r="U738" i="3"/>
  <c r="AE738" i="3" s="1"/>
  <c r="Z739" i="3"/>
  <c r="S741" i="3"/>
  <c r="X742" i="3"/>
  <c r="P744" i="3"/>
  <c r="U745" i="3"/>
  <c r="AE745" i="3" s="1"/>
  <c r="AA746" i="3"/>
  <c r="S748" i="3"/>
  <c r="X749" i="3"/>
  <c r="V631" i="3"/>
  <c r="U636" i="3"/>
  <c r="AE636" i="3" s="1"/>
  <c r="T641" i="3"/>
  <c r="S646" i="3"/>
  <c r="R651" i="3"/>
  <c r="Q656" i="3"/>
  <c r="P661" i="3"/>
  <c r="AB665" i="3"/>
  <c r="AA670" i="3"/>
  <c r="Z675" i="3"/>
  <c r="Y680" i="3"/>
  <c r="X685" i="3"/>
  <c r="W690" i="3"/>
  <c r="V695" i="3"/>
  <c r="U700" i="3"/>
  <c r="AE700" i="3" s="1"/>
  <c r="T705" i="3"/>
  <c r="P710" i="3"/>
  <c r="P714" i="3"/>
  <c r="V717" i="3"/>
  <c r="T720" i="3"/>
  <c r="Q723" i="3"/>
  <c r="AB725" i="3"/>
  <c r="Y728" i="3"/>
  <c r="W731" i="3"/>
  <c r="S734" i="3"/>
  <c r="Y735" i="3"/>
  <c r="Q737" i="3"/>
  <c r="V738" i="3"/>
  <c r="AA739" i="3"/>
  <c r="T741" i="3"/>
  <c r="Y742" i="3"/>
  <c r="Q744" i="3"/>
  <c r="W745" i="3"/>
  <c r="AB746" i="3"/>
  <c r="T748" i="3"/>
  <c r="Y749" i="3"/>
  <c r="R751" i="3"/>
  <c r="W752" i="3"/>
  <c r="AB753" i="3"/>
  <c r="U755" i="3"/>
  <c r="AE755" i="3" s="1"/>
  <c r="Z756" i="3"/>
  <c r="R758" i="3"/>
  <c r="W759" i="3"/>
  <c r="P761" i="3"/>
  <c r="S762" i="3"/>
  <c r="V763" i="3"/>
  <c r="Y764" i="3"/>
  <c r="AB765" i="3"/>
  <c r="R767" i="3"/>
  <c r="U768" i="3"/>
  <c r="AE768" i="3" s="1"/>
  <c r="X769" i="3"/>
  <c r="AA770" i="3"/>
  <c r="Q772" i="3"/>
  <c r="T773" i="3"/>
  <c r="W774" i="3"/>
  <c r="Z775" i="3"/>
  <c r="P777" i="3"/>
  <c r="S778" i="3"/>
  <c r="V779" i="3"/>
  <c r="Y780" i="3"/>
  <c r="AB781" i="3"/>
  <c r="R783" i="3"/>
  <c r="U784" i="3"/>
  <c r="AE784" i="3" s="1"/>
  <c r="X785" i="3"/>
  <c r="AA786" i="3"/>
  <c r="Q788" i="3"/>
  <c r="T789" i="3"/>
  <c r="W790" i="3"/>
  <c r="Z791" i="3"/>
  <c r="P793" i="3"/>
  <c r="S794" i="3"/>
  <c r="V795" i="3"/>
  <c r="Y796" i="3"/>
  <c r="AB797" i="3"/>
  <c r="R799" i="3"/>
  <c r="U800" i="3"/>
  <c r="AE800" i="3" s="1"/>
  <c r="X801" i="3"/>
  <c r="AA802" i="3"/>
  <c r="Q804" i="3"/>
  <c r="T805" i="3"/>
  <c r="W806" i="3"/>
  <c r="Z807" i="3"/>
  <c r="P809" i="3"/>
  <c r="S810" i="3"/>
  <c r="V811" i="3"/>
  <c r="Y812" i="3"/>
  <c r="AB813" i="3"/>
  <c r="R815" i="3"/>
  <c r="U816" i="3"/>
  <c r="AE816" i="3" s="1"/>
  <c r="X817" i="3"/>
  <c r="AA818" i="3"/>
  <c r="Q820" i="3"/>
  <c r="T821" i="3"/>
  <c r="W822" i="3"/>
  <c r="Z823" i="3"/>
  <c r="P825" i="3"/>
  <c r="S826" i="3"/>
  <c r="V827" i="3"/>
  <c r="Y828" i="3"/>
  <c r="AB829" i="3"/>
  <c r="R831" i="3"/>
  <c r="U832" i="3"/>
  <c r="AE832" i="3" s="1"/>
  <c r="X833" i="3"/>
  <c r="AA834" i="3"/>
  <c r="Q836" i="3"/>
  <c r="T837" i="3"/>
  <c r="W838" i="3"/>
  <c r="Z839" i="3"/>
  <c r="P841" i="3"/>
  <c r="S842" i="3"/>
  <c r="V843" i="3"/>
  <c r="Y844" i="3"/>
  <c r="AB845" i="3"/>
  <c r="R847" i="3"/>
  <c r="U848" i="3"/>
  <c r="AE848" i="3" s="1"/>
  <c r="X849" i="3"/>
  <c r="AA850" i="3"/>
  <c r="Q852" i="3"/>
  <c r="T853" i="3"/>
  <c r="W854" i="3"/>
  <c r="Z855" i="3"/>
  <c r="P857" i="3"/>
  <c r="S858" i="3"/>
  <c r="V859" i="3"/>
  <c r="Y860" i="3"/>
  <c r="AB861" i="3"/>
  <c r="R863" i="3"/>
  <c r="U864" i="3"/>
  <c r="AE864" i="3" s="1"/>
  <c r="X865" i="3"/>
  <c r="AA866" i="3"/>
  <c r="Q868" i="3"/>
  <c r="T869" i="3"/>
  <c r="W870" i="3"/>
  <c r="Z871" i="3"/>
  <c r="P873" i="3"/>
  <c r="S874" i="3"/>
  <c r="V875" i="3"/>
  <c r="Y876" i="3"/>
  <c r="AB877" i="3"/>
  <c r="R879" i="3"/>
  <c r="U880" i="3"/>
  <c r="AE880" i="3" s="1"/>
  <c r="X881" i="3"/>
  <c r="AA882" i="3"/>
  <c r="Q884" i="3"/>
  <c r="T885" i="3"/>
  <c r="W886" i="3"/>
  <c r="Z887" i="3"/>
  <c r="P889" i="3"/>
  <c r="S890" i="3"/>
  <c r="V891" i="3"/>
  <c r="Y892" i="3"/>
  <c r="AB893" i="3"/>
  <c r="R895" i="3"/>
  <c r="U896" i="3"/>
  <c r="AE896" i="3" s="1"/>
  <c r="X897" i="3"/>
  <c r="AA898" i="3"/>
  <c r="Q900" i="3"/>
  <c r="T901" i="3"/>
  <c r="W902" i="3"/>
  <c r="Z903" i="3"/>
  <c r="P905" i="3"/>
  <c r="S906" i="3"/>
  <c r="V907" i="3"/>
  <c r="Y908" i="3"/>
  <c r="AB909" i="3"/>
  <c r="R911" i="3"/>
  <c r="R912" i="3"/>
  <c r="Q913" i="3"/>
  <c r="R914" i="3"/>
  <c r="R915" i="3"/>
  <c r="Q916" i="3"/>
  <c r="Q917" i="3"/>
  <c r="P918" i="3"/>
  <c r="Q919" i="3"/>
  <c r="AA919" i="3"/>
  <c r="Y920" i="3"/>
  <c r="W921" i="3"/>
  <c r="T922" i="3"/>
  <c r="R923" i="3"/>
  <c r="P924" i="3"/>
  <c r="Z924" i="3"/>
  <c r="X925" i="3"/>
  <c r="T926" i="3"/>
  <c r="P927" i="3"/>
  <c r="Y927" i="3"/>
  <c r="U928" i="3"/>
  <c r="AE928" i="3" s="1"/>
  <c r="Q929" i="3"/>
  <c r="AA929" i="3"/>
  <c r="W930" i="3"/>
  <c r="S931" i="3"/>
  <c r="AB931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Q632" i="3"/>
  <c r="P637" i="3"/>
  <c r="AB641" i="3"/>
  <c r="AA646" i="3"/>
  <c r="Z651" i="3"/>
  <c r="Y656" i="3"/>
  <c r="X661" i="3"/>
  <c r="W666" i="3"/>
  <c r="V671" i="3"/>
  <c r="U676" i="3"/>
  <c r="AE676" i="3" s="1"/>
  <c r="T681" i="3"/>
  <c r="S686" i="3"/>
  <c r="R691" i="3"/>
  <c r="Q696" i="3"/>
  <c r="P701" i="3"/>
  <c r="AB705" i="3"/>
  <c r="W710" i="3"/>
  <c r="W714" i="3"/>
  <c r="AA717" i="3"/>
  <c r="X720" i="3"/>
  <c r="V723" i="3"/>
  <c r="S726" i="3"/>
  <c r="Q729" i="3"/>
  <c r="AA731" i="3"/>
  <c r="T734" i="3"/>
  <c r="Z735" i="3"/>
  <c r="R737" i="3"/>
  <c r="W738" i="3"/>
  <c r="P740" i="3"/>
  <c r="U741" i="3"/>
  <c r="AE741" i="3" s="1"/>
  <c r="Z742" i="3"/>
  <c r="R744" i="3"/>
  <c r="X745" i="3"/>
  <c r="P747" i="3"/>
  <c r="U748" i="3"/>
  <c r="AE748" i="3" s="1"/>
  <c r="AA749" i="3"/>
  <c r="S751" i="3"/>
  <c r="X752" i="3"/>
  <c r="P754" i="3"/>
  <c r="V755" i="3"/>
  <c r="AA756" i="3"/>
  <c r="S758" i="3"/>
  <c r="Y759" i="3"/>
  <c r="Q761" i="3"/>
  <c r="T762" i="3"/>
  <c r="W763" i="3"/>
  <c r="Z764" i="3"/>
  <c r="P766" i="3"/>
  <c r="S767" i="3"/>
  <c r="V768" i="3"/>
  <c r="Y769" i="3"/>
  <c r="AB770" i="3"/>
  <c r="R772" i="3"/>
  <c r="U773" i="3"/>
  <c r="AE773" i="3" s="1"/>
  <c r="X774" i="3"/>
  <c r="AA775" i="3"/>
  <c r="Q777" i="3"/>
  <c r="T778" i="3"/>
  <c r="W779" i="3"/>
  <c r="Z780" i="3"/>
  <c r="P782" i="3"/>
  <c r="S783" i="3"/>
  <c r="V784" i="3"/>
  <c r="Y785" i="3"/>
  <c r="AB786" i="3"/>
  <c r="R788" i="3"/>
  <c r="U789" i="3"/>
  <c r="AE789" i="3" s="1"/>
  <c r="X790" i="3"/>
  <c r="AA791" i="3"/>
  <c r="Q793" i="3"/>
  <c r="T794" i="3"/>
  <c r="W795" i="3"/>
  <c r="Z796" i="3"/>
  <c r="P798" i="3"/>
  <c r="S799" i="3"/>
  <c r="V800" i="3"/>
  <c r="Y801" i="3"/>
  <c r="AB802" i="3"/>
  <c r="R804" i="3"/>
  <c r="U805" i="3"/>
  <c r="AE805" i="3" s="1"/>
  <c r="X806" i="3"/>
  <c r="AA807" i="3"/>
  <c r="Q809" i="3"/>
  <c r="T810" i="3"/>
  <c r="W811" i="3"/>
  <c r="Z812" i="3"/>
  <c r="P814" i="3"/>
  <c r="S815" i="3"/>
  <c r="V816" i="3"/>
  <c r="Y817" i="3"/>
  <c r="AB818" i="3"/>
  <c r="R820" i="3"/>
  <c r="U821" i="3"/>
  <c r="AE821" i="3" s="1"/>
  <c r="X822" i="3"/>
  <c r="AA823" i="3"/>
  <c r="Q825" i="3"/>
  <c r="T826" i="3"/>
  <c r="W827" i="3"/>
  <c r="Z828" i="3"/>
  <c r="P830" i="3"/>
  <c r="S831" i="3"/>
  <c r="V832" i="3"/>
  <c r="Y833" i="3"/>
  <c r="AB834" i="3"/>
  <c r="R836" i="3"/>
  <c r="U837" i="3"/>
  <c r="AE837" i="3" s="1"/>
  <c r="X838" i="3"/>
  <c r="AA839" i="3"/>
  <c r="Q841" i="3"/>
  <c r="T842" i="3"/>
  <c r="W843" i="3"/>
  <c r="Z844" i="3"/>
  <c r="P846" i="3"/>
  <c r="S847" i="3"/>
  <c r="V848" i="3"/>
  <c r="Y849" i="3"/>
  <c r="AB850" i="3"/>
  <c r="R852" i="3"/>
  <c r="U853" i="3"/>
  <c r="AE853" i="3" s="1"/>
  <c r="X854" i="3"/>
  <c r="AA855" i="3"/>
  <c r="Q857" i="3"/>
  <c r="T858" i="3"/>
  <c r="W859" i="3"/>
  <c r="Z860" i="3"/>
  <c r="P862" i="3"/>
  <c r="S863" i="3"/>
  <c r="V864" i="3"/>
  <c r="Y865" i="3"/>
  <c r="AB866" i="3"/>
  <c r="R868" i="3"/>
  <c r="U869" i="3"/>
  <c r="AE869" i="3" s="1"/>
  <c r="X870" i="3"/>
  <c r="AA871" i="3"/>
  <c r="Q873" i="3"/>
  <c r="T874" i="3"/>
  <c r="W875" i="3"/>
  <c r="Z876" i="3"/>
  <c r="P878" i="3"/>
  <c r="S879" i="3"/>
  <c r="V880" i="3"/>
  <c r="Y881" i="3"/>
  <c r="AB882" i="3"/>
  <c r="R884" i="3"/>
  <c r="U885" i="3"/>
  <c r="AE885" i="3" s="1"/>
  <c r="X886" i="3"/>
  <c r="AA887" i="3"/>
  <c r="Q889" i="3"/>
  <c r="T890" i="3"/>
  <c r="W891" i="3"/>
  <c r="Z892" i="3"/>
  <c r="P894" i="3"/>
  <c r="S895" i="3"/>
  <c r="V896" i="3"/>
  <c r="Y897" i="3"/>
  <c r="AB898" i="3"/>
  <c r="R900" i="3"/>
  <c r="U901" i="3"/>
  <c r="AE901" i="3" s="1"/>
  <c r="X902" i="3"/>
  <c r="AA903" i="3"/>
  <c r="Q905" i="3"/>
  <c r="T906" i="3"/>
  <c r="W907" i="3"/>
  <c r="Z908" i="3"/>
  <c r="P910" i="3"/>
  <c r="S911" i="3"/>
  <c r="T912" i="3"/>
  <c r="T913" i="3"/>
  <c r="S914" i="3"/>
  <c r="S915" i="3"/>
  <c r="R916" i="3"/>
  <c r="S917" i="3"/>
  <c r="S918" i="3"/>
  <c r="R919" i="3"/>
  <c r="P920" i="3"/>
  <c r="Z920" i="3"/>
  <c r="X921" i="3"/>
  <c r="V922" i="3"/>
  <c r="S923" i="3"/>
  <c r="Q924" i="3"/>
  <c r="AB924" i="3"/>
  <c r="Y925" i="3"/>
  <c r="U926" i="3"/>
  <c r="AE926" i="3" s="1"/>
  <c r="Q927" i="3"/>
  <c r="Z927" i="3"/>
  <c r="V928" i="3"/>
  <c r="S929" i="3"/>
  <c r="AB929" i="3"/>
  <c r="X930" i="3"/>
  <c r="T931" i="3"/>
  <c r="P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U729" i="3"/>
  <c r="AE729" i="3" s="1"/>
  <c r="V836" i="3"/>
  <c r="AA859" i="3"/>
  <c r="V868" i="3"/>
  <c r="R872" i="3"/>
  <c r="X874" i="3"/>
  <c r="AA875" i="3"/>
  <c r="T878" i="3"/>
  <c r="W879" i="3"/>
  <c r="P882" i="3"/>
  <c r="S883" i="3"/>
  <c r="Y885" i="3"/>
  <c r="AB886" i="3"/>
  <c r="U889" i="3"/>
  <c r="AE889" i="3" s="1"/>
  <c r="AA891" i="3"/>
  <c r="Q893" i="3"/>
  <c r="W895" i="3"/>
  <c r="Z896" i="3"/>
  <c r="S899" i="3"/>
  <c r="Y901" i="3"/>
  <c r="R904" i="3"/>
  <c r="U905" i="3"/>
  <c r="AE905" i="3" s="1"/>
  <c r="AA907" i="3"/>
  <c r="Q909" i="3"/>
  <c r="V911" i="3"/>
  <c r="U912" i="3"/>
  <c r="AE912" i="3" s="1"/>
  <c r="T914" i="3"/>
  <c r="U916" i="3"/>
  <c r="AE916" i="3" s="1"/>
  <c r="T917" i="3"/>
  <c r="S919" i="3"/>
  <c r="Q920" i="3"/>
  <c r="Y921" i="3"/>
  <c r="U923" i="3"/>
  <c r="AE923" i="3" s="1"/>
  <c r="R924" i="3"/>
  <c r="Z925" i="3"/>
  <c r="R927" i="3"/>
  <c r="X928" i="3"/>
  <c r="T929" i="3"/>
  <c r="Y930" i="3"/>
  <c r="Q932" i="3"/>
  <c r="Z751" i="3"/>
  <c r="U757" i="3"/>
  <c r="AE757" i="3" s="1"/>
  <c r="Z762" i="3"/>
  <c r="Y767" i="3"/>
  <c r="X772" i="3"/>
  <c r="W777" i="3"/>
  <c r="V782" i="3"/>
  <c r="U787" i="3"/>
  <c r="AE787" i="3" s="1"/>
  <c r="T792" i="3"/>
  <c r="S797" i="3"/>
  <c r="R802" i="3"/>
  <c r="Q807" i="3"/>
  <c r="P812" i="3"/>
  <c r="AB816" i="3"/>
  <c r="AA821" i="3"/>
  <c r="Z826" i="3"/>
  <c r="Y831" i="3"/>
  <c r="X836" i="3"/>
  <c r="W841" i="3"/>
  <c r="V846" i="3"/>
  <c r="U851" i="3"/>
  <c r="AE851" i="3" s="1"/>
  <c r="T856" i="3"/>
  <c r="S861" i="3"/>
  <c r="R866" i="3"/>
  <c r="Q871" i="3"/>
  <c r="P876" i="3"/>
  <c r="AB880" i="3"/>
  <c r="AA885" i="3"/>
  <c r="Z890" i="3"/>
  <c r="Y895" i="3"/>
  <c r="V900" i="3"/>
  <c r="AB904" i="3"/>
  <c r="AA909" i="3"/>
  <c r="P914" i="3"/>
  <c r="AB917" i="3"/>
  <c r="U921" i="3"/>
  <c r="AE921" i="3" s="1"/>
  <c r="Y924" i="3"/>
  <c r="X927" i="3"/>
  <c r="V930" i="3"/>
  <c r="AA932" i="3"/>
  <c r="Y934" i="3"/>
  <c r="V936" i="3"/>
  <c r="Y937" i="3"/>
  <c r="AB938" i="3"/>
  <c r="R940" i="3"/>
  <c r="U941" i="3"/>
  <c r="AE941" i="3" s="1"/>
  <c r="X942" i="3"/>
  <c r="AA943" i="3"/>
  <c r="Q945" i="3"/>
  <c r="T946" i="3"/>
  <c r="W947" i="3"/>
  <c r="Z948" i="3"/>
  <c r="P950" i="3"/>
  <c r="S951" i="3"/>
  <c r="V952" i="3"/>
  <c r="Y953" i="3"/>
  <c r="AB954" i="3"/>
  <c r="R956" i="3"/>
  <c r="U957" i="3"/>
  <c r="AE957" i="3" s="1"/>
  <c r="X958" i="3"/>
  <c r="AA959" i="3"/>
  <c r="Q961" i="3"/>
  <c r="T962" i="3"/>
  <c r="W963" i="3"/>
  <c r="Z964" i="3"/>
  <c r="P966" i="3"/>
  <c r="S967" i="3"/>
  <c r="V968" i="3"/>
  <c r="Y969" i="3"/>
  <c r="AB970" i="3"/>
  <c r="R972" i="3"/>
  <c r="U973" i="3"/>
  <c r="AE973" i="3" s="1"/>
  <c r="X974" i="3"/>
  <c r="AA975" i="3"/>
  <c r="Q977" i="3"/>
  <c r="T978" i="3"/>
  <c r="W979" i="3"/>
  <c r="Z980" i="3"/>
  <c r="P982" i="3"/>
  <c r="S983" i="3"/>
  <c r="V984" i="3"/>
  <c r="Y985" i="3"/>
  <c r="AB986" i="3"/>
  <c r="R988" i="3"/>
  <c r="U989" i="3"/>
  <c r="AE989" i="3" s="1"/>
  <c r="X990" i="3"/>
  <c r="AA991" i="3"/>
  <c r="Q993" i="3"/>
  <c r="T994" i="3"/>
  <c r="W995" i="3"/>
  <c r="Z996" i="3"/>
  <c r="P998" i="3"/>
  <c r="S999" i="3"/>
  <c r="W905" i="3"/>
  <c r="P935" i="3"/>
  <c r="S940" i="3"/>
  <c r="AB943" i="3"/>
  <c r="U946" i="3"/>
  <c r="AE946" i="3" s="1"/>
  <c r="AA948" i="3"/>
  <c r="Q950" i="3"/>
  <c r="W952" i="3"/>
  <c r="P955" i="3"/>
  <c r="V957" i="3"/>
  <c r="AB959" i="3"/>
  <c r="U962" i="3"/>
  <c r="AE962" i="3" s="1"/>
  <c r="AA964" i="3"/>
  <c r="T967" i="3"/>
  <c r="Z969" i="3"/>
  <c r="S972" i="3"/>
  <c r="Y974" i="3"/>
  <c r="R977" i="3"/>
  <c r="X979" i="3"/>
  <c r="Q982" i="3"/>
  <c r="W984" i="3"/>
  <c r="Z985" i="3"/>
  <c r="S988" i="3"/>
  <c r="V989" i="3"/>
  <c r="Y990" i="3"/>
  <c r="R993" i="3"/>
  <c r="U994" i="3"/>
  <c r="AE994" i="3" s="1"/>
  <c r="AA996" i="3"/>
  <c r="Q998" i="3"/>
  <c r="R753" i="3"/>
  <c r="P764" i="3"/>
  <c r="AB768" i="3"/>
  <c r="AA773" i="3"/>
  <c r="Z778" i="3"/>
  <c r="Y783" i="3"/>
  <c r="X788" i="3"/>
  <c r="V798" i="3"/>
  <c r="U803" i="3"/>
  <c r="AE803" i="3" s="1"/>
  <c r="S813" i="3"/>
  <c r="Q823" i="3"/>
  <c r="P828" i="3"/>
  <c r="AA837" i="3"/>
  <c r="Y847" i="3"/>
  <c r="W857" i="3"/>
  <c r="U867" i="3"/>
  <c r="AE867" i="3" s="1"/>
  <c r="S877" i="3"/>
  <c r="R882" i="3"/>
  <c r="P892" i="3"/>
  <c r="S901" i="3"/>
  <c r="Q911" i="3"/>
  <c r="AB914" i="3"/>
  <c r="S922" i="3"/>
  <c r="T928" i="3"/>
  <c r="V933" i="3"/>
  <c r="Z936" i="3"/>
  <c r="S939" i="3"/>
  <c r="Y941" i="3"/>
  <c r="R944" i="3"/>
  <c r="X946" i="3"/>
  <c r="Q949" i="3"/>
  <c r="W951" i="3"/>
  <c r="P954" i="3"/>
  <c r="V956" i="3"/>
  <c r="AB958" i="3"/>
  <c r="R960" i="3"/>
  <c r="X962" i="3"/>
  <c r="Q965" i="3"/>
  <c r="W967" i="3"/>
  <c r="P970" i="3"/>
  <c r="V972" i="3"/>
  <c r="AB974" i="3"/>
  <c r="U977" i="3"/>
  <c r="AE977" i="3" s="1"/>
  <c r="AA979" i="3"/>
  <c r="Q981" i="3"/>
  <c r="W983" i="3"/>
  <c r="P986" i="3"/>
  <c r="V988" i="3"/>
  <c r="AB990" i="3"/>
  <c r="U993" i="3"/>
  <c r="AE993" i="3" s="1"/>
  <c r="AA995" i="3"/>
  <c r="T998" i="3"/>
  <c r="AA753" i="3"/>
  <c r="X764" i="3"/>
  <c r="V774" i="3"/>
  <c r="T784" i="3"/>
  <c r="R794" i="3"/>
  <c r="P804" i="3"/>
  <c r="AA813" i="3"/>
  <c r="Y823" i="3"/>
  <c r="W833" i="3"/>
  <c r="V838" i="3"/>
  <c r="T848" i="3"/>
  <c r="R858" i="3"/>
  <c r="P868" i="3"/>
  <c r="AA877" i="3"/>
  <c r="Y887" i="3"/>
  <c r="W897" i="3"/>
  <c r="AA901" i="3"/>
  <c r="W911" i="3"/>
  <c r="U919" i="3"/>
  <c r="AE919" i="3" s="1"/>
  <c r="AA925" i="3"/>
  <c r="V931" i="3"/>
  <c r="T935" i="3"/>
  <c r="AA936" i="3"/>
  <c r="T939" i="3"/>
  <c r="Z941" i="3"/>
  <c r="S944" i="3"/>
  <c r="Y946" i="3"/>
  <c r="R949" i="3"/>
  <c r="U950" i="3"/>
  <c r="AE950" i="3" s="1"/>
  <c r="AA952" i="3"/>
  <c r="T955" i="3"/>
  <c r="Z957" i="3"/>
  <c r="S960" i="3"/>
  <c r="Y962" i="3"/>
  <c r="R965" i="3"/>
  <c r="U966" i="3"/>
  <c r="AE966" i="3" s="1"/>
  <c r="AA968" i="3"/>
  <c r="T971" i="3"/>
  <c r="Z973" i="3"/>
  <c r="P975" i="3"/>
  <c r="V977" i="3"/>
  <c r="AB979" i="3"/>
  <c r="U982" i="3"/>
  <c r="AE982" i="3" s="1"/>
  <c r="AA984" i="3"/>
  <c r="T987" i="3"/>
  <c r="Z989" i="3"/>
  <c r="S992" i="3"/>
  <c r="V993" i="3"/>
  <c r="AB995" i="3"/>
  <c r="U998" i="3"/>
  <c r="AE998" i="3" s="1"/>
  <c r="V752" i="3"/>
  <c r="Q758" i="3"/>
  <c r="U763" i="3"/>
  <c r="AE763" i="3" s="1"/>
  <c r="T768" i="3"/>
  <c r="S773" i="3"/>
  <c r="R778" i="3"/>
  <c r="Q783" i="3"/>
  <c r="P788" i="3"/>
  <c r="AB792" i="3"/>
  <c r="AA797" i="3"/>
  <c r="Z802" i="3"/>
  <c r="Y807" i="3"/>
  <c r="X812" i="3"/>
  <c r="W817" i="3"/>
  <c r="V822" i="3"/>
  <c r="U827" i="3"/>
  <c r="AE827" i="3" s="1"/>
  <c r="T832" i="3"/>
  <c r="S837" i="3"/>
  <c r="R842" i="3"/>
  <c r="Q847" i="3"/>
  <c r="P852" i="3"/>
  <c r="AB856" i="3"/>
  <c r="AA861" i="3"/>
  <c r="Z866" i="3"/>
  <c r="Y871" i="3"/>
  <c r="X876" i="3"/>
  <c r="W881" i="3"/>
  <c r="V886" i="3"/>
  <c r="U891" i="3"/>
  <c r="AE891" i="3" s="1"/>
  <c r="T896" i="3"/>
  <c r="X900" i="3"/>
  <c r="V910" i="3"/>
  <c r="W914" i="3"/>
  <c r="V918" i="3"/>
  <c r="AA921" i="3"/>
  <c r="Q925" i="3"/>
  <c r="P928" i="3"/>
  <c r="Z930" i="3"/>
  <c r="R933" i="3"/>
  <c r="W936" i="3"/>
  <c r="Z937" i="3"/>
  <c r="P939" i="3"/>
  <c r="V941" i="3"/>
  <c r="Y942" i="3"/>
  <c r="R945" i="3"/>
  <c r="X947" i="3"/>
  <c r="T951" i="3"/>
  <c r="Z953" i="3"/>
  <c r="S956" i="3"/>
  <c r="Y958" i="3"/>
  <c r="R961" i="3"/>
  <c r="X963" i="3"/>
  <c r="Q966" i="3"/>
  <c r="W968" i="3"/>
  <c r="P971" i="3"/>
  <c r="V973" i="3"/>
  <c r="AB975" i="3"/>
  <c r="U978" i="3"/>
  <c r="AE978" i="3" s="1"/>
  <c r="AA980" i="3"/>
  <c r="T983" i="3"/>
  <c r="P987" i="3"/>
  <c r="AB991" i="3"/>
  <c r="X995" i="3"/>
  <c r="T999" i="3"/>
  <c r="Z758" i="3"/>
  <c r="W793" i="3"/>
  <c r="T808" i="3"/>
  <c r="R818" i="3"/>
  <c r="AB832" i="3"/>
  <c r="Z842" i="3"/>
  <c r="X852" i="3"/>
  <c r="V862" i="3"/>
  <c r="T872" i="3"/>
  <c r="Q887" i="3"/>
  <c r="AB896" i="3"/>
  <c r="R906" i="3"/>
  <c r="AB918" i="3"/>
  <c r="W925" i="3"/>
  <c r="R931" i="3"/>
  <c r="S935" i="3"/>
  <c r="P938" i="3"/>
  <c r="V940" i="3"/>
  <c r="AB942" i="3"/>
  <c r="U945" i="3"/>
  <c r="AE945" i="3" s="1"/>
  <c r="AA947" i="3"/>
  <c r="T950" i="3"/>
  <c r="Z952" i="3"/>
  <c r="S955" i="3"/>
  <c r="Y957" i="3"/>
  <c r="U961" i="3"/>
  <c r="AE961" i="3" s="1"/>
  <c r="AA963" i="3"/>
  <c r="T966" i="3"/>
  <c r="Z968" i="3"/>
  <c r="S971" i="3"/>
  <c r="Y973" i="3"/>
  <c r="R976" i="3"/>
  <c r="X978" i="3"/>
  <c r="T982" i="3"/>
  <c r="Z984" i="3"/>
  <c r="S987" i="3"/>
  <c r="Y989" i="3"/>
  <c r="R992" i="3"/>
  <c r="X994" i="3"/>
  <c r="Q997" i="3"/>
  <c r="W999" i="3"/>
  <c r="V759" i="3"/>
  <c r="W769" i="3"/>
  <c r="U779" i="3"/>
  <c r="AE779" i="3" s="1"/>
  <c r="S789" i="3"/>
  <c r="Q799" i="3"/>
  <c r="AB808" i="3"/>
  <c r="Z818" i="3"/>
  <c r="X828" i="3"/>
  <c r="U843" i="3"/>
  <c r="AE843" i="3" s="1"/>
  <c r="S853" i="3"/>
  <c r="Q863" i="3"/>
  <c r="AB872" i="3"/>
  <c r="Z882" i="3"/>
  <c r="X892" i="3"/>
  <c r="Z906" i="3"/>
  <c r="V915" i="3"/>
  <c r="X922" i="3"/>
  <c r="Y928" i="3"/>
  <c r="Z933" i="3"/>
  <c r="Q938" i="3"/>
  <c r="W940" i="3"/>
  <c r="P943" i="3"/>
  <c r="V945" i="3"/>
  <c r="AB947" i="3"/>
  <c r="X951" i="3"/>
  <c r="Q954" i="3"/>
  <c r="W956" i="3"/>
  <c r="P959" i="3"/>
  <c r="V961" i="3"/>
  <c r="AB963" i="3"/>
  <c r="X967" i="3"/>
  <c r="Q970" i="3"/>
  <c r="W972" i="3"/>
  <c r="S976" i="3"/>
  <c r="Y978" i="3"/>
  <c r="R981" i="3"/>
  <c r="X983" i="3"/>
  <c r="Q986" i="3"/>
  <c r="W988" i="3"/>
  <c r="P991" i="3"/>
  <c r="Y994" i="3"/>
  <c r="R997" i="3"/>
  <c r="X999" i="3"/>
  <c r="W754" i="3"/>
  <c r="R760" i="3"/>
  <c r="S765" i="3"/>
  <c r="R770" i="3"/>
  <c r="Q775" i="3"/>
  <c r="P780" i="3"/>
  <c r="AB784" i="3"/>
  <c r="AA789" i="3"/>
  <c r="Z794" i="3"/>
  <c r="Y799" i="3"/>
  <c r="X804" i="3"/>
  <c r="W809" i="3"/>
  <c r="V814" i="3"/>
  <c r="U819" i="3"/>
  <c r="AE819" i="3" s="1"/>
  <c r="T824" i="3"/>
  <c r="S829" i="3"/>
  <c r="R834" i="3"/>
  <c r="Q839" i="3"/>
  <c r="P844" i="3"/>
  <c r="AB848" i="3"/>
  <c r="AA853" i="3"/>
  <c r="Z858" i="3"/>
  <c r="Y863" i="3"/>
  <c r="X868" i="3"/>
  <c r="W873" i="3"/>
  <c r="V878" i="3"/>
  <c r="U883" i="3"/>
  <c r="AE883" i="3" s="1"/>
  <c r="T888" i="3"/>
  <c r="S893" i="3"/>
  <c r="R898" i="3"/>
  <c r="V902" i="3"/>
  <c r="U907" i="3"/>
  <c r="AE907" i="3" s="1"/>
  <c r="Q912" i="3"/>
  <c r="P916" i="3"/>
  <c r="Z919" i="3"/>
  <c r="Q923" i="3"/>
  <c r="S926" i="3"/>
  <c r="P929" i="3"/>
  <c r="AA931" i="3"/>
  <c r="P934" i="3"/>
  <c r="X935" i="3"/>
  <c r="Q937" i="3"/>
  <c r="T938" i="3"/>
  <c r="W939" i="3"/>
  <c r="Z940" i="3"/>
  <c r="P942" i="3"/>
  <c r="S943" i="3"/>
  <c r="V944" i="3"/>
  <c r="Y945" i="3"/>
  <c r="AB946" i="3"/>
  <c r="R948" i="3"/>
  <c r="U949" i="3"/>
  <c r="AE949" i="3" s="1"/>
  <c r="X950" i="3"/>
  <c r="AA951" i="3"/>
  <c r="Q953" i="3"/>
  <c r="T954" i="3"/>
  <c r="W955" i="3"/>
  <c r="Z956" i="3"/>
  <c r="P958" i="3"/>
  <c r="S959" i="3"/>
  <c r="V960" i="3"/>
  <c r="Y961" i="3"/>
  <c r="AB962" i="3"/>
  <c r="R964" i="3"/>
  <c r="U965" i="3"/>
  <c r="AE965" i="3" s="1"/>
  <c r="X966" i="3"/>
  <c r="AA967" i="3"/>
  <c r="Q969" i="3"/>
  <c r="T970" i="3"/>
  <c r="W971" i="3"/>
  <c r="Z972" i="3"/>
  <c r="P974" i="3"/>
  <c r="S975" i="3"/>
  <c r="V976" i="3"/>
  <c r="Y977" i="3"/>
  <c r="AB978" i="3"/>
  <c r="R980" i="3"/>
  <c r="U981" i="3"/>
  <c r="AE981" i="3" s="1"/>
  <c r="X982" i="3"/>
  <c r="AA983" i="3"/>
  <c r="Q985" i="3"/>
  <c r="T986" i="3"/>
  <c r="W987" i="3"/>
  <c r="Z988" i="3"/>
  <c r="P990" i="3"/>
  <c r="S991" i="3"/>
  <c r="V992" i="3"/>
  <c r="Y993" i="3"/>
  <c r="AB994" i="3"/>
  <c r="R996" i="3"/>
  <c r="U997" i="3"/>
  <c r="AE997" i="3" s="1"/>
  <c r="X998" i="3"/>
  <c r="AA999" i="3"/>
  <c r="T750" i="3"/>
  <c r="R786" i="3"/>
  <c r="AB800" i="3"/>
  <c r="Z810" i="3"/>
  <c r="X820" i="3"/>
  <c r="V830" i="3"/>
  <c r="T840" i="3"/>
  <c r="R850" i="3"/>
  <c r="P860" i="3"/>
  <c r="AA869" i="3"/>
  <c r="Y879" i="3"/>
  <c r="X884" i="3"/>
  <c r="V894" i="3"/>
  <c r="Y903" i="3"/>
  <c r="P913" i="3"/>
  <c r="X920" i="3"/>
  <c r="AB926" i="3"/>
  <c r="W932" i="3"/>
  <c r="AB935" i="3"/>
  <c r="X938" i="3"/>
  <c r="Q941" i="3"/>
  <c r="W943" i="3"/>
  <c r="P946" i="3"/>
  <c r="V948" i="3"/>
  <c r="AB950" i="3"/>
  <c r="U953" i="3"/>
  <c r="AE953" i="3" s="1"/>
  <c r="AA955" i="3"/>
  <c r="T958" i="3"/>
  <c r="Z960" i="3"/>
  <c r="S963" i="3"/>
  <c r="Y965" i="3"/>
  <c r="R968" i="3"/>
  <c r="X970" i="3"/>
  <c r="Q973" i="3"/>
  <c r="W975" i="3"/>
  <c r="P978" i="3"/>
  <c r="V980" i="3"/>
  <c r="AB982" i="3"/>
  <c r="U985" i="3"/>
  <c r="AE985" i="3" s="1"/>
  <c r="AA987" i="3"/>
  <c r="T990" i="3"/>
  <c r="Z992" i="3"/>
  <c r="P994" i="3"/>
  <c r="V996" i="3"/>
  <c r="AB998" i="3"/>
  <c r="Y756" i="3"/>
  <c r="R762" i="3"/>
  <c r="Q767" i="3"/>
  <c r="AB776" i="3"/>
  <c r="AA781" i="3"/>
  <c r="Y791" i="3"/>
  <c r="W801" i="3"/>
  <c r="U811" i="3"/>
  <c r="AE811" i="3" s="1"/>
  <c r="S821" i="3"/>
  <c r="R826" i="3"/>
  <c r="P836" i="3"/>
  <c r="AB840" i="3"/>
  <c r="Z850" i="3"/>
  <c r="X860" i="3"/>
  <c r="V870" i="3"/>
  <c r="T880" i="3"/>
  <c r="R890" i="3"/>
  <c r="P900" i="3"/>
  <c r="S909" i="3"/>
  <c r="U917" i="3"/>
  <c r="AE917" i="3" s="1"/>
  <c r="T924" i="3"/>
  <c r="Q930" i="3"/>
  <c r="X934" i="3"/>
  <c r="V937" i="3"/>
  <c r="AB939" i="3"/>
  <c r="U942" i="3"/>
  <c r="AE942" i="3" s="1"/>
  <c r="AA944" i="3"/>
  <c r="T947" i="3"/>
  <c r="Z949" i="3"/>
  <c r="S952" i="3"/>
  <c r="Y954" i="3"/>
  <c r="R957" i="3"/>
  <c r="X959" i="3"/>
  <c r="Q962" i="3"/>
  <c r="W964" i="3"/>
  <c r="P967" i="3"/>
  <c r="V969" i="3"/>
  <c r="AB971" i="3"/>
  <c r="U974" i="3"/>
  <c r="AE974" i="3" s="1"/>
  <c r="AA976" i="3"/>
  <c r="Q978" i="3"/>
  <c r="W980" i="3"/>
  <c r="P983" i="3"/>
  <c r="V985" i="3"/>
  <c r="AB987" i="3"/>
  <c r="U990" i="3"/>
  <c r="AE990" i="3" s="1"/>
  <c r="AA992" i="3"/>
  <c r="T995" i="3"/>
  <c r="Z997" i="3"/>
  <c r="S755" i="3"/>
  <c r="AB760" i="3"/>
  <c r="AA765" i="3"/>
  <c r="Z770" i="3"/>
  <c r="Y775" i="3"/>
  <c r="X780" i="3"/>
  <c r="W785" i="3"/>
  <c r="V790" i="3"/>
  <c r="U795" i="3"/>
  <c r="AE795" i="3" s="1"/>
  <c r="T800" i="3"/>
  <c r="S805" i="3"/>
  <c r="R810" i="3"/>
  <c r="Q815" i="3"/>
  <c r="P820" i="3"/>
  <c r="AB824" i="3"/>
  <c r="AA829" i="3"/>
  <c r="Z834" i="3"/>
  <c r="Y839" i="3"/>
  <c r="X844" i="3"/>
  <c r="W849" i="3"/>
  <c r="V854" i="3"/>
  <c r="U859" i="3"/>
  <c r="AE859" i="3" s="1"/>
  <c r="T864" i="3"/>
  <c r="S869" i="3"/>
  <c r="R874" i="3"/>
  <c r="Q879" i="3"/>
  <c r="P884" i="3"/>
  <c r="AB888" i="3"/>
  <c r="AA893" i="3"/>
  <c r="Z898" i="3"/>
  <c r="Q903" i="3"/>
  <c r="P908" i="3"/>
  <c r="V912" i="3"/>
  <c r="V916" i="3"/>
  <c r="R920" i="3"/>
  <c r="V923" i="3"/>
  <c r="W926" i="3"/>
  <c r="U929" i="3"/>
  <c r="AE929" i="3" s="1"/>
  <c r="R932" i="3"/>
  <c r="Q934" i="3"/>
  <c r="AA935" i="3"/>
  <c r="R937" i="3"/>
  <c r="U938" i="3"/>
  <c r="AE938" i="3" s="1"/>
  <c r="X939" i="3"/>
  <c r="AA940" i="3"/>
  <c r="Q942" i="3"/>
  <c r="T943" i="3"/>
  <c r="W944" i="3"/>
  <c r="Z945" i="3"/>
  <c r="P947" i="3"/>
  <c r="S948" i="3"/>
  <c r="V949" i="3"/>
  <c r="Y950" i="3"/>
  <c r="AB951" i="3"/>
  <c r="R953" i="3"/>
  <c r="U954" i="3"/>
  <c r="AE954" i="3" s="1"/>
  <c r="X955" i="3"/>
  <c r="AA956" i="3"/>
  <c r="Q958" i="3"/>
  <c r="T959" i="3"/>
  <c r="W960" i="3"/>
  <c r="Z961" i="3"/>
  <c r="P963" i="3"/>
  <c r="S964" i="3"/>
  <c r="V965" i="3"/>
  <c r="Y966" i="3"/>
  <c r="AB967" i="3"/>
  <c r="R969" i="3"/>
  <c r="U970" i="3"/>
  <c r="AE970" i="3" s="1"/>
  <c r="X971" i="3"/>
  <c r="AA972" i="3"/>
  <c r="Q974" i="3"/>
  <c r="T975" i="3"/>
  <c r="W976" i="3"/>
  <c r="Z977" i="3"/>
  <c r="P979" i="3"/>
  <c r="S980" i="3"/>
  <c r="V981" i="3"/>
  <c r="Y982" i="3"/>
  <c r="AB983" i="3"/>
  <c r="R985" i="3"/>
  <c r="U986" i="3"/>
  <c r="AE986" i="3" s="1"/>
  <c r="X987" i="3"/>
  <c r="AA988" i="3"/>
  <c r="Q990" i="3"/>
  <c r="T991" i="3"/>
  <c r="W992" i="3"/>
  <c r="Z993" i="3"/>
  <c r="P995" i="3"/>
  <c r="S996" i="3"/>
  <c r="V997" i="3"/>
  <c r="Y998" i="3"/>
  <c r="AB999" i="3"/>
  <c r="P756" i="3"/>
  <c r="W761" i="3"/>
  <c r="V766" i="3"/>
  <c r="U771" i="3"/>
  <c r="AE771" i="3" s="1"/>
  <c r="T776" i="3"/>
  <c r="S781" i="3"/>
  <c r="Q791" i="3"/>
  <c r="P796" i="3"/>
  <c r="AA805" i="3"/>
  <c r="Y815" i="3"/>
  <c r="W825" i="3"/>
  <c r="U835" i="3"/>
  <c r="AE835" i="3" s="1"/>
  <c r="S845" i="3"/>
  <c r="Q855" i="3"/>
  <c r="AB864" i="3"/>
  <c r="Z874" i="3"/>
  <c r="W889" i="3"/>
  <c r="U899" i="3"/>
  <c r="AE899" i="3" s="1"/>
  <c r="X908" i="3"/>
  <c r="P917" i="3"/>
  <c r="AA923" i="3"/>
  <c r="Y929" i="3"/>
  <c r="U934" i="3"/>
  <c r="AE934" i="3" s="1"/>
  <c r="U937" i="3"/>
  <c r="AE937" i="3" s="1"/>
  <c r="AA939" i="3"/>
  <c r="T942" i="3"/>
  <c r="Z944" i="3"/>
  <c r="S947" i="3"/>
  <c r="Y949" i="3"/>
  <c r="R952" i="3"/>
  <c r="X954" i="3"/>
  <c r="Q957" i="3"/>
  <c r="W959" i="3"/>
  <c r="P962" i="3"/>
  <c r="V964" i="3"/>
  <c r="AB966" i="3"/>
  <c r="U969" i="3"/>
  <c r="AE969" i="3" s="1"/>
  <c r="AA971" i="3"/>
  <c r="T974" i="3"/>
  <c r="Z976" i="3"/>
  <c r="S979" i="3"/>
  <c r="Y981" i="3"/>
  <c r="R984" i="3"/>
  <c r="X986" i="3"/>
  <c r="Q989" i="3"/>
  <c r="W991" i="3"/>
  <c r="S995" i="3"/>
  <c r="Y997" i="3"/>
  <c r="Q751" i="3"/>
  <c r="P772" i="3"/>
  <c r="Z786" i="3"/>
  <c r="X796" i="3"/>
  <c r="V806" i="3"/>
  <c r="T816" i="3"/>
  <c r="Q831" i="3"/>
  <c r="AA845" i="3"/>
  <c r="Y855" i="3"/>
  <c r="W865" i="3"/>
  <c r="U875" i="3"/>
  <c r="AE875" i="3" s="1"/>
  <c r="S885" i="3"/>
  <c r="Q895" i="3"/>
  <c r="T904" i="3"/>
  <c r="W913" i="3"/>
  <c r="P921" i="3"/>
  <c r="S927" i="3"/>
  <c r="Z932" i="3"/>
  <c r="S936" i="3"/>
  <c r="Y938" i="3"/>
  <c r="R941" i="3"/>
  <c r="X943" i="3"/>
  <c r="Q946" i="3"/>
  <c r="W948" i="3"/>
  <c r="P951" i="3"/>
  <c r="V953" i="3"/>
  <c r="AB955" i="3"/>
  <c r="U958" i="3"/>
  <c r="AE958" i="3" s="1"/>
  <c r="AA960" i="3"/>
  <c r="T963" i="3"/>
  <c r="Z965" i="3"/>
  <c r="S968" i="3"/>
  <c r="Y970" i="3"/>
  <c r="R973" i="3"/>
  <c r="X975" i="3"/>
  <c r="T979" i="3"/>
  <c r="Z981" i="3"/>
  <c r="S984" i="3"/>
  <c r="Y986" i="3"/>
  <c r="R989" i="3"/>
  <c r="X991" i="3"/>
  <c r="Q994" i="3"/>
  <c r="W996" i="3"/>
  <c r="P999" i="3"/>
  <c r="AE52" i="3"/>
  <c r="AE26" i="3"/>
  <c r="O11" i="3"/>
  <c r="AE17" i="3"/>
  <c r="AE8" i="3"/>
  <c r="AE53" i="3"/>
  <c r="AE13" i="3"/>
  <c r="AE18" i="3"/>
  <c r="AE42" i="3"/>
  <c r="AE84" i="3"/>
  <c r="AE70" i="3"/>
  <c r="AE83" i="3"/>
  <c r="AE56" i="3"/>
  <c r="AE80" i="3"/>
  <c r="AE21" i="3"/>
  <c r="AE47" i="3"/>
  <c r="AE71" i="3"/>
  <c r="AE148" i="3"/>
  <c r="AE129" i="3"/>
  <c r="AE107" i="3"/>
  <c r="AE130" i="3"/>
  <c r="AE163" i="3"/>
  <c r="AE179" i="3"/>
  <c r="AE153" i="3"/>
  <c r="AE185" i="3"/>
  <c r="AE193" i="3"/>
  <c r="AE242" i="3"/>
  <c r="AE244" i="3"/>
  <c r="AE201" i="3"/>
  <c r="AE208" i="3"/>
  <c r="AE245" i="3"/>
  <c r="AE215" i="3"/>
  <c r="AE324" i="3"/>
  <c r="AE318" i="3"/>
  <c r="AE301" i="3"/>
  <c r="AE317" i="3"/>
  <c r="AE325" i="3"/>
  <c r="AE335" i="3"/>
  <c r="AE357" i="3"/>
  <c r="AE339" i="3"/>
  <c r="AE407" i="3"/>
  <c r="AE283" i="3"/>
  <c r="AE355" i="3"/>
  <c r="AE487" i="3"/>
  <c r="AE503" i="3"/>
  <c r="AE511" i="3"/>
  <c r="AE315" i="3"/>
  <c r="AE360" i="3"/>
  <c r="AE369" i="3"/>
  <c r="AE422" i="3"/>
  <c r="AE436" i="3"/>
  <c r="AE500" i="3"/>
  <c r="AE564" i="3"/>
  <c r="AE505" i="3"/>
  <c r="AE443" i="3"/>
  <c r="AE507" i="3"/>
  <c r="AE571" i="3"/>
  <c r="AE255" i="3"/>
  <c r="AE512" i="3"/>
  <c r="AE616" i="3"/>
  <c r="AE412" i="3"/>
  <c r="AE469" i="3"/>
  <c r="AE567" i="3"/>
  <c r="AE569" i="3"/>
  <c r="AE575" i="3"/>
  <c r="AE348" i="3"/>
  <c r="AE470" i="3"/>
  <c r="AE743" i="3"/>
  <c r="AE746" i="3"/>
  <c r="AE714" i="3"/>
  <c r="AE812" i="3"/>
  <c r="AE649" i="3"/>
  <c r="AE802" i="3"/>
  <c r="AE894" i="3"/>
  <c r="AE695" i="3"/>
  <c r="AE36" i="3"/>
  <c r="AE27" i="3"/>
  <c r="AE43" i="3"/>
  <c r="AE101" i="3"/>
  <c r="AE164" i="3"/>
  <c r="AE65" i="3"/>
  <c r="AE131" i="3"/>
  <c r="AE155" i="3"/>
  <c r="AE74" i="3"/>
  <c r="AE174" i="3"/>
  <c r="AE112" i="3"/>
  <c r="AE177" i="3"/>
  <c r="AE216" i="3"/>
  <c r="AE158" i="3"/>
  <c r="AE187" i="3"/>
  <c r="AE207" i="3"/>
  <c r="AE223" i="3"/>
  <c r="AE162" i="3"/>
  <c r="AE298" i="3"/>
  <c r="AE276" i="3"/>
  <c r="AE204" i="3"/>
  <c r="AE254" i="3"/>
  <c r="AE253" i="3"/>
  <c r="AE366" i="3"/>
  <c r="AE261" i="3"/>
  <c r="AE349" i="3"/>
  <c r="AE269" i="3"/>
  <c r="AE402" i="3"/>
  <c r="AE345" i="3"/>
  <c r="AE353" i="3"/>
  <c r="AE446" i="3"/>
  <c r="AE247" i="3"/>
  <c r="AE451" i="3"/>
  <c r="AE508" i="3"/>
  <c r="AE783" i="3"/>
  <c r="AE734" i="3"/>
  <c r="AE742" i="3"/>
  <c r="AE488" i="3"/>
  <c r="AE572" i="3"/>
  <c r="AE724" i="3"/>
  <c r="AE866" i="3"/>
  <c r="AE940" i="3"/>
  <c r="AE9" i="3"/>
  <c r="AE34" i="3"/>
  <c r="AE97" i="3"/>
  <c r="AE236" i="3"/>
  <c r="AE270" i="3"/>
  <c r="AE358" i="3"/>
  <c r="AE411" i="3"/>
  <c r="AE494" i="3"/>
  <c r="AE15" i="3"/>
  <c r="AE45" i="3"/>
  <c r="AE138" i="3"/>
  <c r="AE212" i="3"/>
  <c r="AE214" i="3"/>
  <c r="AE310" i="3"/>
  <c r="AE199" i="3"/>
  <c r="AE716" i="3"/>
  <c r="AE7" i="3"/>
  <c r="AE48" i="3"/>
  <c r="AE6" i="3"/>
  <c r="AE54" i="3"/>
  <c r="AE14" i="3"/>
  <c r="AE94" i="3"/>
  <c r="AE51" i="3"/>
  <c r="AE98" i="3"/>
  <c r="AE111" i="3"/>
  <c r="AE147" i="3"/>
  <c r="AE89" i="3"/>
  <c r="AE81" i="3"/>
  <c r="AE142" i="3"/>
  <c r="AE175" i="3"/>
  <c r="AE191" i="3"/>
  <c r="AE200" i="3"/>
  <c r="AE157" i="3"/>
  <c r="AE267" i="3"/>
  <c r="AE279" i="3"/>
  <c r="AE284" i="3"/>
  <c r="AE225" i="3"/>
  <c r="AE230" i="3"/>
  <c r="AE296" i="3"/>
  <c r="AE336" i="3"/>
  <c r="AE352" i="3"/>
  <c r="AE333" i="3"/>
  <c r="AE290" i="3"/>
  <c r="AE327" i="3"/>
  <c r="AE332" i="3"/>
  <c r="AE340" i="3"/>
  <c r="AE266" i="3"/>
  <c r="AE238" i="3"/>
  <c r="AE399" i="3"/>
  <c r="AE326" i="3"/>
  <c r="AE404" i="3"/>
  <c r="AE377" i="3"/>
  <c r="AE526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I725" i="3" s="1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I773" i="3" s="1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U2" i="3" l="1"/>
  <c r="AI467" i="3"/>
  <c r="AI110" i="3"/>
  <c r="AI599" i="3"/>
  <c r="AI813" i="3"/>
  <c r="AI145" i="3"/>
  <c r="AI234" i="3"/>
  <c r="AI853" i="3"/>
  <c r="AI850" i="3"/>
  <c r="AI542" i="3"/>
  <c r="AI166" i="3"/>
  <c r="AI524" i="3"/>
  <c r="AI485" i="3"/>
  <c r="AI209" i="3"/>
  <c r="AI775" i="3"/>
  <c r="AI334" i="3"/>
  <c r="AI544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B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S58" i="1" s="1"/>
  <c r="R66" i="1"/>
  <c r="S66" i="1" s="1"/>
  <c r="R74" i="1"/>
  <c r="S74" i="1" s="1"/>
  <c r="R82" i="1"/>
  <c r="S82" i="1" s="1"/>
  <c r="R90" i="1"/>
  <c r="S90" i="1" s="1"/>
  <c r="R98" i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R170" i="1"/>
  <c r="R178" i="1"/>
  <c r="S178" i="1" s="1"/>
  <c r="R186" i="1"/>
  <c r="S186" i="1" s="1"/>
  <c r="R194" i="1"/>
  <c r="S194" i="1" s="1"/>
  <c r="R202" i="1"/>
  <c r="S202" i="1" s="1"/>
  <c r="R210" i="1"/>
  <c r="R218" i="1"/>
  <c r="R226" i="1"/>
  <c r="R234" i="1"/>
  <c r="R242" i="1"/>
  <c r="S242" i="1" s="1"/>
  <c r="R250" i="1"/>
  <c r="S250" i="1" s="1"/>
  <c r="R258" i="1"/>
  <c r="S258" i="1" s="1"/>
  <c r="R266" i="1"/>
  <c r="S266" i="1" s="1"/>
  <c r="R274" i="1"/>
  <c r="S274" i="1" s="1"/>
  <c r="R282" i="1"/>
  <c r="R290" i="1"/>
  <c r="R298" i="1"/>
  <c r="S298" i="1" s="1"/>
  <c r="R306" i="1"/>
  <c r="S306" i="1" s="1"/>
  <c r="R314" i="1"/>
  <c r="S314" i="1" s="1"/>
  <c r="R322" i="1"/>
  <c r="S322" i="1" s="1"/>
  <c r="R330" i="1"/>
  <c r="S330" i="1" s="1"/>
  <c r="R338" i="1"/>
  <c r="R346" i="1"/>
  <c r="R354" i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R35" i="1"/>
  <c r="R43" i="1"/>
  <c r="S43" i="1" s="1"/>
  <c r="R51" i="1"/>
  <c r="S51" i="1" s="1"/>
  <c r="R59" i="1"/>
  <c r="S59" i="1" s="1"/>
  <c r="R67" i="1"/>
  <c r="S67" i="1" s="1"/>
  <c r="R75" i="1"/>
  <c r="R83" i="1"/>
  <c r="R91" i="1"/>
  <c r="R99" i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R163" i="1"/>
  <c r="S163" i="1" s="1"/>
  <c r="R171" i="1"/>
  <c r="S171" i="1" s="1"/>
  <c r="R179" i="1"/>
  <c r="S179" i="1" s="1"/>
  <c r="R187" i="1"/>
  <c r="S187" i="1" s="1"/>
  <c r="R195" i="1"/>
  <c r="S195" i="1" s="1"/>
  <c r="R203" i="1"/>
  <c r="R211" i="1"/>
  <c r="S211" i="1" s="1"/>
  <c r="R219" i="1"/>
  <c r="R227" i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R291" i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R347" i="1"/>
  <c r="R355" i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R36" i="1"/>
  <c r="S36" i="1" s="1"/>
  <c r="R44" i="1"/>
  <c r="S44" i="1" s="1"/>
  <c r="R52" i="1"/>
  <c r="S52" i="1" s="1"/>
  <c r="R60" i="1"/>
  <c r="S60" i="1" s="1"/>
  <c r="R68" i="1"/>
  <c r="R76" i="1"/>
  <c r="R84" i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S140" i="1" s="1"/>
  <c r="R148" i="1"/>
  <c r="R156" i="1"/>
  <c r="S156" i="1" s="1"/>
  <c r="R164" i="1"/>
  <c r="S164" i="1" s="1"/>
  <c r="R172" i="1"/>
  <c r="S172" i="1" s="1"/>
  <c r="R180" i="1"/>
  <c r="S180" i="1" s="1"/>
  <c r="R188" i="1"/>
  <c r="S188" i="1" s="1"/>
  <c r="R196" i="1"/>
  <c r="S196" i="1" s="1"/>
  <c r="R204" i="1"/>
  <c r="R212" i="1"/>
  <c r="R220" i="1"/>
  <c r="R228" i="1"/>
  <c r="S228" i="1" s="1"/>
  <c r="R236" i="1"/>
  <c r="S236" i="1" s="1"/>
  <c r="R244" i="1"/>
  <c r="S244" i="1" s="1"/>
  <c r="R252" i="1"/>
  <c r="S252" i="1" s="1"/>
  <c r="R260" i="1"/>
  <c r="R268" i="1"/>
  <c r="R276" i="1"/>
  <c r="R284" i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R348" i="1"/>
  <c r="S348" i="1" s="1"/>
  <c r="R356" i="1"/>
  <c r="S356" i="1" s="1"/>
  <c r="R364" i="1"/>
  <c r="S364" i="1" s="1"/>
  <c r="R372" i="1"/>
  <c r="S372" i="1" s="1"/>
  <c r="R380" i="1"/>
  <c r="S380" i="1" s="1"/>
  <c r="R388" i="1"/>
  <c r="S388" i="1" s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S29" i="1" s="1"/>
  <c r="R37" i="1"/>
  <c r="S37" i="1" s="1"/>
  <c r="R45" i="1"/>
  <c r="R53" i="1"/>
  <c r="S53" i="1" s="1"/>
  <c r="R61" i="1"/>
  <c r="S61" i="1" s="1"/>
  <c r="R69" i="1"/>
  <c r="S69" i="1" s="1"/>
  <c r="R77" i="1"/>
  <c r="S77" i="1" s="1"/>
  <c r="R85" i="1"/>
  <c r="S85" i="1" s="1"/>
  <c r="R93" i="1"/>
  <c r="R101" i="1"/>
  <c r="R109" i="1"/>
  <c r="S109" i="1" s="1"/>
  <c r="R117" i="1"/>
  <c r="R125" i="1"/>
  <c r="S125" i="1" s="1"/>
  <c r="R133" i="1"/>
  <c r="S133" i="1" s="1"/>
  <c r="R141" i="1"/>
  <c r="S141" i="1" s="1"/>
  <c r="R149" i="1"/>
  <c r="S149" i="1" s="1"/>
  <c r="R157" i="1"/>
  <c r="R165" i="1"/>
  <c r="S165" i="1" s="1"/>
  <c r="R173" i="1"/>
  <c r="R181" i="1"/>
  <c r="R189" i="1"/>
  <c r="S189" i="1" s="1"/>
  <c r="R197" i="1"/>
  <c r="S197" i="1" s="1"/>
  <c r="R205" i="1"/>
  <c r="S205" i="1" s="1"/>
  <c r="R213" i="1"/>
  <c r="S213" i="1" s="1"/>
  <c r="R221" i="1"/>
  <c r="R229" i="1"/>
  <c r="S229" i="1" s="1"/>
  <c r="R237" i="1"/>
  <c r="R245" i="1"/>
  <c r="R253" i="1"/>
  <c r="S253" i="1" s="1"/>
  <c r="R261" i="1"/>
  <c r="S261" i="1" s="1"/>
  <c r="R269" i="1"/>
  <c r="S269" i="1" s="1"/>
  <c r="R277" i="1"/>
  <c r="S277" i="1" s="1"/>
  <c r="R285" i="1"/>
  <c r="R293" i="1"/>
  <c r="S293" i="1" s="1"/>
  <c r="R301" i="1"/>
  <c r="R309" i="1"/>
  <c r="R317" i="1"/>
  <c r="S317" i="1" s="1"/>
  <c r="R325" i="1"/>
  <c r="S325" i="1" s="1"/>
  <c r="R333" i="1"/>
  <c r="S333" i="1" s="1"/>
  <c r="R341" i="1"/>
  <c r="S341" i="1" s="1"/>
  <c r="R349" i="1"/>
  <c r="S349" i="1" s="1"/>
  <c r="R357" i="1"/>
  <c r="S357" i="1" s="1"/>
  <c r="R365" i="1"/>
  <c r="R373" i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S22" i="1" s="1"/>
  <c r="R30" i="1"/>
  <c r="S30" i="1" s="1"/>
  <c r="R38" i="1"/>
  <c r="R46" i="1"/>
  <c r="R54" i="1"/>
  <c r="S54" i="1" s="1"/>
  <c r="R62" i="1"/>
  <c r="S62" i="1" s="1"/>
  <c r="R70" i="1"/>
  <c r="S70" i="1" s="1"/>
  <c r="R78" i="1"/>
  <c r="S78" i="1" s="1"/>
  <c r="R86" i="1"/>
  <c r="S86" i="1" s="1"/>
  <c r="R94" i="1"/>
  <c r="S94" i="1" s="1"/>
  <c r="R102" i="1"/>
  <c r="R110" i="1"/>
  <c r="R118" i="1"/>
  <c r="S118" i="1" s="1"/>
  <c r="R126" i="1"/>
  <c r="S126" i="1" s="1"/>
  <c r="R134" i="1"/>
  <c r="S134" i="1" s="1"/>
  <c r="R142" i="1"/>
  <c r="S142" i="1" s="1"/>
  <c r="R150" i="1"/>
  <c r="S150" i="1" s="1"/>
  <c r="R158" i="1"/>
  <c r="S158" i="1" s="1"/>
  <c r="R166" i="1"/>
  <c r="R174" i="1"/>
  <c r="S174" i="1" s="1"/>
  <c r="R182" i="1"/>
  <c r="S182" i="1" s="1"/>
  <c r="R190" i="1"/>
  <c r="S190" i="1" s="1"/>
  <c r="R198" i="1"/>
  <c r="S198" i="1" s="1"/>
  <c r="R206" i="1"/>
  <c r="S206" i="1" s="1"/>
  <c r="R214" i="1"/>
  <c r="R222" i="1"/>
  <c r="S222" i="1" s="1"/>
  <c r="R230" i="1"/>
  <c r="R238" i="1"/>
  <c r="S238" i="1" s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R302" i="1"/>
  <c r="S302" i="1" s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R358" i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S23" i="1" s="1"/>
  <c r="R31" i="1"/>
  <c r="R39" i="1"/>
  <c r="R47" i="1"/>
  <c r="S47" i="1" s="1"/>
  <c r="R55" i="1"/>
  <c r="S55" i="1" s="1"/>
  <c r="R63" i="1"/>
  <c r="S63" i="1" s="1"/>
  <c r="R71" i="1"/>
  <c r="S71" i="1" s="1"/>
  <c r="R79" i="1"/>
  <c r="R87" i="1"/>
  <c r="S87" i="1" s="1"/>
  <c r="R95" i="1"/>
  <c r="R103" i="1"/>
  <c r="S103" i="1" s="1"/>
  <c r="R111" i="1"/>
  <c r="S111" i="1" s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R167" i="1"/>
  <c r="S167" i="1" s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R223" i="1"/>
  <c r="R231" i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R359" i="1"/>
  <c r="S359" i="1" s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S32" i="1" s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S88" i="1" s="1"/>
  <c r="R96" i="1"/>
  <c r="R104" i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R176" i="1"/>
  <c r="S176" i="1" s="1"/>
  <c r="R184" i="1"/>
  <c r="S184" i="1" s="1"/>
  <c r="R192" i="1"/>
  <c r="S192" i="1" s="1"/>
  <c r="R200" i="1"/>
  <c r="S200" i="1" s="1"/>
  <c r="R208" i="1"/>
  <c r="S208" i="1" s="1"/>
  <c r="R216" i="1"/>
  <c r="S216" i="1" s="1"/>
  <c r="R224" i="1"/>
  <c r="R232" i="1"/>
  <c r="S232" i="1" s="1"/>
  <c r="R240" i="1"/>
  <c r="S240" i="1" s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R296" i="1"/>
  <c r="S296" i="1" s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R360" i="1"/>
  <c r="S360" i="1" s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S97" i="1" s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S193" i="1" s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R305" i="1"/>
  <c r="S305" i="1" s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S145" i="1" s="1"/>
  <c r="R209" i="1"/>
  <c r="S209" i="1" s="1"/>
  <c r="R273" i="1"/>
  <c r="S273" i="1" s="1"/>
  <c r="R401" i="1"/>
  <c r="S401" i="1" s="1"/>
  <c r="AB18" i="1"/>
  <c r="AC18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0" i="1"/>
  <c r="AC90" i="1" s="1"/>
  <c r="AB98" i="1"/>
  <c r="AC98" i="1" s="1"/>
  <c r="AB106" i="1"/>
  <c r="AC106" i="1" s="1"/>
  <c r="AB114" i="1"/>
  <c r="AC114" i="1" s="1"/>
  <c r="AB122" i="1"/>
  <c r="AC122" i="1" s="1"/>
  <c r="AB130" i="1"/>
  <c r="AB138" i="1"/>
  <c r="AC138" i="1" s="1"/>
  <c r="AB146" i="1"/>
  <c r="AC146" i="1" s="1"/>
  <c r="AB154" i="1"/>
  <c r="AC154" i="1" s="1"/>
  <c r="AB162" i="1"/>
  <c r="AC162" i="1" s="1"/>
  <c r="AB170" i="1"/>
  <c r="AC170" i="1" s="1"/>
  <c r="AB178" i="1"/>
  <c r="AC178" i="1" s="1"/>
  <c r="AB186" i="1"/>
  <c r="AC186" i="1" s="1"/>
  <c r="AB194" i="1"/>
  <c r="AB202" i="1"/>
  <c r="AC202" i="1" s="1"/>
  <c r="AB210" i="1"/>
  <c r="AC210" i="1" s="1"/>
  <c r="AB218" i="1"/>
  <c r="AC218" i="1" s="1"/>
  <c r="AB226" i="1"/>
  <c r="AC226" i="1" s="1"/>
  <c r="AB234" i="1"/>
  <c r="AC234" i="1" s="1"/>
  <c r="AB242" i="1"/>
  <c r="AC242" i="1" s="1"/>
  <c r="AB250" i="1"/>
  <c r="AB258" i="1"/>
  <c r="AC258" i="1" s="1"/>
  <c r="AB266" i="1"/>
  <c r="AC266" i="1" s="1"/>
  <c r="AB274" i="1"/>
  <c r="AC274" i="1" s="1"/>
  <c r="AB282" i="1"/>
  <c r="AC282" i="1" s="1"/>
  <c r="AB290" i="1"/>
  <c r="AC290" i="1" s="1"/>
  <c r="AB298" i="1"/>
  <c r="AC298" i="1" s="1"/>
  <c r="AB306" i="1"/>
  <c r="AB314" i="1"/>
  <c r="AC314" i="1" s="1"/>
  <c r="AB322" i="1"/>
  <c r="AC322" i="1" s="1"/>
  <c r="AB330" i="1"/>
  <c r="AC330" i="1" s="1"/>
  <c r="AB338" i="1"/>
  <c r="AC338" i="1" s="1"/>
  <c r="AB346" i="1"/>
  <c r="AC346" i="1" s="1"/>
  <c r="AB354" i="1"/>
  <c r="AC354" i="1" s="1"/>
  <c r="AB362" i="1"/>
  <c r="AC362" i="1" s="1"/>
  <c r="AB370" i="1"/>
  <c r="AC370" i="1" s="1"/>
  <c r="AB378" i="1"/>
  <c r="AB386" i="1"/>
  <c r="AC386" i="1" s="1"/>
  <c r="AB394" i="1"/>
  <c r="AC394" i="1" s="1"/>
  <c r="AB402" i="1"/>
  <c r="AC402" i="1" s="1"/>
  <c r="AB410" i="1"/>
  <c r="AC410" i="1" s="1"/>
  <c r="AB418" i="1"/>
  <c r="AC418" i="1" s="1"/>
  <c r="AB426" i="1"/>
  <c r="AC426" i="1" s="1"/>
  <c r="AB434" i="1"/>
  <c r="AC434" i="1" s="1"/>
  <c r="AB442" i="1"/>
  <c r="AC442" i="1" s="1"/>
  <c r="AB450" i="1"/>
  <c r="AC450" i="1" s="1"/>
  <c r="AB458" i="1"/>
  <c r="AC458" i="1" s="1"/>
  <c r="AB466" i="1"/>
  <c r="AC466" i="1" s="1"/>
  <c r="AB474" i="1"/>
  <c r="AC474" i="1" s="1"/>
  <c r="AB482" i="1"/>
  <c r="AC482" i="1" s="1"/>
  <c r="AB490" i="1"/>
  <c r="AC490" i="1" s="1"/>
  <c r="AB498" i="1"/>
  <c r="AC498" i="1" s="1"/>
  <c r="AB506" i="1"/>
  <c r="AC506" i="1" s="1"/>
  <c r="AB514" i="1"/>
  <c r="AC514" i="1" s="1"/>
  <c r="AB522" i="1"/>
  <c r="AC522" i="1" s="1"/>
  <c r="AB530" i="1"/>
  <c r="AC530" i="1" s="1"/>
  <c r="AB538" i="1"/>
  <c r="AC538" i="1" s="1"/>
  <c r="AB546" i="1"/>
  <c r="AC546" i="1" s="1"/>
  <c r="AB554" i="1"/>
  <c r="AC554" i="1" s="1"/>
  <c r="AB562" i="1"/>
  <c r="AC562" i="1" s="1"/>
  <c r="AB570" i="1"/>
  <c r="AC570" i="1" s="1"/>
  <c r="AB578" i="1"/>
  <c r="AC578" i="1" s="1"/>
  <c r="AB586" i="1"/>
  <c r="AC586" i="1" s="1"/>
  <c r="AB594" i="1"/>
  <c r="AC594" i="1" s="1"/>
  <c r="AB602" i="1"/>
  <c r="AC602" i="1" s="1"/>
  <c r="AB610" i="1"/>
  <c r="AC610" i="1" s="1"/>
  <c r="AB618" i="1"/>
  <c r="AC618" i="1" s="1"/>
  <c r="AB626" i="1"/>
  <c r="AC626" i="1" s="1"/>
  <c r="AB634" i="1"/>
  <c r="AC634" i="1" s="1"/>
  <c r="AB642" i="1"/>
  <c r="AC642" i="1" s="1"/>
  <c r="AB650" i="1"/>
  <c r="AC650" i="1" s="1"/>
  <c r="AB658" i="1"/>
  <c r="AC658" i="1" s="1"/>
  <c r="AB29" i="1"/>
  <c r="AC29" i="1" s="1"/>
  <c r="AB19" i="1"/>
  <c r="AC19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1" i="1"/>
  <c r="AB99" i="1"/>
  <c r="AC99" i="1" s="1"/>
  <c r="AB107" i="1"/>
  <c r="AC107" i="1" s="1"/>
  <c r="AB115" i="1"/>
  <c r="AC115" i="1" s="1"/>
  <c r="AB123" i="1"/>
  <c r="AC123" i="1" s="1"/>
  <c r="AB131" i="1"/>
  <c r="AC131" i="1" s="1"/>
  <c r="AB139" i="1"/>
  <c r="AC139" i="1" s="1"/>
  <c r="AB147" i="1"/>
  <c r="AC147" i="1" s="1"/>
  <c r="AB155" i="1"/>
  <c r="AC155" i="1" s="1"/>
  <c r="AB163" i="1"/>
  <c r="AC163" i="1" s="1"/>
  <c r="AB171" i="1"/>
  <c r="AC171" i="1" s="1"/>
  <c r="AB179" i="1"/>
  <c r="AB187" i="1"/>
  <c r="AC187" i="1" s="1"/>
  <c r="AB195" i="1"/>
  <c r="AC195" i="1" s="1"/>
  <c r="AB203" i="1"/>
  <c r="AC203" i="1" s="1"/>
  <c r="AB211" i="1"/>
  <c r="AC211" i="1" s="1"/>
  <c r="AB219" i="1"/>
  <c r="AC219" i="1" s="1"/>
  <c r="AB227" i="1"/>
  <c r="AC227" i="1" s="1"/>
  <c r="AB235" i="1"/>
  <c r="AC235" i="1" s="1"/>
  <c r="AB243" i="1"/>
  <c r="AC243" i="1" s="1"/>
  <c r="AB251" i="1"/>
  <c r="AC251" i="1" s="1"/>
  <c r="AB259" i="1"/>
  <c r="AC259" i="1" s="1"/>
  <c r="AB267" i="1"/>
  <c r="AC267" i="1" s="1"/>
  <c r="AB275" i="1"/>
  <c r="AC275" i="1" s="1"/>
  <c r="AB283" i="1"/>
  <c r="AC283" i="1" s="1"/>
  <c r="AB291" i="1"/>
  <c r="AC291" i="1" s="1"/>
  <c r="AB299" i="1"/>
  <c r="AC299" i="1" s="1"/>
  <c r="AB307" i="1"/>
  <c r="AC307" i="1" s="1"/>
  <c r="AB315" i="1"/>
  <c r="AC315" i="1" s="1"/>
  <c r="AB323" i="1"/>
  <c r="AC323" i="1" s="1"/>
  <c r="AB331" i="1"/>
  <c r="AC331" i="1" s="1"/>
  <c r="AB339" i="1"/>
  <c r="AC339" i="1" s="1"/>
  <c r="AB347" i="1"/>
  <c r="AC347" i="1" s="1"/>
  <c r="AB355" i="1"/>
  <c r="AC355" i="1" s="1"/>
  <c r="AB363" i="1"/>
  <c r="AC363" i="1" s="1"/>
  <c r="AB371" i="1"/>
  <c r="AC371" i="1" s="1"/>
  <c r="AB379" i="1"/>
  <c r="AC379" i="1" s="1"/>
  <c r="AB387" i="1"/>
  <c r="AC387" i="1" s="1"/>
  <c r="AB395" i="1"/>
  <c r="AC395" i="1" s="1"/>
  <c r="AB403" i="1"/>
  <c r="AC403" i="1" s="1"/>
  <c r="AB411" i="1"/>
  <c r="AC411" i="1" s="1"/>
  <c r="AB419" i="1"/>
  <c r="AC419" i="1" s="1"/>
  <c r="AB427" i="1"/>
  <c r="AC427" i="1" s="1"/>
  <c r="AB435" i="1"/>
  <c r="AC435" i="1" s="1"/>
  <c r="AB443" i="1"/>
  <c r="AC443" i="1" s="1"/>
  <c r="AB451" i="1"/>
  <c r="AC451" i="1" s="1"/>
  <c r="AB459" i="1"/>
  <c r="AC459" i="1" s="1"/>
  <c r="AB467" i="1"/>
  <c r="AC467" i="1" s="1"/>
  <c r="AB475" i="1"/>
  <c r="AC475" i="1" s="1"/>
  <c r="AB483" i="1"/>
  <c r="AC483" i="1" s="1"/>
  <c r="AB491" i="1"/>
  <c r="AC491" i="1" s="1"/>
  <c r="AB499" i="1"/>
  <c r="AC499" i="1" s="1"/>
  <c r="AB507" i="1"/>
  <c r="AC507" i="1" s="1"/>
  <c r="AB515" i="1"/>
  <c r="AC515" i="1" s="1"/>
  <c r="AB523" i="1"/>
  <c r="AC523" i="1" s="1"/>
  <c r="AB531" i="1"/>
  <c r="AC531" i="1" s="1"/>
  <c r="AB539" i="1"/>
  <c r="AC539" i="1" s="1"/>
  <c r="AB547" i="1"/>
  <c r="AC547" i="1" s="1"/>
  <c r="AB555" i="1"/>
  <c r="AC555" i="1" s="1"/>
  <c r="AB563" i="1"/>
  <c r="AC563" i="1" s="1"/>
  <c r="AB571" i="1"/>
  <c r="AC571" i="1" s="1"/>
  <c r="AB579" i="1"/>
  <c r="AC579" i="1" s="1"/>
  <c r="AB587" i="1"/>
  <c r="AC587" i="1" s="1"/>
  <c r="AB595" i="1"/>
  <c r="AC595" i="1" s="1"/>
  <c r="AB603" i="1"/>
  <c r="AC603" i="1" s="1"/>
  <c r="AB611" i="1"/>
  <c r="AC611" i="1" s="1"/>
  <c r="AB619" i="1"/>
  <c r="AC619" i="1" s="1"/>
  <c r="AB627" i="1"/>
  <c r="AC627" i="1" s="1"/>
  <c r="AB635" i="1"/>
  <c r="AC635" i="1" s="1"/>
  <c r="AB643" i="1"/>
  <c r="AC643" i="1" s="1"/>
  <c r="AB651" i="1"/>
  <c r="AC651" i="1" s="1"/>
  <c r="AB659" i="1"/>
  <c r="AC659" i="1" s="1"/>
  <c r="AB20" i="1"/>
  <c r="AC20" i="1" s="1"/>
  <c r="AB28" i="1"/>
  <c r="AC28" i="1" s="1"/>
  <c r="AB36" i="1"/>
  <c r="AC36" i="1" s="1"/>
  <c r="AB44" i="1"/>
  <c r="AC44" i="1" s="1"/>
  <c r="AB52" i="1"/>
  <c r="AC52" i="1" s="1"/>
  <c r="AB60" i="1"/>
  <c r="AC60" i="1" s="1"/>
  <c r="AB68" i="1"/>
  <c r="AC68" i="1" s="1"/>
  <c r="AB76" i="1"/>
  <c r="AC76" i="1" s="1"/>
  <c r="AB84" i="1"/>
  <c r="AC84" i="1" s="1"/>
  <c r="AB92" i="1"/>
  <c r="AC92" i="1" s="1"/>
  <c r="AB100" i="1"/>
  <c r="AC100" i="1" s="1"/>
  <c r="AB108" i="1"/>
  <c r="AC108" i="1" s="1"/>
  <c r="AB116" i="1"/>
  <c r="AC116" i="1" s="1"/>
  <c r="AB124" i="1"/>
  <c r="AC124" i="1" s="1"/>
  <c r="AB132" i="1"/>
  <c r="AC132" i="1" s="1"/>
  <c r="AB140" i="1"/>
  <c r="AC140" i="1" s="1"/>
  <c r="AB148" i="1"/>
  <c r="AC148" i="1" s="1"/>
  <c r="AB156" i="1"/>
  <c r="AC156" i="1" s="1"/>
  <c r="AB164" i="1"/>
  <c r="AC164" i="1" s="1"/>
  <c r="AB172" i="1"/>
  <c r="AC172" i="1" s="1"/>
  <c r="AB180" i="1"/>
  <c r="AC180" i="1" s="1"/>
  <c r="AB188" i="1"/>
  <c r="AC188" i="1" s="1"/>
  <c r="AB196" i="1"/>
  <c r="AC196" i="1" s="1"/>
  <c r="AB204" i="1"/>
  <c r="AC204" i="1" s="1"/>
  <c r="AB212" i="1"/>
  <c r="AC212" i="1" s="1"/>
  <c r="AB220" i="1"/>
  <c r="AC220" i="1" s="1"/>
  <c r="AB228" i="1"/>
  <c r="AC228" i="1" s="1"/>
  <c r="AB236" i="1"/>
  <c r="AC236" i="1" s="1"/>
  <c r="AB244" i="1"/>
  <c r="AC244" i="1" s="1"/>
  <c r="AB252" i="1"/>
  <c r="AC252" i="1" s="1"/>
  <c r="AB260" i="1"/>
  <c r="AC260" i="1" s="1"/>
  <c r="AB268" i="1"/>
  <c r="AC268" i="1" s="1"/>
  <c r="AB276" i="1"/>
  <c r="AC276" i="1" s="1"/>
  <c r="AB284" i="1"/>
  <c r="AC284" i="1" s="1"/>
  <c r="AB292" i="1"/>
  <c r="AC292" i="1" s="1"/>
  <c r="AB300" i="1"/>
  <c r="AC300" i="1" s="1"/>
  <c r="AB308" i="1"/>
  <c r="AC308" i="1" s="1"/>
  <c r="AB316" i="1"/>
  <c r="AC316" i="1" s="1"/>
  <c r="AB324" i="1"/>
  <c r="AC324" i="1" s="1"/>
  <c r="AB332" i="1"/>
  <c r="AC332" i="1" s="1"/>
  <c r="AB340" i="1"/>
  <c r="AC340" i="1" s="1"/>
  <c r="AB348" i="1"/>
  <c r="AC348" i="1" s="1"/>
  <c r="AB356" i="1"/>
  <c r="AC356" i="1" s="1"/>
  <c r="AB364" i="1"/>
  <c r="AB372" i="1"/>
  <c r="AC372" i="1" s="1"/>
  <c r="AB380" i="1"/>
  <c r="AC380" i="1" s="1"/>
  <c r="AB388" i="1"/>
  <c r="AC388" i="1" s="1"/>
  <c r="AB396" i="1"/>
  <c r="AC396" i="1" s="1"/>
  <c r="AB404" i="1"/>
  <c r="AC404" i="1" s="1"/>
  <c r="AB412" i="1"/>
  <c r="AC412" i="1" s="1"/>
  <c r="AB420" i="1"/>
  <c r="AC420" i="1" s="1"/>
  <c r="AB428" i="1"/>
  <c r="AC428" i="1" s="1"/>
  <c r="AB436" i="1"/>
  <c r="AC436" i="1" s="1"/>
  <c r="AB444" i="1"/>
  <c r="AC444" i="1" s="1"/>
  <c r="AB452" i="1"/>
  <c r="AC452" i="1" s="1"/>
  <c r="AB460" i="1"/>
  <c r="AC460" i="1" s="1"/>
  <c r="AB468" i="1"/>
  <c r="AC468" i="1" s="1"/>
  <c r="AB476" i="1"/>
  <c r="AC476" i="1" s="1"/>
  <c r="AB484" i="1"/>
  <c r="AC484" i="1" s="1"/>
  <c r="AB492" i="1"/>
  <c r="AC492" i="1" s="1"/>
  <c r="AB500" i="1"/>
  <c r="AC500" i="1" s="1"/>
  <c r="AB508" i="1"/>
  <c r="AC508" i="1" s="1"/>
  <c r="AB516" i="1"/>
  <c r="AC516" i="1" s="1"/>
  <c r="AB524" i="1"/>
  <c r="AC524" i="1" s="1"/>
  <c r="AB532" i="1"/>
  <c r="AC532" i="1" s="1"/>
  <c r="AB540" i="1"/>
  <c r="AC540" i="1" s="1"/>
  <c r="AB548" i="1"/>
  <c r="AC548" i="1" s="1"/>
  <c r="AB556" i="1"/>
  <c r="AC556" i="1" s="1"/>
  <c r="AB564" i="1"/>
  <c r="AC564" i="1" s="1"/>
  <c r="AB572" i="1"/>
  <c r="AC572" i="1" s="1"/>
  <c r="AB580" i="1"/>
  <c r="AC580" i="1" s="1"/>
  <c r="AB588" i="1"/>
  <c r="AC588" i="1" s="1"/>
  <c r="AB596" i="1"/>
  <c r="AC596" i="1" s="1"/>
  <c r="AB604" i="1"/>
  <c r="AC604" i="1" s="1"/>
  <c r="AB612" i="1"/>
  <c r="AC612" i="1" s="1"/>
  <c r="AB620" i="1"/>
  <c r="AC620" i="1" s="1"/>
  <c r="AB628" i="1"/>
  <c r="AC628" i="1" s="1"/>
  <c r="AB636" i="1"/>
  <c r="AC636" i="1" s="1"/>
  <c r="AB644" i="1"/>
  <c r="AC644" i="1" s="1"/>
  <c r="AB652" i="1"/>
  <c r="AC652" i="1" s="1"/>
  <c r="AB660" i="1"/>
  <c r="AC660" i="1" s="1"/>
  <c r="AB21" i="1"/>
  <c r="AC21" i="1" s="1"/>
  <c r="AB37" i="1"/>
  <c r="AC37" i="1" s="1"/>
  <c r="AB45" i="1"/>
  <c r="AC45" i="1" s="1"/>
  <c r="AB53" i="1"/>
  <c r="AC53" i="1" s="1"/>
  <c r="AB22" i="1"/>
  <c r="AC22" i="1" s="1"/>
  <c r="AB30" i="1"/>
  <c r="AC30" i="1" s="1"/>
  <c r="AB38" i="1"/>
  <c r="AC38" i="1" s="1"/>
  <c r="AB46" i="1"/>
  <c r="AC46" i="1" s="1"/>
  <c r="AB54" i="1"/>
  <c r="AC54" i="1" s="1"/>
  <c r="AB62" i="1"/>
  <c r="AC62" i="1" s="1"/>
  <c r="AB70" i="1"/>
  <c r="AC70" i="1" s="1"/>
  <c r="AB78" i="1"/>
  <c r="AC78" i="1" s="1"/>
  <c r="AB86" i="1"/>
  <c r="AC86" i="1" s="1"/>
  <c r="AB94" i="1"/>
  <c r="AC94" i="1" s="1"/>
  <c r="AB102" i="1"/>
  <c r="AC102" i="1" s="1"/>
  <c r="AB110" i="1"/>
  <c r="AC110" i="1" s="1"/>
  <c r="AB118" i="1"/>
  <c r="AC118" i="1" s="1"/>
  <c r="AB126" i="1"/>
  <c r="AC126" i="1" s="1"/>
  <c r="AB134" i="1"/>
  <c r="AC134" i="1" s="1"/>
  <c r="AB142" i="1"/>
  <c r="AC142" i="1" s="1"/>
  <c r="AB150" i="1"/>
  <c r="AC150" i="1" s="1"/>
  <c r="AB158" i="1"/>
  <c r="AC158" i="1" s="1"/>
  <c r="AB166" i="1"/>
  <c r="AC166" i="1" s="1"/>
  <c r="AB174" i="1"/>
  <c r="AC174" i="1" s="1"/>
  <c r="AB182" i="1"/>
  <c r="AC182" i="1" s="1"/>
  <c r="AB190" i="1"/>
  <c r="AC190" i="1" s="1"/>
  <c r="AB198" i="1"/>
  <c r="AC198" i="1" s="1"/>
  <c r="AB206" i="1"/>
  <c r="AC206" i="1" s="1"/>
  <c r="AB214" i="1"/>
  <c r="AC214" i="1" s="1"/>
  <c r="AB222" i="1"/>
  <c r="AC222" i="1" s="1"/>
  <c r="AB230" i="1"/>
  <c r="AC230" i="1" s="1"/>
  <c r="AB238" i="1"/>
  <c r="AC238" i="1" s="1"/>
  <c r="AB246" i="1"/>
  <c r="AC246" i="1" s="1"/>
  <c r="AB254" i="1"/>
  <c r="AC254" i="1" s="1"/>
  <c r="AB262" i="1"/>
  <c r="AC262" i="1" s="1"/>
  <c r="AB270" i="1"/>
  <c r="AC270" i="1" s="1"/>
  <c r="AB278" i="1"/>
  <c r="AC278" i="1" s="1"/>
  <c r="AB286" i="1"/>
  <c r="AC286" i="1" s="1"/>
  <c r="AB294" i="1"/>
  <c r="AC294" i="1" s="1"/>
  <c r="AB302" i="1"/>
  <c r="AC302" i="1" s="1"/>
  <c r="AB310" i="1"/>
  <c r="AC310" i="1" s="1"/>
  <c r="AB318" i="1"/>
  <c r="AC318" i="1" s="1"/>
  <c r="AB326" i="1"/>
  <c r="AC326" i="1" s="1"/>
  <c r="AB334" i="1"/>
  <c r="AC334" i="1" s="1"/>
  <c r="AB342" i="1"/>
  <c r="AC342" i="1" s="1"/>
  <c r="AB350" i="1"/>
  <c r="AC350" i="1" s="1"/>
  <c r="AB358" i="1"/>
  <c r="AC358" i="1" s="1"/>
  <c r="AB366" i="1"/>
  <c r="AC366" i="1" s="1"/>
  <c r="AB374" i="1"/>
  <c r="AC374" i="1" s="1"/>
  <c r="AB382" i="1"/>
  <c r="AC382" i="1" s="1"/>
  <c r="AB390" i="1"/>
  <c r="AC390" i="1" s="1"/>
  <c r="AB398" i="1"/>
  <c r="AC398" i="1" s="1"/>
  <c r="AB406" i="1"/>
  <c r="AC406" i="1" s="1"/>
  <c r="AB414" i="1"/>
  <c r="AC414" i="1" s="1"/>
  <c r="AB422" i="1"/>
  <c r="AC422" i="1" s="1"/>
  <c r="AB430" i="1"/>
  <c r="AC430" i="1" s="1"/>
  <c r="AB438" i="1"/>
  <c r="AC438" i="1" s="1"/>
  <c r="AB446" i="1"/>
  <c r="AC446" i="1" s="1"/>
  <c r="AB454" i="1"/>
  <c r="AC454" i="1" s="1"/>
  <c r="AB462" i="1"/>
  <c r="AC462" i="1" s="1"/>
  <c r="AB470" i="1"/>
  <c r="AC470" i="1" s="1"/>
  <c r="AB478" i="1"/>
  <c r="AC478" i="1" s="1"/>
  <c r="AB486" i="1"/>
  <c r="AC486" i="1" s="1"/>
  <c r="AB494" i="1"/>
  <c r="AC494" i="1" s="1"/>
  <c r="AB502" i="1"/>
  <c r="AC502" i="1" s="1"/>
  <c r="AB510" i="1"/>
  <c r="AC510" i="1" s="1"/>
  <c r="AB518" i="1"/>
  <c r="AC518" i="1" s="1"/>
  <c r="AB526" i="1"/>
  <c r="AC526" i="1" s="1"/>
  <c r="AB534" i="1"/>
  <c r="AC534" i="1" s="1"/>
  <c r="AB542" i="1"/>
  <c r="AC542" i="1" s="1"/>
  <c r="AB550" i="1"/>
  <c r="AC550" i="1" s="1"/>
  <c r="AB558" i="1"/>
  <c r="AC558" i="1" s="1"/>
  <c r="AB566" i="1"/>
  <c r="AC566" i="1" s="1"/>
  <c r="AB574" i="1"/>
  <c r="AC574" i="1" s="1"/>
  <c r="AB582" i="1"/>
  <c r="AC582" i="1" s="1"/>
  <c r="AB590" i="1"/>
  <c r="AC590" i="1" s="1"/>
  <c r="AB598" i="1"/>
  <c r="AC598" i="1" s="1"/>
  <c r="AB606" i="1"/>
  <c r="AC606" i="1" s="1"/>
  <c r="AB614" i="1"/>
  <c r="AC614" i="1" s="1"/>
  <c r="AB622" i="1"/>
  <c r="AC622" i="1" s="1"/>
  <c r="AB630" i="1"/>
  <c r="AC630" i="1" s="1"/>
  <c r="AB638" i="1"/>
  <c r="AC638" i="1" s="1"/>
  <c r="AB646" i="1"/>
  <c r="AC646" i="1" s="1"/>
  <c r="AB654" i="1"/>
  <c r="AC654" i="1" s="1"/>
  <c r="AB662" i="1"/>
  <c r="AC662" i="1" s="1"/>
  <c r="AB33" i="1"/>
  <c r="AC33" i="1" s="1"/>
  <c r="AB23" i="1"/>
  <c r="AC23" i="1" s="1"/>
  <c r="AB31" i="1"/>
  <c r="AC31" i="1" s="1"/>
  <c r="AB39" i="1"/>
  <c r="AC39" i="1" s="1"/>
  <c r="AB47" i="1"/>
  <c r="AC47" i="1" s="1"/>
  <c r="AB55" i="1"/>
  <c r="AC55" i="1" s="1"/>
  <c r="AB63" i="1"/>
  <c r="AC63" i="1" s="1"/>
  <c r="AB71" i="1"/>
  <c r="AC71" i="1" s="1"/>
  <c r="AB79" i="1"/>
  <c r="AC79" i="1" s="1"/>
  <c r="AB87" i="1"/>
  <c r="AC87" i="1" s="1"/>
  <c r="AB95" i="1"/>
  <c r="AC95" i="1" s="1"/>
  <c r="AB103" i="1"/>
  <c r="AC103" i="1" s="1"/>
  <c r="AB111" i="1"/>
  <c r="AC111" i="1" s="1"/>
  <c r="AB119" i="1"/>
  <c r="AC119" i="1" s="1"/>
  <c r="AB127" i="1"/>
  <c r="AC127" i="1" s="1"/>
  <c r="AB135" i="1"/>
  <c r="AC135" i="1" s="1"/>
  <c r="AB143" i="1"/>
  <c r="AC143" i="1" s="1"/>
  <c r="AB151" i="1"/>
  <c r="AC151" i="1" s="1"/>
  <c r="AB159" i="1"/>
  <c r="AC159" i="1" s="1"/>
  <c r="AB167" i="1"/>
  <c r="AC167" i="1" s="1"/>
  <c r="AB175" i="1"/>
  <c r="AB183" i="1"/>
  <c r="AC183" i="1" s="1"/>
  <c r="AB191" i="1"/>
  <c r="AC191" i="1" s="1"/>
  <c r="AB199" i="1"/>
  <c r="AC199" i="1" s="1"/>
  <c r="AB207" i="1"/>
  <c r="AC207" i="1" s="1"/>
  <c r="AB215" i="1"/>
  <c r="AC215" i="1" s="1"/>
  <c r="AB223" i="1"/>
  <c r="AC223" i="1" s="1"/>
  <c r="AB231" i="1"/>
  <c r="AC231" i="1" s="1"/>
  <c r="AB239" i="1"/>
  <c r="AC239" i="1" s="1"/>
  <c r="AB247" i="1"/>
  <c r="AC247" i="1" s="1"/>
  <c r="AB255" i="1"/>
  <c r="AC255" i="1" s="1"/>
  <c r="AB263" i="1"/>
  <c r="AC263" i="1" s="1"/>
  <c r="AB271" i="1"/>
  <c r="AC271" i="1" s="1"/>
  <c r="AB279" i="1"/>
  <c r="AC279" i="1" s="1"/>
  <c r="AB287" i="1"/>
  <c r="AC287" i="1" s="1"/>
  <c r="AB295" i="1"/>
  <c r="AC295" i="1" s="1"/>
  <c r="AB303" i="1"/>
  <c r="AC303" i="1" s="1"/>
  <c r="AB311" i="1"/>
  <c r="AC311" i="1" s="1"/>
  <c r="AB319" i="1"/>
  <c r="AC319" i="1" s="1"/>
  <c r="AB327" i="1"/>
  <c r="AC327" i="1" s="1"/>
  <c r="AB335" i="1"/>
  <c r="AC335" i="1" s="1"/>
  <c r="AB343" i="1"/>
  <c r="AC343" i="1" s="1"/>
  <c r="AB351" i="1"/>
  <c r="AC351" i="1" s="1"/>
  <c r="AB359" i="1"/>
  <c r="AC359" i="1" s="1"/>
  <c r="AB367" i="1"/>
  <c r="AC367" i="1" s="1"/>
  <c r="AB375" i="1"/>
  <c r="AC375" i="1" s="1"/>
  <c r="AB383" i="1"/>
  <c r="AC383" i="1" s="1"/>
  <c r="AB391" i="1"/>
  <c r="AC391" i="1" s="1"/>
  <c r="AB399" i="1"/>
  <c r="AC399" i="1" s="1"/>
  <c r="AB407" i="1"/>
  <c r="AC407" i="1" s="1"/>
  <c r="AB415" i="1"/>
  <c r="AC415" i="1" s="1"/>
  <c r="AB423" i="1"/>
  <c r="AC423" i="1" s="1"/>
  <c r="AB431" i="1"/>
  <c r="AC431" i="1" s="1"/>
  <c r="AB439" i="1"/>
  <c r="AC439" i="1" s="1"/>
  <c r="AB447" i="1"/>
  <c r="AC447" i="1" s="1"/>
  <c r="AB455" i="1"/>
  <c r="AC455" i="1" s="1"/>
  <c r="AB463" i="1"/>
  <c r="AC463" i="1" s="1"/>
  <c r="AB471" i="1"/>
  <c r="AC471" i="1" s="1"/>
  <c r="AB479" i="1"/>
  <c r="AC479" i="1" s="1"/>
  <c r="AB487" i="1"/>
  <c r="AC487" i="1" s="1"/>
  <c r="AB495" i="1"/>
  <c r="AC495" i="1" s="1"/>
  <c r="AB503" i="1"/>
  <c r="AC503" i="1" s="1"/>
  <c r="AB511" i="1"/>
  <c r="AC511" i="1" s="1"/>
  <c r="AB519" i="1"/>
  <c r="AC519" i="1" s="1"/>
  <c r="AB527" i="1"/>
  <c r="AC527" i="1" s="1"/>
  <c r="AB535" i="1"/>
  <c r="AC535" i="1" s="1"/>
  <c r="AB543" i="1"/>
  <c r="AC543" i="1" s="1"/>
  <c r="AB551" i="1"/>
  <c r="AC551" i="1" s="1"/>
  <c r="AB559" i="1"/>
  <c r="AC559" i="1" s="1"/>
  <c r="AB567" i="1"/>
  <c r="AC567" i="1" s="1"/>
  <c r="AB575" i="1"/>
  <c r="AC575" i="1" s="1"/>
  <c r="AB583" i="1"/>
  <c r="AC583" i="1" s="1"/>
  <c r="AB591" i="1"/>
  <c r="AC591" i="1" s="1"/>
  <c r="AB599" i="1"/>
  <c r="AC599" i="1" s="1"/>
  <c r="AB607" i="1"/>
  <c r="AC607" i="1" s="1"/>
  <c r="AB615" i="1"/>
  <c r="AC615" i="1" s="1"/>
  <c r="AB623" i="1"/>
  <c r="AC623" i="1" s="1"/>
  <c r="AB631" i="1"/>
  <c r="AC631" i="1" s="1"/>
  <c r="AB639" i="1"/>
  <c r="AC639" i="1" s="1"/>
  <c r="AB647" i="1"/>
  <c r="AC647" i="1" s="1"/>
  <c r="AB655" i="1"/>
  <c r="AC655" i="1" s="1"/>
  <c r="AB25" i="1"/>
  <c r="AC25" i="1" s="1"/>
  <c r="AB24" i="1"/>
  <c r="AC24" i="1" s="1"/>
  <c r="AB32" i="1"/>
  <c r="AC32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88" i="1"/>
  <c r="AC88" i="1" s="1"/>
  <c r="AB96" i="1"/>
  <c r="AC96" i="1" s="1"/>
  <c r="AB104" i="1"/>
  <c r="AC104" i="1" s="1"/>
  <c r="AB112" i="1"/>
  <c r="AC112" i="1" s="1"/>
  <c r="AB120" i="1"/>
  <c r="AC120" i="1" s="1"/>
  <c r="AB128" i="1"/>
  <c r="AC128" i="1" s="1"/>
  <c r="AB136" i="1"/>
  <c r="AC136" i="1" s="1"/>
  <c r="AB144" i="1"/>
  <c r="AC144" i="1" s="1"/>
  <c r="AB152" i="1"/>
  <c r="AC152" i="1" s="1"/>
  <c r="AB160" i="1"/>
  <c r="AC160" i="1" s="1"/>
  <c r="AB168" i="1"/>
  <c r="AC168" i="1" s="1"/>
  <c r="AB176" i="1"/>
  <c r="AC176" i="1" s="1"/>
  <c r="AB184" i="1"/>
  <c r="AC184" i="1" s="1"/>
  <c r="AB192" i="1"/>
  <c r="AC192" i="1" s="1"/>
  <c r="AB200" i="1"/>
  <c r="AC200" i="1" s="1"/>
  <c r="AB208" i="1"/>
  <c r="AC208" i="1" s="1"/>
  <c r="AB216" i="1"/>
  <c r="AC216" i="1" s="1"/>
  <c r="AB224" i="1"/>
  <c r="AC224" i="1" s="1"/>
  <c r="AB232" i="1"/>
  <c r="AC232" i="1" s="1"/>
  <c r="AB240" i="1"/>
  <c r="AC240" i="1" s="1"/>
  <c r="AB248" i="1"/>
  <c r="AC248" i="1" s="1"/>
  <c r="AB256" i="1"/>
  <c r="AC256" i="1" s="1"/>
  <c r="AB264" i="1"/>
  <c r="AC264" i="1" s="1"/>
  <c r="AB272" i="1"/>
  <c r="AC272" i="1" s="1"/>
  <c r="AB280" i="1"/>
  <c r="AC280" i="1" s="1"/>
  <c r="AB288" i="1"/>
  <c r="AC288" i="1" s="1"/>
  <c r="AB296" i="1"/>
  <c r="AB304" i="1"/>
  <c r="AC304" i="1" s="1"/>
  <c r="AB312" i="1"/>
  <c r="AC312" i="1" s="1"/>
  <c r="AB320" i="1"/>
  <c r="AC320" i="1" s="1"/>
  <c r="AB328" i="1"/>
  <c r="AC328" i="1" s="1"/>
  <c r="AB336" i="1"/>
  <c r="AC336" i="1" s="1"/>
  <c r="AB344" i="1"/>
  <c r="AC344" i="1" s="1"/>
  <c r="AB352" i="1"/>
  <c r="AC352" i="1" s="1"/>
  <c r="AB360" i="1"/>
  <c r="AC360" i="1" s="1"/>
  <c r="AB368" i="1"/>
  <c r="AC368" i="1" s="1"/>
  <c r="AB376" i="1"/>
  <c r="AC376" i="1" s="1"/>
  <c r="AB384" i="1"/>
  <c r="AC384" i="1" s="1"/>
  <c r="AB392" i="1"/>
  <c r="AC392" i="1" s="1"/>
  <c r="AB400" i="1"/>
  <c r="AC400" i="1" s="1"/>
  <c r="AB408" i="1"/>
  <c r="AC408" i="1" s="1"/>
  <c r="AB416" i="1"/>
  <c r="AC416" i="1" s="1"/>
  <c r="AB424" i="1"/>
  <c r="AC424" i="1" s="1"/>
  <c r="AB432" i="1"/>
  <c r="AC432" i="1" s="1"/>
  <c r="AB440" i="1"/>
  <c r="AC440" i="1" s="1"/>
  <c r="AB448" i="1"/>
  <c r="AC448" i="1" s="1"/>
  <c r="AB456" i="1"/>
  <c r="AC456" i="1" s="1"/>
  <c r="AB464" i="1"/>
  <c r="AC464" i="1" s="1"/>
  <c r="AB472" i="1"/>
  <c r="AC472" i="1" s="1"/>
  <c r="AB480" i="1"/>
  <c r="AC480" i="1" s="1"/>
  <c r="AB488" i="1"/>
  <c r="AC488" i="1" s="1"/>
  <c r="AB496" i="1"/>
  <c r="AC496" i="1" s="1"/>
  <c r="AB504" i="1"/>
  <c r="AC504" i="1" s="1"/>
  <c r="AB512" i="1"/>
  <c r="AC512" i="1" s="1"/>
  <c r="AB520" i="1"/>
  <c r="AC520" i="1" s="1"/>
  <c r="AB528" i="1"/>
  <c r="AC528" i="1" s="1"/>
  <c r="AB536" i="1"/>
  <c r="AC536" i="1" s="1"/>
  <c r="AB544" i="1"/>
  <c r="AC544" i="1" s="1"/>
  <c r="AB552" i="1"/>
  <c r="AC552" i="1" s="1"/>
  <c r="AB560" i="1"/>
  <c r="AC560" i="1" s="1"/>
  <c r="AB568" i="1"/>
  <c r="AC568" i="1" s="1"/>
  <c r="AB576" i="1"/>
  <c r="AC576" i="1" s="1"/>
  <c r="AB584" i="1"/>
  <c r="AC584" i="1" s="1"/>
  <c r="AB592" i="1"/>
  <c r="AC592" i="1" s="1"/>
  <c r="AB600" i="1"/>
  <c r="AC600" i="1" s="1"/>
  <c r="AB608" i="1"/>
  <c r="AC608" i="1" s="1"/>
  <c r="AB616" i="1"/>
  <c r="AC616" i="1" s="1"/>
  <c r="AB624" i="1"/>
  <c r="AC624" i="1" s="1"/>
  <c r="AB632" i="1"/>
  <c r="AC632" i="1" s="1"/>
  <c r="AB640" i="1"/>
  <c r="AC640" i="1" s="1"/>
  <c r="AB648" i="1"/>
  <c r="AC648" i="1" s="1"/>
  <c r="AB656" i="1"/>
  <c r="AC656" i="1" s="1"/>
  <c r="AB57" i="1"/>
  <c r="AC57" i="1" s="1"/>
  <c r="AB89" i="1"/>
  <c r="AC89" i="1" s="1"/>
  <c r="AB121" i="1"/>
  <c r="AC121" i="1" s="1"/>
  <c r="AB153" i="1"/>
  <c r="AC153" i="1" s="1"/>
  <c r="AB185" i="1"/>
  <c r="AC185" i="1" s="1"/>
  <c r="AB217" i="1"/>
  <c r="AC217" i="1" s="1"/>
  <c r="AB249" i="1"/>
  <c r="AC249" i="1" s="1"/>
  <c r="AB281" i="1"/>
  <c r="AC281" i="1" s="1"/>
  <c r="AB313" i="1"/>
  <c r="AC313" i="1" s="1"/>
  <c r="AB345" i="1"/>
  <c r="AC345" i="1" s="1"/>
  <c r="AB377" i="1"/>
  <c r="AC377" i="1" s="1"/>
  <c r="AB409" i="1"/>
  <c r="AC409" i="1" s="1"/>
  <c r="AB441" i="1"/>
  <c r="AC441" i="1" s="1"/>
  <c r="AB473" i="1"/>
  <c r="AC473" i="1" s="1"/>
  <c r="AB505" i="1"/>
  <c r="AC505" i="1" s="1"/>
  <c r="AB537" i="1"/>
  <c r="AC537" i="1" s="1"/>
  <c r="AB569" i="1"/>
  <c r="AC569" i="1" s="1"/>
  <c r="AB601" i="1"/>
  <c r="AC601" i="1" s="1"/>
  <c r="AB633" i="1"/>
  <c r="AC633" i="1" s="1"/>
  <c r="AB161" i="1"/>
  <c r="AC161" i="1" s="1"/>
  <c r="AB417" i="1"/>
  <c r="AC417" i="1" s="1"/>
  <c r="AB513" i="1"/>
  <c r="AC513" i="1" s="1"/>
  <c r="AB609" i="1"/>
  <c r="AC609" i="1" s="1"/>
  <c r="AB101" i="1"/>
  <c r="AC101" i="1" s="1"/>
  <c r="AB133" i="1"/>
  <c r="AC133" i="1" s="1"/>
  <c r="AB229" i="1"/>
  <c r="AC229" i="1" s="1"/>
  <c r="AB293" i="1"/>
  <c r="AC293" i="1" s="1"/>
  <c r="AB389" i="1"/>
  <c r="AC389" i="1" s="1"/>
  <c r="AB453" i="1"/>
  <c r="AC453" i="1" s="1"/>
  <c r="AB549" i="1"/>
  <c r="AC549" i="1" s="1"/>
  <c r="AB309" i="1"/>
  <c r="AC309" i="1" s="1"/>
  <c r="AB565" i="1"/>
  <c r="AC565" i="1" s="1"/>
  <c r="AB61" i="1"/>
  <c r="AC61" i="1" s="1"/>
  <c r="AB93" i="1"/>
  <c r="AC93" i="1" s="1"/>
  <c r="AB125" i="1"/>
  <c r="AC125" i="1" s="1"/>
  <c r="AB157" i="1"/>
  <c r="AC157" i="1" s="1"/>
  <c r="AB189" i="1"/>
  <c r="AC189" i="1" s="1"/>
  <c r="AB221" i="1"/>
  <c r="AC221" i="1" s="1"/>
  <c r="AB253" i="1"/>
  <c r="AC253" i="1" s="1"/>
  <c r="AB285" i="1"/>
  <c r="AC285" i="1" s="1"/>
  <c r="AB317" i="1"/>
  <c r="AC317" i="1" s="1"/>
  <c r="AB349" i="1"/>
  <c r="AC349" i="1" s="1"/>
  <c r="AB381" i="1"/>
  <c r="AC381" i="1" s="1"/>
  <c r="AB413" i="1"/>
  <c r="AC413" i="1" s="1"/>
  <c r="AB445" i="1"/>
  <c r="AC445" i="1" s="1"/>
  <c r="AB477" i="1"/>
  <c r="AC477" i="1" s="1"/>
  <c r="AB509" i="1"/>
  <c r="AC509" i="1" s="1"/>
  <c r="AB541" i="1"/>
  <c r="AC541" i="1" s="1"/>
  <c r="AB573" i="1"/>
  <c r="AC573" i="1" s="1"/>
  <c r="AB605" i="1"/>
  <c r="AC605" i="1" s="1"/>
  <c r="AB637" i="1"/>
  <c r="AC637" i="1" s="1"/>
  <c r="AB193" i="1"/>
  <c r="AC193" i="1" s="1"/>
  <c r="AB385" i="1"/>
  <c r="AC385" i="1" s="1"/>
  <c r="AB481" i="1"/>
  <c r="AC481" i="1" s="1"/>
  <c r="AB545" i="1"/>
  <c r="AC545" i="1" s="1"/>
  <c r="AB641" i="1"/>
  <c r="AC641" i="1" s="1"/>
  <c r="AB69" i="1"/>
  <c r="AC69" i="1" s="1"/>
  <c r="AB165" i="1"/>
  <c r="AC165" i="1" s="1"/>
  <c r="AB197" i="1"/>
  <c r="AC197" i="1" s="1"/>
  <c r="AB261" i="1"/>
  <c r="AC261" i="1" s="1"/>
  <c r="AB325" i="1"/>
  <c r="AC325" i="1" s="1"/>
  <c r="AB357" i="1"/>
  <c r="AC357" i="1" s="1"/>
  <c r="AB421" i="1"/>
  <c r="AC421" i="1" s="1"/>
  <c r="AB485" i="1"/>
  <c r="AC485" i="1" s="1"/>
  <c r="AB517" i="1"/>
  <c r="AC517" i="1" s="1"/>
  <c r="AB581" i="1"/>
  <c r="AC581" i="1" s="1"/>
  <c r="AB645" i="1"/>
  <c r="AC645" i="1" s="1"/>
  <c r="AB277" i="1"/>
  <c r="AC277" i="1" s="1"/>
  <c r="AB597" i="1"/>
  <c r="AC597" i="1" s="1"/>
  <c r="AB65" i="1"/>
  <c r="AC65" i="1" s="1"/>
  <c r="AB97" i="1"/>
  <c r="AC97" i="1" s="1"/>
  <c r="AB129" i="1"/>
  <c r="AC129" i="1" s="1"/>
  <c r="AB225" i="1"/>
  <c r="AC225" i="1" s="1"/>
  <c r="AB257" i="1"/>
  <c r="AC257" i="1" s="1"/>
  <c r="AB289" i="1"/>
  <c r="AC289" i="1" s="1"/>
  <c r="AB321" i="1"/>
  <c r="AC321" i="1" s="1"/>
  <c r="AB353" i="1"/>
  <c r="AC353" i="1" s="1"/>
  <c r="AB449" i="1"/>
  <c r="AC449" i="1" s="1"/>
  <c r="AB577" i="1"/>
  <c r="AC577" i="1" s="1"/>
  <c r="AB613" i="1"/>
  <c r="AC613" i="1" s="1"/>
  <c r="AB437" i="1"/>
  <c r="AC437" i="1" s="1"/>
  <c r="AB73" i="1"/>
  <c r="AC73" i="1" s="1"/>
  <c r="AB105" i="1"/>
  <c r="AC105" i="1" s="1"/>
  <c r="AB137" i="1"/>
  <c r="AC137" i="1" s="1"/>
  <c r="AB169" i="1"/>
  <c r="AC169" i="1" s="1"/>
  <c r="AB201" i="1"/>
  <c r="AC201" i="1" s="1"/>
  <c r="AB233" i="1"/>
  <c r="AC233" i="1" s="1"/>
  <c r="AB265" i="1"/>
  <c r="AC265" i="1" s="1"/>
  <c r="AB297" i="1"/>
  <c r="AC297" i="1" s="1"/>
  <c r="AB329" i="1"/>
  <c r="AC329" i="1" s="1"/>
  <c r="AB361" i="1"/>
  <c r="AC361" i="1" s="1"/>
  <c r="AB393" i="1"/>
  <c r="AC393" i="1" s="1"/>
  <c r="AB425" i="1"/>
  <c r="AC425" i="1" s="1"/>
  <c r="AB457" i="1"/>
  <c r="AC457" i="1" s="1"/>
  <c r="AB489" i="1"/>
  <c r="AC489" i="1" s="1"/>
  <c r="AB521" i="1"/>
  <c r="AC521" i="1" s="1"/>
  <c r="AB553" i="1"/>
  <c r="AC553" i="1" s="1"/>
  <c r="AB585" i="1"/>
  <c r="AC585" i="1" s="1"/>
  <c r="AB617" i="1"/>
  <c r="AC617" i="1" s="1"/>
  <c r="AB649" i="1"/>
  <c r="AC649" i="1" s="1"/>
  <c r="AB81" i="1"/>
  <c r="AC81" i="1" s="1"/>
  <c r="AB145" i="1"/>
  <c r="AC145" i="1" s="1"/>
  <c r="AB209" i="1"/>
  <c r="AC209" i="1" s="1"/>
  <c r="AB273" i="1"/>
  <c r="AC273" i="1" s="1"/>
  <c r="AB337" i="1"/>
  <c r="AC337" i="1" s="1"/>
  <c r="AB433" i="1"/>
  <c r="AC433" i="1" s="1"/>
  <c r="AB529" i="1"/>
  <c r="AC529" i="1" s="1"/>
  <c r="AB593" i="1"/>
  <c r="AC593" i="1" s="1"/>
  <c r="AB625" i="1"/>
  <c r="AC625" i="1" s="1"/>
  <c r="AB85" i="1"/>
  <c r="AC85" i="1" s="1"/>
  <c r="AB117" i="1"/>
  <c r="AC117" i="1" s="1"/>
  <c r="AB181" i="1"/>
  <c r="AC181" i="1" s="1"/>
  <c r="AB341" i="1"/>
  <c r="AC341" i="1" s="1"/>
  <c r="AB405" i="1"/>
  <c r="AC405" i="1" s="1"/>
  <c r="AB501" i="1"/>
  <c r="AC501" i="1" s="1"/>
  <c r="AB629" i="1"/>
  <c r="AC629" i="1" s="1"/>
  <c r="AB77" i="1"/>
  <c r="AC77" i="1" s="1"/>
  <c r="AB109" i="1"/>
  <c r="AC109" i="1" s="1"/>
  <c r="AB141" i="1"/>
  <c r="AC141" i="1" s="1"/>
  <c r="AB173" i="1"/>
  <c r="AC173" i="1" s="1"/>
  <c r="AB205" i="1"/>
  <c r="AC205" i="1" s="1"/>
  <c r="AB237" i="1"/>
  <c r="AC237" i="1" s="1"/>
  <c r="AB269" i="1"/>
  <c r="AC269" i="1" s="1"/>
  <c r="AB301" i="1"/>
  <c r="AC301" i="1" s="1"/>
  <c r="AB333" i="1"/>
  <c r="AC333" i="1" s="1"/>
  <c r="AB365" i="1"/>
  <c r="AC365" i="1" s="1"/>
  <c r="AB397" i="1"/>
  <c r="AC397" i="1" s="1"/>
  <c r="AB429" i="1"/>
  <c r="AC429" i="1" s="1"/>
  <c r="AB461" i="1"/>
  <c r="AC461" i="1" s="1"/>
  <c r="AB493" i="1"/>
  <c r="AC493" i="1" s="1"/>
  <c r="AB525" i="1"/>
  <c r="AC525" i="1" s="1"/>
  <c r="AB557" i="1"/>
  <c r="AC557" i="1" s="1"/>
  <c r="AB589" i="1"/>
  <c r="AC589" i="1" s="1"/>
  <c r="AB621" i="1"/>
  <c r="AC621" i="1" s="1"/>
  <c r="AB653" i="1"/>
  <c r="AC653" i="1" s="1"/>
  <c r="AB41" i="1"/>
  <c r="AC41" i="1" s="1"/>
  <c r="AB113" i="1"/>
  <c r="AC113" i="1" s="1"/>
  <c r="AB177" i="1"/>
  <c r="AC177" i="1" s="1"/>
  <c r="AB241" i="1"/>
  <c r="AC241" i="1" s="1"/>
  <c r="AB305" i="1"/>
  <c r="AC305" i="1" s="1"/>
  <c r="AB369" i="1"/>
  <c r="AC369" i="1" s="1"/>
  <c r="AB401" i="1"/>
  <c r="AC401" i="1" s="1"/>
  <c r="AB465" i="1"/>
  <c r="AC465" i="1" s="1"/>
  <c r="AB497" i="1"/>
  <c r="AC497" i="1" s="1"/>
  <c r="AB561" i="1"/>
  <c r="AC561" i="1" s="1"/>
  <c r="AB657" i="1"/>
  <c r="AC657" i="1" s="1"/>
  <c r="AB49" i="1"/>
  <c r="AC49" i="1" s="1"/>
  <c r="AB149" i="1"/>
  <c r="AC149" i="1" s="1"/>
  <c r="AB213" i="1"/>
  <c r="AC213" i="1" s="1"/>
  <c r="AB245" i="1"/>
  <c r="AC245" i="1" s="1"/>
  <c r="AB373" i="1"/>
  <c r="AC373" i="1" s="1"/>
  <c r="AB469" i="1"/>
  <c r="AC469" i="1" s="1"/>
  <c r="AB533" i="1"/>
  <c r="AC533" i="1" s="1"/>
  <c r="AB661" i="1"/>
  <c r="AC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S291" i="1"/>
  <c r="S18" i="1"/>
  <c r="W18" i="1" s="1"/>
  <c r="S31" i="1"/>
  <c r="S27" i="1"/>
  <c r="S157" i="1"/>
  <c r="S290" i="1"/>
  <c r="S106" i="1"/>
  <c r="S210" i="1"/>
  <c r="S110" i="1"/>
  <c r="S42" i="1"/>
  <c r="S146" i="1"/>
  <c r="S46" i="1"/>
  <c r="S221" i="1"/>
  <c r="S159" i="1"/>
  <c r="S365" i="1"/>
  <c r="S95" i="1"/>
  <c r="S237" i="1"/>
  <c r="S361" i="1"/>
  <c r="S117" i="1"/>
  <c r="S276" i="1"/>
  <c r="S309" i="1"/>
  <c r="S351" i="1"/>
  <c r="S101" i="1"/>
  <c r="S181" i="1"/>
  <c r="S287" i="1"/>
  <c r="S170" i="1"/>
  <c r="S230" i="1"/>
  <c r="S204" i="1"/>
  <c r="S340" i="1"/>
  <c r="S285" i="1"/>
  <c r="S35" i="1"/>
  <c r="S40" i="1"/>
  <c r="S79" i="1"/>
  <c r="S39" i="1"/>
  <c r="S139" i="1"/>
  <c r="S93" i="1"/>
  <c r="S366" i="1"/>
  <c r="S68" i="1"/>
  <c r="S91" i="1"/>
  <c r="S19" i="1"/>
  <c r="S338" i="1"/>
  <c r="S203" i="1"/>
  <c r="S75" i="1"/>
  <c r="S324" i="1"/>
  <c r="S260" i="1"/>
  <c r="S102" i="1"/>
  <c r="S98" i="1"/>
  <c r="S92" i="1"/>
  <c r="S219" i="1"/>
  <c r="S155" i="1"/>
  <c r="S245" i="1"/>
  <c r="S212" i="1"/>
  <c r="S104" i="1"/>
  <c r="S45" i="1"/>
  <c r="S231" i="1"/>
  <c r="S214" i="1"/>
  <c r="S347" i="1"/>
  <c r="S148" i="1"/>
  <c r="S346" i="1"/>
  <c r="S26" i="1"/>
  <c r="S373" i="1"/>
  <c r="S76" i="1"/>
  <c r="S294" i="1"/>
  <c r="S96" i="1"/>
  <c r="S99" i="1"/>
  <c r="S173" i="1"/>
  <c r="S241" i="1"/>
  <c r="S332" i="1"/>
  <c r="S218" i="1"/>
  <c r="S268" i="1"/>
  <c r="S166" i="1"/>
  <c r="S350" i="1"/>
  <c r="S38" i="1"/>
  <c r="S223" i="1"/>
  <c r="S234" i="1"/>
  <c r="S224" i="1"/>
  <c r="S227" i="1"/>
  <c r="S358" i="1"/>
  <c r="S83" i="1"/>
  <c r="S354" i="1"/>
  <c r="S282" i="1"/>
  <c r="S220" i="1"/>
  <c r="S20" i="1"/>
  <c r="S352" i="1"/>
  <c r="S355" i="1"/>
  <c r="S288" i="1"/>
  <c r="S284" i="1"/>
  <c r="S283" i="1"/>
  <c r="S49" i="1"/>
  <c r="S34" i="1"/>
  <c r="S147" i="1"/>
  <c r="S28" i="1"/>
  <c r="S168" i="1"/>
  <c r="S301" i="1"/>
  <c r="S84" i="1"/>
  <c r="S226" i="1"/>
  <c r="S339" i="1"/>
  <c r="S215" i="1"/>
  <c r="S162" i="1"/>
  <c r="AC306" i="1"/>
  <c r="AC179" i="1"/>
  <c r="AC250" i="1"/>
  <c r="AC378" i="1"/>
  <c r="AC130" i="1"/>
  <c r="AC194" i="1"/>
  <c r="AC175" i="1"/>
  <c r="AC296" i="1"/>
  <c r="AC91" i="1"/>
  <c r="AC364" i="1"/>
  <c r="W19" i="1" l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F43" i="1"/>
  <c r="F41" i="1"/>
  <c r="F42" i="1"/>
  <c r="AC2" i="3"/>
  <c r="F35" i="1"/>
  <c r="H35" i="1" s="1"/>
  <c r="F32" i="1"/>
  <c r="G32" i="1" s="1"/>
  <c r="AA648" i="1"/>
  <c r="U648" i="1"/>
  <c r="T648" i="1"/>
  <c r="Z648" i="1"/>
  <c r="V648" i="1"/>
  <c r="X648" i="1"/>
  <c r="X519" i="1"/>
  <c r="Z519" i="1"/>
  <c r="T519" i="1"/>
  <c r="U519" i="1"/>
  <c r="V519" i="1"/>
  <c r="AA519" i="1"/>
  <c r="T462" i="1"/>
  <c r="U462" i="1"/>
  <c r="V462" i="1"/>
  <c r="X462" i="1"/>
  <c r="Z462" i="1"/>
  <c r="AA462" i="1"/>
  <c r="X533" i="1"/>
  <c r="Z533" i="1"/>
  <c r="T533" i="1"/>
  <c r="U533" i="1"/>
  <c r="AA533" i="1"/>
  <c r="V533" i="1"/>
  <c r="Z572" i="1"/>
  <c r="AA572" i="1"/>
  <c r="U572" i="1"/>
  <c r="V572" i="1"/>
  <c r="X572" i="1"/>
  <c r="T572" i="1"/>
  <c r="Z577" i="1"/>
  <c r="AA577" i="1"/>
  <c r="U577" i="1"/>
  <c r="V577" i="1"/>
  <c r="T577" i="1"/>
  <c r="X577" i="1"/>
  <c r="X497" i="1"/>
  <c r="Z497" i="1"/>
  <c r="T497" i="1"/>
  <c r="AA497" i="1"/>
  <c r="V497" i="1"/>
  <c r="U497" i="1"/>
  <c r="AA617" i="1"/>
  <c r="U617" i="1"/>
  <c r="T617" i="1"/>
  <c r="V617" i="1"/>
  <c r="X617" i="1"/>
  <c r="Z617" i="1"/>
  <c r="AA640" i="1"/>
  <c r="Z640" i="1"/>
  <c r="T640" i="1"/>
  <c r="U640" i="1"/>
  <c r="V640" i="1"/>
  <c r="X640" i="1"/>
  <c r="Z576" i="1"/>
  <c r="AA576" i="1"/>
  <c r="U576" i="1"/>
  <c r="V576" i="1"/>
  <c r="X576" i="1"/>
  <c r="T576" i="1"/>
  <c r="X512" i="1"/>
  <c r="Z512" i="1"/>
  <c r="T512" i="1"/>
  <c r="V512" i="1"/>
  <c r="AA512" i="1"/>
  <c r="U512" i="1"/>
  <c r="T448" i="1"/>
  <c r="U448" i="1"/>
  <c r="V448" i="1"/>
  <c r="X448" i="1"/>
  <c r="Z448" i="1"/>
  <c r="AA448" i="1"/>
  <c r="AA639" i="1"/>
  <c r="U639" i="1"/>
  <c r="Z639" i="1"/>
  <c r="T639" i="1"/>
  <c r="V639" i="1"/>
  <c r="X639" i="1"/>
  <c r="Z575" i="1"/>
  <c r="AA575" i="1"/>
  <c r="U575" i="1"/>
  <c r="V575" i="1"/>
  <c r="T575" i="1"/>
  <c r="X575" i="1"/>
  <c r="X511" i="1"/>
  <c r="Z511" i="1"/>
  <c r="T511" i="1"/>
  <c r="U511" i="1"/>
  <c r="V511" i="1"/>
  <c r="AA511" i="1"/>
  <c r="T447" i="1"/>
  <c r="U447" i="1"/>
  <c r="V447" i="1"/>
  <c r="X447" i="1"/>
  <c r="Z447" i="1"/>
  <c r="AA447" i="1"/>
  <c r="AA646" i="1"/>
  <c r="U646" i="1"/>
  <c r="T646" i="1"/>
  <c r="V646" i="1"/>
  <c r="Z646" i="1"/>
  <c r="X646" i="1"/>
  <c r="Z582" i="1"/>
  <c r="AA582" i="1"/>
  <c r="U582" i="1"/>
  <c r="V582" i="1"/>
  <c r="T582" i="1"/>
  <c r="X582" i="1"/>
  <c r="X518" i="1"/>
  <c r="Z518" i="1"/>
  <c r="T518" i="1"/>
  <c r="U518" i="1"/>
  <c r="AA518" i="1"/>
  <c r="V518" i="1"/>
  <c r="T454" i="1"/>
  <c r="U454" i="1"/>
  <c r="V454" i="1"/>
  <c r="X454" i="1"/>
  <c r="Z454" i="1"/>
  <c r="AA454" i="1"/>
  <c r="Z653" i="1"/>
  <c r="AA653" i="1"/>
  <c r="U653" i="1"/>
  <c r="T653" i="1"/>
  <c r="V653" i="1"/>
  <c r="X653" i="1"/>
  <c r="Z589" i="1"/>
  <c r="AA589" i="1"/>
  <c r="U589" i="1"/>
  <c r="V589" i="1"/>
  <c r="X589" i="1"/>
  <c r="T589" i="1"/>
  <c r="X525" i="1"/>
  <c r="Z525" i="1"/>
  <c r="T525" i="1"/>
  <c r="U525" i="1"/>
  <c r="AA525" i="1"/>
  <c r="V525" i="1"/>
  <c r="T461" i="1"/>
  <c r="U461" i="1"/>
  <c r="V461" i="1"/>
  <c r="X461" i="1"/>
  <c r="Z461" i="1"/>
  <c r="AA461" i="1"/>
  <c r="T397" i="1"/>
  <c r="U397" i="1"/>
  <c r="V397" i="1"/>
  <c r="X397" i="1"/>
  <c r="Z397" i="1"/>
  <c r="AA397" i="1"/>
  <c r="AA628" i="1"/>
  <c r="U628" i="1"/>
  <c r="T628" i="1"/>
  <c r="Z628" i="1"/>
  <c r="V628" i="1"/>
  <c r="X628" i="1"/>
  <c r="Z564" i="1"/>
  <c r="AA564" i="1"/>
  <c r="U564" i="1"/>
  <c r="V564" i="1"/>
  <c r="X564" i="1"/>
  <c r="T564" i="1"/>
  <c r="X500" i="1"/>
  <c r="Z500" i="1"/>
  <c r="T500" i="1"/>
  <c r="V500" i="1"/>
  <c r="AA500" i="1"/>
  <c r="U500" i="1"/>
  <c r="T436" i="1"/>
  <c r="U436" i="1"/>
  <c r="V436" i="1"/>
  <c r="X436" i="1"/>
  <c r="Z436" i="1"/>
  <c r="AA436" i="1"/>
  <c r="AA635" i="1"/>
  <c r="T635" i="1"/>
  <c r="U635" i="1"/>
  <c r="V635" i="1"/>
  <c r="X635" i="1"/>
  <c r="Z635" i="1"/>
  <c r="Z571" i="1"/>
  <c r="AA571" i="1"/>
  <c r="U571" i="1"/>
  <c r="V571" i="1"/>
  <c r="T571" i="1"/>
  <c r="X571" i="1"/>
  <c r="X507" i="1"/>
  <c r="Z507" i="1"/>
  <c r="T507" i="1"/>
  <c r="U507" i="1"/>
  <c r="V507" i="1"/>
  <c r="AA507" i="1"/>
  <c r="T443" i="1"/>
  <c r="U443" i="1"/>
  <c r="V443" i="1"/>
  <c r="X443" i="1"/>
  <c r="Z443" i="1"/>
  <c r="AA443" i="1"/>
  <c r="AA642" i="1"/>
  <c r="U642" i="1"/>
  <c r="T642" i="1"/>
  <c r="V642" i="1"/>
  <c r="Z642" i="1"/>
  <c r="X642" i="1"/>
  <c r="Z578" i="1"/>
  <c r="AA578" i="1"/>
  <c r="U578" i="1"/>
  <c r="V578" i="1"/>
  <c r="T578" i="1"/>
  <c r="X578" i="1"/>
  <c r="X514" i="1"/>
  <c r="Z514" i="1"/>
  <c r="T514" i="1"/>
  <c r="U514" i="1"/>
  <c r="V514" i="1"/>
  <c r="AA514" i="1"/>
  <c r="T450" i="1"/>
  <c r="U450" i="1"/>
  <c r="V450" i="1"/>
  <c r="X450" i="1"/>
  <c r="Z450" i="1"/>
  <c r="AA450" i="1"/>
  <c r="T473" i="1"/>
  <c r="U473" i="1"/>
  <c r="V473" i="1"/>
  <c r="X473" i="1"/>
  <c r="Z473" i="1"/>
  <c r="AA473" i="1"/>
  <c r="X520" i="1"/>
  <c r="Z520" i="1"/>
  <c r="T520" i="1"/>
  <c r="V520" i="1"/>
  <c r="AA520" i="1"/>
  <c r="U520" i="1"/>
  <c r="T455" i="1"/>
  <c r="U455" i="1"/>
  <c r="V455" i="1"/>
  <c r="X455" i="1"/>
  <c r="Z455" i="1"/>
  <c r="AA455" i="1"/>
  <c r="T405" i="1"/>
  <c r="U405" i="1"/>
  <c r="V405" i="1"/>
  <c r="X405" i="1"/>
  <c r="Z405" i="1"/>
  <c r="AA405" i="1"/>
  <c r="X508" i="1"/>
  <c r="Z508" i="1"/>
  <c r="T508" i="1"/>
  <c r="V508" i="1"/>
  <c r="AA508" i="1"/>
  <c r="U508" i="1"/>
  <c r="Z593" i="1"/>
  <c r="AA593" i="1"/>
  <c r="U593" i="1"/>
  <c r="V593" i="1"/>
  <c r="T593" i="1"/>
  <c r="X593" i="1"/>
  <c r="T449" i="1"/>
  <c r="U449" i="1"/>
  <c r="V449" i="1"/>
  <c r="X449" i="1"/>
  <c r="Z449" i="1"/>
  <c r="AA449" i="1"/>
  <c r="T433" i="1"/>
  <c r="U433" i="1"/>
  <c r="V433" i="1"/>
  <c r="X433" i="1"/>
  <c r="Z433" i="1"/>
  <c r="AA433" i="1"/>
  <c r="X529" i="1"/>
  <c r="Z529" i="1"/>
  <c r="T529" i="1"/>
  <c r="AA529" i="1"/>
  <c r="V529" i="1"/>
  <c r="U529" i="1"/>
  <c r="X553" i="1"/>
  <c r="Z553" i="1"/>
  <c r="T553" i="1"/>
  <c r="AA553" i="1"/>
  <c r="U553" i="1"/>
  <c r="V553" i="1"/>
  <c r="T409" i="1"/>
  <c r="U409" i="1"/>
  <c r="V409" i="1"/>
  <c r="X409" i="1"/>
  <c r="Z409" i="1"/>
  <c r="AA409" i="1"/>
  <c r="Z609" i="1"/>
  <c r="AA609" i="1"/>
  <c r="U609" i="1"/>
  <c r="T609" i="1"/>
  <c r="V609" i="1"/>
  <c r="X609" i="1"/>
  <c r="AA632" i="1"/>
  <c r="U632" i="1"/>
  <c r="T632" i="1"/>
  <c r="V632" i="1"/>
  <c r="X632" i="1"/>
  <c r="Z632" i="1"/>
  <c r="Z568" i="1"/>
  <c r="AA568" i="1"/>
  <c r="U568" i="1"/>
  <c r="V568" i="1"/>
  <c r="X568" i="1"/>
  <c r="T568" i="1"/>
  <c r="X504" i="1"/>
  <c r="Z504" i="1"/>
  <c r="T504" i="1"/>
  <c r="V504" i="1"/>
  <c r="AA504" i="1"/>
  <c r="U504" i="1"/>
  <c r="T440" i="1"/>
  <c r="U440" i="1"/>
  <c r="V440" i="1"/>
  <c r="X440" i="1"/>
  <c r="Z440" i="1"/>
  <c r="AA440" i="1"/>
  <c r="Z631" i="1"/>
  <c r="AA631" i="1"/>
  <c r="U631" i="1"/>
  <c r="T631" i="1"/>
  <c r="V631" i="1"/>
  <c r="X631" i="1"/>
  <c r="Z567" i="1"/>
  <c r="AA567" i="1"/>
  <c r="U567" i="1"/>
  <c r="V567" i="1"/>
  <c r="T567" i="1"/>
  <c r="X567" i="1"/>
  <c r="X503" i="1"/>
  <c r="Z503" i="1"/>
  <c r="T503" i="1"/>
  <c r="U503" i="1"/>
  <c r="V503" i="1"/>
  <c r="AA503" i="1"/>
  <c r="T439" i="1"/>
  <c r="U439" i="1"/>
  <c r="V439" i="1"/>
  <c r="X439" i="1"/>
  <c r="Z439" i="1"/>
  <c r="AA439" i="1"/>
  <c r="Z638" i="1"/>
  <c r="AA638" i="1"/>
  <c r="T638" i="1"/>
  <c r="U638" i="1"/>
  <c r="V638" i="1"/>
  <c r="X638" i="1"/>
  <c r="Z574" i="1"/>
  <c r="AA574" i="1"/>
  <c r="U574" i="1"/>
  <c r="V574" i="1"/>
  <c r="T574" i="1"/>
  <c r="X574" i="1"/>
  <c r="X510" i="1"/>
  <c r="Z510" i="1"/>
  <c r="T510" i="1"/>
  <c r="U510" i="1"/>
  <c r="AA510" i="1"/>
  <c r="V510" i="1"/>
  <c r="T446" i="1"/>
  <c r="U446" i="1"/>
  <c r="V446" i="1"/>
  <c r="X446" i="1"/>
  <c r="Z446" i="1"/>
  <c r="AA446" i="1"/>
  <c r="AA645" i="1"/>
  <c r="U645" i="1"/>
  <c r="T645" i="1"/>
  <c r="V645" i="1"/>
  <c r="X645" i="1"/>
  <c r="Z645" i="1"/>
  <c r="Z581" i="1"/>
  <c r="AA581" i="1"/>
  <c r="U581" i="1"/>
  <c r="V581" i="1"/>
  <c r="T581" i="1"/>
  <c r="X581" i="1"/>
  <c r="X517" i="1"/>
  <c r="Z517" i="1"/>
  <c r="T517" i="1"/>
  <c r="U517" i="1"/>
  <c r="AA517" i="1"/>
  <c r="V517" i="1"/>
  <c r="T453" i="1"/>
  <c r="U453" i="1"/>
  <c r="V453" i="1"/>
  <c r="X453" i="1"/>
  <c r="Z453" i="1"/>
  <c r="AA453" i="1"/>
  <c r="Z620" i="1"/>
  <c r="AA620" i="1"/>
  <c r="T620" i="1"/>
  <c r="U620" i="1"/>
  <c r="V620" i="1"/>
  <c r="X620" i="1"/>
  <c r="Z556" i="1"/>
  <c r="AA556" i="1"/>
  <c r="U556" i="1"/>
  <c r="V556" i="1"/>
  <c r="T556" i="1"/>
  <c r="X556" i="1"/>
  <c r="X492" i="1"/>
  <c r="Z492" i="1"/>
  <c r="T492" i="1"/>
  <c r="V492" i="1"/>
  <c r="AA492" i="1"/>
  <c r="U492" i="1"/>
  <c r="T428" i="1"/>
  <c r="U428" i="1"/>
  <c r="V428" i="1"/>
  <c r="X428" i="1"/>
  <c r="Z428" i="1"/>
  <c r="AA428" i="1"/>
  <c r="Z627" i="1"/>
  <c r="AA627" i="1"/>
  <c r="U627" i="1"/>
  <c r="T627" i="1"/>
  <c r="V627" i="1"/>
  <c r="X627" i="1"/>
  <c r="Z563" i="1"/>
  <c r="AA563" i="1"/>
  <c r="U563" i="1"/>
  <c r="V563" i="1"/>
  <c r="T563" i="1"/>
  <c r="X563" i="1"/>
  <c r="X499" i="1"/>
  <c r="Z499" i="1"/>
  <c r="T499" i="1"/>
  <c r="U499" i="1"/>
  <c r="V499" i="1"/>
  <c r="AA499" i="1"/>
  <c r="T435" i="1"/>
  <c r="U435" i="1"/>
  <c r="V435" i="1"/>
  <c r="X435" i="1"/>
  <c r="Z435" i="1"/>
  <c r="AA435" i="1"/>
  <c r="AA634" i="1"/>
  <c r="U634" i="1"/>
  <c r="T634" i="1"/>
  <c r="Z634" i="1"/>
  <c r="V634" i="1"/>
  <c r="X634" i="1"/>
  <c r="Z570" i="1"/>
  <c r="AA570" i="1"/>
  <c r="U570" i="1"/>
  <c r="V570" i="1"/>
  <c r="T570" i="1"/>
  <c r="X570" i="1"/>
  <c r="X506" i="1"/>
  <c r="Z506" i="1"/>
  <c r="T506" i="1"/>
  <c r="U506" i="1"/>
  <c r="V506" i="1"/>
  <c r="AA506" i="1"/>
  <c r="T442" i="1"/>
  <c r="U442" i="1"/>
  <c r="V442" i="1"/>
  <c r="X442" i="1"/>
  <c r="Z442" i="1"/>
  <c r="AA442" i="1"/>
  <c r="Z583" i="1"/>
  <c r="AA583" i="1"/>
  <c r="U583" i="1"/>
  <c r="V583" i="1"/>
  <c r="T583" i="1"/>
  <c r="X583" i="1"/>
  <c r="T398" i="1"/>
  <c r="U398" i="1"/>
  <c r="V398" i="1"/>
  <c r="X398" i="1"/>
  <c r="Z398" i="1"/>
  <c r="AA398" i="1"/>
  <c r="T469" i="1"/>
  <c r="U469" i="1"/>
  <c r="V469" i="1"/>
  <c r="X469" i="1"/>
  <c r="Z469" i="1"/>
  <c r="AA469" i="1"/>
  <c r="AA636" i="1"/>
  <c r="U636" i="1"/>
  <c r="T636" i="1"/>
  <c r="V636" i="1"/>
  <c r="Z636" i="1"/>
  <c r="X636" i="1"/>
  <c r="T444" i="1"/>
  <c r="U444" i="1"/>
  <c r="V444" i="1"/>
  <c r="X444" i="1"/>
  <c r="Z444" i="1"/>
  <c r="AA444" i="1"/>
  <c r="AA643" i="1"/>
  <c r="U643" i="1"/>
  <c r="T643" i="1"/>
  <c r="Z643" i="1"/>
  <c r="V643" i="1"/>
  <c r="X643" i="1"/>
  <c r="Z579" i="1"/>
  <c r="AA579" i="1"/>
  <c r="U579" i="1"/>
  <c r="V579" i="1"/>
  <c r="T579" i="1"/>
  <c r="X579" i="1"/>
  <c r="X515" i="1"/>
  <c r="Z515" i="1"/>
  <c r="T515" i="1"/>
  <c r="U515" i="1"/>
  <c r="V515" i="1"/>
  <c r="AA515" i="1"/>
  <c r="T451" i="1"/>
  <c r="U451" i="1"/>
  <c r="V451" i="1"/>
  <c r="X451" i="1"/>
  <c r="Z451" i="1"/>
  <c r="AA451" i="1"/>
  <c r="AA650" i="1"/>
  <c r="U650" i="1"/>
  <c r="T650" i="1"/>
  <c r="V650" i="1"/>
  <c r="X650" i="1"/>
  <c r="Z650" i="1"/>
  <c r="Z586" i="1"/>
  <c r="AA586" i="1"/>
  <c r="U586" i="1"/>
  <c r="V586" i="1"/>
  <c r="T586" i="1"/>
  <c r="X586" i="1"/>
  <c r="X522" i="1"/>
  <c r="Z522" i="1"/>
  <c r="T522" i="1"/>
  <c r="U522" i="1"/>
  <c r="V522" i="1"/>
  <c r="AA522" i="1"/>
  <c r="T401" i="1"/>
  <c r="U401" i="1"/>
  <c r="V401" i="1"/>
  <c r="X401" i="1"/>
  <c r="Z401" i="1"/>
  <c r="AA401" i="1"/>
  <c r="X489" i="1"/>
  <c r="Z489" i="1"/>
  <c r="T489" i="1"/>
  <c r="AA489" i="1"/>
  <c r="V489" i="1"/>
  <c r="U489" i="1"/>
  <c r="X545" i="1"/>
  <c r="Z545" i="1"/>
  <c r="T545" i="1"/>
  <c r="AA545" i="1"/>
  <c r="U545" i="1"/>
  <c r="V545" i="1"/>
  <c r="Z624" i="1"/>
  <c r="AA624" i="1"/>
  <c r="T624" i="1"/>
  <c r="U624" i="1"/>
  <c r="V624" i="1"/>
  <c r="X624" i="1"/>
  <c r="Z560" i="1"/>
  <c r="AA560" i="1"/>
  <c r="U560" i="1"/>
  <c r="V560" i="1"/>
  <c r="X560" i="1"/>
  <c r="T560" i="1"/>
  <c r="X496" i="1"/>
  <c r="Z496" i="1"/>
  <c r="T496" i="1"/>
  <c r="V496" i="1"/>
  <c r="AA496" i="1"/>
  <c r="U496" i="1"/>
  <c r="T432" i="1"/>
  <c r="U432" i="1"/>
  <c r="V432" i="1"/>
  <c r="X432" i="1"/>
  <c r="Z432" i="1"/>
  <c r="AA432" i="1"/>
  <c r="Z623" i="1"/>
  <c r="AA623" i="1"/>
  <c r="U623" i="1"/>
  <c r="T623" i="1"/>
  <c r="V623" i="1"/>
  <c r="X623" i="1"/>
  <c r="Z559" i="1"/>
  <c r="AA559" i="1"/>
  <c r="U559" i="1"/>
  <c r="V559" i="1"/>
  <c r="T559" i="1"/>
  <c r="X559" i="1"/>
  <c r="X495" i="1"/>
  <c r="Z495" i="1"/>
  <c r="T495" i="1"/>
  <c r="U495" i="1"/>
  <c r="V495" i="1"/>
  <c r="AA495" i="1"/>
  <c r="T431" i="1"/>
  <c r="U431" i="1"/>
  <c r="V431" i="1"/>
  <c r="X431" i="1"/>
  <c r="Z431" i="1"/>
  <c r="AA431" i="1"/>
  <c r="AA630" i="1"/>
  <c r="Z630" i="1"/>
  <c r="T630" i="1"/>
  <c r="U630" i="1"/>
  <c r="V630" i="1"/>
  <c r="X630" i="1"/>
  <c r="Z566" i="1"/>
  <c r="AA566" i="1"/>
  <c r="U566" i="1"/>
  <c r="V566" i="1"/>
  <c r="T566" i="1"/>
  <c r="X566" i="1"/>
  <c r="X502" i="1"/>
  <c r="Z502" i="1"/>
  <c r="T502" i="1"/>
  <c r="U502" i="1"/>
  <c r="V502" i="1"/>
  <c r="AA502" i="1"/>
  <c r="T438" i="1"/>
  <c r="U438" i="1"/>
  <c r="V438" i="1"/>
  <c r="X438" i="1"/>
  <c r="Z438" i="1"/>
  <c r="AA438" i="1"/>
  <c r="AA637" i="1"/>
  <c r="U637" i="1"/>
  <c r="T637" i="1"/>
  <c r="Z637" i="1"/>
  <c r="V637" i="1"/>
  <c r="X637" i="1"/>
  <c r="Z573" i="1"/>
  <c r="AA573" i="1"/>
  <c r="U573" i="1"/>
  <c r="V573" i="1"/>
  <c r="X573" i="1"/>
  <c r="T573" i="1"/>
  <c r="X509" i="1"/>
  <c r="Z509" i="1"/>
  <c r="T509" i="1"/>
  <c r="U509" i="1"/>
  <c r="AA509" i="1"/>
  <c r="V509" i="1"/>
  <c r="T445" i="1"/>
  <c r="U445" i="1"/>
  <c r="V445" i="1"/>
  <c r="X445" i="1"/>
  <c r="Z445" i="1"/>
  <c r="AA445" i="1"/>
  <c r="AA612" i="1"/>
  <c r="U612" i="1"/>
  <c r="Z612" i="1"/>
  <c r="T612" i="1"/>
  <c r="V612" i="1"/>
  <c r="X612" i="1"/>
  <c r="X548" i="1"/>
  <c r="Z548" i="1"/>
  <c r="T548" i="1"/>
  <c r="V548" i="1"/>
  <c r="AA548" i="1"/>
  <c r="U548" i="1"/>
  <c r="X484" i="1"/>
  <c r="Z484" i="1"/>
  <c r="T484" i="1"/>
  <c r="V484" i="1"/>
  <c r="AA484" i="1"/>
  <c r="U484" i="1"/>
  <c r="T420" i="1"/>
  <c r="U420" i="1"/>
  <c r="V420" i="1"/>
  <c r="X420" i="1"/>
  <c r="Z420" i="1"/>
  <c r="AA420" i="1"/>
  <c r="Z619" i="1"/>
  <c r="AA619" i="1"/>
  <c r="U619" i="1"/>
  <c r="T619" i="1"/>
  <c r="V619" i="1"/>
  <c r="X619" i="1"/>
  <c r="T555" i="1"/>
  <c r="Z555" i="1"/>
  <c r="AA555" i="1"/>
  <c r="U555" i="1"/>
  <c r="V555" i="1"/>
  <c r="X555" i="1"/>
  <c r="X491" i="1"/>
  <c r="Z491" i="1"/>
  <c r="T491" i="1"/>
  <c r="U491" i="1"/>
  <c r="V491" i="1"/>
  <c r="AA491" i="1"/>
  <c r="T427" i="1"/>
  <c r="U427" i="1"/>
  <c r="V427" i="1"/>
  <c r="X427" i="1"/>
  <c r="Z427" i="1"/>
  <c r="AA427" i="1"/>
  <c r="AA626" i="1"/>
  <c r="U626" i="1"/>
  <c r="T626" i="1"/>
  <c r="V626" i="1"/>
  <c r="Z626" i="1"/>
  <c r="X626" i="1"/>
  <c r="Z562" i="1"/>
  <c r="AA562" i="1"/>
  <c r="U562" i="1"/>
  <c r="V562" i="1"/>
  <c r="T562" i="1"/>
  <c r="X562" i="1"/>
  <c r="X498" i="1"/>
  <c r="Z498" i="1"/>
  <c r="T498" i="1"/>
  <c r="U498" i="1"/>
  <c r="V498" i="1"/>
  <c r="AA498" i="1"/>
  <c r="T434" i="1"/>
  <c r="U434" i="1"/>
  <c r="V434" i="1"/>
  <c r="X434" i="1"/>
  <c r="Z434" i="1"/>
  <c r="AA434" i="1"/>
  <c r="T456" i="1"/>
  <c r="U456" i="1"/>
  <c r="V456" i="1"/>
  <c r="X456" i="1"/>
  <c r="Z456" i="1"/>
  <c r="AA456" i="1"/>
  <c r="X526" i="1"/>
  <c r="Z526" i="1"/>
  <c r="T526" i="1"/>
  <c r="U526" i="1"/>
  <c r="V526" i="1"/>
  <c r="AA526" i="1"/>
  <c r="AA661" i="1"/>
  <c r="U661" i="1"/>
  <c r="T661" i="1"/>
  <c r="Z661" i="1"/>
  <c r="V661" i="1"/>
  <c r="X661" i="1"/>
  <c r="AA649" i="1"/>
  <c r="U649" i="1"/>
  <c r="Z649" i="1"/>
  <c r="T649" i="1"/>
  <c r="V649" i="1"/>
  <c r="X649" i="1"/>
  <c r="X505" i="1"/>
  <c r="Z505" i="1"/>
  <c r="T505" i="1"/>
  <c r="AA505" i="1"/>
  <c r="U505" i="1"/>
  <c r="V505" i="1"/>
  <c r="T425" i="1"/>
  <c r="U425" i="1"/>
  <c r="V425" i="1"/>
  <c r="X425" i="1"/>
  <c r="Z425" i="1"/>
  <c r="AA425" i="1"/>
  <c r="AA657" i="1"/>
  <c r="Z657" i="1"/>
  <c r="U657" i="1"/>
  <c r="T657" i="1"/>
  <c r="V657" i="1"/>
  <c r="X657" i="1"/>
  <c r="X481" i="1"/>
  <c r="Z481" i="1"/>
  <c r="T481" i="1"/>
  <c r="AA481" i="1"/>
  <c r="U481" i="1"/>
  <c r="V481" i="1"/>
  <c r="AA616" i="1"/>
  <c r="U616" i="1"/>
  <c r="T616" i="1"/>
  <c r="V616" i="1"/>
  <c r="Z616" i="1"/>
  <c r="X616" i="1"/>
  <c r="X552" i="1"/>
  <c r="Z552" i="1"/>
  <c r="T552" i="1"/>
  <c r="V552" i="1"/>
  <c r="AA552" i="1"/>
  <c r="U552" i="1"/>
  <c r="X488" i="1"/>
  <c r="Z488" i="1"/>
  <c r="T488" i="1"/>
  <c r="V488" i="1"/>
  <c r="AA488" i="1"/>
  <c r="U488" i="1"/>
  <c r="T424" i="1"/>
  <c r="U424" i="1"/>
  <c r="V424" i="1"/>
  <c r="X424" i="1"/>
  <c r="Z424" i="1"/>
  <c r="AA424" i="1"/>
  <c r="Z615" i="1"/>
  <c r="AA615" i="1"/>
  <c r="T615" i="1"/>
  <c r="U615" i="1"/>
  <c r="V615" i="1"/>
  <c r="X615" i="1"/>
  <c r="X551" i="1"/>
  <c r="Z551" i="1"/>
  <c r="T551" i="1"/>
  <c r="U551" i="1"/>
  <c r="V551" i="1"/>
  <c r="AA551" i="1"/>
  <c r="X487" i="1"/>
  <c r="Z487" i="1"/>
  <c r="T487" i="1"/>
  <c r="U487" i="1"/>
  <c r="V487" i="1"/>
  <c r="AA487" i="1"/>
  <c r="T423" i="1"/>
  <c r="U423" i="1"/>
  <c r="V423" i="1"/>
  <c r="X423" i="1"/>
  <c r="Z423" i="1"/>
  <c r="AA423" i="1"/>
  <c r="Z622" i="1"/>
  <c r="AA622" i="1"/>
  <c r="U622" i="1"/>
  <c r="T622" i="1"/>
  <c r="V622" i="1"/>
  <c r="X622" i="1"/>
  <c r="Z558" i="1"/>
  <c r="AA558" i="1"/>
  <c r="U558" i="1"/>
  <c r="V558" i="1"/>
  <c r="T558" i="1"/>
  <c r="X558" i="1"/>
  <c r="X494" i="1"/>
  <c r="Z494" i="1"/>
  <c r="T494" i="1"/>
  <c r="U494" i="1"/>
  <c r="V494" i="1"/>
  <c r="AA494" i="1"/>
  <c r="T430" i="1"/>
  <c r="U430" i="1"/>
  <c r="V430" i="1"/>
  <c r="X430" i="1"/>
  <c r="Z430" i="1"/>
  <c r="AA430" i="1"/>
  <c r="AA629" i="1"/>
  <c r="U629" i="1"/>
  <c r="Z629" i="1"/>
  <c r="T629" i="1"/>
  <c r="V629" i="1"/>
  <c r="X629" i="1"/>
  <c r="Z565" i="1"/>
  <c r="AA565" i="1"/>
  <c r="U565" i="1"/>
  <c r="V565" i="1"/>
  <c r="T565" i="1"/>
  <c r="X565" i="1"/>
  <c r="X501" i="1"/>
  <c r="Z501" i="1"/>
  <c r="T501" i="1"/>
  <c r="U501" i="1"/>
  <c r="AA501" i="1"/>
  <c r="V501" i="1"/>
  <c r="T437" i="1"/>
  <c r="U437" i="1"/>
  <c r="V437" i="1"/>
  <c r="X437" i="1"/>
  <c r="Z437" i="1"/>
  <c r="AA437" i="1"/>
  <c r="Z604" i="1"/>
  <c r="AA604" i="1"/>
  <c r="U604" i="1"/>
  <c r="V604" i="1"/>
  <c r="T604" i="1"/>
  <c r="X604" i="1"/>
  <c r="X540" i="1"/>
  <c r="Z540" i="1"/>
  <c r="T540" i="1"/>
  <c r="V540" i="1"/>
  <c r="AA540" i="1"/>
  <c r="U540" i="1"/>
  <c r="T476" i="1"/>
  <c r="U476" i="1"/>
  <c r="V476" i="1"/>
  <c r="X476" i="1"/>
  <c r="Z476" i="1"/>
  <c r="AA476" i="1"/>
  <c r="T412" i="1"/>
  <c r="U412" i="1"/>
  <c r="V412" i="1"/>
  <c r="X412" i="1"/>
  <c r="Z412" i="1"/>
  <c r="AA412" i="1"/>
  <c r="Z611" i="1"/>
  <c r="AA611" i="1"/>
  <c r="U611" i="1"/>
  <c r="T611" i="1"/>
  <c r="V611" i="1"/>
  <c r="X611" i="1"/>
  <c r="X547" i="1"/>
  <c r="Z547" i="1"/>
  <c r="T547" i="1"/>
  <c r="U547" i="1"/>
  <c r="V547" i="1"/>
  <c r="AA547" i="1"/>
  <c r="X483" i="1"/>
  <c r="Z483" i="1"/>
  <c r="T483" i="1"/>
  <c r="U483" i="1"/>
  <c r="V483" i="1"/>
  <c r="AA483" i="1"/>
  <c r="T419" i="1"/>
  <c r="U419" i="1"/>
  <c r="V419" i="1"/>
  <c r="X419" i="1"/>
  <c r="Z419" i="1"/>
  <c r="AA419" i="1"/>
  <c r="Z618" i="1"/>
  <c r="AA618" i="1"/>
  <c r="U618" i="1"/>
  <c r="T618" i="1"/>
  <c r="V618" i="1"/>
  <c r="X618" i="1"/>
  <c r="X554" i="1"/>
  <c r="Z554" i="1"/>
  <c r="T554" i="1"/>
  <c r="U554" i="1"/>
  <c r="V554" i="1"/>
  <c r="AA554" i="1"/>
  <c r="X490" i="1"/>
  <c r="Z490" i="1"/>
  <c r="T490" i="1"/>
  <c r="U490" i="1"/>
  <c r="V490" i="1"/>
  <c r="AA490" i="1"/>
  <c r="T426" i="1"/>
  <c r="U426" i="1"/>
  <c r="V426" i="1"/>
  <c r="X426" i="1"/>
  <c r="Z426" i="1"/>
  <c r="AA426" i="1"/>
  <c r="T465" i="1"/>
  <c r="U465" i="1"/>
  <c r="V465" i="1"/>
  <c r="X465" i="1"/>
  <c r="Z465" i="1"/>
  <c r="AA465" i="1"/>
  <c r="Z584" i="1"/>
  <c r="AA584" i="1"/>
  <c r="U584" i="1"/>
  <c r="V584" i="1"/>
  <c r="X584" i="1"/>
  <c r="T584" i="1"/>
  <c r="AA654" i="1"/>
  <c r="U654" i="1"/>
  <c r="T654" i="1"/>
  <c r="V654" i="1"/>
  <c r="X654" i="1"/>
  <c r="Z654" i="1"/>
  <c r="Z585" i="1"/>
  <c r="AA585" i="1"/>
  <c r="U585" i="1"/>
  <c r="V585" i="1"/>
  <c r="T585" i="1"/>
  <c r="X585" i="1"/>
  <c r="AA633" i="1"/>
  <c r="U633" i="1"/>
  <c r="T633" i="1"/>
  <c r="V633" i="1"/>
  <c r="Z633" i="1"/>
  <c r="X633" i="1"/>
  <c r="AA641" i="1"/>
  <c r="U641" i="1"/>
  <c r="T641" i="1"/>
  <c r="V641" i="1"/>
  <c r="X641" i="1"/>
  <c r="Z641" i="1"/>
  <c r="T417" i="1"/>
  <c r="U417" i="1"/>
  <c r="V417" i="1"/>
  <c r="X417" i="1"/>
  <c r="Z417" i="1"/>
  <c r="AA417" i="1"/>
  <c r="Z608" i="1"/>
  <c r="AA608" i="1"/>
  <c r="U608" i="1"/>
  <c r="T608" i="1"/>
  <c r="V608" i="1"/>
  <c r="X608" i="1"/>
  <c r="X544" i="1"/>
  <c r="Z544" i="1"/>
  <c r="T544" i="1"/>
  <c r="V544" i="1"/>
  <c r="AA544" i="1"/>
  <c r="U544" i="1"/>
  <c r="T480" i="1"/>
  <c r="U480" i="1"/>
  <c r="V480" i="1"/>
  <c r="X480" i="1"/>
  <c r="Z480" i="1"/>
  <c r="AA480" i="1"/>
  <c r="T416" i="1"/>
  <c r="U416" i="1"/>
  <c r="V416" i="1"/>
  <c r="X416" i="1"/>
  <c r="Z416" i="1"/>
  <c r="AA416" i="1"/>
  <c r="Z607" i="1"/>
  <c r="AA607" i="1"/>
  <c r="U607" i="1"/>
  <c r="V607" i="1"/>
  <c r="X607" i="1"/>
  <c r="T607" i="1"/>
  <c r="X543" i="1"/>
  <c r="Z543" i="1"/>
  <c r="T543" i="1"/>
  <c r="U543" i="1"/>
  <c r="V543" i="1"/>
  <c r="AA543" i="1"/>
  <c r="T479" i="1"/>
  <c r="U479" i="1"/>
  <c r="V479" i="1"/>
  <c r="X479" i="1"/>
  <c r="Z479" i="1"/>
  <c r="AA479" i="1"/>
  <c r="T415" i="1"/>
  <c r="U415" i="1"/>
  <c r="V415" i="1"/>
  <c r="X415" i="1"/>
  <c r="Z415" i="1"/>
  <c r="AA415" i="1"/>
  <c r="AA614" i="1"/>
  <c r="U614" i="1"/>
  <c r="T614" i="1"/>
  <c r="Z614" i="1"/>
  <c r="V614" i="1"/>
  <c r="X614" i="1"/>
  <c r="X550" i="1"/>
  <c r="Z550" i="1"/>
  <c r="T550" i="1"/>
  <c r="U550" i="1"/>
  <c r="AA550" i="1"/>
  <c r="V550" i="1"/>
  <c r="X486" i="1"/>
  <c r="Z486" i="1"/>
  <c r="T486" i="1"/>
  <c r="U486" i="1"/>
  <c r="AA486" i="1"/>
  <c r="V486" i="1"/>
  <c r="T422" i="1"/>
  <c r="U422" i="1"/>
  <c r="V422" i="1"/>
  <c r="X422" i="1"/>
  <c r="Z422" i="1"/>
  <c r="AA422" i="1"/>
  <c r="AA621" i="1"/>
  <c r="U621" i="1"/>
  <c r="T621" i="1"/>
  <c r="Z621" i="1"/>
  <c r="V621" i="1"/>
  <c r="X621" i="1"/>
  <c r="Z557" i="1"/>
  <c r="AA557" i="1"/>
  <c r="U557" i="1"/>
  <c r="V557" i="1"/>
  <c r="T557" i="1"/>
  <c r="X557" i="1"/>
  <c r="X493" i="1"/>
  <c r="Z493" i="1"/>
  <c r="T493" i="1"/>
  <c r="U493" i="1"/>
  <c r="AA493" i="1"/>
  <c r="V493" i="1"/>
  <c r="T429" i="1"/>
  <c r="U429" i="1"/>
  <c r="V429" i="1"/>
  <c r="X429" i="1"/>
  <c r="Z429" i="1"/>
  <c r="AA429" i="1"/>
  <c r="AA660" i="1"/>
  <c r="U660" i="1"/>
  <c r="T660" i="1"/>
  <c r="V660" i="1"/>
  <c r="X660" i="1"/>
  <c r="Z660" i="1"/>
  <c r="Z596" i="1"/>
  <c r="AA596" i="1"/>
  <c r="U596" i="1"/>
  <c r="V596" i="1"/>
  <c r="X596" i="1"/>
  <c r="T596" i="1"/>
  <c r="X532" i="1"/>
  <c r="Z532" i="1"/>
  <c r="T532" i="1"/>
  <c r="V532" i="1"/>
  <c r="AA532" i="1"/>
  <c r="U532" i="1"/>
  <c r="T468" i="1"/>
  <c r="U468" i="1"/>
  <c r="V468" i="1"/>
  <c r="X468" i="1"/>
  <c r="Z468" i="1"/>
  <c r="AA468" i="1"/>
  <c r="T404" i="1"/>
  <c r="U404" i="1"/>
  <c r="V404" i="1"/>
  <c r="X404" i="1"/>
  <c r="Z404" i="1"/>
  <c r="AA404" i="1"/>
  <c r="Z603" i="1"/>
  <c r="AA603" i="1"/>
  <c r="U603" i="1"/>
  <c r="V603" i="1"/>
  <c r="T603" i="1"/>
  <c r="X603" i="1"/>
  <c r="X539" i="1"/>
  <c r="Z539" i="1"/>
  <c r="T539" i="1"/>
  <c r="U539" i="1"/>
  <c r="V539" i="1"/>
  <c r="AA539" i="1"/>
  <c r="T475" i="1"/>
  <c r="U475" i="1"/>
  <c r="V475" i="1"/>
  <c r="X475" i="1"/>
  <c r="Z475" i="1"/>
  <c r="AA475" i="1"/>
  <c r="T411" i="1"/>
  <c r="U411" i="1"/>
  <c r="V411" i="1"/>
  <c r="X411" i="1"/>
  <c r="Z411" i="1"/>
  <c r="AA411" i="1"/>
  <c r="Z610" i="1"/>
  <c r="AA610" i="1"/>
  <c r="U610" i="1"/>
  <c r="X610" i="1"/>
  <c r="V610" i="1"/>
  <c r="T610" i="1"/>
  <c r="X546" i="1"/>
  <c r="Z546" i="1"/>
  <c r="T546" i="1"/>
  <c r="U546" i="1"/>
  <c r="V546" i="1"/>
  <c r="AA546" i="1"/>
  <c r="X482" i="1"/>
  <c r="Z482" i="1"/>
  <c r="T482" i="1"/>
  <c r="U482" i="1"/>
  <c r="V482" i="1"/>
  <c r="AA482" i="1"/>
  <c r="T418" i="1"/>
  <c r="U418" i="1"/>
  <c r="V418" i="1"/>
  <c r="X418" i="1"/>
  <c r="Z418" i="1"/>
  <c r="AA418" i="1"/>
  <c r="Z561" i="1"/>
  <c r="AA561" i="1"/>
  <c r="U561" i="1"/>
  <c r="V561" i="1"/>
  <c r="T561" i="1"/>
  <c r="X561" i="1"/>
  <c r="Z590" i="1"/>
  <c r="AA590" i="1"/>
  <c r="U590" i="1"/>
  <c r="V590" i="1"/>
  <c r="T590" i="1"/>
  <c r="X590" i="1"/>
  <c r="Z597" i="1"/>
  <c r="AA597" i="1"/>
  <c r="U597" i="1"/>
  <c r="V597" i="1"/>
  <c r="X597" i="1"/>
  <c r="T597" i="1"/>
  <c r="X521" i="1"/>
  <c r="Z521" i="1"/>
  <c r="T521" i="1"/>
  <c r="AA521" i="1"/>
  <c r="U521" i="1"/>
  <c r="V521" i="1"/>
  <c r="Z601" i="1"/>
  <c r="AA601" i="1"/>
  <c r="U601" i="1"/>
  <c r="V601" i="1"/>
  <c r="T601" i="1"/>
  <c r="X601" i="1"/>
  <c r="T441" i="1"/>
  <c r="U441" i="1"/>
  <c r="V441" i="1"/>
  <c r="X441" i="1"/>
  <c r="Z441" i="1"/>
  <c r="AA441" i="1"/>
  <c r="X513" i="1"/>
  <c r="Z513" i="1"/>
  <c r="T513" i="1"/>
  <c r="AA513" i="1"/>
  <c r="U513" i="1"/>
  <c r="V513" i="1"/>
  <c r="Z600" i="1"/>
  <c r="AA600" i="1"/>
  <c r="U600" i="1"/>
  <c r="V600" i="1"/>
  <c r="X600" i="1"/>
  <c r="T600" i="1"/>
  <c r="X536" i="1"/>
  <c r="Z536" i="1"/>
  <c r="T536" i="1"/>
  <c r="V536" i="1"/>
  <c r="AA536" i="1"/>
  <c r="U536" i="1"/>
  <c r="T472" i="1"/>
  <c r="U472" i="1"/>
  <c r="V472" i="1"/>
  <c r="X472" i="1"/>
  <c r="Z472" i="1"/>
  <c r="AA472" i="1"/>
  <c r="T408" i="1"/>
  <c r="U408" i="1"/>
  <c r="V408" i="1"/>
  <c r="X408" i="1"/>
  <c r="Z408" i="1"/>
  <c r="AA408" i="1"/>
  <c r="Z599" i="1"/>
  <c r="AA599" i="1"/>
  <c r="U599" i="1"/>
  <c r="V599" i="1"/>
  <c r="T599" i="1"/>
  <c r="X599" i="1"/>
  <c r="X535" i="1"/>
  <c r="Z535" i="1"/>
  <c r="T535" i="1"/>
  <c r="U535" i="1"/>
  <c r="V535" i="1"/>
  <c r="AA535" i="1"/>
  <c r="T471" i="1"/>
  <c r="U471" i="1"/>
  <c r="V471" i="1"/>
  <c r="X471" i="1"/>
  <c r="Z471" i="1"/>
  <c r="AA471" i="1"/>
  <c r="T407" i="1"/>
  <c r="U407" i="1"/>
  <c r="V407" i="1"/>
  <c r="X407" i="1"/>
  <c r="Z407" i="1"/>
  <c r="AA407" i="1"/>
  <c r="Z606" i="1"/>
  <c r="AA606" i="1"/>
  <c r="U606" i="1"/>
  <c r="T606" i="1"/>
  <c r="X606" i="1"/>
  <c r="V606" i="1"/>
  <c r="X542" i="1"/>
  <c r="Z542" i="1"/>
  <c r="T542" i="1"/>
  <c r="U542" i="1"/>
  <c r="V542" i="1"/>
  <c r="AA542" i="1"/>
  <c r="T478" i="1"/>
  <c r="U478" i="1"/>
  <c r="V478" i="1"/>
  <c r="X478" i="1"/>
  <c r="Z478" i="1"/>
  <c r="AA478" i="1"/>
  <c r="T414" i="1"/>
  <c r="U414" i="1"/>
  <c r="V414" i="1"/>
  <c r="X414" i="1"/>
  <c r="Z414" i="1"/>
  <c r="AA414" i="1"/>
  <c r="AA613" i="1"/>
  <c r="U613" i="1"/>
  <c r="Z613" i="1"/>
  <c r="T613" i="1"/>
  <c r="V613" i="1"/>
  <c r="X613" i="1"/>
  <c r="X549" i="1"/>
  <c r="Z549" i="1"/>
  <c r="T549" i="1"/>
  <c r="U549" i="1"/>
  <c r="AA549" i="1"/>
  <c r="V549" i="1"/>
  <c r="X485" i="1"/>
  <c r="Z485" i="1"/>
  <c r="T485" i="1"/>
  <c r="U485" i="1"/>
  <c r="AA485" i="1"/>
  <c r="V485" i="1"/>
  <c r="T421" i="1"/>
  <c r="U421" i="1"/>
  <c r="V421" i="1"/>
  <c r="X421" i="1"/>
  <c r="Z421" i="1"/>
  <c r="AA421" i="1"/>
  <c r="AA652" i="1"/>
  <c r="T652" i="1"/>
  <c r="U652" i="1"/>
  <c r="Z652" i="1"/>
  <c r="V652" i="1"/>
  <c r="X652" i="1"/>
  <c r="Z588" i="1"/>
  <c r="AA588" i="1"/>
  <c r="U588" i="1"/>
  <c r="V588" i="1"/>
  <c r="X588" i="1"/>
  <c r="T588" i="1"/>
  <c r="X524" i="1"/>
  <c r="Z524" i="1"/>
  <c r="T524" i="1"/>
  <c r="V524" i="1"/>
  <c r="AA524" i="1"/>
  <c r="U524" i="1"/>
  <c r="T460" i="1"/>
  <c r="U460" i="1"/>
  <c r="V460" i="1"/>
  <c r="X460" i="1"/>
  <c r="Z460" i="1"/>
  <c r="AA460" i="1"/>
  <c r="T396" i="1"/>
  <c r="U396" i="1"/>
  <c r="V396" i="1"/>
  <c r="X396" i="1"/>
  <c r="Z396" i="1"/>
  <c r="AA396" i="1"/>
  <c r="AA659" i="1"/>
  <c r="U659" i="1"/>
  <c r="T659" i="1"/>
  <c r="V659" i="1"/>
  <c r="Z659" i="1"/>
  <c r="X659" i="1"/>
  <c r="Z595" i="1"/>
  <c r="AA595" i="1"/>
  <c r="U595" i="1"/>
  <c r="V595" i="1"/>
  <c r="T595" i="1"/>
  <c r="X595" i="1"/>
  <c r="X531" i="1"/>
  <c r="Z531" i="1"/>
  <c r="T531" i="1"/>
  <c r="U531" i="1"/>
  <c r="V531" i="1"/>
  <c r="AA531" i="1"/>
  <c r="T467" i="1"/>
  <c r="U467" i="1"/>
  <c r="V467" i="1"/>
  <c r="X467" i="1"/>
  <c r="Z467" i="1"/>
  <c r="AA467" i="1"/>
  <c r="T403" i="1"/>
  <c r="U403" i="1"/>
  <c r="V403" i="1"/>
  <c r="X403" i="1"/>
  <c r="Z403" i="1"/>
  <c r="AA403" i="1"/>
  <c r="Z602" i="1"/>
  <c r="AA602" i="1"/>
  <c r="U602" i="1"/>
  <c r="V602" i="1"/>
  <c r="T602" i="1"/>
  <c r="X602" i="1"/>
  <c r="X538" i="1"/>
  <c r="Z538" i="1"/>
  <c r="T538" i="1"/>
  <c r="U538" i="1"/>
  <c r="V538" i="1"/>
  <c r="AA538" i="1"/>
  <c r="T474" i="1"/>
  <c r="U474" i="1"/>
  <c r="V474" i="1"/>
  <c r="X474" i="1"/>
  <c r="Z474" i="1"/>
  <c r="AA474" i="1"/>
  <c r="T410" i="1"/>
  <c r="U410" i="1"/>
  <c r="V410" i="1"/>
  <c r="X410" i="1"/>
  <c r="Z410" i="1"/>
  <c r="AA410" i="1"/>
  <c r="Z569" i="1"/>
  <c r="AA569" i="1"/>
  <c r="U569" i="1"/>
  <c r="V569" i="1"/>
  <c r="T569" i="1"/>
  <c r="X569" i="1"/>
  <c r="AA647" i="1"/>
  <c r="Z647" i="1"/>
  <c r="T647" i="1"/>
  <c r="U647" i="1"/>
  <c r="V647" i="1"/>
  <c r="X647" i="1"/>
  <c r="T458" i="1"/>
  <c r="U458" i="1"/>
  <c r="V458" i="1"/>
  <c r="X458" i="1"/>
  <c r="Z458" i="1"/>
  <c r="AA458" i="1"/>
  <c r="X537" i="1"/>
  <c r="Z537" i="1"/>
  <c r="T537" i="1"/>
  <c r="AA537" i="1"/>
  <c r="U537" i="1"/>
  <c r="V537" i="1"/>
  <c r="T457" i="1"/>
  <c r="U457" i="1"/>
  <c r="V457" i="1"/>
  <c r="X457" i="1"/>
  <c r="Z457" i="1"/>
  <c r="AA457" i="1"/>
  <c r="AA625" i="1"/>
  <c r="U625" i="1"/>
  <c r="T625" i="1"/>
  <c r="V625" i="1"/>
  <c r="X625" i="1"/>
  <c r="Z625" i="1"/>
  <c r="AA656" i="1"/>
  <c r="U656" i="1"/>
  <c r="Z656" i="1"/>
  <c r="T656" i="1"/>
  <c r="V656" i="1"/>
  <c r="X656" i="1"/>
  <c r="Z592" i="1"/>
  <c r="AA592" i="1"/>
  <c r="U592" i="1"/>
  <c r="V592" i="1"/>
  <c r="X592" i="1"/>
  <c r="T592" i="1"/>
  <c r="X528" i="1"/>
  <c r="Z528" i="1"/>
  <c r="T528" i="1"/>
  <c r="V528" i="1"/>
  <c r="AA528" i="1"/>
  <c r="U528" i="1"/>
  <c r="T464" i="1"/>
  <c r="U464" i="1"/>
  <c r="V464" i="1"/>
  <c r="X464" i="1"/>
  <c r="Z464" i="1"/>
  <c r="AA464" i="1"/>
  <c r="T400" i="1"/>
  <c r="U400" i="1"/>
  <c r="V400" i="1"/>
  <c r="X400" i="1"/>
  <c r="Z400" i="1"/>
  <c r="AA400" i="1"/>
  <c r="AA655" i="1"/>
  <c r="T655" i="1"/>
  <c r="U655" i="1"/>
  <c r="V655" i="1"/>
  <c r="Z655" i="1"/>
  <c r="X655" i="1"/>
  <c r="Z591" i="1"/>
  <c r="AA591" i="1"/>
  <c r="U591" i="1"/>
  <c r="V591" i="1"/>
  <c r="T591" i="1"/>
  <c r="X591" i="1"/>
  <c r="X527" i="1"/>
  <c r="Z527" i="1"/>
  <c r="T527" i="1"/>
  <c r="U527" i="1"/>
  <c r="V527" i="1"/>
  <c r="AA527" i="1"/>
  <c r="T463" i="1"/>
  <c r="U463" i="1"/>
  <c r="V463" i="1"/>
  <c r="X463" i="1"/>
  <c r="Z463" i="1"/>
  <c r="AA463" i="1"/>
  <c r="T399" i="1"/>
  <c r="U399" i="1"/>
  <c r="V399" i="1"/>
  <c r="X399" i="1"/>
  <c r="Z399" i="1"/>
  <c r="AA399" i="1"/>
  <c r="Z662" i="1"/>
  <c r="AA662" i="1"/>
  <c r="U662" i="1"/>
  <c r="T662" i="1"/>
  <c r="V662" i="1"/>
  <c r="X662" i="1"/>
  <c r="Z598" i="1"/>
  <c r="AA598" i="1"/>
  <c r="U598" i="1"/>
  <c r="V598" i="1"/>
  <c r="T598" i="1"/>
  <c r="X598" i="1"/>
  <c r="X534" i="1"/>
  <c r="Z534" i="1"/>
  <c r="T534" i="1"/>
  <c r="U534" i="1"/>
  <c r="V534" i="1"/>
  <c r="AA534" i="1"/>
  <c r="T470" i="1"/>
  <c r="U470" i="1"/>
  <c r="V470" i="1"/>
  <c r="X470" i="1"/>
  <c r="Z470" i="1"/>
  <c r="AA470" i="1"/>
  <c r="T406" i="1"/>
  <c r="U406" i="1"/>
  <c r="V406" i="1"/>
  <c r="X406" i="1"/>
  <c r="Z406" i="1"/>
  <c r="AA406" i="1"/>
  <c r="Z605" i="1"/>
  <c r="AA605" i="1"/>
  <c r="U605" i="1"/>
  <c r="V605" i="1"/>
  <c r="T605" i="1"/>
  <c r="X605" i="1"/>
  <c r="X541" i="1"/>
  <c r="Z541" i="1"/>
  <c r="T541" i="1"/>
  <c r="U541" i="1"/>
  <c r="AA541" i="1"/>
  <c r="V541" i="1"/>
  <c r="T477" i="1"/>
  <c r="U477" i="1"/>
  <c r="V477" i="1"/>
  <c r="X477" i="1"/>
  <c r="Z477" i="1"/>
  <c r="AA477" i="1"/>
  <c r="T413" i="1"/>
  <c r="U413" i="1"/>
  <c r="V413" i="1"/>
  <c r="X413" i="1"/>
  <c r="Z413" i="1"/>
  <c r="AA413" i="1"/>
  <c r="Z644" i="1"/>
  <c r="AA644" i="1"/>
  <c r="T644" i="1"/>
  <c r="U644" i="1"/>
  <c r="V644" i="1"/>
  <c r="X644" i="1"/>
  <c r="Z580" i="1"/>
  <c r="AA580" i="1"/>
  <c r="U580" i="1"/>
  <c r="V580" i="1"/>
  <c r="T580" i="1"/>
  <c r="X580" i="1"/>
  <c r="X516" i="1"/>
  <c r="Z516" i="1"/>
  <c r="T516" i="1"/>
  <c r="V516" i="1"/>
  <c r="AA516" i="1"/>
  <c r="U516" i="1"/>
  <c r="T452" i="1"/>
  <c r="U452" i="1"/>
  <c r="V452" i="1"/>
  <c r="X452" i="1"/>
  <c r="Z452" i="1"/>
  <c r="AA452" i="1"/>
  <c r="AA651" i="1"/>
  <c r="U651" i="1"/>
  <c r="T651" i="1"/>
  <c r="V651" i="1"/>
  <c r="Z651" i="1"/>
  <c r="X651" i="1"/>
  <c r="Z587" i="1"/>
  <c r="AA587" i="1"/>
  <c r="U587" i="1"/>
  <c r="V587" i="1"/>
  <c r="T587" i="1"/>
  <c r="X587" i="1"/>
  <c r="X523" i="1"/>
  <c r="Z523" i="1"/>
  <c r="T523" i="1"/>
  <c r="U523" i="1"/>
  <c r="V523" i="1"/>
  <c r="AA523" i="1"/>
  <c r="T459" i="1"/>
  <c r="U459" i="1"/>
  <c r="V459" i="1"/>
  <c r="X459" i="1"/>
  <c r="Z459" i="1"/>
  <c r="AA459" i="1"/>
  <c r="AA658" i="1"/>
  <c r="T658" i="1"/>
  <c r="U658" i="1"/>
  <c r="Z658" i="1"/>
  <c r="V658" i="1"/>
  <c r="X658" i="1"/>
  <c r="Z594" i="1"/>
  <c r="AA594" i="1"/>
  <c r="U594" i="1"/>
  <c r="V594" i="1"/>
  <c r="T594" i="1"/>
  <c r="X594" i="1"/>
  <c r="X530" i="1"/>
  <c r="Z530" i="1"/>
  <c r="T530" i="1"/>
  <c r="U530" i="1"/>
  <c r="V530" i="1"/>
  <c r="AA530" i="1"/>
  <c r="T466" i="1"/>
  <c r="U466" i="1"/>
  <c r="V466" i="1"/>
  <c r="X466" i="1"/>
  <c r="Z466" i="1"/>
  <c r="AA466" i="1"/>
  <c r="T402" i="1"/>
  <c r="U402" i="1"/>
  <c r="V402" i="1"/>
  <c r="X402" i="1"/>
  <c r="Z402" i="1"/>
  <c r="AA402" i="1"/>
  <c r="F38" i="1"/>
  <c r="H38" i="1" s="1"/>
  <c r="AD589" i="1"/>
  <c r="AE589" i="1"/>
  <c r="AF589" i="1"/>
  <c r="AD625" i="1"/>
  <c r="AE625" i="1"/>
  <c r="AF625" i="1"/>
  <c r="AD453" i="1"/>
  <c r="AE453" i="1"/>
  <c r="AF453" i="1"/>
  <c r="AD417" i="1"/>
  <c r="AE417" i="1"/>
  <c r="AF417" i="1"/>
  <c r="AD441" i="1"/>
  <c r="AE441" i="1"/>
  <c r="AF441" i="1"/>
  <c r="AD632" i="1"/>
  <c r="AE632" i="1"/>
  <c r="AF632" i="1"/>
  <c r="AD568" i="1"/>
  <c r="AE568" i="1"/>
  <c r="AF568" i="1"/>
  <c r="AD504" i="1"/>
  <c r="AE504" i="1"/>
  <c r="AF504" i="1"/>
  <c r="AD440" i="1"/>
  <c r="AE440" i="1"/>
  <c r="AF440" i="1"/>
  <c r="AD639" i="1"/>
  <c r="AE639" i="1"/>
  <c r="AF639" i="1"/>
  <c r="AD575" i="1"/>
  <c r="AE575" i="1"/>
  <c r="AF575" i="1"/>
  <c r="AD511" i="1"/>
  <c r="AE511" i="1"/>
  <c r="AF511" i="1"/>
  <c r="AD447" i="1"/>
  <c r="AE447" i="1"/>
  <c r="AF447" i="1"/>
  <c r="AD654" i="1"/>
  <c r="AE654" i="1"/>
  <c r="AF654" i="1"/>
  <c r="AD590" i="1"/>
  <c r="AE590" i="1"/>
  <c r="AF590" i="1"/>
  <c r="AD526" i="1"/>
  <c r="AE526" i="1"/>
  <c r="AF526" i="1"/>
  <c r="AD462" i="1"/>
  <c r="AE462" i="1"/>
  <c r="AF462" i="1"/>
  <c r="AD398" i="1"/>
  <c r="AE398" i="1"/>
  <c r="AF398" i="1"/>
  <c r="AD628" i="1"/>
  <c r="AE628" i="1"/>
  <c r="AF628" i="1"/>
  <c r="AD564" i="1"/>
  <c r="AE564" i="1"/>
  <c r="AF564" i="1"/>
  <c r="AD500" i="1"/>
  <c r="AE500" i="1"/>
  <c r="AF500" i="1"/>
  <c r="AD436" i="1"/>
  <c r="AE436" i="1"/>
  <c r="AF436" i="1"/>
  <c r="AD635" i="1"/>
  <c r="AE635" i="1"/>
  <c r="AF635" i="1"/>
  <c r="AD571" i="1"/>
  <c r="AE571" i="1"/>
  <c r="AF571" i="1"/>
  <c r="AD507" i="1"/>
  <c r="AE507" i="1"/>
  <c r="AF507" i="1"/>
  <c r="AD443" i="1"/>
  <c r="AE443" i="1"/>
  <c r="AF443" i="1"/>
  <c r="AD650" i="1"/>
  <c r="AE650" i="1"/>
  <c r="AF650" i="1"/>
  <c r="AD586" i="1"/>
  <c r="AE586" i="1"/>
  <c r="AF586" i="1"/>
  <c r="AD522" i="1"/>
  <c r="AE522" i="1"/>
  <c r="AF522" i="1"/>
  <c r="AD458" i="1"/>
  <c r="AE458" i="1"/>
  <c r="AF458" i="1"/>
  <c r="AD557" i="1"/>
  <c r="AE557" i="1"/>
  <c r="AF557" i="1"/>
  <c r="AD629" i="1"/>
  <c r="AE629" i="1"/>
  <c r="AF629" i="1"/>
  <c r="AD593" i="1"/>
  <c r="AE593" i="1"/>
  <c r="AF593" i="1"/>
  <c r="AD649" i="1"/>
  <c r="AE649" i="1"/>
  <c r="AF649" i="1"/>
  <c r="AD413" i="1"/>
  <c r="AE413" i="1"/>
  <c r="AF413" i="1"/>
  <c r="AD409" i="1"/>
  <c r="AE409" i="1"/>
  <c r="AF409" i="1"/>
  <c r="AD624" i="1"/>
  <c r="AE624" i="1"/>
  <c r="AF624" i="1"/>
  <c r="AD560" i="1"/>
  <c r="AE560" i="1"/>
  <c r="AF560" i="1"/>
  <c r="AD496" i="1"/>
  <c r="AE496" i="1"/>
  <c r="AF496" i="1"/>
  <c r="AD432" i="1"/>
  <c r="AE432" i="1"/>
  <c r="AF432" i="1"/>
  <c r="AD631" i="1"/>
  <c r="AE631" i="1"/>
  <c r="AF631" i="1"/>
  <c r="AD567" i="1"/>
  <c r="AE567" i="1"/>
  <c r="AF567" i="1"/>
  <c r="AD503" i="1"/>
  <c r="AE503" i="1"/>
  <c r="AF503" i="1"/>
  <c r="AD439" i="1"/>
  <c r="AE439" i="1"/>
  <c r="AF439" i="1"/>
  <c r="AD646" i="1"/>
  <c r="AE646" i="1"/>
  <c r="AF646" i="1"/>
  <c r="AD582" i="1"/>
  <c r="AE582" i="1"/>
  <c r="AF582" i="1"/>
  <c r="AD518" i="1"/>
  <c r="AE518" i="1"/>
  <c r="AF518" i="1"/>
  <c r="AD454" i="1"/>
  <c r="AE454" i="1"/>
  <c r="AF454" i="1"/>
  <c r="AD620" i="1"/>
  <c r="AE620" i="1"/>
  <c r="AF620" i="1"/>
  <c r="AD556" i="1"/>
  <c r="AE556" i="1"/>
  <c r="AF556" i="1"/>
  <c r="AD492" i="1"/>
  <c r="AE492" i="1"/>
  <c r="AF492" i="1"/>
  <c r="AD428" i="1"/>
  <c r="AE428" i="1"/>
  <c r="AF428" i="1"/>
  <c r="AD627" i="1"/>
  <c r="AE627" i="1"/>
  <c r="AF627" i="1"/>
  <c r="AD563" i="1"/>
  <c r="AE563" i="1"/>
  <c r="AF563" i="1"/>
  <c r="AD499" i="1"/>
  <c r="AE499" i="1"/>
  <c r="AF499" i="1"/>
  <c r="AD435" i="1"/>
  <c r="AE435" i="1"/>
  <c r="AF435" i="1"/>
  <c r="AD642" i="1"/>
  <c r="AE642" i="1"/>
  <c r="AF642" i="1"/>
  <c r="AD578" i="1"/>
  <c r="AE578" i="1"/>
  <c r="AF578" i="1"/>
  <c r="AD514" i="1"/>
  <c r="AE514" i="1"/>
  <c r="AF514" i="1"/>
  <c r="AD450" i="1"/>
  <c r="AE450" i="1"/>
  <c r="AF450" i="1"/>
  <c r="B29" i="1"/>
  <c r="H29" i="1" s="1"/>
  <c r="AD525" i="1"/>
  <c r="AE525" i="1"/>
  <c r="AF525" i="1"/>
  <c r="AD501" i="1"/>
  <c r="AE501" i="1"/>
  <c r="AF501" i="1"/>
  <c r="AD529" i="1"/>
  <c r="AE529" i="1"/>
  <c r="AF529" i="1"/>
  <c r="AD617" i="1"/>
  <c r="AE617" i="1"/>
  <c r="AF617" i="1"/>
  <c r="AD645" i="1"/>
  <c r="AE645" i="1"/>
  <c r="AF645" i="1"/>
  <c r="AD637" i="1"/>
  <c r="AE637" i="1"/>
  <c r="AF637" i="1"/>
  <c r="AD633" i="1"/>
  <c r="AE633" i="1"/>
  <c r="AF633" i="1"/>
  <c r="AD616" i="1"/>
  <c r="AE616" i="1"/>
  <c r="AF616" i="1"/>
  <c r="AD552" i="1"/>
  <c r="AE552" i="1"/>
  <c r="AF552" i="1"/>
  <c r="AD488" i="1"/>
  <c r="AE488" i="1"/>
  <c r="AF488" i="1"/>
  <c r="AD424" i="1"/>
  <c r="AE424" i="1"/>
  <c r="AF424" i="1"/>
  <c r="AD623" i="1"/>
  <c r="AE623" i="1"/>
  <c r="AF623" i="1"/>
  <c r="AD559" i="1"/>
  <c r="AE559" i="1"/>
  <c r="AF559" i="1"/>
  <c r="AD495" i="1"/>
  <c r="AE495" i="1"/>
  <c r="AF495" i="1"/>
  <c r="AD431" i="1"/>
  <c r="AE431" i="1"/>
  <c r="AF431" i="1"/>
  <c r="AD638" i="1"/>
  <c r="AE638" i="1"/>
  <c r="AF638" i="1"/>
  <c r="AD574" i="1"/>
  <c r="AE574" i="1"/>
  <c r="AF574" i="1"/>
  <c r="AD510" i="1"/>
  <c r="AE510" i="1"/>
  <c r="AF510" i="1"/>
  <c r="AD446" i="1"/>
  <c r="AE446" i="1"/>
  <c r="AF446" i="1"/>
  <c r="AD612" i="1"/>
  <c r="AE612" i="1"/>
  <c r="AF612" i="1"/>
  <c r="AD548" i="1"/>
  <c r="AE548" i="1"/>
  <c r="AF548" i="1"/>
  <c r="AD484" i="1"/>
  <c r="AE484" i="1"/>
  <c r="AF484" i="1"/>
  <c r="AD420" i="1"/>
  <c r="AE420" i="1"/>
  <c r="AF420" i="1"/>
  <c r="AD619" i="1"/>
  <c r="AE619" i="1"/>
  <c r="AF619" i="1"/>
  <c r="AD555" i="1"/>
  <c r="AE555" i="1"/>
  <c r="AF555" i="1"/>
  <c r="AD491" i="1"/>
  <c r="AE491" i="1"/>
  <c r="AF491" i="1"/>
  <c r="AD427" i="1"/>
  <c r="AE427" i="1"/>
  <c r="AF427" i="1"/>
  <c r="AD634" i="1"/>
  <c r="AE634" i="1"/>
  <c r="AF634" i="1"/>
  <c r="AD570" i="1"/>
  <c r="AE570" i="1"/>
  <c r="AF570" i="1"/>
  <c r="AD506" i="1"/>
  <c r="AE506" i="1"/>
  <c r="AF506" i="1"/>
  <c r="AD442" i="1"/>
  <c r="AE442" i="1"/>
  <c r="AF442" i="1"/>
  <c r="AD597" i="1"/>
  <c r="AE597" i="1"/>
  <c r="AF597" i="1"/>
  <c r="F39" i="1"/>
  <c r="B39" i="1" s="1"/>
  <c r="AD661" i="1"/>
  <c r="AE661" i="1"/>
  <c r="AF661" i="1"/>
  <c r="AD657" i="1"/>
  <c r="AE657" i="1"/>
  <c r="AF657" i="1"/>
  <c r="AD493" i="1"/>
  <c r="AE493" i="1"/>
  <c r="AF493" i="1"/>
  <c r="AD405" i="1"/>
  <c r="AE405" i="1"/>
  <c r="AF405" i="1"/>
  <c r="AD433" i="1"/>
  <c r="AE433" i="1"/>
  <c r="AF433" i="1"/>
  <c r="AD585" i="1"/>
  <c r="AE585" i="1"/>
  <c r="AF585" i="1"/>
  <c r="AD581" i="1"/>
  <c r="AE581" i="1"/>
  <c r="AF581" i="1"/>
  <c r="AD605" i="1"/>
  <c r="AE605" i="1"/>
  <c r="AF605" i="1"/>
  <c r="AD601" i="1"/>
  <c r="AE601" i="1"/>
  <c r="AF601" i="1"/>
  <c r="AD608" i="1"/>
  <c r="AE608" i="1"/>
  <c r="AF608" i="1"/>
  <c r="AD544" i="1"/>
  <c r="AE544" i="1"/>
  <c r="AF544" i="1"/>
  <c r="AD480" i="1"/>
  <c r="AE480" i="1"/>
  <c r="AF480" i="1"/>
  <c r="AD416" i="1"/>
  <c r="AE416" i="1"/>
  <c r="AF416" i="1"/>
  <c r="AD615" i="1"/>
  <c r="AE615" i="1"/>
  <c r="AF615" i="1"/>
  <c r="AD551" i="1"/>
  <c r="AE551" i="1"/>
  <c r="AF551" i="1"/>
  <c r="AD487" i="1"/>
  <c r="AE487" i="1"/>
  <c r="AF487" i="1"/>
  <c r="AD423" i="1"/>
  <c r="AE423" i="1"/>
  <c r="AF423" i="1"/>
  <c r="AD630" i="1"/>
  <c r="AE630" i="1"/>
  <c r="AF630" i="1"/>
  <c r="AD566" i="1"/>
  <c r="AE566" i="1"/>
  <c r="AF566" i="1"/>
  <c r="AD502" i="1"/>
  <c r="AE502" i="1"/>
  <c r="AF502" i="1"/>
  <c r="AD438" i="1"/>
  <c r="AE438" i="1"/>
  <c r="AF438" i="1"/>
  <c r="AD604" i="1"/>
  <c r="AE604" i="1"/>
  <c r="AF604" i="1"/>
  <c r="AD540" i="1"/>
  <c r="AE540" i="1"/>
  <c r="AF540" i="1"/>
  <c r="AD476" i="1"/>
  <c r="AE476" i="1"/>
  <c r="AF476" i="1"/>
  <c r="AD412" i="1"/>
  <c r="AE412" i="1"/>
  <c r="AF412" i="1"/>
  <c r="AD611" i="1"/>
  <c r="AE611" i="1"/>
  <c r="AF611" i="1"/>
  <c r="AD547" i="1"/>
  <c r="AE547" i="1"/>
  <c r="AF547" i="1"/>
  <c r="AD483" i="1"/>
  <c r="AE483" i="1"/>
  <c r="AF483" i="1"/>
  <c r="AD419" i="1"/>
  <c r="AE419" i="1"/>
  <c r="AF419" i="1"/>
  <c r="AD626" i="1"/>
  <c r="AE626" i="1"/>
  <c r="AF626" i="1"/>
  <c r="AD562" i="1"/>
  <c r="AE562" i="1"/>
  <c r="AF562" i="1"/>
  <c r="AD498" i="1"/>
  <c r="AE498" i="1"/>
  <c r="AF498" i="1"/>
  <c r="AD434" i="1"/>
  <c r="AE434" i="1"/>
  <c r="AF434" i="1"/>
  <c r="AD425" i="1"/>
  <c r="AE425" i="1"/>
  <c r="AF425" i="1"/>
  <c r="F33" i="1"/>
  <c r="B33" i="1" s="1"/>
  <c r="AD533" i="1"/>
  <c r="AE533" i="1"/>
  <c r="AF533" i="1"/>
  <c r="AD561" i="1"/>
  <c r="AE561" i="1"/>
  <c r="AF561" i="1"/>
  <c r="AD461" i="1"/>
  <c r="AE461" i="1"/>
  <c r="AF461" i="1"/>
  <c r="AD553" i="1"/>
  <c r="AE553" i="1"/>
  <c r="AF553" i="1"/>
  <c r="AD437" i="1"/>
  <c r="AE437" i="1"/>
  <c r="AF437" i="1"/>
  <c r="AD517" i="1"/>
  <c r="AE517" i="1"/>
  <c r="AF517" i="1"/>
  <c r="AD573" i="1"/>
  <c r="AE573" i="1"/>
  <c r="AF573" i="1"/>
  <c r="AD569" i="1"/>
  <c r="AE569" i="1"/>
  <c r="AF569" i="1"/>
  <c r="AD600" i="1"/>
  <c r="AE600" i="1"/>
  <c r="AF600" i="1"/>
  <c r="AD536" i="1"/>
  <c r="AE536" i="1"/>
  <c r="AF536" i="1"/>
  <c r="AD472" i="1"/>
  <c r="AE472" i="1"/>
  <c r="AF472" i="1"/>
  <c r="AD408" i="1"/>
  <c r="AE408" i="1"/>
  <c r="AF408" i="1"/>
  <c r="AD607" i="1"/>
  <c r="AE607" i="1"/>
  <c r="AF607" i="1"/>
  <c r="AD543" i="1"/>
  <c r="AE543" i="1"/>
  <c r="AF543" i="1"/>
  <c r="AD479" i="1"/>
  <c r="AE479" i="1"/>
  <c r="AF479" i="1"/>
  <c r="AD415" i="1"/>
  <c r="AE415" i="1"/>
  <c r="AF415" i="1"/>
  <c r="AD622" i="1"/>
  <c r="AE622" i="1"/>
  <c r="AF622" i="1"/>
  <c r="AD558" i="1"/>
  <c r="AE558" i="1"/>
  <c r="AF558" i="1"/>
  <c r="AD494" i="1"/>
  <c r="AE494" i="1"/>
  <c r="AF494" i="1"/>
  <c r="AD430" i="1"/>
  <c r="AE430" i="1"/>
  <c r="AF430" i="1"/>
  <c r="AD660" i="1"/>
  <c r="AE660" i="1"/>
  <c r="AF660" i="1"/>
  <c r="AD596" i="1"/>
  <c r="AE596" i="1"/>
  <c r="AF596" i="1"/>
  <c r="AD532" i="1"/>
  <c r="AE532" i="1"/>
  <c r="AF532" i="1"/>
  <c r="AD468" i="1"/>
  <c r="AE468" i="1"/>
  <c r="AF468" i="1"/>
  <c r="AD404" i="1"/>
  <c r="AE404" i="1"/>
  <c r="AF404" i="1"/>
  <c r="AD603" i="1"/>
  <c r="AE603" i="1"/>
  <c r="AF603" i="1"/>
  <c r="AD539" i="1"/>
  <c r="AE539" i="1"/>
  <c r="AF539" i="1"/>
  <c r="AD475" i="1"/>
  <c r="AE475" i="1"/>
  <c r="AF475" i="1"/>
  <c r="AD411" i="1"/>
  <c r="AE411" i="1"/>
  <c r="AF411" i="1"/>
  <c r="AD618" i="1"/>
  <c r="AE618" i="1"/>
  <c r="AF618" i="1"/>
  <c r="AD554" i="1"/>
  <c r="AE554" i="1"/>
  <c r="AF554" i="1"/>
  <c r="AD490" i="1"/>
  <c r="AE490" i="1"/>
  <c r="AF490" i="1"/>
  <c r="AD426" i="1"/>
  <c r="AE426" i="1"/>
  <c r="AF426" i="1"/>
  <c r="AD445" i="1"/>
  <c r="AE445" i="1"/>
  <c r="AF445" i="1"/>
  <c r="F30" i="1"/>
  <c r="G30" i="1" s="1"/>
  <c r="AD469" i="1"/>
  <c r="AE469" i="1"/>
  <c r="AF469" i="1"/>
  <c r="AD497" i="1"/>
  <c r="AE497" i="1"/>
  <c r="AF497" i="1"/>
  <c r="AD429" i="1"/>
  <c r="AE429" i="1"/>
  <c r="AF429" i="1"/>
  <c r="AD521" i="1"/>
  <c r="AE521" i="1"/>
  <c r="AF521" i="1"/>
  <c r="AD613" i="1"/>
  <c r="AE613" i="1"/>
  <c r="AF613" i="1"/>
  <c r="AD485" i="1"/>
  <c r="AE485" i="1"/>
  <c r="AF485" i="1"/>
  <c r="AD641" i="1"/>
  <c r="AE641" i="1"/>
  <c r="AF641" i="1"/>
  <c r="AD541" i="1"/>
  <c r="AE541" i="1"/>
  <c r="AF541" i="1"/>
  <c r="AD565" i="1"/>
  <c r="AE565" i="1"/>
  <c r="AF565" i="1"/>
  <c r="AD537" i="1"/>
  <c r="AE537" i="1"/>
  <c r="AF537" i="1"/>
  <c r="AD656" i="1"/>
  <c r="AE656" i="1"/>
  <c r="AF656" i="1"/>
  <c r="AD592" i="1"/>
  <c r="AE592" i="1"/>
  <c r="AF592" i="1"/>
  <c r="AD528" i="1"/>
  <c r="AE528" i="1"/>
  <c r="AF528" i="1"/>
  <c r="AD464" i="1"/>
  <c r="AE464" i="1"/>
  <c r="AF464" i="1"/>
  <c r="AD400" i="1"/>
  <c r="AE400" i="1"/>
  <c r="AF400" i="1"/>
  <c r="AD599" i="1"/>
  <c r="AE599" i="1"/>
  <c r="AF599" i="1"/>
  <c r="AD535" i="1"/>
  <c r="AE535" i="1"/>
  <c r="AF535" i="1"/>
  <c r="AD471" i="1"/>
  <c r="AE471" i="1"/>
  <c r="AF471" i="1"/>
  <c r="AD407" i="1"/>
  <c r="AE407" i="1"/>
  <c r="AF407" i="1"/>
  <c r="AD614" i="1"/>
  <c r="AE614" i="1"/>
  <c r="AF614" i="1"/>
  <c r="AD550" i="1"/>
  <c r="AE550" i="1"/>
  <c r="AF550" i="1"/>
  <c r="AD486" i="1"/>
  <c r="AE486" i="1"/>
  <c r="AF486" i="1"/>
  <c r="AD422" i="1"/>
  <c r="AE422" i="1"/>
  <c r="AF422" i="1"/>
  <c r="AD652" i="1"/>
  <c r="AE652" i="1"/>
  <c r="AF652" i="1"/>
  <c r="AD588" i="1"/>
  <c r="AE588" i="1"/>
  <c r="AF588" i="1"/>
  <c r="AD524" i="1"/>
  <c r="AE524" i="1"/>
  <c r="AF524" i="1"/>
  <c r="AD460" i="1"/>
  <c r="AE460" i="1"/>
  <c r="AF460" i="1"/>
  <c r="AD396" i="1"/>
  <c r="AE396" i="1"/>
  <c r="AF396" i="1"/>
  <c r="AD659" i="1"/>
  <c r="AE659" i="1"/>
  <c r="AF659" i="1"/>
  <c r="AD595" i="1"/>
  <c r="AE595" i="1"/>
  <c r="AF595" i="1"/>
  <c r="AD531" i="1"/>
  <c r="AE531" i="1"/>
  <c r="AF531" i="1"/>
  <c r="AD467" i="1"/>
  <c r="AE467" i="1"/>
  <c r="AF467" i="1"/>
  <c r="AD403" i="1"/>
  <c r="AE403" i="1"/>
  <c r="AF403" i="1"/>
  <c r="AD610" i="1"/>
  <c r="AE610" i="1"/>
  <c r="AF610" i="1"/>
  <c r="AD546" i="1"/>
  <c r="AE546" i="1"/>
  <c r="AF546" i="1"/>
  <c r="AD482" i="1"/>
  <c r="AE482" i="1"/>
  <c r="AF482" i="1"/>
  <c r="AD418" i="1"/>
  <c r="AE418" i="1"/>
  <c r="AF418" i="1"/>
  <c r="AD465" i="1"/>
  <c r="AE465" i="1"/>
  <c r="AF465" i="1"/>
  <c r="AD653" i="1"/>
  <c r="AE653" i="1"/>
  <c r="AF653" i="1"/>
  <c r="AD397" i="1"/>
  <c r="AE397" i="1"/>
  <c r="AF397" i="1"/>
  <c r="AD489" i="1"/>
  <c r="AE489" i="1"/>
  <c r="AF489" i="1"/>
  <c r="AD577" i="1"/>
  <c r="AE577" i="1"/>
  <c r="AF577" i="1"/>
  <c r="AD421" i="1"/>
  <c r="AE421" i="1"/>
  <c r="AF421" i="1"/>
  <c r="AD545" i="1"/>
  <c r="AE545" i="1"/>
  <c r="AF545" i="1"/>
  <c r="AD509" i="1"/>
  <c r="AE509" i="1"/>
  <c r="AF509" i="1"/>
  <c r="AD609" i="1"/>
  <c r="AE609" i="1"/>
  <c r="AF609" i="1"/>
  <c r="AD505" i="1"/>
  <c r="AE505" i="1"/>
  <c r="AF505" i="1"/>
  <c r="AD648" i="1"/>
  <c r="AE648" i="1"/>
  <c r="AF648" i="1"/>
  <c r="AD584" i="1"/>
  <c r="AE584" i="1"/>
  <c r="AF584" i="1"/>
  <c r="AD520" i="1"/>
  <c r="AE520" i="1"/>
  <c r="AF520" i="1"/>
  <c r="AD456" i="1"/>
  <c r="AE456" i="1"/>
  <c r="AF456" i="1"/>
  <c r="AD655" i="1"/>
  <c r="AE655" i="1"/>
  <c r="AF655" i="1"/>
  <c r="AD591" i="1"/>
  <c r="AE591" i="1"/>
  <c r="AF591" i="1"/>
  <c r="AD527" i="1"/>
  <c r="AE527" i="1"/>
  <c r="AF527" i="1"/>
  <c r="AD463" i="1"/>
  <c r="AE463" i="1"/>
  <c r="AF463" i="1"/>
  <c r="AD399" i="1"/>
  <c r="AE399" i="1"/>
  <c r="AF399" i="1"/>
  <c r="AD606" i="1"/>
  <c r="AE606" i="1"/>
  <c r="AF606" i="1"/>
  <c r="AD542" i="1"/>
  <c r="AE542" i="1"/>
  <c r="AF542" i="1"/>
  <c r="AD478" i="1"/>
  <c r="AE478" i="1"/>
  <c r="AF478" i="1"/>
  <c r="AD414" i="1"/>
  <c r="AE414" i="1"/>
  <c r="AF414" i="1"/>
  <c r="AD644" i="1"/>
  <c r="AE644" i="1"/>
  <c r="AF644" i="1"/>
  <c r="AD580" i="1"/>
  <c r="AE580" i="1"/>
  <c r="AF580" i="1"/>
  <c r="AD516" i="1"/>
  <c r="AE516" i="1"/>
  <c r="AF516" i="1"/>
  <c r="AD452" i="1"/>
  <c r="AE452" i="1"/>
  <c r="AF452" i="1"/>
  <c r="AD651" i="1"/>
  <c r="AE651" i="1"/>
  <c r="AF651" i="1"/>
  <c r="AD587" i="1"/>
  <c r="AE587" i="1"/>
  <c r="AF587" i="1"/>
  <c r="AD523" i="1"/>
  <c r="AE523" i="1"/>
  <c r="AF523" i="1"/>
  <c r="AD459" i="1"/>
  <c r="AE459" i="1"/>
  <c r="AF459" i="1"/>
  <c r="AD602" i="1"/>
  <c r="AE602" i="1"/>
  <c r="AF602" i="1"/>
  <c r="AD538" i="1"/>
  <c r="AE538" i="1"/>
  <c r="AF538" i="1"/>
  <c r="AD474" i="1"/>
  <c r="AE474" i="1"/>
  <c r="AF474" i="1"/>
  <c r="AD410" i="1"/>
  <c r="AE410" i="1"/>
  <c r="AF410" i="1"/>
  <c r="AD401" i="1"/>
  <c r="AE401" i="1"/>
  <c r="AF401" i="1"/>
  <c r="AD621" i="1"/>
  <c r="AE621" i="1"/>
  <c r="AF621" i="1"/>
  <c r="AD457" i="1"/>
  <c r="AE457" i="1"/>
  <c r="AF457" i="1"/>
  <c r="AD449" i="1"/>
  <c r="AE449" i="1"/>
  <c r="AF449" i="1"/>
  <c r="AD481" i="1"/>
  <c r="AE481" i="1"/>
  <c r="AF481" i="1"/>
  <c r="AD477" i="1"/>
  <c r="AE477" i="1"/>
  <c r="AF477" i="1"/>
  <c r="AD549" i="1"/>
  <c r="AE549" i="1"/>
  <c r="AF549" i="1"/>
  <c r="AD513" i="1"/>
  <c r="AE513" i="1"/>
  <c r="AF513" i="1"/>
  <c r="AD473" i="1"/>
  <c r="AE473" i="1"/>
  <c r="AF473" i="1"/>
  <c r="AD640" i="1"/>
  <c r="AE640" i="1"/>
  <c r="AF640" i="1"/>
  <c r="AD576" i="1"/>
  <c r="AE576" i="1"/>
  <c r="AF576" i="1"/>
  <c r="AD512" i="1"/>
  <c r="AE512" i="1"/>
  <c r="AF512" i="1"/>
  <c r="AD448" i="1"/>
  <c r="AE448" i="1"/>
  <c r="AF448" i="1"/>
  <c r="AD647" i="1"/>
  <c r="AE647" i="1"/>
  <c r="AF647" i="1"/>
  <c r="AD583" i="1"/>
  <c r="AE583" i="1"/>
  <c r="AF583" i="1"/>
  <c r="AD519" i="1"/>
  <c r="AE519" i="1"/>
  <c r="AF519" i="1"/>
  <c r="AD455" i="1"/>
  <c r="AE455" i="1"/>
  <c r="AF455" i="1"/>
  <c r="AD662" i="1"/>
  <c r="AE662" i="1"/>
  <c r="AF662" i="1"/>
  <c r="AD598" i="1"/>
  <c r="AE598" i="1"/>
  <c r="AF598" i="1"/>
  <c r="AD534" i="1"/>
  <c r="AE534" i="1"/>
  <c r="AF534" i="1"/>
  <c r="AD470" i="1"/>
  <c r="AE470" i="1"/>
  <c r="AF470" i="1"/>
  <c r="AD406" i="1"/>
  <c r="AE406" i="1"/>
  <c r="AF406" i="1"/>
  <c r="AD636" i="1"/>
  <c r="AE636" i="1"/>
  <c r="AF636" i="1"/>
  <c r="AD572" i="1"/>
  <c r="AE572" i="1"/>
  <c r="AF572" i="1"/>
  <c r="AD508" i="1"/>
  <c r="AE508" i="1"/>
  <c r="AF508" i="1"/>
  <c r="AD444" i="1"/>
  <c r="AE444" i="1"/>
  <c r="AF444" i="1"/>
  <c r="AD643" i="1"/>
  <c r="AE643" i="1"/>
  <c r="AF643" i="1"/>
  <c r="AD579" i="1"/>
  <c r="AE579" i="1"/>
  <c r="AF579" i="1"/>
  <c r="AD515" i="1"/>
  <c r="AE515" i="1"/>
  <c r="AF515" i="1"/>
  <c r="AD451" i="1"/>
  <c r="AE451" i="1"/>
  <c r="AF451" i="1"/>
  <c r="AD658" i="1"/>
  <c r="AE658" i="1"/>
  <c r="AF658" i="1"/>
  <c r="AD594" i="1"/>
  <c r="AE594" i="1"/>
  <c r="AF594" i="1"/>
  <c r="AD530" i="1"/>
  <c r="AE530" i="1"/>
  <c r="AF530" i="1"/>
  <c r="AD466" i="1"/>
  <c r="AE466" i="1"/>
  <c r="AF466" i="1"/>
  <c r="AD402" i="1"/>
  <c r="AE402" i="1"/>
  <c r="AF402" i="1"/>
  <c r="F31" i="1"/>
  <c r="H31" i="1" s="1"/>
  <c r="F40" i="1"/>
  <c r="G40" i="1" s="1"/>
  <c r="B37" i="1"/>
  <c r="F34" i="1"/>
  <c r="H37" i="1"/>
  <c r="AD312" i="1"/>
  <c r="AE312" i="1"/>
  <c r="AF312" i="1"/>
  <c r="AE304" i="1"/>
  <c r="AF304" i="1"/>
  <c r="AD304" i="1"/>
  <c r="AD331" i="1"/>
  <c r="AF331" i="1"/>
  <c r="AE331" i="1"/>
  <c r="AD288" i="1"/>
  <c r="AE288" i="1"/>
  <c r="AF288" i="1"/>
  <c r="AD222" i="1"/>
  <c r="AE222" i="1"/>
  <c r="AF222" i="1"/>
  <c r="AD314" i="1"/>
  <c r="AE314" i="1"/>
  <c r="AF314" i="1"/>
  <c r="AF299" i="1"/>
  <c r="AE299" i="1"/>
  <c r="AD299" i="1"/>
  <c r="AD389" i="1"/>
  <c r="AE389" i="1"/>
  <c r="AF389" i="1"/>
  <c r="AD325" i="1"/>
  <c r="AE325" i="1"/>
  <c r="AF325" i="1"/>
  <c r="AD212" i="1"/>
  <c r="AE212" i="1"/>
  <c r="AF212" i="1"/>
  <c r="AE263" i="1"/>
  <c r="AD263" i="1"/>
  <c r="AF263" i="1"/>
  <c r="AE290" i="1"/>
  <c r="AF290" i="1"/>
  <c r="AD290" i="1"/>
  <c r="AE165" i="1"/>
  <c r="AD165" i="1"/>
  <c r="AF165" i="1"/>
  <c r="AD255" i="1"/>
  <c r="AE255" i="1"/>
  <c r="AF255" i="1"/>
  <c r="AD282" i="1"/>
  <c r="AF282" i="1"/>
  <c r="AE282" i="1"/>
  <c r="AE133" i="1"/>
  <c r="AF133" i="1"/>
  <c r="AD133" i="1"/>
  <c r="AD104" i="1"/>
  <c r="AE104" i="1"/>
  <c r="AF104" i="1"/>
  <c r="AD110" i="1"/>
  <c r="AE110" i="1"/>
  <c r="AF110" i="1"/>
  <c r="AF274" i="1"/>
  <c r="AD274" i="1"/>
  <c r="AE274" i="1"/>
  <c r="AD205" i="1"/>
  <c r="AE205" i="1"/>
  <c r="AF205" i="1"/>
  <c r="AF101" i="1"/>
  <c r="AD101" i="1"/>
  <c r="AE101" i="1"/>
  <c r="AD96" i="1"/>
  <c r="AE96" i="1"/>
  <c r="AF96" i="1"/>
  <c r="AD239" i="1"/>
  <c r="AE239" i="1"/>
  <c r="AF239" i="1"/>
  <c r="AE102" i="1"/>
  <c r="AF102" i="1"/>
  <c r="AD102" i="1"/>
  <c r="AD266" i="1"/>
  <c r="AE266" i="1"/>
  <c r="AF266" i="1"/>
  <c r="AD132" i="1"/>
  <c r="AE132" i="1"/>
  <c r="AF132" i="1"/>
  <c r="AD357" i="1"/>
  <c r="AE357" i="1"/>
  <c r="AF357" i="1"/>
  <c r="AE24" i="1"/>
  <c r="AD24" i="1"/>
  <c r="AF24" i="1"/>
  <c r="AD167" i="1"/>
  <c r="AE167" i="1"/>
  <c r="AF167" i="1"/>
  <c r="AD30" i="1"/>
  <c r="AF30" i="1"/>
  <c r="AE30" i="1"/>
  <c r="AD194" i="1"/>
  <c r="AE194" i="1"/>
  <c r="AF194" i="1"/>
  <c r="AD387" i="1"/>
  <c r="AE387" i="1"/>
  <c r="AF387" i="1"/>
  <c r="AD277" i="1"/>
  <c r="AE277" i="1"/>
  <c r="AF277" i="1"/>
  <c r="AF233" i="1"/>
  <c r="AD233" i="1"/>
  <c r="AE233" i="1"/>
  <c r="AF95" i="1"/>
  <c r="AD95" i="1"/>
  <c r="AE95" i="1"/>
  <c r="AE251" i="1"/>
  <c r="AF251" i="1"/>
  <c r="AD251" i="1"/>
  <c r="AF122" i="1"/>
  <c r="AD122" i="1"/>
  <c r="AE122" i="1"/>
  <c r="AE333" i="1"/>
  <c r="AF333" i="1"/>
  <c r="AD333" i="1"/>
  <c r="AF392" i="1"/>
  <c r="AD392" i="1"/>
  <c r="AE392" i="1"/>
  <c r="AF161" i="1"/>
  <c r="AD161" i="1"/>
  <c r="AE161" i="1"/>
  <c r="AF23" i="1"/>
  <c r="AD23" i="1"/>
  <c r="AE23" i="1"/>
  <c r="AF179" i="1"/>
  <c r="AD179" i="1"/>
  <c r="AE179" i="1"/>
  <c r="AE50" i="1"/>
  <c r="AD50" i="1"/>
  <c r="AF50" i="1"/>
  <c r="AE76" i="1"/>
  <c r="AD76" i="1"/>
  <c r="AF76" i="1"/>
  <c r="AE320" i="1"/>
  <c r="AF320" i="1"/>
  <c r="AD320" i="1"/>
  <c r="AF89" i="1"/>
  <c r="AE89" i="1"/>
  <c r="AD89" i="1"/>
  <c r="AD326" i="1"/>
  <c r="AE326" i="1"/>
  <c r="AF326" i="1"/>
  <c r="AE107" i="1"/>
  <c r="AF107" i="1"/>
  <c r="AD107" i="1"/>
  <c r="AA339" i="1"/>
  <c r="X339" i="1"/>
  <c r="V339" i="1"/>
  <c r="U339" i="1"/>
  <c r="Z339" i="1"/>
  <c r="T339" i="1"/>
  <c r="AA240" i="1"/>
  <c r="U240" i="1"/>
  <c r="X240" i="1"/>
  <c r="T240" i="1"/>
  <c r="Z240" i="1"/>
  <c r="V240" i="1"/>
  <c r="AA184" i="1"/>
  <c r="U184" i="1"/>
  <c r="Z184" i="1"/>
  <c r="X184" i="1"/>
  <c r="V184" i="1"/>
  <c r="T184" i="1"/>
  <c r="AA369" i="1"/>
  <c r="V369" i="1"/>
  <c r="T369" i="1"/>
  <c r="Z369" i="1"/>
  <c r="U369" i="1"/>
  <c r="X369" i="1"/>
  <c r="AA283" i="1"/>
  <c r="X283" i="1"/>
  <c r="V283" i="1"/>
  <c r="T283" i="1"/>
  <c r="Z283" i="1"/>
  <c r="U283" i="1"/>
  <c r="AA202" i="1"/>
  <c r="X202" i="1"/>
  <c r="U202" i="1"/>
  <c r="V202" i="1"/>
  <c r="T202" i="1"/>
  <c r="Z202" i="1"/>
  <c r="AA180" i="1"/>
  <c r="X180" i="1"/>
  <c r="T180" i="1"/>
  <c r="Z180" i="1"/>
  <c r="U180" i="1"/>
  <c r="V180" i="1"/>
  <c r="AA282" i="1"/>
  <c r="X282" i="1"/>
  <c r="U282" i="1"/>
  <c r="Z282" i="1"/>
  <c r="T282" i="1"/>
  <c r="V282" i="1"/>
  <c r="AA50" i="1"/>
  <c r="T50" i="1"/>
  <c r="Z50" i="1"/>
  <c r="U50" i="1"/>
  <c r="X50" i="1"/>
  <c r="V50" i="1"/>
  <c r="AA160" i="1"/>
  <c r="U160" i="1"/>
  <c r="X160" i="1"/>
  <c r="T160" i="1"/>
  <c r="V160" i="1"/>
  <c r="Z160" i="1"/>
  <c r="AA24" i="1"/>
  <c r="X24" i="1"/>
  <c r="T24" i="1"/>
  <c r="V24" i="1"/>
  <c r="U24" i="1"/>
  <c r="Z24" i="1"/>
  <c r="AA52" i="1"/>
  <c r="U52" i="1"/>
  <c r="X52" i="1"/>
  <c r="T52" i="1"/>
  <c r="V52" i="1"/>
  <c r="Z52" i="1"/>
  <c r="AA393" i="1"/>
  <c r="V393" i="1"/>
  <c r="U393" i="1"/>
  <c r="Z393" i="1"/>
  <c r="X393" i="1"/>
  <c r="T393" i="1"/>
  <c r="AA342" i="1"/>
  <c r="V342" i="1"/>
  <c r="T342" i="1"/>
  <c r="Z342" i="1"/>
  <c r="X342" i="1"/>
  <c r="U342" i="1"/>
  <c r="AA99" i="1"/>
  <c r="X99" i="1"/>
  <c r="T99" i="1"/>
  <c r="Z99" i="1"/>
  <c r="V99" i="1"/>
  <c r="U99" i="1"/>
  <c r="AA373" i="1"/>
  <c r="X373" i="1"/>
  <c r="U373" i="1"/>
  <c r="Z373" i="1"/>
  <c r="T373" i="1"/>
  <c r="V373" i="1"/>
  <c r="AA148" i="1"/>
  <c r="V148" i="1"/>
  <c r="Z148" i="1"/>
  <c r="X148" i="1"/>
  <c r="T148" i="1"/>
  <c r="U148" i="1"/>
  <c r="AA113" i="1"/>
  <c r="U113" i="1"/>
  <c r="X113" i="1"/>
  <c r="T113" i="1"/>
  <c r="V113" i="1"/>
  <c r="Z113" i="1"/>
  <c r="AA231" i="1"/>
  <c r="T231" i="1"/>
  <c r="U231" i="1"/>
  <c r="X231" i="1"/>
  <c r="Z231" i="1"/>
  <c r="V231" i="1"/>
  <c r="AA122" i="1"/>
  <c r="X122" i="1"/>
  <c r="U122" i="1"/>
  <c r="V122" i="1"/>
  <c r="T122" i="1"/>
  <c r="Z122" i="1"/>
  <c r="AA390" i="1"/>
  <c r="X390" i="1"/>
  <c r="U390" i="1"/>
  <c r="Z390" i="1"/>
  <c r="T390" i="1"/>
  <c r="V390" i="1"/>
  <c r="AA175" i="1"/>
  <c r="V175" i="1"/>
  <c r="U175" i="1"/>
  <c r="T175" i="1"/>
  <c r="Z175" i="1"/>
  <c r="X175" i="1"/>
  <c r="V81" i="1"/>
  <c r="T81" i="1"/>
  <c r="Z81" i="1"/>
  <c r="U81" i="1"/>
  <c r="X81" i="1"/>
  <c r="AA81" i="1"/>
  <c r="U333" i="1"/>
  <c r="T333" i="1"/>
  <c r="Z333" i="1"/>
  <c r="V333" i="1"/>
  <c r="X333" i="1"/>
  <c r="AA333" i="1"/>
  <c r="AA371" i="1"/>
  <c r="X371" i="1"/>
  <c r="V371" i="1"/>
  <c r="Z371" i="1"/>
  <c r="T371" i="1"/>
  <c r="U371" i="1"/>
  <c r="AA315" i="1"/>
  <c r="X315" i="1"/>
  <c r="T315" i="1"/>
  <c r="Z315" i="1"/>
  <c r="U315" i="1"/>
  <c r="V315" i="1"/>
  <c r="AA277" i="1"/>
  <c r="X277" i="1"/>
  <c r="T277" i="1"/>
  <c r="Z277" i="1"/>
  <c r="U277" i="1"/>
  <c r="V277" i="1"/>
  <c r="AA312" i="1"/>
  <c r="X312" i="1"/>
  <c r="T312" i="1"/>
  <c r="Z312" i="1"/>
  <c r="V312" i="1"/>
  <c r="U312" i="1"/>
  <c r="T139" i="1"/>
  <c r="Z139" i="1"/>
  <c r="V139" i="1"/>
  <c r="AA139" i="1"/>
  <c r="X139" i="1"/>
  <c r="U139" i="1"/>
  <c r="AA39" i="1"/>
  <c r="V39" i="1"/>
  <c r="Z39" i="1"/>
  <c r="X39" i="1"/>
  <c r="T39" i="1"/>
  <c r="U39" i="1"/>
  <c r="AA251" i="1"/>
  <c r="X251" i="1"/>
  <c r="T251" i="1"/>
  <c r="Z251" i="1"/>
  <c r="V251" i="1"/>
  <c r="U251" i="1"/>
  <c r="AA372" i="1"/>
  <c r="U372" i="1"/>
  <c r="X372" i="1"/>
  <c r="V372" i="1"/>
  <c r="T372" i="1"/>
  <c r="Z372" i="1"/>
  <c r="AA248" i="1"/>
  <c r="V248" i="1"/>
  <c r="Z248" i="1"/>
  <c r="X248" i="1"/>
  <c r="U248" i="1"/>
  <c r="T248" i="1"/>
  <c r="AA59" i="1"/>
  <c r="U59" i="1"/>
  <c r="Z59" i="1"/>
  <c r="X59" i="1"/>
  <c r="T59" i="1"/>
  <c r="V59" i="1"/>
  <c r="AA179" i="1"/>
  <c r="X179" i="1"/>
  <c r="U179" i="1"/>
  <c r="Z179" i="1"/>
  <c r="T179" i="1"/>
  <c r="V179" i="1"/>
  <c r="AA375" i="1"/>
  <c r="X375" i="1"/>
  <c r="V375" i="1"/>
  <c r="Z375" i="1"/>
  <c r="T375" i="1"/>
  <c r="U375" i="1"/>
  <c r="AA351" i="1"/>
  <c r="T351" i="1"/>
  <c r="X351" i="1"/>
  <c r="Z351" i="1"/>
  <c r="V351" i="1"/>
  <c r="U351" i="1"/>
  <c r="AA317" i="1"/>
  <c r="Z317" i="1"/>
  <c r="X317" i="1"/>
  <c r="U317" i="1"/>
  <c r="V317" i="1"/>
  <c r="T317" i="1"/>
  <c r="AA362" i="1"/>
  <c r="T362" i="1"/>
  <c r="Z362" i="1"/>
  <c r="X362" i="1"/>
  <c r="U362" i="1"/>
  <c r="V362" i="1"/>
  <c r="AA159" i="1"/>
  <c r="V159" i="1"/>
  <c r="Z159" i="1"/>
  <c r="T159" i="1"/>
  <c r="X159" i="1"/>
  <c r="U159" i="1"/>
  <c r="AA335" i="1"/>
  <c r="U335" i="1"/>
  <c r="T335" i="1"/>
  <c r="Z335" i="1"/>
  <c r="X335" i="1"/>
  <c r="V335" i="1"/>
  <c r="AA137" i="1"/>
  <c r="Z137" i="1"/>
  <c r="X137" i="1"/>
  <c r="T137" i="1"/>
  <c r="V137" i="1"/>
  <c r="U137" i="1"/>
  <c r="AA210" i="1"/>
  <c r="Z210" i="1"/>
  <c r="X210" i="1"/>
  <c r="V210" i="1"/>
  <c r="T210" i="1"/>
  <c r="U210" i="1"/>
  <c r="U149" i="1"/>
  <c r="Z149" i="1"/>
  <c r="X149" i="1"/>
  <c r="V149" i="1"/>
  <c r="AA149" i="1"/>
  <c r="T149" i="1"/>
  <c r="AA263" i="1"/>
  <c r="X263" i="1"/>
  <c r="T263" i="1"/>
  <c r="Z263" i="1"/>
  <c r="V263" i="1"/>
  <c r="U263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V18" i="1"/>
  <c r="Z18" i="1"/>
  <c r="X18" i="1"/>
  <c r="U18" i="1"/>
  <c r="AA18" i="1"/>
  <c r="T18" i="1"/>
  <c r="V114" i="1"/>
  <c r="AA114" i="1"/>
  <c r="U114" i="1"/>
  <c r="Z114" i="1"/>
  <c r="X114" i="1"/>
  <c r="T114" i="1"/>
  <c r="G43" i="1"/>
  <c r="B43" i="1"/>
  <c r="H43" i="1"/>
  <c r="AF379" i="1"/>
  <c r="AE379" i="1"/>
  <c r="AD379" i="1"/>
  <c r="AD292" i="1"/>
  <c r="AF292" i="1"/>
  <c r="AE292" i="1"/>
  <c r="AD164" i="1"/>
  <c r="AE164" i="1"/>
  <c r="AF164" i="1"/>
  <c r="AE60" i="1"/>
  <c r="AD60" i="1"/>
  <c r="AF60" i="1"/>
  <c r="AF386" i="1"/>
  <c r="AE386" i="1"/>
  <c r="AD386" i="1"/>
  <c r="AE347" i="1"/>
  <c r="AF347" i="1"/>
  <c r="AD347" i="1"/>
  <c r="AD221" i="1"/>
  <c r="AE221" i="1"/>
  <c r="AF221" i="1"/>
  <c r="AD93" i="1"/>
  <c r="AE93" i="1"/>
  <c r="AF93" i="1"/>
  <c r="AD341" i="1"/>
  <c r="AE341" i="1"/>
  <c r="AF341" i="1"/>
  <c r="AF232" i="1"/>
  <c r="AD232" i="1"/>
  <c r="AE232" i="1"/>
  <c r="AF380" i="1"/>
  <c r="AD380" i="1"/>
  <c r="AE380" i="1"/>
  <c r="AD120" i="1"/>
  <c r="AF120" i="1"/>
  <c r="AE120" i="1"/>
  <c r="AD126" i="1"/>
  <c r="AE126" i="1"/>
  <c r="AF126" i="1"/>
  <c r="AF269" i="1"/>
  <c r="AD269" i="1"/>
  <c r="AE269" i="1"/>
  <c r="AE112" i="1"/>
  <c r="AF112" i="1"/>
  <c r="AD112" i="1"/>
  <c r="AD118" i="1"/>
  <c r="AE118" i="1"/>
  <c r="AF118" i="1"/>
  <c r="AF237" i="1"/>
  <c r="AD237" i="1"/>
  <c r="AE237" i="1"/>
  <c r="AE247" i="1"/>
  <c r="AD247" i="1"/>
  <c r="AF247" i="1"/>
  <c r="AF45" i="1"/>
  <c r="AD45" i="1"/>
  <c r="AE45" i="1"/>
  <c r="AE68" i="1"/>
  <c r="AD68" i="1"/>
  <c r="AF68" i="1"/>
  <c r="AD56" i="1"/>
  <c r="AF56" i="1"/>
  <c r="AE56" i="1"/>
  <c r="AF199" i="1"/>
  <c r="AE199" i="1"/>
  <c r="AD199" i="1"/>
  <c r="AF62" i="1"/>
  <c r="AE62" i="1"/>
  <c r="AD62" i="1"/>
  <c r="AF226" i="1"/>
  <c r="AD226" i="1"/>
  <c r="AE226" i="1"/>
  <c r="AD363" i="1"/>
  <c r="AF363" i="1"/>
  <c r="AE363" i="1"/>
  <c r="AE345" i="1"/>
  <c r="AF345" i="1"/>
  <c r="AD345" i="1"/>
  <c r="AE48" i="1"/>
  <c r="AD48" i="1"/>
  <c r="AF48" i="1"/>
  <c r="AD191" i="1"/>
  <c r="AE191" i="1"/>
  <c r="AF191" i="1"/>
  <c r="AD54" i="1"/>
  <c r="AE54" i="1"/>
  <c r="AF54" i="1"/>
  <c r="AD218" i="1"/>
  <c r="AE218" i="1"/>
  <c r="AF218" i="1"/>
  <c r="AF315" i="1"/>
  <c r="AD315" i="1"/>
  <c r="AE315" i="1"/>
  <c r="AF253" i="1"/>
  <c r="AD253" i="1"/>
  <c r="AE253" i="1"/>
  <c r="AD40" i="1"/>
  <c r="AF40" i="1"/>
  <c r="AE40" i="1"/>
  <c r="AF183" i="1"/>
  <c r="AD183" i="1"/>
  <c r="AE183" i="1"/>
  <c r="AE46" i="1"/>
  <c r="AD46" i="1"/>
  <c r="AF46" i="1"/>
  <c r="AD210" i="1"/>
  <c r="AE210" i="1"/>
  <c r="AF210" i="1"/>
  <c r="AF228" i="1"/>
  <c r="AD228" i="1"/>
  <c r="AE228" i="1"/>
  <c r="AF29" i="1"/>
  <c r="AD29" i="1"/>
  <c r="AE29" i="1"/>
  <c r="AE32" i="1"/>
  <c r="AD32" i="1"/>
  <c r="AF32" i="1"/>
  <c r="AF175" i="1"/>
  <c r="AD175" i="1"/>
  <c r="AE175" i="1"/>
  <c r="AE38" i="1"/>
  <c r="AF38" i="1"/>
  <c r="AD38" i="1"/>
  <c r="AE202" i="1"/>
  <c r="AD202" i="1"/>
  <c r="AF202" i="1"/>
  <c r="AF28" i="1"/>
  <c r="AD28" i="1"/>
  <c r="AE28" i="1"/>
  <c r="AD308" i="1"/>
  <c r="AF308" i="1"/>
  <c r="AE308" i="1"/>
  <c r="AD241" i="1"/>
  <c r="AF241" i="1"/>
  <c r="AE241" i="1"/>
  <c r="AE103" i="1"/>
  <c r="AF103" i="1"/>
  <c r="AD103" i="1"/>
  <c r="AE259" i="1"/>
  <c r="AD259" i="1"/>
  <c r="AF259" i="1"/>
  <c r="AD130" i="1"/>
  <c r="AF130" i="1"/>
  <c r="AE130" i="1"/>
  <c r="AF365" i="1"/>
  <c r="AE365" i="1"/>
  <c r="AD365" i="1"/>
  <c r="AF21" i="1"/>
  <c r="AE21" i="1"/>
  <c r="AD21" i="1"/>
  <c r="AF169" i="1"/>
  <c r="AE169" i="1"/>
  <c r="AD169" i="1"/>
  <c r="AF31" i="1"/>
  <c r="AD31" i="1"/>
  <c r="AE31" i="1"/>
  <c r="AE187" i="1"/>
  <c r="AF187" i="1"/>
  <c r="AD187" i="1"/>
  <c r="AE58" i="1"/>
  <c r="AD58" i="1"/>
  <c r="AF58" i="1"/>
  <c r="AF108" i="1"/>
  <c r="AD108" i="1"/>
  <c r="AE108" i="1"/>
  <c r="AF328" i="1"/>
  <c r="AE328" i="1"/>
  <c r="AD328" i="1"/>
  <c r="AF97" i="1"/>
  <c r="AD97" i="1"/>
  <c r="AE97" i="1"/>
  <c r="AD334" i="1"/>
  <c r="AE334" i="1"/>
  <c r="AF334" i="1"/>
  <c r="AF115" i="1"/>
  <c r="AD115" i="1"/>
  <c r="AE115" i="1"/>
  <c r="AF189" i="1"/>
  <c r="AD189" i="1"/>
  <c r="AE189" i="1"/>
  <c r="AF157" i="1"/>
  <c r="AE157" i="1"/>
  <c r="AD157" i="1"/>
  <c r="AD256" i="1"/>
  <c r="AE256" i="1"/>
  <c r="AF256" i="1"/>
  <c r="AF25" i="1"/>
  <c r="AE25" i="1"/>
  <c r="AD25" i="1"/>
  <c r="AE262" i="1"/>
  <c r="AF262" i="1"/>
  <c r="AD262" i="1"/>
  <c r="AF43" i="1"/>
  <c r="AD43" i="1"/>
  <c r="AE43" i="1"/>
  <c r="G36" i="1"/>
  <c r="H36" i="1"/>
  <c r="B36" i="1"/>
  <c r="AA208" i="1"/>
  <c r="V208" i="1"/>
  <c r="X208" i="1"/>
  <c r="Z208" i="1"/>
  <c r="U208" i="1"/>
  <c r="T208" i="1"/>
  <c r="AA84" i="1"/>
  <c r="V84" i="1"/>
  <c r="Z84" i="1"/>
  <c r="T84" i="1"/>
  <c r="U84" i="1"/>
  <c r="X84" i="1"/>
  <c r="AA229" i="1"/>
  <c r="T229" i="1"/>
  <c r="U229" i="1"/>
  <c r="V229" i="1"/>
  <c r="Z229" i="1"/>
  <c r="X229" i="1"/>
  <c r="AA23" i="1"/>
  <c r="T23" i="1"/>
  <c r="X23" i="1"/>
  <c r="V23" i="1"/>
  <c r="U23" i="1"/>
  <c r="Z23" i="1"/>
  <c r="AA205" i="1"/>
  <c r="X205" i="1"/>
  <c r="V205" i="1"/>
  <c r="T205" i="1"/>
  <c r="Z205" i="1"/>
  <c r="U205" i="1"/>
  <c r="U254" i="1"/>
  <c r="V254" i="1"/>
  <c r="X254" i="1"/>
  <c r="T254" i="1"/>
  <c r="AA254" i="1"/>
  <c r="Z254" i="1"/>
  <c r="AA37" i="1"/>
  <c r="V37" i="1"/>
  <c r="Z37" i="1"/>
  <c r="X37" i="1"/>
  <c r="U37" i="1"/>
  <c r="T37" i="1"/>
  <c r="AA21" i="1"/>
  <c r="X21" i="1"/>
  <c r="T21" i="1"/>
  <c r="Z21" i="1"/>
  <c r="V21" i="1"/>
  <c r="U21" i="1"/>
  <c r="AA354" i="1"/>
  <c r="U354" i="1"/>
  <c r="Z354" i="1"/>
  <c r="X354" i="1"/>
  <c r="T354" i="1"/>
  <c r="V354" i="1"/>
  <c r="AA60" i="1"/>
  <c r="T60" i="1"/>
  <c r="U60" i="1"/>
  <c r="X60" i="1"/>
  <c r="Z60" i="1"/>
  <c r="V60" i="1"/>
  <c r="AA242" i="1"/>
  <c r="T242" i="1"/>
  <c r="Z242" i="1"/>
  <c r="V242" i="1"/>
  <c r="X242" i="1"/>
  <c r="U242" i="1"/>
  <c r="AA166" i="1"/>
  <c r="U166" i="1"/>
  <c r="Z166" i="1"/>
  <c r="V166" i="1"/>
  <c r="X166" i="1"/>
  <c r="T166" i="1"/>
  <c r="AA218" i="1"/>
  <c r="T218" i="1"/>
  <c r="U218" i="1"/>
  <c r="Z218" i="1"/>
  <c r="X218" i="1"/>
  <c r="V218" i="1"/>
  <c r="AA387" i="1"/>
  <c r="V387" i="1"/>
  <c r="T387" i="1"/>
  <c r="X387" i="1"/>
  <c r="U387" i="1"/>
  <c r="Z387" i="1"/>
  <c r="AA96" i="1"/>
  <c r="X96" i="1"/>
  <c r="V96" i="1"/>
  <c r="Z96" i="1"/>
  <c r="U96" i="1"/>
  <c r="T96" i="1"/>
  <c r="AA26" i="1"/>
  <c r="U26" i="1"/>
  <c r="X26" i="1"/>
  <c r="V26" i="1"/>
  <c r="Z26" i="1"/>
  <c r="T26" i="1"/>
  <c r="AA142" i="1"/>
  <c r="T142" i="1"/>
  <c r="X142" i="1"/>
  <c r="Z142" i="1"/>
  <c r="V142" i="1"/>
  <c r="U142" i="1"/>
  <c r="AA328" i="1"/>
  <c r="T328" i="1"/>
  <c r="X328" i="1"/>
  <c r="V328" i="1"/>
  <c r="Z328" i="1"/>
  <c r="U328" i="1"/>
  <c r="AA45" i="1"/>
  <c r="V45" i="1"/>
  <c r="X45" i="1"/>
  <c r="Z45" i="1"/>
  <c r="T45" i="1"/>
  <c r="U45" i="1"/>
  <c r="AA300" i="1"/>
  <c r="T300" i="1"/>
  <c r="U300" i="1"/>
  <c r="Z300" i="1"/>
  <c r="X300" i="1"/>
  <c r="V300" i="1"/>
  <c r="AA233" i="1"/>
  <c r="X233" i="1"/>
  <c r="V233" i="1"/>
  <c r="Z233" i="1"/>
  <c r="U233" i="1"/>
  <c r="T233" i="1"/>
  <c r="V219" i="1"/>
  <c r="AA219" i="1"/>
  <c r="U219" i="1"/>
  <c r="T219" i="1"/>
  <c r="Z219" i="1"/>
  <c r="X219" i="1"/>
  <c r="V123" i="1"/>
  <c r="U123" i="1"/>
  <c r="Z123" i="1"/>
  <c r="T123" i="1"/>
  <c r="X123" i="1"/>
  <c r="AA123" i="1"/>
  <c r="X102" i="1"/>
  <c r="V102" i="1"/>
  <c r="U102" i="1"/>
  <c r="Z102" i="1"/>
  <c r="T102" i="1"/>
  <c r="AA102" i="1"/>
  <c r="AA324" i="1"/>
  <c r="T324" i="1"/>
  <c r="Z324" i="1"/>
  <c r="X324" i="1"/>
  <c r="V324" i="1"/>
  <c r="U324" i="1"/>
  <c r="AA246" i="1"/>
  <c r="U246" i="1"/>
  <c r="Z246" i="1"/>
  <c r="X246" i="1"/>
  <c r="V246" i="1"/>
  <c r="T246" i="1"/>
  <c r="AA322" i="1"/>
  <c r="V322" i="1"/>
  <c r="U322" i="1"/>
  <c r="X322" i="1"/>
  <c r="Z322" i="1"/>
  <c r="T322" i="1"/>
  <c r="AA132" i="1"/>
  <c r="X132" i="1"/>
  <c r="V132" i="1"/>
  <c r="Z132" i="1"/>
  <c r="T132" i="1"/>
  <c r="U132" i="1"/>
  <c r="AA54" i="1"/>
  <c r="X54" i="1"/>
  <c r="T54" i="1"/>
  <c r="Z54" i="1"/>
  <c r="V54" i="1"/>
  <c r="U54" i="1"/>
  <c r="AA79" i="1"/>
  <c r="T79" i="1"/>
  <c r="U79" i="1"/>
  <c r="Z79" i="1"/>
  <c r="X79" i="1"/>
  <c r="V79" i="1"/>
  <c r="AA182" i="1"/>
  <c r="T182" i="1"/>
  <c r="Z182" i="1"/>
  <c r="X182" i="1"/>
  <c r="U182" i="1"/>
  <c r="V182" i="1"/>
  <c r="AA35" i="1"/>
  <c r="T35" i="1"/>
  <c r="X35" i="1"/>
  <c r="V35" i="1"/>
  <c r="Z35" i="1"/>
  <c r="U35" i="1"/>
  <c r="AA340" i="1"/>
  <c r="X340" i="1"/>
  <c r="T340" i="1"/>
  <c r="Z340" i="1"/>
  <c r="V340" i="1"/>
  <c r="U340" i="1"/>
  <c r="AA341" i="1"/>
  <c r="X341" i="1"/>
  <c r="U341" i="1"/>
  <c r="Z341" i="1"/>
  <c r="V341" i="1"/>
  <c r="T341" i="1"/>
  <c r="AA51" i="1"/>
  <c r="U51" i="1"/>
  <c r="X51" i="1"/>
  <c r="V51" i="1"/>
  <c r="Z51" i="1"/>
  <c r="T51" i="1"/>
  <c r="AA100" i="1"/>
  <c r="T100" i="1"/>
  <c r="Z100" i="1"/>
  <c r="U100" i="1"/>
  <c r="X100" i="1"/>
  <c r="V100" i="1"/>
  <c r="AA309" i="1"/>
  <c r="X309" i="1"/>
  <c r="U309" i="1"/>
  <c r="Z309" i="1"/>
  <c r="V309" i="1"/>
  <c r="T309" i="1"/>
  <c r="AA169" i="1"/>
  <c r="X169" i="1"/>
  <c r="Z169" i="1"/>
  <c r="U169" i="1"/>
  <c r="V169" i="1"/>
  <c r="T169" i="1"/>
  <c r="AA361" i="1"/>
  <c r="U361" i="1"/>
  <c r="X361" i="1"/>
  <c r="Z361" i="1"/>
  <c r="V361" i="1"/>
  <c r="T361" i="1"/>
  <c r="AA143" i="1"/>
  <c r="U143" i="1"/>
  <c r="X143" i="1"/>
  <c r="Z143" i="1"/>
  <c r="V143" i="1"/>
  <c r="T143" i="1"/>
  <c r="AA156" i="1"/>
  <c r="V156" i="1"/>
  <c r="U156" i="1"/>
  <c r="T156" i="1"/>
  <c r="X156" i="1"/>
  <c r="Z156" i="1"/>
  <c r="AA46" i="1"/>
  <c r="U46" i="1"/>
  <c r="Z46" i="1"/>
  <c r="X46" i="1"/>
  <c r="T46" i="1"/>
  <c r="V46" i="1"/>
  <c r="AA106" i="1"/>
  <c r="V106" i="1"/>
  <c r="Z106" i="1"/>
  <c r="X106" i="1"/>
  <c r="U106" i="1"/>
  <c r="T106" i="1"/>
  <c r="AA258" i="1"/>
  <c r="T258" i="1"/>
  <c r="X258" i="1"/>
  <c r="Z258" i="1"/>
  <c r="V258" i="1"/>
  <c r="U258" i="1"/>
  <c r="AA207" i="1"/>
  <c r="U207" i="1"/>
  <c r="X207" i="1"/>
  <c r="Z207" i="1"/>
  <c r="V207" i="1"/>
  <c r="T207" i="1"/>
  <c r="X299" i="1"/>
  <c r="T299" i="1"/>
  <c r="U299" i="1"/>
  <c r="AA299" i="1"/>
  <c r="Z299" i="1"/>
  <c r="V299" i="1"/>
  <c r="V281" i="1"/>
  <c r="AA281" i="1"/>
  <c r="U281" i="1"/>
  <c r="T281" i="1"/>
  <c r="X281" i="1"/>
  <c r="Z281" i="1"/>
  <c r="AF395" i="1"/>
  <c r="AE395" i="1"/>
  <c r="AD395" i="1"/>
  <c r="AD296" i="1"/>
  <c r="AE296" i="1"/>
  <c r="AF296" i="1"/>
  <c r="AD92" i="1"/>
  <c r="AE92" i="1"/>
  <c r="AF92" i="1"/>
  <c r="AE353" i="1"/>
  <c r="AF353" i="1"/>
  <c r="AD353" i="1"/>
  <c r="AF109" i="1"/>
  <c r="AE109" i="1"/>
  <c r="AD109" i="1"/>
  <c r="AE388" i="1"/>
  <c r="AD388" i="1"/>
  <c r="AF388" i="1"/>
  <c r="AF61" i="1"/>
  <c r="AD61" i="1"/>
  <c r="AE61" i="1"/>
  <c r="AE383" i="1"/>
  <c r="AF383" i="1"/>
  <c r="AD383" i="1"/>
  <c r="AD375" i="1"/>
  <c r="AE375" i="1"/>
  <c r="AF375" i="1"/>
  <c r="AD184" i="1"/>
  <c r="AE184" i="1"/>
  <c r="AF184" i="1"/>
  <c r="AF125" i="1"/>
  <c r="AD125" i="1"/>
  <c r="AE125" i="1"/>
  <c r="AE372" i="1"/>
  <c r="AF372" i="1"/>
  <c r="AD372" i="1"/>
  <c r="AD291" i="1"/>
  <c r="AE291" i="1"/>
  <c r="AF291" i="1"/>
  <c r="AF356" i="1"/>
  <c r="AE356" i="1"/>
  <c r="AD356" i="1"/>
  <c r="AD283" i="1"/>
  <c r="AE283" i="1"/>
  <c r="AF283" i="1"/>
  <c r="AD309" i="1"/>
  <c r="AE309" i="1"/>
  <c r="AF309" i="1"/>
  <c r="AD340" i="1"/>
  <c r="AE340" i="1"/>
  <c r="AF340" i="1"/>
  <c r="AD257" i="1"/>
  <c r="AF257" i="1"/>
  <c r="AE257" i="1"/>
  <c r="AD275" i="1"/>
  <c r="AF275" i="1"/>
  <c r="AE275" i="1"/>
  <c r="AF146" i="1"/>
  <c r="AD146" i="1"/>
  <c r="AE146" i="1"/>
  <c r="AD188" i="1"/>
  <c r="AF188" i="1"/>
  <c r="AE188" i="1"/>
  <c r="AE324" i="1"/>
  <c r="AF324" i="1"/>
  <c r="AD324" i="1"/>
  <c r="AE249" i="1"/>
  <c r="AF249" i="1"/>
  <c r="AD249" i="1"/>
  <c r="AF111" i="1"/>
  <c r="AD111" i="1"/>
  <c r="AE111" i="1"/>
  <c r="AE267" i="1"/>
  <c r="AF267" i="1"/>
  <c r="AD267" i="1"/>
  <c r="AD138" i="1"/>
  <c r="AE138" i="1"/>
  <c r="AF138" i="1"/>
  <c r="AD84" i="1"/>
  <c r="AE84" i="1"/>
  <c r="AF84" i="1"/>
  <c r="AD53" i="1"/>
  <c r="AE53" i="1"/>
  <c r="AF53" i="1"/>
  <c r="AF177" i="1"/>
  <c r="AD177" i="1"/>
  <c r="AE177" i="1"/>
  <c r="AF39" i="1"/>
  <c r="AD39" i="1"/>
  <c r="AE39" i="1"/>
  <c r="AE195" i="1"/>
  <c r="AF195" i="1"/>
  <c r="AD195" i="1"/>
  <c r="AE66" i="1"/>
  <c r="AD66" i="1"/>
  <c r="AF66" i="1"/>
  <c r="AD140" i="1"/>
  <c r="AE140" i="1"/>
  <c r="AF140" i="1"/>
  <c r="AE336" i="1"/>
  <c r="AF336" i="1"/>
  <c r="AD336" i="1"/>
  <c r="AF105" i="1"/>
  <c r="AE105" i="1"/>
  <c r="AD105" i="1"/>
  <c r="AE342" i="1"/>
  <c r="AF342" i="1"/>
  <c r="AD342" i="1"/>
  <c r="AF123" i="1"/>
  <c r="AD123" i="1"/>
  <c r="AE123" i="1"/>
  <c r="AD329" i="1"/>
  <c r="AE329" i="1"/>
  <c r="AF329" i="1"/>
  <c r="AE285" i="1"/>
  <c r="AD285" i="1"/>
  <c r="AF285" i="1"/>
  <c r="AE264" i="1"/>
  <c r="AF264" i="1"/>
  <c r="AD264" i="1"/>
  <c r="AD33" i="1"/>
  <c r="AE33" i="1"/>
  <c r="AF33" i="1"/>
  <c r="AD270" i="1"/>
  <c r="AE270" i="1"/>
  <c r="AF270" i="1"/>
  <c r="AD51" i="1"/>
  <c r="AE51" i="1"/>
  <c r="AF51" i="1"/>
  <c r="AD276" i="1"/>
  <c r="AF276" i="1"/>
  <c r="AE276" i="1"/>
  <c r="AF349" i="1"/>
  <c r="AE349" i="1"/>
  <c r="AD349" i="1"/>
  <c r="AE192" i="1"/>
  <c r="AF192" i="1"/>
  <c r="AD192" i="1"/>
  <c r="AE335" i="1"/>
  <c r="AD335" i="1"/>
  <c r="AF335" i="1"/>
  <c r="AD198" i="1"/>
  <c r="AE198" i="1"/>
  <c r="AF198" i="1"/>
  <c r="AF362" i="1"/>
  <c r="AD362" i="1"/>
  <c r="AE362" i="1"/>
  <c r="AA344" i="1"/>
  <c r="V344" i="1"/>
  <c r="Z344" i="1"/>
  <c r="T344" i="1"/>
  <c r="U344" i="1"/>
  <c r="X344" i="1"/>
  <c r="AA189" i="1"/>
  <c r="X189" i="1"/>
  <c r="T189" i="1"/>
  <c r="Z189" i="1"/>
  <c r="U189" i="1"/>
  <c r="V189" i="1"/>
  <c r="AA256" i="1"/>
  <c r="X256" i="1"/>
  <c r="V256" i="1"/>
  <c r="Z256" i="1"/>
  <c r="T256" i="1"/>
  <c r="U256" i="1"/>
  <c r="AA147" i="1"/>
  <c r="T147" i="1"/>
  <c r="X147" i="1"/>
  <c r="U147" i="1"/>
  <c r="V147" i="1"/>
  <c r="Z147" i="1"/>
  <c r="AA65" i="1"/>
  <c r="V65" i="1"/>
  <c r="X65" i="1"/>
  <c r="T65" i="1"/>
  <c r="U65" i="1"/>
  <c r="Z65" i="1"/>
  <c r="AA289" i="1"/>
  <c r="X289" i="1"/>
  <c r="V289" i="1"/>
  <c r="U289" i="1"/>
  <c r="T289" i="1"/>
  <c r="Z289" i="1"/>
  <c r="AA185" i="1"/>
  <c r="U185" i="1"/>
  <c r="V185" i="1"/>
  <c r="X185" i="1"/>
  <c r="T185" i="1"/>
  <c r="Z185" i="1"/>
  <c r="AA194" i="1"/>
  <c r="U194" i="1"/>
  <c r="X194" i="1"/>
  <c r="T194" i="1"/>
  <c r="Z194" i="1"/>
  <c r="V194" i="1"/>
  <c r="AA302" i="1"/>
  <c r="T302" i="1"/>
  <c r="Z302" i="1"/>
  <c r="X302" i="1"/>
  <c r="U302" i="1"/>
  <c r="V302" i="1"/>
  <c r="AA126" i="1"/>
  <c r="U126" i="1"/>
  <c r="Z126" i="1"/>
  <c r="X126" i="1"/>
  <c r="V126" i="1"/>
  <c r="T126" i="1"/>
  <c r="AA234" i="1"/>
  <c r="X234" i="1"/>
  <c r="V234" i="1"/>
  <c r="T234" i="1"/>
  <c r="Z234" i="1"/>
  <c r="U234" i="1"/>
  <c r="AA188" i="1"/>
  <c r="T188" i="1"/>
  <c r="Z188" i="1"/>
  <c r="V188" i="1"/>
  <c r="U188" i="1"/>
  <c r="X188" i="1"/>
  <c r="AA332" i="1"/>
  <c r="U332" i="1"/>
  <c r="X332" i="1"/>
  <c r="Z332" i="1"/>
  <c r="V332" i="1"/>
  <c r="T332" i="1"/>
  <c r="AA120" i="1"/>
  <c r="U120" i="1"/>
  <c r="V120" i="1"/>
  <c r="X120" i="1"/>
  <c r="T120" i="1"/>
  <c r="Z120" i="1"/>
  <c r="AA374" i="1"/>
  <c r="T374" i="1"/>
  <c r="U374" i="1"/>
  <c r="Z374" i="1"/>
  <c r="V374" i="1"/>
  <c r="X374" i="1"/>
  <c r="AA140" i="1"/>
  <c r="T140" i="1"/>
  <c r="X140" i="1"/>
  <c r="Z140" i="1"/>
  <c r="U140" i="1"/>
  <c r="V140" i="1"/>
  <c r="AA298" i="1"/>
  <c r="X298" i="1"/>
  <c r="T298" i="1"/>
  <c r="Z298" i="1"/>
  <c r="U298" i="1"/>
  <c r="V298" i="1"/>
  <c r="AA199" i="1"/>
  <c r="T199" i="1"/>
  <c r="Z199" i="1"/>
  <c r="X199" i="1"/>
  <c r="U199" i="1"/>
  <c r="V199" i="1"/>
  <c r="AA278" i="1"/>
  <c r="X278" i="1"/>
  <c r="U278" i="1"/>
  <c r="Z278" i="1"/>
  <c r="V278" i="1"/>
  <c r="T278" i="1"/>
  <c r="AA257" i="1"/>
  <c r="V257" i="1"/>
  <c r="U257" i="1"/>
  <c r="Z257" i="1"/>
  <c r="X257" i="1"/>
  <c r="T257" i="1"/>
  <c r="AA245" i="1"/>
  <c r="X245" i="1"/>
  <c r="V245" i="1"/>
  <c r="Z245" i="1"/>
  <c r="T245" i="1"/>
  <c r="U245" i="1"/>
  <c r="AA86" i="1"/>
  <c r="X86" i="1"/>
  <c r="T86" i="1"/>
  <c r="V86" i="1"/>
  <c r="U86" i="1"/>
  <c r="Z86" i="1"/>
  <c r="T62" i="1"/>
  <c r="X62" i="1"/>
  <c r="AA62" i="1"/>
  <c r="U62" i="1"/>
  <c r="V62" i="1"/>
  <c r="Z62" i="1"/>
  <c r="V89" i="1"/>
  <c r="AA89" i="1"/>
  <c r="U89" i="1"/>
  <c r="X89" i="1"/>
  <c r="T89" i="1"/>
  <c r="Z89" i="1"/>
  <c r="AA58" i="1"/>
  <c r="V58" i="1"/>
  <c r="Z58" i="1"/>
  <c r="X58" i="1"/>
  <c r="U58" i="1"/>
  <c r="T58" i="1"/>
  <c r="AA336" i="1"/>
  <c r="T336" i="1"/>
  <c r="Z336" i="1"/>
  <c r="X336" i="1"/>
  <c r="U336" i="1"/>
  <c r="V336" i="1"/>
  <c r="AA111" i="1"/>
  <c r="X111" i="1"/>
  <c r="U111" i="1"/>
  <c r="Z111" i="1"/>
  <c r="T111" i="1"/>
  <c r="V111" i="1"/>
  <c r="AA255" i="1"/>
  <c r="X255" i="1"/>
  <c r="V255" i="1"/>
  <c r="Z255" i="1"/>
  <c r="T255" i="1"/>
  <c r="U255" i="1"/>
  <c r="AA97" i="1"/>
  <c r="X97" i="1"/>
  <c r="T97" i="1"/>
  <c r="Z97" i="1"/>
  <c r="U97" i="1"/>
  <c r="V97" i="1"/>
  <c r="AA187" i="1"/>
  <c r="T187" i="1"/>
  <c r="U187" i="1"/>
  <c r="Z187" i="1"/>
  <c r="V187" i="1"/>
  <c r="X187" i="1"/>
  <c r="AA57" i="1"/>
  <c r="T57" i="1"/>
  <c r="U57" i="1"/>
  <c r="Z57" i="1"/>
  <c r="X57" i="1"/>
  <c r="V57" i="1"/>
  <c r="AA32" i="1"/>
  <c r="X32" i="1"/>
  <c r="U32" i="1"/>
  <c r="Z32" i="1"/>
  <c r="T32" i="1"/>
  <c r="V32" i="1"/>
  <c r="AA165" i="1"/>
  <c r="X165" i="1"/>
  <c r="U165" i="1"/>
  <c r="Z165" i="1"/>
  <c r="T165" i="1"/>
  <c r="V165" i="1"/>
  <c r="AA378" i="1"/>
  <c r="X378" i="1"/>
  <c r="T378" i="1"/>
  <c r="Z378" i="1"/>
  <c r="U378" i="1"/>
  <c r="V378" i="1"/>
  <c r="AA348" i="1"/>
  <c r="V348" i="1"/>
  <c r="Z348" i="1"/>
  <c r="X348" i="1"/>
  <c r="U348" i="1"/>
  <c r="T348" i="1"/>
  <c r="AA287" i="1"/>
  <c r="X287" i="1"/>
  <c r="V287" i="1"/>
  <c r="Z287" i="1"/>
  <c r="U287" i="1"/>
  <c r="T287" i="1"/>
  <c r="AA308" i="1"/>
  <c r="X308" i="1"/>
  <c r="T308" i="1"/>
  <c r="Z308" i="1"/>
  <c r="U308" i="1"/>
  <c r="V308" i="1"/>
  <c r="AA117" i="1"/>
  <c r="X117" i="1"/>
  <c r="T117" i="1"/>
  <c r="Z117" i="1"/>
  <c r="V117" i="1"/>
  <c r="U117" i="1"/>
  <c r="AA183" i="1"/>
  <c r="Z183" i="1"/>
  <c r="V183" i="1"/>
  <c r="X183" i="1"/>
  <c r="T183" i="1"/>
  <c r="U183" i="1"/>
  <c r="AA190" i="1"/>
  <c r="Z190" i="1"/>
  <c r="X190" i="1"/>
  <c r="T190" i="1"/>
  <c r="V190" i="1"/>
  <c r="U190" i="1"/>
  <c r="AA200" i="1"/>
  <c r="Z200" i="1"/>
  <c r="U200" i="1"/>
  <c r="X200" i="1"/>
  <c r="T200" i="1"/>
  <c r="V200" i="1"/>
  <c r="AA146" i="1"/>
  <c r="X146" i="1"/>
  <c r="T146" i="1"/>
  <c r="Z146" i="1"/>
  <c r="U146" i="1"/>
  <c r="V146" i="1"/>
  <c r="AA386" i="1"/>
  <c r="U386" i="1"/>
  <c r="Z386" i="1"/>
  <c r="X386" i="1"/>
  <c r="T386" i="1"/>
  <c r="V386" i="1"/>
  <c r="AA47" i="1"/>
  <c r="X47" i="1"/>
  <c r="V47" i="1"/>
  <c r="Z47" i="1"/>
  <c r="U47" i="1"/>
  <c r="T47" i="1"/>
  <c r="AA320" i="1"/>
  <c r="X320" i="1"/>
  <c r="V320" i="1"/>
  <c r="Z320" i="1"/>
  <c r="U320" i="1"/>
  <c r="T320" i="1"/>
  <c r="U90" i="1"/>
  <c r="V90" i="1"/>
  <c r="AA90" i="1"/>
  <c r="X90" i="1"/>
  <c r="Z90" i="1"/>
  <c r="T90" i="1"/>
  <c r="X121" i="1"/>
  <c r="T121" i="1"/>
  <c r="V121" i="1"/>
  <c r="Z121" i="1"/>
  <c r="U121" i="1"/>
  <c r="AA121" i="1"/>
  <c r="AF81" i="1"/>
  <c r="AD81" i="1"/>
  <c r="AE81" i="1"/>
  <c r="AD310" i="1"/>
  <c r="AE310" i="1"/>
  <c r="AF310" i="1"/>
  <c r="AD196" i="1"/>
  <c r="AE196" i="1"/>
  <c r="AF196" i="1"/>
  <c r="AE294" i="1"/>
  <c r="AF294" i="1"/>
  <c r="AD294" i="1"/>
  <c r="AD293" i="1"/>
  <c r="AE293" i="1"/>
  <c r="AF293" i="1"/>
  <c r="AD215" i="1"/>
  <c r="AE215" i="1"/>
  <c r="AF215" i="1"/>
  <c r="AD281" i="1"/>
  <c r="AE281" i="1"/>
  <c r="AF281" i="1"/>
  <c r="AF248" i="1"/>
  <c r="AD248" i="1"/>
  <c r="AE248" i="1"/>
  <c r="AD246" i="1"/>
  <c r="AE246" i="1"/>
  <c r="AF246" i="1"/>
  <c r="AF220" i="1"/>
  <c r="AD220" i="1"/>
  <c r="AE220" i="1"/>
  <c r="AF301" i="1"/>
  <c r="AE301" i="1"/>
  <c r="AD301" i="1"/>
  <c r="AD273" i="1"/>
  <c r="AF273" i="1"/>
  <c r="AE273" i="1"/>
  <c r="AF162" i="1"/>
  <c r="AE162" i="1"/>
  <c r="AD162" i="1"/>
  <c r="AD265" i="1"/>
  <c r="AE265" i="1"/>
  <c r="AF265" i="1"/>
  <c r="AE154" i="1"/>
  <c r="AF154" i="1"/>
  <c r="AD154" i="1"/>
  <c r="AE119" i="1"/>
  <c r="AF119" i="1"/>
  <c r="AD119" i="1"/>
  <c r="AF305" i="1"/>
  <c r="AD305" i="1"/>
  <c r="AE305" i="1"/>
  <c r="AF181" i="1"/>
  <c r="AD181" i="1"/>
  <c r="AE181" i="1"/>
  <c r="AF209" i="1"/>
  <c r="AD209" i="1"/>
  <c r="AE209" i="1"/>
  <c r="AF71" i="1"/>
  <c r="AD71" i="1"/>
  <c r="AE71" i="1"/>
  <c r="AD227" i="1"/>
  <c r="AE227" i="1"/>
  <c r="AF227" i="1"/>
  <c r="AF98" i="1"/>
  <c r="AE98" i="1"/>
  <c r="AD98" i="1"/>
  <c r="AD244" i="1"/>
  <c r="AE244" i="1"/>
  <c r="AF244" i="1"/>
  <c r="AE149" i="1"/>
  <c r="AF149" i="1"/>
  <c r="AD149" i="1"/>
  <c r="AD201" i="1"/>
  <c r="AE201" i="1"/>
  <c r="AF201" i="1"/>
  <c r="AF63" i="1"/>
  <c r="AD63" i="1"/>
  <c r="AE63" i="1"/>
  <c r="AD219" i="1"/>
  <c r="AE219" i="1"/>
  <c r="AF219" i="1"/>
  <c r="AD90" i="1"/>
  <c r="AF90" i="1"/>
  <c r="AE90" i="1"/>
  <c r="AF180" i="1"/>
  <c r="AD180" i="1"/>
  <c r="AE180" i="1"/>
  <c r="AF117" i="1"/>
  <c r="AD117" i="1"/>
  <c r="AE117" i="1"/>
  <c r="AF193" i="1"/>
  <c r="AD193" i="1"/>
  <c r="AE193" i="1"/>
  <c r="AF55" i="1"/>
  <c r="AD55" i="1"/>
  <c r="AE55" i="1"/>
  <c r="AD211" i="1"/>
  <c r="AE211" i="1"/>
  <c r="AF211" i="1"/>
  <c r="AD82" i="1"/>
  <c r="AE82" i="1"/>
  <c r="AF82" i="1"/>
  <c r="AE148" i="1"/>
  <c r="AD148" i="1"/>
  <c r="AF148" i="1"/>
  <c r="AF85" i="1"/>
  <c r="AD85" i="1"/>
  <c r="AE85" i="1"/>
  <c r="AE185" i="1"/>
  <c r="AD185" i="1"/>
  <c r="AF185" i="1"/>
  <c r="AF47" i="1"/>
  <c r="AE47" i="1"/>
  <c r="AD47" i="1"/>
  <c r="AD203" i="1"/>
  <c r="AE203" i="1"/>
  <c r="AF203" i="1"/>
  <c r="AE74" i="1"/>
  <c r="AD74" i="1"/>
  <c r="AF74" i="1"/>
  <c r="AE172" i="1"/>
  <c r="AF172" i="1"/>
  <c r="AD172" i="1"/>
  <c r="AF344" i="1"/>
  <c r="AD344" i="1"/>
  <c r="AE344" i="1"/>
  <c r="AF113" i="1"/>
  <c r="AE113" i="1"/>
  <c r="AD113" i="1"/>
  <c r="AD350" i="1"/>
  <c r="AE350" i="1"/>
  <c r="AF350" i="1"/>
  <c r="AF131" i="1"/>
  <c r="AD131" i="1"/>
  <c r="AE131" i="1"/>
  <c r="AD393" i="1"/>
  <c r="AF393" i="1"/>
  <c r="AE393" i="1"/>
  <c r="AD361" i="1"/>
  <c r="AE361" i="1"/>
  <c r="AF361" i="1"/>
  <c r="AE272" i="1"/>
  <c r="AF272" i="1"/>
  <c r="AD272" i="1"/>
  <c r="AF41" i="1"/>
  <c r="AE41" i="1"/>
  <c r="AD41" i="1"/>
  <c r="AE278" i="1"/>
  <c r="AD278" i="1"/>
  <c r="AF278" i="1"/>
  <c r="AF59" i="1"/>
  <c r="AE59" i="1"/>
  <c r="AD59" i="1"/>
  <c r="AD323" i="1"/>
  <c r="AF323" i="1"/>
  <c r="AE323" i="1"/>
  <c r="AD381" i="1"/>
  <c r="AE381" i="1"/>
  <c r="AF381" i="1"/>
  <c r="AD200" i="1"/>
  <c r="AF200" i="1"/>
  <c r="AE200" i="1"/>
  <c r="AE343" i="1"/>
  <c r="AF343" i="1"/>
  <c r="AD343" i="1"/>
  <c r="AE206" i="1"/>
  <c r="AD206" i="1"/>
  <c r="AF206" i="1"/>
  <c r="AF370" i="1"/>
  <c r="AD370" i="1"/>
  <c r="AE370" i="1"/>
  <c r="AD321" i="1"/>
  <c r="AF321" i="1"/>
  <c r="AE321" i="1"/>
  <c r="AD229" i="1"/>
  <c r="AE229" i="1"/>
  <c r="AF229" i="1"/>
  <c r="AE128" i="1"/>
  <c r="AF128" i="1"/>
  <c r="AD128" i="1"/>
  <c r="AD271" i="1"/>
  <c r="AE271" i="1"/>
  <c r="AF271" i="1"/>
  <c r="AE134" i="1"/>
  <c r="AD134" i="1"/>
  <c r="AF134" i="1"/>
  <c r="AF298" i="1"/>
  <c r="AE298" i="1"/>
  <c r="AD298" i="1"/>
  <c r="AA244" i="1"/>
  <c r="X244" i="1"/>
  <c r="T244" i="1"/>
  <c r="V244" i="1"/>
  <c r="Z244" i="1"/>
  <c r="U244" i="1"/>
  <c r="AA105" i="1"/>
  <c r="U105" i="1"/>
  <c r="X105" i="1"/>
  <c r="V105" i="1"/>
  <c r="Z105" i="1"/>
  <c r="T105" i="1"/>
  <c r="AA356" i="1"/>
  <c r="X356" i="1"/>
  <c r="T356" i="1"/>
  <c r="Z356" i="1"/>
  <c r="U356" i="1"/>
  <c r="V356" i="1"/>
  <c r="AA153" i="1"/>
  <c r="T153" i="1"/>
  <c r="Z153" i="1"/>
  <c r="U153" i="1"/>
  <c r="V153" i="1"/>
  <c r="X153" i="1"/>
  <c r="AA53" i="1"/>
  <c r="T53" i="1"/>
  <c r="U53" i="1"/>
  <c r="Z53" i="1"/>
  <c r="V53" i="1"/>
  <c r="X53" i="1"/>
  <c r="AA288" i="1"/>
  <c r="V288" i="1"/>
  <c r="Z288" i="1"/>
  <c r="U288" i="1"/>
  <c r="T288" i="1"/>
  <c r="X288" i="1"/>
  <c r="AA61" i="1"/>
  <c r="V61" i="1"/>
  <c r="X61" i="1"/>
  <c r="Z61" i="1"/>
  <c r="T61" i="1"/>
  <c r="U61" i="1"/>
  <c r="AA326" i="1"/>
  <c r="V326" i="1"/>
  <c r="U326" i="1"/>
  <c r="X326" i="1"/>
  <c r="T326" i="1"/>
  <c r="Z326" i="1"/>
  <c r="AA83" i="1"/>
  <c r="X83" i="1"/>
  <c r="V83" i="1"/>
  <c r="U83" i="1"/>
  <c r="Z83" i="1"/>
  <c r="T83" i="1"/>
  <c r="AA227" i="1"/>
  <c r="V227" i="1"/>
  <c r="X227" i="1"/>
  <c r="U227" i="1"/>
  <c r="Z227" i="1"/>
  <c r="T227" i="1"/>
  <c r="AA112" i="1"/>
  <c r="X112" i="1"/>
  <c r="U112" i="1"/>
  <c r="V112" i="1"/>
  <c r="T112" i="1"/>
  <c r="Z112" i="1"/>
  <c r="AA222" i="1"/>
  <c r="V222" i="1"/>
  <c r="U222" i="1"/>
  <c r="Z222" i="1"/>
  <c r="T222" i="1"/>
  <c r="X222" i="1"/>
  <c r="AA130" i="1"/>
  <c r="V130" i="1"/>
  <c r="Z130" i="1"/>
  <c r="X130" i="1"/>
  <c r="U130" i="1"/>
  <c r="T130" i="1"/>
  <c r="AA55" i="1"/>
  <c r="Z55" i="1"/>
  <c r="X55" i="1"/>
  <c r="V55" i="1"/>
  <c r="U55" i="1"/>
  <c r="T55" i="1"/>
  <c r="AA294" i="1"/>
  <c r="V294" i="1"/>
  <c r="Z294" i="1"/>
  <c r="X294" i="1"/>
  <c r="U294" i="1"/>
  <c r="T294" i="1"/>
  <c r="AA346" i="1"/>
  <c r="X346" i="1"/>
  <c r="T346" i="1"/>
  <c r="Z346" i="1"/>
  <c r="V346" i="1"/>
  <c r="U346" i="1"/>
  <c r="AA318" i="1"/>
  <c r="X318" i="1"/>
  <c r="V318" i="1"/>
  <c r="Z318" i="1"/>
  <c r="U318" i="1"/>
  <c r="T318" i="1"/>
  <c r="AA347" i="1"/>
  <c r="X347" i="1"/>
  <c r="U347" i="1"/>
  <c r="Z347" i="1"/>
  <c r="V347" i="1"/>
  <c r="T347" i="1"/>
  <c r="AA323" i="1"/>
  <c r="V323" i="1"/>
  <c r="X323" i="1"/>
  <c r="T323" i="1"/>
  <c r="U323" i="1"/>
  <c r="Z323" i="1"/>
  <c r="AA192" i="1"/>
  <c r="X192" i="1"/>
  <c r="Z192" i="1"/>
  <c r="T192" i="1"/>
  <c r="V192" i="1"/>
  <c r="U192" i="1"/>
  <c r="AA107" i="1"/>
  <c r="T107" i="1"/>
  <c r="Z107" i="1"/>
  <c r="X107" i="1"/>
  <c r="U107" i="1"/>
  <c r="V107" i="1"/>
  <c r="AA131" i="1"/>
  <c r="U131" i="1"/>
  <c r="V131" i="1"/>
  <c r="Z131" i="1"/>
  <c r="X131" i="1"/>
  <c r="T131" i="1"/>
  <c r="AA145" i="1"/>
  <c r="T145" i="1"/>
  <c r="U145" i="1"/>
  <c r="Z145" i="1"/>
  <c r="X145" i="1"/>
  <c r="V145" i="1"/>
  <c r="AA260" i="1"/>
  <c r="X260" i="1"/>
  <c r="T260" i="1"/>
  <c r="Z260" i="1"/>
  <c r="V260" i="1"/>
  <c r="U260" i="1"/>
  <c r="AA236" i="1"/>
  <c r="V236" i="1"/>
  <c r="U236" i="1"/>
  <c r="Z236" i="1"/>
  <c r="X236" i="1"/>
  <c r="T236" i="1"/>
  <c r="AA338" i="1"/>
  <c r="Z338" i="1"/>
  <c r="X338" i="1"/>
  <c r="U338" i="1"/>
  <c r="V338" i="1"/>
  <c r="T338" i="1"/>
  <c r="AA304" i="1"/>
  <c r="X304" i="1"/>
  <c r="U304" i="1"/>
  <c r="V304" i="1"/>
  <c r="Z304" i="1"/>
  <c r="T304" i="1"/>
  <c r="AA44" i="1"/>
  <c r="X44" i="1"/>
  <c r="U44" i="1"/>
  <c r="Z44" i="1"/>
  <c r="T44" i="1"/>
  <c r="V44" i="1"/>
  <c r="AA225" i="1"/>
  <c r="X225" i="1"/>
  <c r="V225" i="1"/>
  <c r="Z225" i="1"/>
  <c r="T225" i="1"/>
  <c r="U225" i="1"/>
  <c r="AA118" i="1"/>
  <c r="V118" i="1"/>
  <c r="X118" i="1"/>
  <c r="U118" i="1"/>
  <c r="T118" i="1"/>
  <c r="Z118" i="1"/>
  <c r="AA296" i="1"/>
  <c r="T296" i="1"/>
  <c r="U296" i="1"/>
  <c r="Z296" i="1"/>
  <c r="X296" i="1"/>
  <c r="V296" i="1"/>
  <c r="AA285" i="1"/>
  <c r="V285" i="1"/>
  <c r="Z285" i="1"/>
  <c r="X285" i="1"/>
  <c r="T285" i="1"/>
  <c r="U285" i="1"/>
  <c r="AA389" i="1"/>
  <c r="X389" i="1"/>
  <c r="T389" i="1"/>
  <c r="Z389" i="1"/>
  <c r="V389" i="1"/>
  <c r="U389" i="1"/>
  <c r="AA204" i="1"/>
  <c r="X204" i="1"/>
  <c r="V204" i="1"/>
  <c r="Z204" i="1"/>
  <c r="U204" i="1"/>
  <c r="T204" i="1"/>
  <c r="AA115" i="1"/>
  <c r="T115" i="1"/>
  <c r="X115" i="1"/>
  <c r="Z115" i="1"/>
  <c r="V115" i="1"/>
  <c r="U115" i="1"/>
  <c r="AA158" i="1"/>
  <c r="U158" i="1"/>
  <c r="X158" i="1"/>
  <c r="Z158" i="1"/>
  <c r="V158" i="1"/>
  <c r="T158" i="1"/>
  <c r="AA276" i="1"/>
  <c r="X276" i="1"/>
  <c r="U276" i="1"/>
  <c r="Z276" i="1"/>
  <c r="V276" i="1"/>
  <c r="T276" i="1"/>
  <c r="AA267" i="1"/>
  <c r="X267" i="1"/>
  <c r="U267" i="1"/>
  <c r="Z267" i="1"/>
  <c r="T267" i="1"/>
  <c r="V267" i="1"/>
  <c r="AA237" i="1"/>
  <c r="X237" i="1"/>
  <c r="T237" i="1"/>
  <c r="V237" i="1"/>
  <c r="Z237" i="1"/>
  <c r="U237" i="1"/>
  <c r="AA94" i="1"/>
  <c r="X94" i="1"/>
  <c r="T94" i="1"/>
  <c r="Z94" i="1"/>
  <c r="V94" i="1"/>
  <c r="U94" i="1"/>
  <c r="AA306" i="1"/>
  <c r="X306" i="1"/>
  <c r="T306" i="1"/>
  <c r="Z306" i="1"/>
  <c r="V306" i="1"/>
  <c r="U306" i="1"/>
  <c r="AA266" i="1"/>
  <c r="Z266" i="1"/>
  <c r="X266" i="1"/>
  <c r="T266" i="1"/>
  <c r="U266" i="1"/>
  <c r="V266" i="1"/>
  <c r="AA136" i="1"/>
  <c r="V136" i="1"/>
  <c r="Z136" i="1"/>
  <c r="X136" i="1"/>
  <c r="T136" i="1"/>
  <c r="U136" i="1"/>
  <c r="AA33" i="1"/>
  <c r="X33" i="1"/>
  <c r="U33" i="1"/>
  <c r="T33" i="1"/>
  <c r="Z33" i="1"/>
  <c r="V33" i="1"/>
  <c r="AA69" i="1"/>
  <c r="X69" i="1"/>
  <c r="T69" i="1"/>
  <c r="Z69" i="1"/>
  <c r="V69" i="1"/>
  <c r="U69" i="1"/>
  <c r="T177" i="1"/>
  <c r="U177" i="1"/>
  <c r="X177" i="1"/>
  <c r="V177" i="1"/>
  <c r="AA177" i="1"/>
  <c r="Z177" i="1"/>
  <c r="V329" i="1"/>
  <c r="AA329" i="1"/>
  <c r="X329" i="1"/>
  <c r="U329" i="1"/>
  <c r="Z329" i="1"/>
  <c r="T329" i="1"/>
  <c r="AE44" i="1"/>
  <c r="AD44" i="1"/>
  <c r="AF44" i="1"/>
  <c r="AF91" i="1"/>
  <c r="AD91" i="1"/>
  <c r="AE91" i="1"/>
  <c r="AE302" i="1"/>
  <c r="AF302" i="1"/>
  <c r="AD302" i="1"/>
  <c r="AF75" i="1"/>
  <c r="AD75" i="1"/>
  <c r="AE75" i="1"/>
  <c r="AE144" i="1"/>
  <c r="AF144" i="1"/>
  <c r="AD144" i="1"/>
  <c r="AE72" i="1"/>
  <c r="AD72" i="1"/>
  <c r="AF72" i="1"/>
  <c r="AF143" i="1"/>
  <c r="AD143" i="1"/>
  <c r="AE143" i="1"/>
  <c r="AD391" i="1"/>
  <c r="AE391" i="1"/>
  <c r="AF391" i="1"/>
  <c r="AD240" i="1"/>
  <c r="AE240" i="1"/>
  <c r="AF240" i="1"/>
  <c r="AD238" i="1"/>
  <c r="AE238" i="1"/>
  <c r="AF238" i="1"/>
  <c r="AD197" i="1"/>
  <c r="AE197" i="1"/>
  <c r="AF197" i="1"/>
  <c r="AF135" i="1"/>
  <c r="AD135" i="1"/>
  <c r="AE135" i="1"/>
  <c r="AD373" i="1"/>
  <c r="AF373" i="1"/>
  <c r="AE373" i="1"/>
  <c r="AF127" i="1"/>
  <c r="AD127" i="1"/>
  <c r="AE127" i="1"/>
  <c r="AD300" i="1"/>
  <c r="AE300" i="1"/>
  <c r="AF300" i="1"/>
  <c r="AF376" i="1"/>
  <c r="AE376" i="1"/>
  <c r="AD376" i="1"/>
  <c r="AD145" i="1"/>
  <c r="AF145" i="1"/>
  <c r="AE145" i="1"/>
  <c r="AE382" i="1"/>
  <c r="AD382" i="1"/>
  <c r="AF382" i="1"/>
  <c r="AD163" i="1"/>
  <c r="AE163" i="1"/>
  <c r="AF163" i="1"/>
  <c r="AD34" i="1"/>
  <c r="AF34" i="1"/>
  <c r="AE34" i="1"/>
  <c r="AD268" i="1"/>
  <c r="AE268" i="1"/>
  <c r="AF268" i="1"/>
  <c r="AD368" i="1"/>
  <c r="AF368" i="1"/>
  <c r="AE368" i="1"/>
  <c r="AF137" i="1"/>
  <c r="AE137" i="1"/>
  <c r="AD137" i="1"/>
  <c r="AD374" i="1"/>
  <c r="AE374" i="1"/>
  <c r="AF374" i="1"/>
  <c r="AF155" i="1"/>
  <c r="AD155" i="1"/>
  <c r="AE155" i="1"/>
  <c r="AE26" i="1"/>
  <c r="AD26" i="1"/>
  <c r="AF26" i="1"/>
  <c r="AD236" i="1"/>
  <c r="AE236" i="1"/>
  <c r="AF236" i="1"/>
  <c r="AF360" i="1"/>
  <c r="AD360" i="1"/>
  <c r="AE360" i="1"/>
  <c r="AE129" i="1"/>
  <c r="AF129" i="1"/>
  <c r="AD129" i="1"/>
  <c r="AF366" i="1"/>
  <c r="AD366" i="1"/>
  <c r="AE366" i="1"/>
  <c r="AF147" i="1"/>
  <c r="AD147" i="1"/>
  <c r="AE147" i="1"/>
  <c r="AE18" i="1"/>
  <c r="AD18" i="1"/>
  <c r="AF18" i="1"/>
  <c r="AD204" i="1"/>
  <c r="AE204" i="1"/>
  <c r="AF204" i="1"/>
  <c r="AE352" i="1"/>
  <c r="AF352" i="1"/>
  <c r="AD352" i="1"/>
  <c r="AF121" i="1"/>
  <c r="AE121" i="1"/>
  <c r="AD121" i="1"/>
  <c r="AE358" i="1"/>
  <c r="AF358" i="1"/>
  <c r="AD358" i="1"/>
  <c r="AD139" i="1"/>
  <c r="AE139" i="1"/>
  <c r="AF139" i="1"/>
  <c r="AD100" i="1"/>
  <c r="AF100" i="1"/>
  <c r="AE100" i="1"/>
  <c r="AD36" i="1"/>
  <c r="AF36" i="1"/>
  <c r="AE36" i="1"/>
  <c r="AF280" i="1"/>
  <c r="AD280" i="1"/>
  <c r="AE280" i="1"/>
  <c r="AF49" i="1"/>
  <c r="AE49" i="1"/>
  <c r="AD49" i="1"/>
  <c r="AD286" i="1"/>
  <c r="AE286" i="1"/>
  <c r="AF286" i="1"/>
  <c r="AD67" i="1"/>
  <c r="AE67" i="1"/>
  <c r="AF67" i="1"/>
  <c r="AF371" i="1"/>
  <c r="AE371" i="1"/>
  <c r="AD371" i="1"/>
  <c r="AE20" i="1"/>
  <c r="AD20" i="1"/>
  <c r="AF20" i="1"/>
  <c r="AD208" i="1"/>
  <c r="AE208" i="1"/>
  <c r="AF208" i="1"/>
  <c r="AD351" i="1"/>
  <c r="AE351" i="1"/>
  <c r="AF351" i="1"/>
  <c r="AD214" i="1"/>
  <c r="AE214" i="1"/>
  <c r="AF214" i="1"/>
  <c r="AE378" i="1"/>
  <c r="AD378" i="1"/>
  <c r="AF378" i="1"/>
  <c r="AD337" i="1"/>
  <c r="AE337" i="1"/>
  <c r="AF337" i="1"/>
  <c r="AD261" i="1"/>
  <c r="AE261" i="1"/>
  <c r="AF261" i="1"/>
  <c r="AD136" i="1"/>
  <c r="AE136" i="1"/>
  <c r="AF136" i="1"/>
  <c r="AE279" i="1"/>
  <c r="AF279" i="1"/>
  <c r="AD279" i="1"/>
  <c r="AD142" i="1"/>
  <c r="AE142" i="1"/>
  <c r="AF142" i="1"/>
  <c r="AF306" i="1"/>
  <c r="AD306" i="1"/>
  <c r="AE306" i="1"/>
  <c r="AE77" i="1"/>
  <c r="AF77" i="1"/>
  <c r="AD77" i="1"/>
  <c r="AD260" i="1"/>
  <c r="AE260" i="1"/>
  <c r="AF260" i="1"/>
  <c r="AE64" i="1"/>
  <c r="AD64" i="1"/>
  <c r="AF64" i="1"/>
  <c r="AE207" i="1"/>
  <c r="AF207" i="1"/>
  <c r="AD207" i="1"/>
  <c r="AE70" i="1"/>
  <c r="AF70" i="1"/>
  <c r="AD70" i="1"/>
  <c r="AD234" i="1"/>
  <c r="AE234" i="1"/>
  <c r="AF234" i="1"/>
  <c r="AA226" i="1"/>
  <c r="X226" i="1"/>
  <c r="T226" i="1"/>
  <c r="Z226" i="1"/>
  <c r="V226" i="1"/>
  <c r="U226" i="1"/>
  <c r="AA380" i="1"/>
  <c r="U380" i="1"/>
  <c r="X380" i="1"/>
  <c r="V380" i="1"/>
  <c r="Z380" i="1"/>
  <c r="T380" i="1"/>
  <c r="AA168" i="1"/>
  <c r="V168" i="1"/>
  <c r="X168" i="1"/>
  <c r="T168" i="1"/>
  <c r="Z168" i="1"/>
  <c r="U168" i="1"/>
  <c r="AA34" i="1"/>
  <c r="T34" i="1"/>
  <c r="Z34" i="1"/>
  <c r="U34" i="1"/>
  <c r="X34" i="1"/>
  <c r="V34" i="1"/>
  <c r="AA235" i="1"/>
  <c r="V235" i="1"/>
  <c r="U235" i="1"/>
  <c r="Z235" i="1"/>
  <c r="T235" i="1"/>
  <c r="X235" i="1"/>
  <c r="AA43" i="1"/>
  <c r="V43" i="1"/>
  <c r="X43" i="1"/>
  <c r="Z43" i="1"/>
  <c r="U43" i="1"/>
  <c r="T43" i="1"/>
  <c r="AA41" i="1"/>
  <c r="X41" i="1"/>
  <c r="T41" i="1"/>
  <c r="U41" i="1"/>
  <c r="V41" i="1"/>
  <c r="Z41" i="1"/>
  <c r="AA133" i="1"/>
  <c r="T133" i="1"/>
  <c r="Z133" i="1"/>
  <c r="X133" i="1"/>
  <c r="V133" i="1"/>
  <c r="U133" i="1"/>
  <c r="AA249" i="1"/>
  <c r="X249" i="1"/>
  <c r="U249" i="1"/>
  <c r="T249" i="1"/>
  <c r="Z249" i="1"/>
  <c r="V249" i="1"/>
  <c r="AA224" i="1"/>
  <c r="V224" i="1"/>
  <c r="X224" i="1"/>
  <c r="T224" i="1"/>
  <c r="U224" i="1"/>
  <c r="Z224" i="1"/>
  <c r="AA223" i="1"/>
  <c r="U223" i="1"/>
  <c r="X223" i="1"/>
  <c r="T223" i="1"/>
  <c r="V223" i="1"/>
  <c r="Z223" i="1"/>
  <c r="AA268" i="1"/>
  <c r="X268" i="1"/>
  <c r="Z268" i="1"/>
  <c r="T268" i="1"/>
  <c r="V268" i="1"/>
  <c r="U268" i="1"/>
  <c r="AA262" i="1"/>
  <c r="U262" i="1"/>
  <c r="Z262" i="1"/>
  <c r="T262" i="1"/>
  <c r="X262" i="1"/>
  <c r="V262" i="1"/>
  <c r="AA379" i="1"/>
  <c r="X379" i="1"/>
  <c r="U379" i="1"/>
  <c r="Z379" i="1"/>
  <c r="T379" i="1"/>
  <c r="V379" i="1"/>
  <c r="AA167" i="1"/>
  <c r="T167" i="1"/>
  <c r="Z167" i="1"/>
  <c r="V167" i="1"/>
  <c r="X167" i="1"/>
  <c r="U167" i="1"/>
  <c r="AA70" i="1"/>
  <c r="X70" i="1"/>
  <c r="V70" i="1"/>
  <c r="Z70" i="1"/>
  <c r="U70" i="1"/>
  <c r="T70" i="1"/>
  <c r="AA330" i="1"/>
  <c r="X330" i="1"/>
  <c r="T330" i="1"/>
  <c r="Z330" i="1"/>
  <c r="V330" i="1"/>
  <c r="U330" i="1"/>
  <c r="AA214" i="1"/>
  <c r="T214" i="1"/>
  <c r="X214" i="1"/>
  <c r="Z214" i="1"/>
  <c r="U214" i="1"/>
  <c r="V214" i="1"/>
  <c r="AA56" i="1"/>
  <c r="T56" i="1"/>
  <c r="Z56" i="1"/>
  <c r="V56" i="1"/>
  <c r="X56" i="1"/>
  <c r="U56" i="1"/>
  <c r="AA292" i="1"/>
  <c r="T292" i="1"/>
  <c r="Z292" i="1"/>
  <c r="X292" i="1"/>
  <c r="U292" i="1"/>
  <c r="V292" i="1"/>
  <c r="AA307" i="1"/>
  <c r="T307" i="1"/>
  <c r="Z307" i="1"/>
  <c r="X307" i="1"/>
  <c r="V307" i="1"/>
  <c r="U307" i="1"/>
  <c r="T239" i="1"/>
  <c r="U239" i="1"/>
  <c r="Z239" i="1"/>
  <c r="V239" i="1"/>
  <c r="X239" i="1"/>
  <c r="AA239" i="1"/>
  <c r="AA331" i="1"/>
  <c r="U331" i="1"/>
  <c r="V331" i="1"/>
  <c r="Z331" i="1"/>
  <c r="X331" i="1"/>
  <c r="T331" i="1"/>
  <c r="AA383" i="1"/>
  <c r="X383" i="1"/>
  <c r="T383" i="1"/>
  <c r="Z383" i="1"/>
  <c r="U383" i="1"/>
  <c r="V383" i="1"/>
  <c r="AA193" i="1"/>
  <c r="X193" i="1"/>
  <c r="U193" i="1"/>
  <c r="Z193" i="1"/>
  <c r="T193" i="1"/>
  <c r="V193" i="1"/>
  <c r="AA238" i="1"/>
  <c r="V238" i="1"/>
  <c r="U238" i="1"/>
  <c r="Z238" i="1"/>
  <c r="X238" i="1"/>
  <c r="T238" i="1"/>
  <c r="AA392" i="1"/>
  <c r="X392" i="1"/>
  <c r="U392" i="1"/>
  <c r="Z392" i="1"/>
  <c r="V392" i="1"/>
  <c r="T392" i="1"/>
  <c r="AA376" i="1"/>
  <c r="U376" i="1"/>
  <c r="Z376" i="1"/>
  <c r="X376" i="1"/>
  <c r="T376" i="1"/>
  <c r="V376" i="1"/>
  <c r="AA134" i="1"/>
  <c r="V134" i="1"/>
  <c r="Z134" i="1"/>
  <c r="X134" i="1"/>
  <c r="T134" i="1"/>
  <c r="U134" i="1"/>
  <c r="AA161" i="1"/>
  <c r="U161" i="1"/>
  <c r="X161" i="1"/>
  <c r="V161" i="1"/>
  <c r="Z161" i="1"/>
  <c r="T161" i="1"/>
  <c r="AA272" i="1"/>
  <c r="T272" i="1"/>
  <c r="U272" i="1"/>
  <c r="V272" i="1"/>
  <c r="X272" i="1"/>
  <c r="Z272" i="1"/>
  <c r="AA135" i="1"/>
  <c r="T135" i="1"/>
  <c r="Z135" i="1"/>
  <c r="X135" i="1"/>
  <c r="V135" i="1"/>
  <c r="U135" i="1"/>
  <c r="AA314" i="1"/>
  <c r="T314" i="1"/>
  <c r="Z314" i="1"/>
  <c r="X314" i="1"/>
  <c r="U314" i="1"/>
  <c r="V314" i="1"/>
  <c r="AA77" i="1"/>
  <c r="V77" i="1"/>
  <c r="Z77" i="1"/>
  <c r="X77" i="1"/>
  <c r="T77" i="1"/>
  <c r="U77" i="1"/>
  <c r="AA170" i="1"/>
  <c r="X170" i="1"/>
  <c r="T170" i="1"/>
  <c r="Z170" i="1"/>
  <c r="U170" i="1"/>
  <c r="V170" i="1"/>
  <c r="AA181" i="1"/>
  <c r="X181" i="1"/>
  <c r="V181" i="1"/>
  <c r="Z181" i="1"/>
  <c r="U181" i="1"/>
  <c r="T181" i="1"/>
  <c r="AA265" i="1"/>
  <c r="X265" i="1"/>
  <c r="T265" i="1"/>
  <c r="V265" i="1"/>
  <c r="Z265" i="1"/>
  <c r="U265" i="1"/>
  <c r="AA261" i="1"/>
  <c r="X261" i="1"/>
  <c r="Z261" i="1"/>
  <c r="U261" i="1"/>
  <c r="V261" i="1"/>
  <c r="T261" i="1"/>
  <c r="AA95" i="1"/>
  <c r="U95" i="1"/>
  <c r="X95" i="1"/>
  <c r="V95" i="1"/>
  <c r="T95" i="1"/>
  <c r="Z95" i="1"/>
  <c r="AA319" i="1"/>
  <c r="X319" i="1"/>
  <c r="T319" i="1"/>
  <c r="Z319" i="1"/>
  <c r="U319" i="1"/>
  <c r="V319" i="1"/>
  <c r="AA271" i="1"/>
  <c r="X271" i="1"/>
  <c r="U271" i="1"/>
  <c r="Z271" i="1"/>
  <c r="T271" i="1"/>
  <c r="V271" i="1"/>
  <c r="AA42" i="1"/>
  <c r="X42" i="1"/>
  <c r="U42" i="1"/>
  <c r="Z42" i="1"/>
  <c r="V42" i="1"/>
  <c r="T42" i="1"/>
  <c r="AA290" i="1"/>
  <c r="Z290" i="1"/>
  <c r="X290" i="1"/>
  <c r="V290" i="1"/>
  <c r="U290" i="1"/>
  <c r="T290" i="1"/>
  <c r="AA119" i="1"/>
  <c r="V119" i="1"/>
  <c r="Z119" i="1"/>
  <c r="X119" i="1"/>
  <c r="T119" i="1"/>
  <c r="U119" i="1"/>
  <c r="AA232" i="1"/>
  <c r="X232" i="1"/>
  <c r="T232" i="1"/>
  <c r="U232" i="1"/>
  <c r="Z232" i="1"/>
  <c r="V232" i="1"/>
  <c r="X108" i="1"/>
  <c r="V108" i="1"/>
  <c r="U108" i="1"/>
  <c r="AA108" i="1"/>
  <c r="Z108" i="1"/>
  <c r="T108" i="1"/>
  <c r="U176" i="1"/>
  <c r="X176" i="1"/>
  <c r="AA176" i="1"/>
  <c r="T176" i="1"/>
  <c r="Z176" i="1"/>
  <c r="V176" i="1"/>
  <c r="AA279" i="1"/>
  <c r="T279" i="1"/>
  <c r="Z279" i="1"/>
  <c r="X279" i="1"/>
  <c r="U279" i="1"/>
  <c r="V279" i="1"/>
  <c r="AA301" i="1"/>
  <c r="X301" i="1"/>
  <c r="Z301" i="1"/>
  <c r="V301" i="1"/>
  <c r="U301" i="1"/>
  <c r="T301" i="1"/>
  <c r="U28" i="1"/>
  <c r="AA28" i="1"/>
  <c r="T28" i="1"/>
  <c r="X28" i="1"/>
  <c r="V28" i="1"/>
  <c r="Z28" i="1"/>
  <c r="AA87" i="1"/>
  <c r="X87" i="1"/>
  <c r="V87" i="1"/>
  <c r="Z87" i="1"/>
  <c r="T87" i="1"/>
  <c r="U87" i="1"/>
  <c r="V36" i="1"/>
  <c r="U36" i="1"/>
  <c r="X36" i="1"/>
  <c r="AA36" i="1"/>
  <c r="T36" i="1"/>
  <c r="Z36" i="1"/>
  <c r="AA355" i="1"/>
  <c r="U355" i="1"/>
  <c r="X355" i="1"/>
  <c r="Z355" i="1"/>
  <c r="T355" i="1"/>
  <c r="V355" i="1"/>
  <c r="AA316" i="1"/>
  <c r="V316" i="1"/>
  <c r="T316" i="1"/>
  <c r="Z316" i="1"/>
  <c r="X316" i="1"/>
  <c r="U316" i="1"/>
  <c r="AA186" i="1"/>
  <c r="V186" i="1"/>
  <c r="Z186" i="1"/>
  <c r="X186" i="1"/>
  <c r="U186" i="1"/>
  <c r="T186" i="1"/>
  <c r="AA353" i="1"/>
  <c r="U353" i="1"/>
  <c r="Z353" i="1"/>
  <c r="X353" i="1"/>
  <c r="V353" i="1"/>
  <c r="T353" i="1"/>
  <c r="AA124" i="1"/>
  <c r="U124" i="1"/>
  <c r="T124" i="1"/>
  <c r="V124" i="1"/>
  <c r="Z124" i="1"/>
  <c r="X124" i="1"/>
  <c r="AA144" i="1"/>
  <c r="T144" i="1"/>
  <c r="U144" i="1"/>
  <c r="Z144" i="1"/>
  <c r="X144" i="1"/>
  <c r="V144" i="1"/>
  <c r="AA66" i="1"/>
  <c r="U66" i="1"/>
  <c r="T66" i="1"/>
  <c r="V66" i="1"/>
  <c r="Z66" i="1"/>
  <c r="X66" i="1"/>
  <c r="AA241" i="1"/>
  <c r="X241" i="1"/>
  <c r="T241" i="1"/>
  <c r="V241" i="1"/>
  <c r="Z241" i="1"/>
  <c r="U241" i="1"/>
  <c r="AA310" i="1"/>
  <c r="X310" i="1"/>
  <c r="V310" i="1"/>
  <c r="Z310" i="1"/>
  <c r="T310" i="1"/>
  <c r="U310" i="1"/>
  <c r="AA171" i="1"/>
  <c r="T171" i="1"/>
  <c r="X171" i="1"/>
  <c r="V171" i="1"/>
  <c r="U171" i="1"/>
  <c r="Z171" i="1"/>
  <c r="AA74" i="1"/>
  <c r="U74" i="1"/>
  <c r="X74" i="1"/>
  <c r="T74" i="1"/>
  <c r="Z74" i="1"/>
  <c r="V74" i="1"/>
  <c r="AA73" i="1"/>
  <c r="X73" i="1"/>
  <c r="T73" i="1"/>
  <c r="Z73" i="1"/>
  <c r="U73" i="1"/>
  <c r="V73" i="1"/>
  <c r="AA259" i="1"/>
  <c r="X259" i="1"/>
  <c r="V259" i="1"/>
  <c r="Z259" i="1"/>
  <c r="U259" i="1"/>
  <c r="T259" i="1"/>
  <c r="AA286" i="1"/>
  <c r="V286" i="1"/>
  <c r="U286" i="1"/>
  <c r="X286" i="1"/>
  <c r="T286" i="1"/>
  <c r="Z286" i="1"/>
  <c r="AA104" i="1"/>
  <c r="T104" i="1"/>
  <c r="Z104" i="1"/>
  <c r="X104" i="1"/>
  <c r="U104" i="1"/>
  <c r="V104" i="1"/>
  <c r="U155" i="1"/>
  <c r="T155" i="1"/>
  <c r="Z155" i="1"/>
  <c r="V155" i="1"/>
  <c r="AA155" i="1"/>
  <c r="X155" i="1"/>
  <c r="U72" i="1"/>
  <c r="T72" i="1"/>
  <c r="Z72" i="1"/>
  <c r="V72" i="1"/>
  <c r="X72" i="1"/>
  <c r="AA72" i="1"/>
  <c r="AA325" i="1"/>
  <c r="V325" i="1"/>
  <c r="T325" i="1"/>
  <c r="Z325" i="1"/>
  <c r="X325" i="1"/>
  <c r="U325" i="1"/>
  <c r="AA172" i="1"/>
  <c r="T172" i="1"/>
  <c r="Z172" i="1"/>
  <c r="X172" i="1"/>
  <c r="V172" i="1"/>
  <c r="U172" i="1"/>
  <c r="AA75" i="1"/>
  <c r="X75" i="1"/>
  <c r="V75" i="1"/>
  <c r="Z75" i="1"/>
  <c r="T75" i="1"/>
  <c r="U75" i="1"/>
  <c r="AA19" i="1"/>
  <c r="T19" i="1"/>
  <c r="Z19" i="1"/>
  <c r="X19" i="1"/>
  <c r="V19" i="1"/>
  <c r="U19" i="1"/>
  <c r="AA68" i="1"/>
  <c r="T68" i="1"/>
  <c r="Z68" i="1"/>
  <c r="X68" i="1"/>
  <c r="V68" i="1"/>
  <c r="U68" i="1"/>
  <c r="AA366" i="1"/>
  <c r="U366" i="1"/>
  <c r="Z366" i="1"/>
  <c r="X366" i="1"/>
  <c r="T366" i="1"/>
  <c r="V366" i="1"/>
  <c r="AA82" i="1"/>
  <c r="U82" i="1"/>
  <c r="Z82" i="1"/>
  <c r="X82" i="1"/>
  <c r="T82" i="1"/>
  <c r="V82" i="1"/>
  <c r="AA25" i="1"/>
  <c r="T25" i="1"/>
  <c r="X25" i="1"/>
  <c r="Z25" i="1"/>
  <c r="V25" i="1"/>
  <c r="U25" i="1"/>
  <c r="AA128" i="1"/>
  <c r="V128" i="1"/>
  <c r="U128" i="1"/>
  <c r="X128" i="1"/>
  <c r="Z128" i="1"/>
  <c r="T128" i="1"/>
  <c r="AA382" i="1"/>
  <c r="V382" i="1"/>
  <c r="X382" i="1"/>
  <c r="Z382" i="1"/>
  <c r="T382" i="1"/>
  <c r="U382" i="1"/>
  <c r="AA213" i="1"/>
  <c r="T213" i="1"/>
  <c r="Z213" i="1"/>
  <c r="X213" i="1"/>
  <c r="U213" i="1"/>
  <c r="V213" i="1"/>
  <c r="AA196" i="1"/>
  <c r="U196" i="1"/>
  <c r="Z196" i="1"/>
  <c r="X196" i="1"/>
  <c r="V196" i="1"/>
  <c r="T196" i="1"/>
  <c r="AA275" i="1"/>
  <c r="X275" i="1"/>
  <c r="V275" i="1"/>
  <c r="Z275" i="1"/>
  <c r="U275" i="1"/>
  <c r="T275" i="1"/>
  <c r="AA101" i="1"/>
  <c r="T101" i="1"/>
  <c r="Z101" i="1"/>
  <c r="X101" i="1"/>
  <c r="U101" i="1"/>
  <c r="V101" i="1"/>
  <c r="AA174" i="1"/>
  <c r="V174" i="1"/>
  <c r="X174" i="1"/>
  <c r="Z174" i="1"/>
  <c r="T174" i="1"/>
  <c r="U174" i="1"/>
  <c r="AA250" i="1"/>
  <c r="X250" i="1"/>
  <c r="T250" i="1"/>
  <c r="Z250" i="1"/>
  <c r="V250" i="1"/>
  <c r="U250" i="1"/>
  <c r="AA327" i="1"/>
  <c r="X327" i="1"/>
  <c r="T327" i="1"/>
  <c r="Z327" i="1"/>
  <c r="V327" i="1"/>
  <c r="U327" i="1"/>
  <c r="AA209" i="1"/>
  <c r="X209" i="1"/>
  <c r="V209" i="1"/>
  <c r="U209" i="1"/>
  <c r="Z209" i="1"/>
  <c r="T209" i="1"/>
  <c r="AA138" i="1"/>
  <c r="X138" i="1"/>
  <c r="T138" i="1"/>
  <c r="Z138" i="1"/>
  <c r="V138" i="1"/>
  <c r="U138" i="1"/>
  <c r="AA360" i="1"/>
  <c r="X360" i="1"/>
  <c r="V360" i="1"/>
  <c r="Z360" i="1"/>
  <c r="U360" i="1"/>
  <c r="T360" i="1"/>
  <c r="AA343" i="1"/>
  <c r="X343" i="1"/>
  <c r="T343" i="1"/>
  <c r="Z343" i="1"/>
  <c r="U343" i="1"/>
  <c r="V343" i="1"/>
  <c r="AA109" i="1"/>
  <c r="T109" i="1"/>
  <c r="Z109" i="1"/>
  <c r="X109" i="1"/>
  <c r="U109" i="1"/>
  <c r="V109" i="1"/>
  <c r="U141" i="1"/>
  <c r="T141" i="1"/>
  <c r="AA141" i="1"/>
  <c r="Z141" i="1"/>
  <c r="X141" i="1"/>
  <c r="V141" i="1"/>
  <c r="AA269" i="1"/>
  <c r="U269" i="1"/>
  <c r="X269" i="1"/>
  <c r="V269" i="1"/>
  <c r="Z269" i="1"/>
  <c r="T269" i="1"/>
  <c r="X291" i="1"/>
  <c r="U291" i="1"/>
  <c r="AA291" i="1"/>
  <c r="T291" i="1"/>
  <c r="V291" i="1"/>
  <c r="Z291" i="1"/>
  <c r="AF99" i="1"/>
  <c r="AD99" i="1"/>
  <c r="AE99" i="1"/>
  <c r="AF83" i="1"/>
  <c r="AD83" i="1"/>
  <c r="AE83" i="1"/>
  <c r="AD216" i="1"/>
  <c r="AF216" i="1"/>
  <c r="AE216" i="1"/>
  <c r="AF150" i="1"/>
  <c r="AD150" i="1"/>
  <c r="AE150" i="1"/>
  <c r="AD242" i="1"/>
  <c r="AE242" i="1"/>
  <c r="AF242" i="1"/>
  <c r="AD254" i="1"/>
  <c r="AE254" i="1"/>
  <c r="AF254" i="1"/>
  <c r="AD284" i="1"/>
  <c r="AE284" i="1"/>
  <c r="AF284" i="1"/>
  <c r="AD156" i="1"/>
  <c r="AE156" i="1"/>
  <c r="AF156" i="1"/>
  <c r="AD224" i="1"/>
  <c r="AF224" i="1"/>
  <c r="AE224" i="1"/>
  <c r="AD367" i="1"/>
  <c r="AE367" i="1"/>
  <c r="AF367" i="1"/>
  <c r="AD230" i="1"/>
  <c r="AE230" i="1"/>
  <c r="AF230" i="1"/>
  <c r="AF394" i="1"/>
  <c r="AD394" i="1"/>
  <c r="AE394" i="1"/>
  <c r="AE369" i="1"/>
  <c r="AD369" i="1"/>
  <c r="AF369" i="1"/>
  <c r="AE316" i="1"/>
  <c r="AF316" i="1"/>
  <c r="AD316" i="1"/>
  <c r="AE152" i="1"/>
  <c r="AF152" i="1"/>
  <c r="AD152" i="1"/>
  <c r="AD295" i="1"/>
  <c r="AE295" i="1"/>
  <c r="AF295" i="1"/>
  <c r="AD158" i="1"/>
  <c r="AE158" i="1"/>
  <c r="AF158" i="1"/>
  <c r="AF322" i="1"/>
  <c r="AD322" i="1"/>
  <c r="AE322" i="1"/>
  <c r="AF141" i="1"/>
  <c r="AE141" i="1"/>
  <c r="AD141" i="1"/>
  <c r="AF37" i="1"/>
  <c r="AE37" i="1"/>
  <c r="AD37" i="1"/>
  <c r="AE80" i="1"/>
  <c r="AD80" i="1"/>
  <c r="AF80" i="1"/>
  <c r="AE223" i="1"/>
  <c r="AF223" i="1"/>
  <c r="AD223" i="1"/>
  <c r="AF86" i="1"/>
  <c r="AD86" i="1"/>
  <c r="AE86" i="1"/>
  <c r="AD250" i="1"/>
  <c r="AE250" i="1"/>
  <c r="AF250" i="1"/>
  <c r="AE313" i="1"/>
  <c r="AF313" i="1"/>
  <c r="AD313" i="1"/>
  <c r="AD124" i="1"/>
  <c r="AE124" i="1"/>
  <c r="AF124" i="1"/>
  <c r="AF289" i="1"/>
  <c r="AD289" i="1"/>
  <c r="AE289" i="1"/>
  <c r="AD151" i="1"/>
  <c r="AE151" i="1"/>
  <c r="AF151" i="1"/>
  <c r="AE307" i="1"/>
  <c r="AF307" i="1"/>
  <c r="AD307" i="1"/>
  <c r="AF178" i="1"/>
  <c r="AE178" i="1"/>
  <c r="AD178" i="1"/>
  <c r="AD339" i="1"/>
  <c r="AE339" i="1"/>
  <c r="AF339" i="1"/>
  <c r="AF213" i="1"/>
  <c r="AE213" i="1"/>
  <c r="AD213" i="1"/>
  <c r="AD217" i="1"/>
  <c r="AF217" i="1"/>
  <c r="AE217" i="1"/>
  <c r="AD79" i="1"/>
  <c r="AF79" i="1"/>
  <c r="AE79" i="1"/>
  <c r="AE235" i="1"/>
  <c r="AF235" i="1"/>
  <c r="AD235" i="1"/>
  <c r="AD106" i="1"/>
  <c r="AE106" i="1"/>
  <c r="AF106" i="1"/>
  <c r="B42" i="1"/>
  <c r="G42" i="1"/>
  <c r="H42" i="1"/>
  <c r="AA162" i="1"/>
  <c r="T162" i="1"/>
  <c r="Z162" i="1"/>
  <c r="X162" i="1"/>
  <c r="V162" i="1"/>
  <c r="U162" i="1"/>
  <c r="AA29" i="1"/>
  <c r="U29" i="1"/>
  <c r="Z29" i="1"/>
  <c r="X29" i="1"/>
  <c r="T29" i="1"/>
  <c r="V29" i="1"/>
  <c r="AA63" i="1"/>
  <c r="V63" i="1"/>
  <c r="Z63" i="1"/>
  <c r="X63" i="1"/>
  <c r="U63" i="1"/>
  <c r="T63" i="1"/>
  <c r="AA395" i="1"/>
  <c r="V395" i="1"/>
  <c r="X395" i="1"/>
  <c r="U395" i="1"/>
  <c r="Z395" i="1"/>
  <c r="T395" i="1"/>
  <c r="AA211" i="1"/>
  <c r="X211" i="1"/>
  <c r="U211" i="1"/>
  <c r="T211" i="1"/>
  <c r="V211" i="1"/>
  <c r="Z211" i="1"/>
  <c r="AA284" i="1"/>
  <c r="U284" i="1"/>
  <c r="V284" i="1"/>
  <c r="T284" i="1"/>
  <c r="X284" i="1"/>
  <c r="Z284" i="1"/>
  <c r="AA352" i="1"/>
  <c r="X352" i="1"/>
  <c r="V352" i="1"/>
  <c r="Z352" i="1"/>
  <c r="T352" i="1"/>
  <c r="U352" i="1"/>
  <c r="AA20" i="1"/>
  <c r="U20" i="1"/>
  <c r="T20" i="1"/>
  <c r="Z20" i="1"/>
  <c r="X20" i="1"/>
  <c r="V20" i="1"/>
  <c r="AA364" i="1"/>
  <c r="V364" i="1"/>
  <c r="Z364" i="1"/>
  <c r="X364" i="1"/>
  <c r="T364" i="1"/>
  <c r="U364" i="1"/>
  <c r="AA358" i="1"/>
  <c r="V358" i="1"/>
  <c r="X358" i="1"/>
  <c r="Z358" i="1"/>
  <c r="U358" i="1"/>
  <c r="T358" i="1"/>
  <c r="AA293" i="1"/>
  <c r="T293" i="1"/>
  <c r="Z293" i="1"/>
  <c r="V293" i="1"/>
  <c r="U293" i="1"/>
  <c r="X293" i="1"/>
  <c r="AA38" i="1"/>
  <c r="V38" i="1"/>
  <c r="T38" i="1"/>
  <c r="Z38" i="1"/>
  <c r="U38" i="1"/>
  <c r="X38" i="1"/>
  <c r="AA198" i="1"/>
  <c r="X198" i="1"/>
  <c r="V198" i="1"/>
  <c r="Z198" i="1"/>
  <c r="U198" i="1"/>
  <c r="T198" i="1"/>
  <c r="AA313" i="1"/>
  <c r="X313" i="1"/>
  <c r="U313" i="1"/>
  <c r="T313" i="1"/>
  <c r="V313" i="1"/>
  <c r="Z313" i="1"/>
  <c r="AA216" i="1"/>
  <c r="T216" i="1"/>
  <c r="V216" i="1"/>
  <c r="X216" i="1"/>
  <c r="Z216" i="1"/>
  <c r="U216" i="1"/>
  <c r="AA76" i="1"/>
  <c r="T76" i="1"/>
  <c r="Z76" i="1"/>
  <c r="X76" i="1"/>
  <c r="U76" i="1"/>
  <c r="V76" i="1"/>
  <c r="AA195" i="1"/>
  <c r="T195" i="1"/>
  <c r="Z195" i="1"/>
  <c r="X195" i="1"/>
  <c r="U195" i="1"/>
  <c r="V195" i="1"/>
  <c r="AA217" i="1"/>
  <c r="T217" i="1"/>
  <c r="Z217" i="1"/>
  <c r="X217" i="1"/>
  <c r="V217" i="1"/>
  <c r="U217" i="1"/>
  <c r="AA367" i="1"/>
  <c r="V367" i="1"/>
  <c r="U367" i="1"/>
  <c r="T367" i="1"/>
  <c r="X367" i="1"/>
  <c r="Z367" i="1"/>
  <c r="AA71" i="1"/>
  <c r="V71" i="1"/>
  <c r="T71" i="1"/>
  <c r="X71" i="1"/>
  <c r="Z71" i="1"/>
  <c r="U71" i="1"/>
  <c r="AA212" i="1"/>
  <c r="X212" i="1"/>
  <c r="V212" i="1"/>
  <c r="Z212" i="1"/>
  <c r="U212" i="1"/>
  <c r="T212" i="1"/>
  <c r="U22" i="1"/>
  <c r="X22" i="1"/>
  <c r="AA22" i="1"/>
  <c r="V22" i="1"/>
  <c r="T22" i="1"/>
  <c r="Z22" i="1"/>
  <c r="V303" i="1"/>
  <c r="X303" i="1"/>
  <c r="AA303" i="1"/>
  <c r="T303" i="1"/>
  <c r="U303" i="1"/>
  <c r="Z303" i="1"/>
  <c r="AA116" i="1"/>
  <c r="X116" i="1"/>
  <c r="U116" i="1"/>
  <c r="T116" i="1"/>
  <c r="V116" i="1"/>
  <c r="Z116" i="1"/>
  <c r="AA129" i="1"/>
  <c r="X129" i="1"/>
  <c r="U129" i="1"/>
  <c r="Z129" i="1"/>
  <c r="V129" i="1"/>
  <c r="T129" i="1"/>
  <c r="AA203" i="1"/>
  <c r="X203" i="1"/>
  <c r="T203" i="1"/>
  <c r="Z203" i="1"/>
  <c r="U203" i="1"/>
  <c r="V203" i="1"/>
  <c r="AA377" i="1"/>
  <c r="V377" i="1"/>
  <c r="T377" i="1"/>
  <c r="X377" i="1"/>
  <c r="U377" i="1"/>
  <c r="Z377" i="1"/>
  <c r="AA191" i="1"/>
  <c r="X191" i="1"/>
  <c r="T191" i="1"/>
  <c r="Z191" i="1"/>
  <c r="U191" i="1"/>
  <c r="V191" i="1"/>
  <c r="AA93" i="1"/>
  <c r="V93" i="1"/>
  <c r="X93" i="1"/>
  <c r="Z93" i="1"/>
  <c r="T93" i="1"/>
  <c r="U93" i="1"/>
  <c r="AA391" i="1"/>
  <c r="V391" i="1"/>
  <c r="X391" i="1"/>
  <c r="Z391" i="1"/>
  <c r="T391" i="1"/>
  <c r="U391" i="1"/>
  <c r="AA368" i="1"/>
  <c r="V368" i="1"/>
  <c r="T368" i="1"/>
  <c r="Z368" i="1"/>
  <c r="U368" i="1"/>
  <c r="X368" i="1"/>
  <c r="AA228" i="1"/>
  <c r="V228" i="1"/>
  <c r="Z228" i="1"/>
  <c r="X228" i="1"/>
  <c r="U228" i="1"/>
  <c r="T228" i="1"/>
  <c r="AA127" i="1"/>
  <c r="Z127" i="1"/>
  <c r="X127" i="1"/>
  <c r="U127" i="1"/>
  <c r="V127" i="1"/>
  <c r="T127" i="1"/>
  <c r="AA337" i="1"/>
  <c r="T337" i="1"/>
  <c r="X337" i="1"/>
  <c r="Z337" i="1"/>
  <c r="V337" i="1"/>
  <c r="U337" i="1"/>
  <c r="AA230" i="1"/>
  <c r="V230" i="1"/>
  <c r="X230" i="1"/>
  <c r="Z230" i="1"/>
  <c r="T230" i="1"/>
  <c r="U230" i="1"/>
  <c r="AA359" i="1"/>
  <c r="V359" i="1"/>
  <c r="X359" i="1"/>
  <c r="U359" i="1"/>
  <c r="Z359" i="1"/>
  <c r="T359" i="1"/>
  <c r="AA64" i="1"/>
  <c r="T64" i="1"/>
  <c r="X64" i="1"/>
  <c r="Z64" i="1"/>
  <c r="V64" i="1"/>
  <c r="U64" i="1"/>
  <c r="AA274" i="1"/>
  <c r="V274" i="1"/>
  <c r="Z274" i="1"/>
  <c r="X274" i="1"/>
  <c r="U274" i="1"/>
  <c r="T274" i="1"/>
  <c r="AA85" i="1"/>
  <c r="Z85" i="1"/>
  <c r="X85" i="1"/>
  <c r="T85" i="1"/>
  <c r="U85" i="1"/>
  <c r="V85" i="1"/>
  <c r="AA247" i="1"/>
  <c r="Z247" i="1"/>
  <c r="X247" i="1"/>
  <c r="U247" i="1"/>
  <c r="V247" i="1"/>
  <c r="T247" i="1"/>
  <c r="AA394" i="1"/>
  <c r="Z394" i="1"/>
  <c r="V394" i="1"/>
  <c r="X394" i="1"/>
  <c r="U394" i="1"/>
  <c r="T394" i="1"/>
  <c r="Z357" i="1"/>
  <c r="X357" i="1"/>
  <c r="U357" i="1"/>
  <c r="AA357" i="1"/>
  <c r="T357" i="1"/>
  <c r="V357" i="1"/>
  <c r="AA201" i="1"/>
  <c r="Z201" i="1"/>
  <c r="X201" i="1"/>
  <c r="V201" i="1"/>
  <c r="T201" i="1"/>
  <c r="U201" i="1"/>
  <c r="AA157" i="1"/>
  <c r="X157" i="1"/>
  <c r="T157" i="1"/>
  <c r="Z157" i="1"/>
  <c r="V157" i="1"/>
  <c r="U157" i="1"/>
  <c r="X31" i="1"/>
  <c r="Z31" i="1"/>
  <c r="U31" i="1"/>
  <c r="AA31" i="1"/>
  <c r="V31" i="1"/>
  <c r="T31" i="1"/>
  <c r="V384" i="1"/>
  <c r="U384" i="1"/>
  <c r="T384" i="1"/>
  <c r="AA384" i="1"/>
  <c r="Z384" i="1"/>
  <c r="X384" i="1"/>
  <c r="U370" i="1"/>
  <c r="Z370" i="1"/>
  <c r="X370" i="1"/>
  <c r="T370" i="1"/>
  <c r="AA370" i="1"/>
  <c r="V370" i="1"/>
  <c r="V280" i="1"/>
  <c r="Z280" i="1"/>
  <c r="X280" i="1"/>
  <c r="T280" i="1"/>
  <c r="AA280" i="1"/>
  <c r="U280" i="1"/>
  <c r="AD318" i="1"/>
  <c r="AE318" i="1"/>
  <c r="AF318" i="1"/>
  <c r="AF73" i="1"/>
  <c r="AE73" i="1"/>
  <c r="AD73" i="1"/>
  <c r="AF65" i="1"/>
  <c r="AD65" i="1"/>
  <c r="AE65" i="1"/>
  <c r="AD57" i="1"/>
  <c r="AF57" i="1"/>
  <c r="AE57" i="1"/>
  <c r="AD359" i="1"/>
  <c r="AF359" i="1"/>
  <c r="AE359" i="1"/>
  <c r="AE287" i="1"/>
  <c r="AF287" i="1"/>
  <c r="AD287" i="1"/>
  <c r="AE78" i="1"/>
  <c r="AF78" i="1"/>
  <c r="AD78" i="1"/>
  <c r="AF170" i="1"/>
  <c r="AD170" i="1"/>
  <c r="AE170" i="1"/>
  <c r="AF35" i="1"/>
  <c r="AD35" i="1"/>
  <c r="AE35" i="1"/>
  <c r="AF27" i="1"/>
  <c r="AE27" i="1"/>
  <c r="AD27" i="1"/>
  <c r="AF19" i="1"/>
  <c r="AE19" i="1"/>
  <c r="AD19" i="1"/>
  <c r="AD327" i="1"/>
  <c r="AE327" i="1"/>
  <c r="AF327" i="1"/>
  <c r="AD190" i="1"/>
  <c r="AE190" i="1"/>
  <c r="AF190" i="1"/>
  <c r="AF354" i="1"/>
  <c r="AD354" i="1"/>
  <c r="AE354" i="1"/>
  <c r="AD116" i="1"/>
  <c r="AF116" i="1"/>
  <c r="AE116" i="1"/>
  <c r="AF364" i="1"/>
  <c r="AD364" i="1"/>
  <c r="AE364" i="1"/>
  <c r="AE176" i="1"/>
  <c r="AD176" i="1"/>
  <c r="AF176" i="1"/>
  <c r="AD319" i="1"/>
  <c r="AE319" i="1"/>
  <c r="AF319" i="1"/>
  <c r="AD182" i="1"/>
  <c r="AE182" i="1"/>
  <c r="AF182" i="1"/>
  <c r="AE346" i="1"/>
  <c r="AD346" i="1"/>
  <c r="AF346" i="1"/>
  <c r="AE52" i="1"/>
  <c r="AD52" i="1"/>
  <c r="AF52" i="1"/>
  <c r="AD348" i="1"/>
  <c r="AE348" i="1"/>
  <c r="AF348" i="1"/>
  <c r="AD168" i="1"/>
  <c r="AE168" i="1"/>
  <c r="AF168" i="1"/>
  <c r="AD311" i="1"/>
  <c r="AE311" i="1"/>
  <c r="AF311" i="1"/>
  <c r="AD174" i="1"/>
  <c r="AE174" i="1"/>
  <c r="AF174" i="1"/>
  <c r="AF338" i="1"/>
  <c r="AE338" i="1"/>
  <c r="AD338" i="1"/>
  <c r="AD385" i="1"/>
  <c r="AE385" i="1"/>
  <c r="AF385" i="1"/>
  <c r="AE332" i="1"/>
  <c r="AF332" i="1"/>
  <c r="AD332" i="1"/>
  <c r="AE160" i="1"/>
  <c r="AD160" i="1"/>
  <c r="AF160" i="1"/>
  <c r="AD303" i="1"/>
  <c r="AE303" i="1"/>
  <c r="AF303" i="1"/>
  <c r="AE166" i="1"/>
  <c r="AF166" i="1"/>
  <c r="AD166" i="1"/>
  <c r="AD330" i="1"/>
  <c r="AE330" i="1"/>
  <c r="AF330" i="1"/>
  <c r="AD173" i="1"/>
  <c r="AE173" i="1"/>
  <c r="AF173" i="1"/>
  <c r="AF69" i="1"/>
  <c r="AE69" i="1"/>
  <c r="AD69" i="1"/>
  <c r="AD88" i="1"/>
  <c r="AE88" i="1"/>
  <c r="AF88" i="1"/>
  <c r="AE231" i="1"/>
  <c r="AF231" i="1"/>
  <c r="AD231" i="1"/>
  <c r="AD94" i="1"/>
  <c r="AE94" i="1"/>
  <c r="AF94" i="1"/>
  <c r="AD258" i="1"/>
  <c r="AE258" i="1"/>
  <c r="AF258" i="1"/>
  <c r="AD377" i="1"/>
  <c r="AE377" i="1"/>
  <c r="AF377" i="1"/>
  <c r="AD252" i="1"/>
  <c r="AE252" i="1"/>
  <c r="AF252" i="1"/>
  <c r="AF297" i="1"/>
  <c r="AD297" i="1"/>
  <c r="AE297" i="1"/>
  <c r="AF159" i="1"/>
  <c r="AE159" i="1"/>
  <c r="AD159" i="1"/>
  <c r="AE22" i="1"/>
  <c r="AF22" i="1"/>
  <c r="AD22" i="1"/>
  <c r="AE186" i="1"/>
  <c r="AF186" i="1"/>
  <c r="AD186" i="1"/>
  <c r="AD355" i="1"/>
  <c r="AE355" i="1"/>
  <c r="AF355" i="1"/>
  <c r="AF245" i="1"/>
  <c r="AD245" i="1"/>
  <c r="AE245" i="1"/>
  <c r="AF225" i="1"/>
  <c r="AE225" i="1"/>
  <c r="AD225" i="1"/>
  <c r="AF87" i="1"/>
  <c r="AD87" i="1"/>
  <c r="AE87" i="1"/>
  <c r="AF243" i="1"/>
  <c r="AD243" i="1"/>
  <c r="AE243" i="1"/>
  <c r="AE114" i="1"/>
  <c r="AF114" i="1"/>
  <c r="AD114" i="1"/>
  <c r="AE317" i="1"/>
  <c r="AF317" i="1"/>
  <c r="AD317" i="1"/>
  <c r="AE384" i="1"/>
  <c r="AF384" i="1"/>
  <c r="AD384" i="1"/>
  <c r="AE153" i="1"/>
  <c r="AD153" i="1"/>
  <c r="AF153" i="1"/>
  <c r="AF390" i="1"/>
  <c r="AD390" i="1"/>
  <c r="AE390" i="1"/>
  <c r="AF171" i="1"/>
  <c r="AD171" i="1"/>
  <c r="AE171" i="1"/>
  <c r="AE42" i="1"/>
  <c r="AD42" i="1"/>
  <c r="AF42" i="1"/>
  <c r="B41" i="1"/>
  <c r="H41" i="1"/>
  <c r="G41" i="1"/>
  <c r="AA215" i="1"/>
  <c r="T215" i="1"/>
  <c r="U215" i="1"/>
  <c r="Z215" i="1"/>
  <c r="V215" i="1"/>
  <c r="X215" i="1"/>
  <c r="AA80" i="1"/>
  <c r="V80" i="1"/>
  <c r="Z80" i="1"/>
  <c r="X80" i="1"/>
  <c r="T80" i="1"/>
  <c r="U80" i="1"/>
  <c r="AA125" i="1"/>
  <c r="T125" i="1"/>
  <c r="X125" i="1"/>
  <c r="Z125" i="1"/>
  <c r="V125" i="1"/>
  <c r="U125" i="1"/>
  <c r="AA363" i="1"/>
  <c r="X363" i="1"/>
  <c r="U363" i="1"/>
  <c r="Z363" i="1"/>
  <c r="T363" i="1"/>
  <c r="V363" i="1"/>
  <c r="AA49" i="1"/>
  <c r="V49" i="1"/>
  <c r="X49" i="1"/>
  <c r="U49" i="1"/>
  <c r="Z49" i="1"/>
  <c r="T49" i="1"/>
  <c r="AA152" i="1"/>
  <c r="X152" i="1"/>
  <c r="U152" i="1"/>
  <c r="T152" i="1"/>
  <c r="Z152" i="1"/>
  <c r="V152" i="1"/>
  <c r="AA252" i="1"/>
  <c r="X252" i="1"/>
  <c r="V252" i="1"/>
  <c r="Z252" i="1"/>
  <c r="U252" i="1"/>
  <c r="T252" i="1"/>
  <c r="AA220" i="1"/>
  <c r="U220" i="1"/>
  <c r="X220" i="1"/>
  <c r="V220" i="1"/>
  <c r="T220" i="1"/>
  <c r="Z220" i="1"/>
  <c r="AA321" i="1"/>
  <c r="V321" i="1"/>
  <c r="X321" i="1"/>
  <c r="T321" i="1"/>
  <c r="Z321" i="1"/>
  <c r="U321" i="1"/>
  <c r="AA163" i="1"/>
  <c r="U163" i="1"/>
  <c r="V163" i="1"/>
  <c r="X163" i="1"/>
  <c r="T163" i="1"/>
  <c r="Z163" i="1"/>
  <c r="AA150" i="1"/>
  <c r="U150" i="1"/>
  <c r="X150" i="1"/>
  <c r="T150" i="1"/>
  <c r="V150" i="1"/>
  <c r="Z150" i="1"/>
  <c r="AA350" i="1"/>
  <c r="T350" i="1"/>
  <c r="X350" i="1"/>
  <c r="V350" i="1"/>
  <c r="U350" i="1"/>
  <c r="Z350" i="1"/>
  <c r="AA345" i="1"/>
  <c r="T345" i="1"/>
  <c r="U345" i="1"/>
  <c r="Z345" i="1"/>
  <c r="X345" i="1"/>
  <c r="V345" i="1"/>
  <c r="AA173" i="1"/>
  <c r="V173" i="1"/>
  <c r="U173" i="1"/>
  <c r="Z173" i="1"/>
  <c r="X173" i="1"/>
  <c r="T173" i="1"/>
  <c r="AA48" i="1"/>
  <c r="V48" i="1"/>
  <c r="T48" i="1"/>
  <c r="X48" i="1"/>
  <c r="Z48" i="1"/>
  <c r="U48" i="1"/>
  <c r="AA297" i="1"/>
  <c r="T297" i="1"/>
  <c r="Z297" i="1"/>
  <c r="X297" i="1"/>
  <c r="U297" i="1"/>
  <c r="V297" i="1"/>
  <c r="AA305" i="1"/>
  <c r="T305" i="1"/>
  <c r="Z305" i="1"/>
  <c r="X305" i="1"/>
  <c r="U305" i="1"/>
  <c r="V305" i="1"/>
  <c r="AA178" i="1"/>
  <c r="U178" i="1"/>
  <c r="Z178" i="1"/>
  <c r="T178" i="1"/>
  <c r="X178" i="1"/>
  <c r="V178" i="1"/>
  <c r="AA103" i="1"/>
  <c r="V103" i="1"/>
  <c r="T103" i="1"/>
  <c r="U103" i="1"/>
  <c r="X103" i="1"/>
  <c r="Z103" i="1"/>
  <c r="AA388" i="1"/>
  <c r="T388" i="1"/>
  <c r="Z388" i="1"/>
  <c r="X388" i="1"/>
  <c r="V388" i="1"/>
  <c r="U388" i="1"/>
  <c r="AA349" i="1"/>
  <c r="U349" i="1"/>
  <c r="X349" i="1"/>
  <c r="Z349" i="1"/>
  <c r="T349" i="1"/>
  <c r="V349" i="1"/>
  <c r="AA67" i="1"/>
  <c r="T67" i="1"/>
  <c r="V67" i="1"/>
  <c r="Z67" i="1"/>
  <c r="X67" i="1"/>
  <c r="U67" i="1"/>
  <c r="V92" i="1"/>
  <c r="T92" i="1"/>
  <c r="Z92" i="1"/>
  <c r="U92" i="1"/>
  <c r="X92" i="1"/>
  <c r="AA92" i="1"/>
  <c r="U98" i="1"/>
  <c r="T98" i="1"/>
  <c r="Z98" i="1"/>
  <c r="V98" i="1"/>
  <c r="X98" i="1"/>
  <c r="AA98" i="1"/>
  <c r="AA243" i="1"/>
  <c r="V243" i="1"/>
  <c r="X243" i="1"/>
  <c r="Z243" i="1"/>
  <c r="U243" i="1"/>
  <c r="T243" i="1"/>
  <c r="AA334" i="1"/>
  <c r="X334" i="1"/>
  <c r="U334" i="1"/>
  <c r="Z334" i="1"/>
  <c r="V334" i="1"/>
  <c r="T334" i="1"/>
  <c r="AA91" i="1"/>
  <c r="V91" i="1"/>
  <c r="T91" i="1"/>
  <c r="X91" i="1"/>
  <c r="U91" i="1"/>
  <c r="Z91" i="1"/>
  <c r="AA381" i="1"/>
  <c r="U381" i="1"/>
  <c r="V381" i="1"/>
  <c r="X381" i="1"/>
  <c r="Z381" i="1"/>
  <c r="T381" i="1"/>
  <c r="AA30" i="1"/>
  <c r="X30" i="1"/>
  <c r="T30" i="1"/>
  <c r="Z30" i="1"/>
  <c r="U30" i="1"/>
  <c r="V30" i="1"/>
  <c r="AA151" i="1"/>
  <c r="U151" i="1"/>
  <c r="X151" i="1"/>
  <c r="T151" i="1"/>
  <c r="Z151" i="1"/>
  <c r="V151" i="1"/>
  <c r="AA270" i="1"/>
  <c r="X270" i="1"/>
  <c r="V270" i="1"/>
  <c r="Z270" i="1"/>
  <c r="T270" i="1"/>
  <c r="U270" i="1"/>
  <c r="AA40" i="1"/>
  <c r="X40" i="1"/>
  <c r="V40" i="1"/>
  <c r="U40" i="1"/>
  <c r="Z40" i="1"/>
  <c r="T40" i="1"/>
  <c r="AA253" i="1"/>
  <c r="X253" i="1"/>
  <c r="U253" i="1"/>
  <c r="Z253" i="1"/>
  <c r="T253" i="1"/>
  <c r="V253" i="1"/>
  <c r="AA78" i="1"/>
  <c r="X78" i="1"/>
  <c r="U78" i="1"/>
  <c r="Z78" i="1"/>
  <c r="T78" i="1"/>
  <c r="V78" i="1"/>
  <c r="AA273" i="1"/>
  <c r="U273" i="1"/>
  <c r="X273" i="1"/>
  <c r="T273" i="1"/>
  <c r="Z273" i="1"/>
  <c r="V273" i="1"/>
  <c r="AA264" i="1"/>
  <c r="V264" i="1"/>
  <c r="X264" i="1"/>
  <c r="T264" i="1"/>
  <c r="Z264" i="1"/>
  <c r="U264" i="1"/>
  <c r="AA164" i="1"/>
  <c r="U164" i="1"/>
  <c r="X164" i="1"/>
  <c r="Z164" i="1"/>
  <c r="V164" i="1"/>
  <c r="T164" i="1"/>
  <c r="AA295" i="1"/>
  <c r="T295" i="1"/>
  <c r="X295" i="1"/>
  <c r="Z295" i="1"/>
  <c r="V295" i="1"/>
  <c r="U295" i="1"/>
  <c r="AA385" i="1"/>
  <c r="T385" i="1"/>
  <c r="Z385" i="1"/>
  <c r="X385" i="1"/>
  <c r="V385" i="1"/>
  <c r="U385" i="1"/>
  <c r="AA365" i="1"/>
  <c r="U365" i="1"/>
  <c r="Z365" i="1"/>
  <c r="X365" i="1"/>
  <c r="V365" i="1"/>
  <c r="T365" i="1"/>
  <c r="AA221" i="1"/>
  <c r="U221" i="1"/>
  <c r="Z221" i="1"/>
  <c r="X221" i="1"/>
  <c r="V221" i="1"/>
  <c r="T221" i="1"/>
  <c r="AA206" i="1"/>
  <c r="X206" i="1"/>
  <c r="T206" i="1"/>
  <c r="Z206" i="1"/>
  <c r="U206" i="1"/>
  <c r="V206" i="1"/>
  <c r="AA110" i="1"/>
  <c r="X110" i="1"/>
  <c r="U110" i="1"/>
  <c r="Z110" i="1"/>
  <c r="V110" i="1"/>
  <c r="T110" i="1"/>
  <c r="AA27" i="1"/>
  <c r="X27" i="1"/>
  <c r="Z27" i="1"/>
  <c r="V27" i="1"/>
  <c r="U27" i="1"/>
  <c r="T27" i="1"/>
  <c r="AA88" i="1"/>
  <c r="V88" i="1"/>
  <c r="T88" i="1"/>
  <c r="Z88" i="1"/>
  <c r="X88" i="1"/>
  <c r="U88" i="1"/>
  <c r="U197" i="1"/>
  <c r="V197" i="1"/>
  <c r="AA197" i="1"/>
  <c r="Z197" i="1"/>
  <c r="X197" i="1"/>
  <c r="T197" i="1"/>
  <c r="V311" i="1"/>
  <c r="AA311" i="1"/>
  <c r="U311" i="1"/>
  <c r="T311" i="1"/>
  <c r="Z311" i="1"/>
  <c r="X311" i="1"/>
  <c r="AA154" i="1"/>
  <c r="X154" i="1"/>
  <c r="T154" i="1"/>
  <c r="Z154" i="1"/>
  <c r="V154" i="1"/>
  <c r="U154" i="1"/>
  <c r="H39" i="1" l="1"/>
  <c r="G35" i="1"/>
  <c r="B35" i="1"/>
  <c r="B32" i="1"/>
  <c r="H32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<sst xmlns="http://schemas.openxmlformats.org/spreadsheetml/2006/main" count="426" uniqueCount="245">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</sst>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141.4763531049322</c:v>
                </c:pt>
                <c:pt idx="1">
                  <c:v>6.1236850358190793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4.8118522739811427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215.89597042327873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163.90218545877727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58.475044736116409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171.42684055117914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37.743579979699859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7.7964229469430402</c:v>
                </c:pt>
                <c:pt idx="1">
                  <c:v>8.1406998690694508</c:v>
                </c:pt>
                <c:pt idx="2">
                  <c:v>8.4947394737530395</c:v>
                </c:pt>
                <c:pt idx="3">
                  <c:v>8.8743308555207996</c:v>
                </c:pt>
                <c:pt idx="4">
                  <c:v>9.2617793321352693</c:v>
                </c:pt>
                <c:pt idx="5">
                  <c:v>9.6692280919990008</c:v>
                </c:pt>
                <c:pt idx="6">
                  <c:v>10.0656504016752</c:v>
                </c:pt>
                <c:pt idx="7">
                  <c:v>10.4918581796256</c:v>
                </c:pt>
                <c:pt idx="8">
                  <c:v>10.9680813806569</c:v>
                </c:pt>
                <c:pt idx="9">
                  <c:v>11.4892857560368</c:v>
                </c:pt>
                <c:pt idx="10">
                  <c:v>11.982323593163301</c:v>
                </c:pt>
                <c:pt idx="11">
                  <c:v>12.472422377119599</c:v>
                </c:pt>
                <c:pt idx="12">
                  <c:v>12.998115422157801</c:v>
                </c:pt>
                <c:pt idx="13">
                  <c:v>13.557836293046099</c:v>
                </c:pt>
                <c:pt idx="14">
                  <c:v>14.150598009617401</c:v>
                </c:pt>
                <c:pt idx="15">
                  <c:v>14.775815774973999</c:v>
                </c:pt>
                <c:pt idx="16">
                  <c:v>15.432416190737101</c:v>
                </c:pt>
                <c:pt idx="17">
                  <c:v>16.0936332783265</c:v>
                </c:pt>
                <c:pt idx="18">
                  <c:v>16.809584747096899</c:v>
                </c:pt>
                <c:pt idx="19">
                  <c:v>17.562760060529602</c:v>
                </c:pt>
                <c:pt idx="20">
                  <c:v>18.3610848406509</c:v>
                </c:pt>
                <c:pt idx="21">
                  <c:v>19.129314813533199</c:v>
                </c:pt>
                <c:pt idx="22">
                  <c:v>19.949526585966399</c:v>
                </c:pt>
                <c:pt idx="23">
                  <c:v>20.815003754060399</c:v>
                </c:pt>
                <c:pt idx="24">
                  <c:v>21.6874257676516</c:v>
                </c:pt>
                <c:pt idx="25">
                  <c:v>22.579978262378201</c:v>
                </c:pt>
                <c:pt idx="26">
                  <c:v>23.4735904891396</c:v>
                </c:pt>
                <c:pt idx="27">
                  <c:v>24.460062733388401</c:v>
                </c:pt>
                <c:pt idx="28">
                  <c:v>25.468702624906101</c:v>
                </c:pt>
                <c:pt idx="29">
                  <c:v>26.436225525836601</c:v>
                </c:pt>
                <c:pt idx="30">
                  <c:v>27.401807242489902</c:v>
                </c:pt>
                <c:pt idx="31">
                  <c:v>28.327333852702601</c:v>
                </c:pt>
                <c:pt idx="32">
                  <c:v>29.3262581914422</c:v>
                </c:pt>
                <c:pt idx="33">
                  <c:v>30.3982877576574</c:v>
                </c:pt>
                <c:pt idx="34">
                  <c:v>31.517059306850999</c:v>
                </c:pt>
                <c:pt idx="35">
                  <c:v>32.652293925154403</c:v>
                </c:pt>
                <c:pt idx="36">
                  <c:v>33.898943053048598</c:v>
                </c:pt>
                <c:pt idx="37">
                  <c:v>35.146306138111498</c:v>
                </c:pt>
                <c:pt idx="38">
                  <c:v>36.330801158828301</c:v>
                </c:pt>
                <c:pt idx="39">
                  <c:v>37.5765046400549</c:v>
                </c:pt>
                <c:pt idx="40">
                  <c:v>38.873942884860298</c:v>
                </c:pt>
                <c:pt idx="41">
                  <c:v>40.184187859001597</c:v>
                </c:pt>
                <c:pt idx="42">
                  <c:v>41.537903378577198</c:v>
                </c:pt>
                <c:pt idx="43">
                  <c:v>42.855819172131199</c:v>
                </c:pt>
                <c:pt idx="44">
                  <c:v>44.353144853331699</c:v>
                </c:pt>
                <c:pt idx="45">
                  <c:v>45.894965849035799</c:v>
                </c:pt>
                <c:pt idx="46">
                  <c:v>47.406869218746799</c:v>
                </c:pt>
                <c:pt idx="47">
                  <c:v>48.998717089762202</c:v>
                </c:pt>
                <c:pt idx="48">
                  <c:v>50.745219753632199</c:v>
                </c:pt>
                <c:pt idx="49">
                  <c:v>52.495244326016497</c:v>
                </c:pt>
                <c:pt idx="50">
                  <c:v>54.235922126861098</c:v>
                </c:pt>
                <c:pt idx="51">
                  <c:v>56.1383555246762</c:v>
                </c:pt>
                <c:pt idx="52">
                  <c:v>58.003514687099901</c:v>
                </c:pt>
                <c:pt idx="53">
                  <c:v>59.882911687658897</c:v>
                </c:pt>
                <c:pt idx="54">
                  <c:v>61.785588896984599</c:v>
                </c:pt>
                <c:pt idx="55">
                  <c:v>63.482905922086999</c:v>
                </c:pt>
                <c:pt idx="56">
                  <c:v>65.213939017224106</c:v>
                </c:pt>
                <c:pt idx="57">
                  <c:v>67.169468684730404</c:v>
                </c:pt>
                <c:pt idx="58">
                  <c:v>69.179788843694794</c:v>
                </c:pt>
                <c:pt idx="59">
                  <c:v>71.309971965628094</c:v>
                </c:pt>
                <c:pt idx="60">
                  <c:v>73.439714335281096</c:v>
                </c:pt>
                <c:pt idx="61">
                  <c:v>75.520849931360303</c:v>
                </c:pt>
                <c:pt idx="62">
                  <c:v>77.668048606928195</c:v>
                </c:pt>
                <c:pt idx="63">
                  <c:v>80.087379738116397</c:v>
                </c:pt>
                <c:pt idx="64">
                  <c:v>82.499999319554107</c:v>
                </c:pt>
                <c:pt idx="65">
                  <c:v>84.850469973212</c:v>
                </c:pt>
                <c:pt idx="66">
                  <c:v>87.336747613727098</c:v>
                </c:pt>
                <c:pt idx="67">
                  <c:v>89.747673821188002</c:v>
                </c:pt>
                <c:pt idx="68">
                  <c:v>92.228109118522795</c:v>
                </c:pt>
                <c:pt idx="69">
                  <c:v>94.849643689748305</c:v>
                </c:pt>
                <c:pt idx="70">
                  <c:v>97.402172444772205</c:v>
                </c:pt>
                <c:pt idx="71">
                  <c:v>99.8737273645107</c:v>
                </c:pt>
                <c:pt idx="72">
                  <c:v>102.254915401578</c:v>
                </c:pt>
                <c:pt idx="73">
                  <c:v>104.738867971085</c:v>
                </c:pt>
                <c:pt idx="74">
                  <c:v>107.232213029199</c:v>
                </c:pt>
                <c:pt idx="75">
                  <c:v>109.731401315114</c:v>
                </c:pt>
                <c:pt idx="76">
                  <c:v>111.951654759261</c:v>
                </c:pt>
                <c:pt idx="77">
                  <c:v>114.32607344868801</c:v>
                </c:pt>
                <c:pt idx="78">
                  <c:v>116.785935084147</c:v>
                </c:pt>
                <c:pt idx="79">
                  <c:v>119.22827860038301</c:v>
                </c:pt>
                <c:pt idx="80">
                  <c:v>121.797156764326</c:v>
                </c:pt>
                <c:pt idx="81">
                  <c:v>124.253871576221</c:v>
                </c:pt>
                <c:pt idx="82">
                  <c:v>126.671741519848</c:v>
                </c:pt>
                <c:pt idx="83">
                  <c:v>129.23925724486401</c:v>
                </c:pt>
                <c:pt idx="84">
                  <c:v>131.56032312948599</c:v>
                </c:pt>
                <c:pt idx="85">
                  <c:v>133.916750700796</c:v>
                </c:pt>
                <c:pt idx="86">
                  <c:v>136.365802533238</c:v>
                </c:pt>
                <c:pt idx="87">
                  <c:v>138.83546578654301</c:v>
                </c:pt>
                <c:pt idx="88">
                  <c:v>141.303192765007</c:v>
                </c:pt>
                <c:pt idx="89">
                  <c:v>144.057127774111</c:v>
                </c:pt>
                <c:pt idx="90">
                  <c:v>146.76905913053901</c:v>
                </c:pt>
                <c:pt idx="91">
                  <c:v>149.471776130954</c:v>
                </c:pt>
                <c:pt idx="92">
                  <c:v>152.170151845162</c:v>
                </c:pt>
                <c:pt idx="93">
                  <c:v>154.66071683075799</c:v>
                </c:pt>
                <c:pt idx="94">
                  <c:v>157.14145522368699</c:v>
                </c:pt>
                <c:pt idx="95">
                  <c:v>160.010505146203</c:v>
                </c:pt>
                <c:pt idx="96">
                  <c:v>162.89766020309301</c:v>
                </c:pt>
                <c:pt idx="97">
                  <c:v>166.05508910575799</c:v>
                </c:pt>
                <c:pt idx="98">
                  <c:v>168.87042837382</c:v>
                </c:pt>
                <c:pt idx="99">
                  <c:v>171.603706182396</c:v>
                </c:pt>
                <c:pt idx="100">
                  <c:v>174.05007290167799</c:v>
                </c:pt>
                <c:pt idx="101">
                  <c:v>176.80473511354199</c:v>
                </c:pt>
                <c:pt idx="102">
                  <c:v>179.59903669220799</c:v>
                </c:pt>
                <c:pt idx="103">
                  <c:v>182.42774063308801</c:v>
                </c:pt>
                <c:pt idx="104">
                  <c:v>185.36240294128001</c:v>
                </c:pt>
                <c:pt idx="105">
                  <c:v>188.29268118058201</c:v>
                </c:pt>
                <c:pt idx="106">
                  <c:v>191.06830676995699</c:v>
                </c:pt>
                <c:pt idx="107">
                  <c:v>193.55597774164301</c:v>
                </c:pt>
                <c:pt idx="108">
                  <c:v>196.06159952845201</c:v>
                </c:pt>
                <c:pt idx="109">
                  <c:v>198.94244706793199</c:v>
                </c:pt>
                <c:pt idx="110">
                  <c:v>201.589878132243</c:v>
                </c:pt>
                <c:pt idx="111">
                  <c:v>204.13285644338899</c:v>
                </c:pt>
                <c:pt idx="112">
                  <c:v>206.57804154827301</c:v>
                </c:pt>
                <c:pt idx="113">
                  <c:v>209.04124592308401</c:v>
                </c:pt>
                <c:pt idx="114">
                  <c:v>211.46984206158999</c:v>
                </c:pt>
                <c:pt idx="115">
                  <c:v>213.84600026041699</c:v>
                </c:pt>
                <c:pt idx="116">
                  <c:v>216.30168221203601</c:v>
                </c:pt>
                <c:pt idx="117">
                  <c:v>218.58930217126999</c:v>
                </c:pt>
                <c:pt idx="118">
                  <c:v>221.04312264931301</c:v>
                </c:pt>
                <c:pt idx="119">
                  <c:v>223.42850942770201</c:v>
                </c:pt>
                <c:pt idx="120">
                  <c:v>226.030966564295</c:v>
                </c:pt>
                <c:pt idx="121">
                  <c:v>228.550569534403</c:v>
                </c:pt>
                <c:pt idx="122">
                  <c:v>231.21185469305499</c:v>
                </c:pt>
                <c:pt idx="123">
                  <c:v>233.55551232424401</c:v>
                </c:pt>
                <c:pt idx="124">
                  <c:v>235.79100546600301</c:v>
                </c:pt>
                <c:pt idx="125">
                  <c:v>238.04258515636499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86.578487614690829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129.3174828085879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141.27076925422242</c:v>
                </c:pt>
                <c:pt idx="1">
                  <c:v>140.72964165034668</c:v>
                </c:pt>
                <c:pt idx="2">
                  <c:v>140.19832146289821</c:v>
                </c:pt>
                <c:pt idx="3">
                  <c:v>139.64248726059182</c:v>
                </c:pt>
                <c:pt idx="4">
                  <c:v>139.08723761420504</c:v>
                </c:pt>
                <c:pt idx="5">
                  <c:v>138.5234604836094</c:v>
                </c:pt>
                <c:pt idx="6">
                  <c:v>137.8186392879563</c:v>
                </c:pt>
                <c:pt idx="7">
                  <c:v>137.26522229033787</c:v>
                </c:pt>
                <c:pt idx="8">
                  <c:v>136.66151052281739</c:v>
                </c:pt>
                <c:pt idx="9">
                  <c:v>135.74208659608712</c:v>
                </c:pt>
                <c:pt idx="10">
                  <c:v>134.6095597840297</c:v>
                </c:pt>
                <c:pt idx="11">
                  <c:v>130.75209912209669</c:v>
                </c:pt>
                <c:pt idx="12">
                  <c:v>130.14627058725392</c:v>
                </c:pt>
                <c:pt idx="13">
                  <c:v>129.51184189890421</c:v>
                </c:pt>
                <c:pt idx="14">
                  <c:v>128.85039977602074</c:v>
                </c:pt>
                <c:pt idx="15">
                  <c:v>128.08904515263288</c:v>
                </c:pt>
                <c:pt idx="16">
                  <c:v>125.82461505300206</c:v>
                </c:pt>
                <c:pt idx="17">
                  <c:v>121.72591601574884</c:v>
                </c:pt>
                <c:pt idx="18">
                  <c:v>118.72924604882988</c:v>
                </c:pt>
                <c:pt idx="19">
                  <c:v>114.88111061292088</c:v>
                </c:pt>
                <c:pt idx="20">
                  <c:v>112.99857616533484</c:v>
                </c:pt>
                <c:pt idx="21">
                  <c:v>111.75176497568926</c:v>
                </c:pt>
                <c:pt idx="22">
                  <c:v>109.38658670261613</c:v>
                </c:pt>
                <c:pt idx="23">
                  <c:v>107.17228881344899</c:v>
                </c:pt>
                <c:pt idx="24">
                  <c:v>105.10319153482496</c:v>
                </c:pt>
                <c:pt idx="25">
                  <c:v>103.6962822224676</c:v>
                </c:pt>
                <c:pt idx="26">
                  <c:v>102.79596856451059</c:v>
                </c:pt>
                <c:pt idx="27">
                  <c:v>98.875987367019604</c:v>
                </c:pt>
                <c:pt idx="28">
                  <c:v>93.726363972869706</c:v>
                </c:pt>
                <c:pt idx="29">
                  <c:v>90.159212459520333</c:v>
                </c:pt>
                <c:pt idx="30">
                  <c:v>88.812239144823366</c:v>
                </c:pt>
                <c:pt idx="31">
                  <c:v>87.48218366144566</c:v>
                </c:pt>
                <c:pt idx="32">
                  <c:v>83.315625088183964</c:v>
                </c:pt>
                <c:pt idx="33">
                  <c:v>79.577569586064612</c:v>
                </c:pt>
                <c:pt idx="34">
                  <c:v>75.863563331317067</c:v>
                </c:pt>
                <c:pt idx="35">
                  <c:v>74.217616369152623</c:v>
                </c:pt>
                <c:pt idx="36">
                  <c:v>70.951774267452819</c:v>
                </c:pt>
                <c:pt idx="37">
                  <c:v>67.297048551780151</c:v>
                </c:pt>
                <c:pt idx="38">
                  <c:v>63.839014455499765</c:v>
                </c:pt>
                <c:pt idx="39">
                  <c:v>62.500826343483823</c:v>
                </c:pt>
                <c:pt idx="40">
                  <c:v>57.528007585176447</c:v>
                </c:pt>
                <c:pt idx="41">
                  <c:v>54.758774847446603</c:v>
                </c:pt>
                <c:pt idx="42">
                  <c:v>52.532285221999004</c:v>
                </c:pt>
                <c:pt idx="43">
                  <c:v>50.760299809327591</c:v>
                </c:pt>
                <c:pt idx="44">
                  <c:v>49.026782505796056</c:v>
                </c:pt>
                <c:pt idx="45">
                  <c:v>46.835243057556241</c:v>
                </c:pt>
                <c:pt idx="46">
                  <c:v>45.26099095640717</c:v>
                </c:pt>
                <c:pt idx="47">
                  <c:v>43.688104835811153</c:v>
                </c:pt>
                <c:pt idx="48">
                  <c:v>41.315347352958504</c:v>
                </c:pt>
                <c:pt idx="49">
                  <c:v>37.242051062443196</c:v>
                </c:pt>
                <c:pt idx="50">
                  <c:v>35.46252220405632</c:v>
                </c:pt>
                <c:pt idx="51">
                  <c:v>32.385347199264885</c:v>
                </c:pt>
                <c:pt idx="52">
                  <c:v>108.82816203208083</c:v>
                </c:pt>
                <c:pt idx="53">
                  <c:v>103.04522665320998</c:v>
                </c:pt>
                <c:pt idx="54">
                  <c:v>96.868030072002639</c:v>
                </c:pt>
                <c:pt idx="55">
                  <c:v>95.188709513642678</c:v>
                </c:pt>
                <c:pt idx="56">
                  <c:v>93.475751078853705</c:v>
                </c:pt>
                <c:pt idx="57">
                  <c:v>90.759618121444561</c:v>
                </c:pt>
                <c:pt idx="58">
                  <c:v>86.7088938079185</c:v>
                </c:pt>
                <c:pt idx="59">
                  <c:v>81.326526216620692</c:v>
                </c:pt>
                <c:pt idx="60">
                  <c:v>77.851457872515795</c:v>
                </c:pt>
                <c:pt idx="61">
                  <c:v>72.496618601113227</c:v>
                </c:pt>
                <c:pt idx="62">
                  <c:v>69.274876211775933</c:v>
                </c:pt>
                <c:pt idx="63">
                  <c:v>66.414514355929441</c:v>
                </c:pt>
                <c:pt idx="64">
                  <c:v>63.355923707678024</c:v>
                </c:pt>
                <c:pt idx="65">
                  <c:v>59.215041992656111</c:v>
                </c:pt>
                <c:pt idx="66">
                  <c:v>54.010348525839071</c:v>
                </c:pt>
                <c:pt idx="67">
                  <c:v>49.489223572388688</c:v>
                </c:pt>
                <c:pt idx="68">
                  <c:v>45.187234732040942</c:v>
                </c:pt>
                <c:pt idx="69">
                  <c:v>39.554049551166578</c:v>
                </c:pt>
                <c:pt idx="70">
                  <c:v>35.576801928080734</c:v>
                </c:pt>
                <c:pt idx="71">
                  <c:v>32.163528531846502</c:v>
                </c:pt>
                <c:pt idx="72">
                  <c:v>153.15647803379898</c:v>
                </c:pt>
                <c:pt idx="73">
                  <c:v>148.11350162508452</c:v>
                </c:pt>
                <c:pt idx="74">
                  <c:v>145.63827887121872</c:v>
                </c:pt>
                <c:pt idx="75">
                  <c:v>141.20355552119537</c:v>
                </c:pt>
                <c:pt idx="76">
                  <c:v>135.82875758925417</c:v>
                </c:pt>
                <c:pt idx="77">
                  <c:v>130.51844013357453</c:v>
                </c:pt>
                <c:pt idx="78">
                  <c:v>122.16544386929247</c:v>
                </c:pt>
                <c:pt idx="79">
                  <c:v>116.72109900917397</c:v>
                </c:pt>
                <c:pt idx="80">
                  <c:v>108.41887211314294</c:v>
                </c:pt>
                <c:pt idx="81">
                  <c:v>103.69873006568591</c:v>
                </c:pt>
                <c:pt idx="82">
                  <c:v>99.118843232026563</c:v>
                </c:pt>
                <c:pt idx="83">
                  <c:v>94.106862395225988</c:v>
                </c:pt>
                <c:pt idx="84">
                  <c:v>90.531642281901043</c:v>
                </c:pt>
                <c:pt idx="85">
                  <c:v>84.836381225599141</c:v>
                </c:pt>
                <c:pt idx="86">
                  <c:v>80.851329296506179</c:v>
                </c:pt>
                <c:pt idx="87">
                  <c:v>76.69225156614732</c:v>
                </c:pt>
                <c:pt idx="88">
                  <c:v>73.268270387821488</c:v>
                </c:pt>
                <c:pt idx="89">
                  <c:v>69.189144528595634</c:v>
                </c:pt>
                <c:pt idx="90">
                  <c:v>64.234128587519251</c:v>
                </c:pt>
                <c:pt idx="91">
                  <c:v>58.864925131906375</c:v>
                </c:pt>
                <c:pt idx="92">
                  <c:v>55.119713493578395</c:v>
                </c:pt>
                <c:pt idx="93">
                  <c:v>51.996162474537769</c:v>
                </c:pt>
                <c:pt idx="94">
                  <c:v>48.980452897605261</c:v>
                </c:pt>
                <c:pt idx="95">
                  <c:v>44.274914520371745</c:v>
                </c:pt>
                <c:pt idx="96">
                  <c:v>38.950394745450907</c:v>
                </c:pt>
                <c:pt idx="97">
                  <c:v>35.621138247572475</c:v>
                </c:pt>
                <c:pt idx="98">
                  <c:v>31.368421605392424</c:v>
                </c:pt>
                <c:pt idx="99">
                  <c:v>28.434986787997314</c:v>
                </c:pt>
                <c:pt idx="100">
                  <c:v>25.582559381987842</c:v>
                </c:pt>
                <c:pt idx="101">
                  <c:v>22.543126253138006</c:v>
                </c:pt>
                <c:pt idx="102">
                  <c:v>19.897266270459859</c:v>
                </c:pt>
                <c:pt idx="103">
                  <c:v>17.099502721328445</c:v>
                </c:pt>
                <c:pt idx="104">
                  <c:v>13.919854213667401</c:v>
                </c:pt>
                <c:pt idx="105">
                  <c:v>11.612207508498328</c:v>
                </c:pt>
                <c:pt idx="106">
                  <c:v>10.311850219999641</c:v>
                </c:pt>
                <c:pt idx="107">
                  <c:v>9.1524717384340164</c:v>
                </c:pt>
                <c:pt idx="108">
                  <c:v>8.0463075430591715</c:v>
                </c:pt>
                <c:pt idx="109">
                  <c:v>7.0319741459871006</c:v>
                </c:pt>
                <c:pt idx="110">
                  <c:v>6.1825825811944277</c:v>
                </c:pt>
                <c:pt idx="111">
                  <c:v>5.5285171784710725</c:v>
                </c:pt>
                <c:pt idx="112">
                  <c:v>4.8662572947836331</c:v>
                </c:pt>
                <c:pt idx="113">
                  <c:v>4.3660901707994224</c:v>
                </c:pt>
                <c:pt idx="114">
                  <c:v>3.8869053516233656</c:v>
                </c:pt>
                <c:pt idx="115">
                  <c:v>3.435215166359801</c:v>
                </c:pt>
                <c:pt idx="116">
                  <c:v>3.0493927492188111</c:v>
                </c:pt>
                <c:pt idx="117">
                  <c:v>2.7411730046975369</c:v>
                </c:pt>
                <c:pt idx="118">
                  <c:v>2.4046749305400357</c:v>
                </c:pt>
                <c:pt idx="119">
                  <c:v>2.1646956376424802</c:v>
                </c:pt>
                <c:pt idx="120">
                  <c:v>1.9579580623396491</c:v>
                </c:pt>
                <c:pt idx="121">
                  <c:v>1.7451477242944842</c:v>
                </c:pt>
                <c:pt idx="122">
                  <c:v>1.520801370525805</c:v>
                </c:pt>
                <c:pt idx="123">
                  <c:v>1.3358027496788267</c:v>
                </c:pt>
                <c:pt idx="124">
                  <c:v>1.169071707825696</c:v>
                </c:pt>
                <c:pt idx="125">
                  <c:v>6.1236850358190793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v>Losses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0.17615944945723241</c:v>
                </c:pt>
                <c:pt idx="7">
                  <c:v>0.17615944945723241</c:v>
                </c:pt>
                <c:pt idx="8">
                  <c:v>0.17615944945723241</c:v>
                </c:pt>
                <c:pt idx="9">
                  <c:v>0.45133613733075262</c:v>
                </c:pt>
                <c:pt idx="10">
                  <c:v>0.992721579177688</c:v>
                </c:pt>
                <c:pt idx="11">
                  <c:v>4.2755468026162751</c:v>
                </c:pt>
                <c:pt idx="12">
                  <c:v>4.2755468026162751</c:v>
                </c:pt>
                <c:pt idx="13">
                  <c:v>4.2755468026162751</c:v>
                </c:pt>
                <c:pt idx="14">
                  <c:v>4.2755468026162751</c:v>
                </c:pt>
                <c:pt idx="15">
                  <c:v>4.3493203950711852</c:v>
                </c:pt>
                <c:pt idx="16">
                  <c:v>5.901251366922394</c:v>
                </c:pt>
                <c:pt idx="17">
                  <c:v>9.2914658912487695</c:v>
                </c:pt>
                <c:pt idx="18">
                  <c:v>11.52859556760024</c:v>
                </c:pt>
                <c:pt idx="19">
                  <c:v>14.585408357004548</c:v>
                </c:pt>
                <c:pt idx="20">
                  <c:v>15.636407198740351</c:v>
                </c:pt>
                <c:pt idx="21">
                  <c:v>16.089690424485944</c:v>
                </c:pt>
                <c:pt idx="22">
                  <c:v>17.612818284311793</c:v>
                </c:pt>
                <c:pt idx="23">
                  <c:v>18.943620580432402</c:v>
                </c:pt>
                <c:pt idx="24">
                  <c:v>20.126725622991167</c:v>
                </c:pt>
                <c:pt idx="25">
                  <c:v>20.63108315033951</c:v>
                </c:pt>
                <c:pt idx="26">
                  <c:v>20.63108315033951</c:v>
                </c:pt>
                <c:pt idx="27">
                  <c:v>23.560270588772315</c:v>
                </c:pt>
                <c:pt idx="28">
                  <c:v>27.699766414449119</c:v>
                </c:pt>
                <c:pt idx="29">
                  <c:v>30.300234797548736</c:v>
                </c:pt>
                <c:pt idx="30">
                  <c:v>30.684250668739583</c:v>
                </c:pt>
                <c:pt idx="31">
                  <c:v>31.092646542990224</c:v>
                </c:pt>
                <c:pt idx="32">
                  <c:v>34.265782260557259</c:v>
                </c:pt>
                <c:pt idx="33">
                  <c:v>36.939038020286524</c:v>
                </c:pt>
                <c:pt idx="34">
                  <c:v>39.543018488501616</c:v>
                </c:pt>
                <c:pt idx="35">
                  <c:v>40.063585347822595</c:v>
                </c:pt>
                <c:pt idx="36">
                  <c:v>42.094731864451909</c:v>
                </c:pt>
                <c:pt idx="37">
                  <c:v>44.514785001895369</c:v>
                </c:pt>
                <c:pt idx="38">
                  <c:v>46.800761124831375</c:v>
                </c:pt>
                <c:pt idx="39">
                  <c:v>46.906857907347025</c:v>
                </c:pt>
                <c:pt idx="40">
                  <c:v>50.596857686945256</c:v>
                </c:pt>
                <c:pt idx="41">
                  <c:v>52.070874878887366</c:v>
                </c:pt>
                <c:pt idx="42">
                  <c:v>52.959431956990997</c:v>
                </c:pt>
                <c:pt idx="43">
                  <c:v>53.428887397589804</c:v>
                </c:pt>
                <c:pt idx="44">
                  <c:v>53.682995737568078</c:v>
                </c:pt>
                <c:pt idx="45">
                  <c:v>54.35122722079663</c:v>
                </c:pt>
                <c:pt idx="46">
                  <c:v>54.431558515466683</c:v>
                </c:pt>
                <c:pt idx="47">
                  <c:v>54.431558515466683</c:v>
                </c:pt>
                <c:pt idx="48">
                  <c:v>55.078789661079114</c:v>
                </c:pt>
                <c:pt idx="49">
                  <c:v>57.42278589705537</c:v>
                </c:pt>
                <c:pt idx="50">
                  <c:v>57.481907164222676</c:v>
                </c:pt>
                <c:pt idx="51">
                  <c:v>58.678830362031896</c:v>
                </c:pt>
                <c:pt idx="52">
                  <c:v>63.763408224959619</c:v>
                </c:pt>
                <c:pt idx="53">
                  <c:v>67.687950298747808</c:v>
                </c:pt>
                <c:pt idx="54">
                  <c:v>71.983351953012317</c:v>
                </c:pt>
                <c:pt idx="55">
                  <c:v>71.983351953012317</c:v>
                </c:pt>
                <c:pt idx="56">
                  <c:v>71.983351953012317</c:v>
                </c:pt>
                <c:pt idx="57">
                  <c:v>72.764288142861119</c:v>
                </c:pt>
                <c:pt idx="58">
                  <c:v>74.825235685007414</c:v>
                </c:pt>
                <c:pt idx="59">
                  <c:v>78.098904459633331</c:v>
                </c:pt>
                <c:pt idx="60">
                  <c:v>79.465208276647445</c:v>
                </c:pt>
                <c:pt idx="61">
                  <c:v>82.758880997648802</c:v>
                </c:pt>
                <c:pt idx="62">
                  <c:v>83.85365851405794</c:v>
                </c:pt>
                <c:pt idx="63">
                  <c:v>84.317393726565385</c:v>
                </c:pt>
                <c:pt idx="64">
                  <c:v>84.985405156401143</c:v>
                </c:pt>
                <c:pt idx="65">
                  <c:v>86.796662722570645</c:v>
                </c:pt>
                <c:pt idx="66">
                  <c:v>89.536788564829948</c:v>
                </c:pt>
                <c:pt idx="67">
                  <c:v>91.667421419989736</c:v>
                </c:pt>
                <c:pt idx="68">
                  <c:v>93.509585720963088</c:v>
                </c:pt>
                <c:pt idx="69">
                  <c:v>96.542676381212772</c:v>
                </c:pt>
                <c:pt idx="70">
                  <c:v>97.987675373031209</c:v>
                </c:pt>
                <c:pt idx="71">
                  <c:v>98.948506432368646</c:v>
                </c:pt>
                <c:pt idx="72">
                  <c:v>101.97005337830085</c:v>
                </c:pt>
                <c:pt idx="73">
                  <c:v>104.54750292934047</c:v>
                </c:pt>
                <c:pt idx="74">
                  <c:v>104.54750292934047</c:v>
                </c:pt>
                <c:pt idx="75">
                  <c:v>106.50084249112311</c:v>
                </c:pt>
                <c:pt idx="76">
                  <c:v>109.67085409140385</c:v>
                </c:pt>
                <c:pt idx="77">
                  <c:v>112.62302881399584</c:v>
                </c:pt>
                <c:pt idx="78">
                  <c:v>118.53274879399797</c:v>
                </c:pt>
                <c:pt idx="79">
                  <c:v>121.55092454324486</c:v>
                </c:pt>
                <c:pt idx="80">
                  <c:v>127.30102189930977</c:v>
                </c:pt>
                <c:pt idx="81">
                  <c:v>129.58016519012293</c:v>
                </c:pt>
                <c:pt idx="82">
                  <c:v>131.75739912526947</c:v>
                </c:pt>
                <c:pt idx="83">
                  <c:v>134.21777811135237</c:v>
                </c:pt>
                <c:pt idx="84">
                  <c:v>135.48610313800697</c:v>
                </c:pt>
                <c:pt idx="85">
                  <c:v>138.83911361398933</c:v>
                </c:pt>
                <c:pt idx="86">
                  <c:v>140.3896240010142</c:v>
                </c:pt>
                <c:pt idx="87">
                  <c:v>142.09345908715065</c:v>
                </c:pt>
                <c:pt idx="88">
                  <c:v>143.06392024815867</c:v>
                </c:pt>
                <c:pt idx="89">
                  <c:v>144.40474652014638</c:v>
                </c:pt>
                <c:pt idx="90">
                  <c:v>146.66298426433426</c:v>
                </c:pt>
                <c:pt idx="91">
                  <c:v>149.34434905960322</c:v>
                </c:pt>
                <c:pt idx="92">
                  <c:v>150.40582716379791</c:v>
                </c:pt>
                <c:pt idx="93">
                  <c:v>151.05216663471941</c:v>
                </c:pt>
                <c:pt idx="94">
                  <c:v>151.60027958994201</c:v>
                </c:pt>
                <c:pt idx="95">
                  <c:v>153.4517559218709</c:v>
                </c:pt>
                <c:pt idx="96">
                  <c:v>155.90399654051345</c:v>
                </c:pt>
                <c:pt idx="97">
                  <c:v>156.091951128999</c:v>
                </c:pt>
                <c:pt idx="98">
                  <c:v>157.54342575917855</c:v>
                </c:pt>
                <c:pt idx="99">
                  <c:v>157.75710212621138</c:v>
                </c:pt>
                <c:pt idx="100">
                  <c:v>158.17519139065882</c:v>
                </c:pt>
                <c:pt idx="101">
                  <c:v>158.66836520823566</c:v>
                </c:pt>
                <c:pt idx="102">
                  <c:v>159.07194508938923</c:v>
                </c:pt>
                <c:pt idx="103">
                  <c:v>159.89202867352162</c:v>
                </c:pt>
                <c:pt idx="104">
                  <c:v>161.37409366120323</c:v>
                </c:pt>
                <c:pt idx="105">
                  <c:v>162.30196865578034</c:v>
                </c:pt>
                <c:pt idx="106">
                  <c:v>162.45255445544637</c:v>
                </c:pt>
                <c:pt idx="107">
                  <c:v>162.59097239937731</c:v>
                </c:pt>
                <c:pt idx="108">
                  <c:v>162.79209626230286</c:v>
                </c:pt>
                <c:pt idx="109">
                  <c:v>163.01337036603681</c:v>
                </c:pt>
                <c:pt idx="110">
                  <c:v>163.17012513921441</c:v>
                </c:pt>
                <c:pt idx="111">
                  <c:v>163.21602105373537</c:v>
                </c:pt>
                <c:pt idx="112">
                  <c:v>163.33509114119613</c:v>
                </c:pt>
                <c:pt idx="113">
                  <c:v>163.35829021426414</c:v>
                </c:pt>
                <c:pt idx="114">
                  <c:v>163.41033612990401</c:v>
                </c:pt>
                <c:pt idx="115">
                  <c:v>163.48256283284286</c:v>
                </c:pt>
                <c:pt idx="116">
                  <c:v>163.53430605934929</c:v>
                </c:pt>
                <c:pt idx="117">
                  <c:v>163.54640142999574</c:v>
                </c:pt>
                <c:pt idx="118">
                  <c:v>163.61810556789445</c:v>
                </c:pt>
                <c:pt idx="119">
                  <c:v>163.62665422402455</c:v>
                </c:pt>
                <c:pt idx="120">
                  <c:v>163.62665422402455</c:v>
                </c:pt>
                <c:pt idx="121">
                  <c:v>163.65305784721093</c:v>
                </c:pt>
                <c:pt idx="122">
                  <c:v>163.7127223857656</c:v>
                </c:pt>
                <c:pt idx="123">
                  <c:v>163.7543413278861</c:v>
                </c:pt>
                <c:pt idx="124">
                  <c:v>163.79580283452913</c:v>
                </c:pt>
                <c:pt idx="125">
                  <c:v>163.90218545877727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D-42F1-B73E-9DF494856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2998701878480479"/>
          <c:h val="0.33629903809395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ConceptDemo!$AB$18:$AB$395</c:f>
              <c:numCache>
                <c:formatCode>m/d/yyyy</c:formatCode>
                <c:ptCount val="378"/>
                <c:pt idx="0">
                  <c:v>45483</c:v>
                </c:pt>
                <c:pt idx="1">
                  <c:v>45484</c:v>
                </c:pt>
                <c:pt idx="2">
                  <c:v>45485</c:v>
                </c:pt>
                <c:pt idx="3">
                  <c:v>45486</c:v>
                </c:pt>
                <c:pt idx="4">
                  <c:v>45487</c:v>
                </c:pt>
                <c:pt idx="5">
                  <c:v>45488</c:v>
                </c:pt>
                <c:pt idx="6">
                  <c:v>45489</c:v>
                </c:pt>
                <c:pt idx="7">
                  <c:v>45490</c:v>
                </c:pt>
                <c:pt idx="8">
                  <c:v>45491</c:v>
                </c:pt>
                <c:pt idx="9">
                  <c:v>45492</c:v>
                </c:pt>
                <c:pt idx="10">
                  <c:v>45493</c:v>
                </c:pt>
                <c:pt idx="11">
                  <c:v>45494</c:v>
                </c:pt>
                <c:pt idx="12">
                  <c:v>45495</c:v>
                </c:pt>
                <c:pt idx="13">
                  <c:v>45496</c:v>
                </c:pt>
                <c:pt idx="14">
                  <c:v>45497</c:v>
                </c:pt>
                <c:pt idx="15">
                  <c:v>45498</c:v>
                </c:pt>
                <c:pt idx="16">
                  <c:v>45499</c:v>
                </c:pt>
                <c:pt idx="17">
                  <c:v>45500</c:v>
                </c:pt>
                <c:pt idx="18">
                  <c:v>45501</c:v>
                </c:pt>
                <c:pt idx="19">
                  <c:v>45502</c:v>
                </c:pt>
                <c:pt idx="20">
                  <c:v>45503</c:v>
                </c:pt>
                <c:pt idx="21">
                  <c:v>45504</c:v>
                </c:pt>
                <c:pt idx="22">
                  <c:v>45505</c:v>
                </c:pt>
                <c:pt idx="23">
                  <c:v>45506</c:v>
                </c:pt>
                <c:pt idx="24">
                  <c:v>45507</c:v>
                </c:pt>
                <c:pt idx="25">
                  <c:v>45508</c:v>
                </c:pt>
                <c:pt idx="26">
                  <c:v>45509</c:v>
                </c:pt>
                <c:pt idx="27">
                  <c:v>45510</c:v>
                </c:pt>
                <c:pt idx="28">
                  <c:v>45511</c:v>
                </c:pt>
                <c:pt idx="29">
                  <c:v>45512</c:v>
                </c:pt>
                <c:pt idx="30">
                  <c:v>45513</c:v>
                </c:pt>
                <c:pt idx="31">
                  <c:v>45514</c:v>
                </c:pt>
                <c:pt idx="32">
                  <c:v>45515</c:v>
                </c:pt>
                <c:pt idx="33">
                  <c:v>45516</c:v>
                </c:pt>
                <c:pt idx="34">
                  <c:v>45517</c:v>
                </c:pt>
                <c:pt idx="35">
                  <c:v>45518</c:v>
                </c:pt>
                <c:pt idx="36">
                  <c:v>45519</c:v>
                </c:pt>
                <c:pt idx="37">
                  <c:v>45520</c:v>
                </c:pt>
                <c:pt idx="38">
                  <c:v>45521</c:v>
                </c:pt>
                <c:pt idx="39">
                  <c:v>45522</c:v>
                </c:pt>
                <c:pt idx="40">
                  <c:v>45523</c:v>
                </c:pt>
                <c:pt idx="41">
                  <c:v>45524</c:v>
                </c:pt>
                <c:pt idx="42">
                  <c:v>45525</c:v>
                </c:pt>
                <c:pt idx="43">
                  <c:v>45526</c:v>
                </c:pt>
                <c:pt idx="44">
                  <c:v>45527</c:v>
                </c:pt>
                <c:pt idx="45">
                  <c:v>45528</c:v>
                </c:pt>
                <c:pt idx="46">
                  <c:v>45529</c:v>
                </c:pt>
                <c:pt idx="47">
                  <c:v>45530</c:v>
                </c:pt>
                <c:pt idx="48">
                  <c:v>45531</c:v>
                </c:pt>
                <c:pt idx="49">
                  <c:v>45532</c:v>
                </c:pt>
                <c:pt idx="50">
                  <c:v>45533</c:v>
                </c:pt>
                <c:pt idx="51">
                  <c:v>45534</c:v>
                </c:pt>
                <c:pt idx="52">
                  <c:v>45535</c:v>
                </c:pt>
                <c:pt idx="53">
                  <c:v>45536</c:v>
                </c:pt>
                <c:pt idx="54">
                  <c:v>45537</c:v>
                </c:pt>
                <c:pt idx="55">
                  <c:v>45538</c:v>
                </c:pt>
                <c:pt idx="56">
                  <c:v>45539</c:v>
                </c:pt>
                <c:pt idx="57">
                  <c:v>45540</c:v>
                </c:pt>
                <c:pt idx="58">
                  <c:v>45541</c:v>
                </c:pt>
                <c:pt idx="59">
                  <c:v>45542</c:v>
                </c:pt>
                <c:pt idx="60">
                  <c:v>45543</c:v>
                </c:pt>
                <c:pt idx="61">
                  <c:v>45544</c:v>
                </c:pt>
                <c:pt idx="62">
                  <c:v>45545</c:v>
                </c:pt>
                <c:pt idx="63">
                  <c:v>45546</c:v>
                </c:pt>
                <c:pt idx="64">
                  <c:v>45547</c:v>
                </c:pt>
                <c:pt idx="65">
                  <c:v>45548</c:v>
                </c:pt>
                <c:pt idx="66">
                  <c:v>45549</c:v>
                </c:pt>
                <c:pt idx="67">
                  <c:v>45550</c:v>
                </c:pt>
                <c:pt idx="68">
                  <c:v>45551</c:v>
                </c:pt>
                <c:pt idx="69">
                  <c:v>45552</c:v>
                </c:pt>
                <c:pt idx="70">
                  <c:v>45553</c:v>
                </c:pt>
                <c:pt idx="71">
                  <c:v>45554</c:v>
                </c:pt>
                <c:pt idx="72">
                  <c:v>45555</c:v>
                </c:pt>
                <c:pt idx="73">
                  <c:v>45556</c:v>
                </c:pt>
                <c:pt idx="74">
                  <c:v>45557</c:v>
                </c:pt>
                <c:pt idx="75">
                  <c:v>45558</c:v>
                </c:pt>
                <c:pt idx="76">
                  <c:v>45559</c:v>
                </c:pt>
                <c:pt idx="77">
                  <c:v>45560</c:v>
                </c:pt>
                <c:pt idx="78">
                  <c:v>45561</c:v>
                </c:pt>
                <c:pt idx="79">
                  <c:v>45562</c:v>
                </c:pt>
                <c:pt idx="80">
                  <c:v>45563</c:v>
                </c:pt>
                <c:pt idx="81">
                  <c:v>45564</c:v>
                </c:pt>
                <c:pt idx="82">
                  <c:v>45565</c:v>
                </c:pt>
                <c:pt idx="83">
                  <c:v>45566</c:v>
                </c:pt>
                <c:pt idx="84">
                  <c:v>45567</c:v>
                </c:pt>
                <c:pt idx="85">
                  <c:v>45568</c:v>
                </c:pt>
                <c:pt idx="86">
                  <c:v>45569</c:v>
                </c:pt>
                <c:pt idx="87">
                  <c:v>45570</c:v>
                </c:pt>
                <c:pt idx="88">
                  <c:v>45571</c:v>
                </c:pt>
                <c:pt idx="89">
                  <c:v>45572</c:v>
                </c:pt>
                <c:pt idx="90">
                  <c:v>45573</c:v>
                </c:pt>
                <c:pt idx="91">
                  <c:v>45574</c:v>
                </c:pt>
                <c:pt idx="92">
                  <c:v>45575</c:v>
                </c:pt>
                <c:pt idx="93">
                  <c:v>45576</c:v>
                </c:pt>
                <c:pt idx="94">
                  <c:v>45577</c:v>
                </c:pt>
                <c:pt idx="95">
                  <c:v>45578</c:v>
                </c:pt>
                <c:pt idx="96">
                  <c:v>45579</c:v>
                </c:pt>
                <c:pt idx="97">
                  <c:v>45580</c:v>
                </c:pt>
                <c:pt idx="98">
                  <c:v>45581</c:v>
                </c:pt>
                <c:pt idx="99">
                  <c:v>45582</c:v>
                </c:pt>
                <c:pt idx="100">
                  <c:v>45583</c:v>
                </c:pt>
                <c:pt idx="101">
                  <c:v>45584</c:v>
                </c:pt>
                <c:pt idx="102">
                  <c:v>45585</c:v>
                </c:pt>
                <c:pt idx="103">
                  <c:v>45586</c:v>
                </c:pt>
                <c:pt idx="104">
                  <c:v>45587</c:v>
                </c:pt>
                <c:pt idx="105">
                  <c:v>45588</c:v>
                </c:pt>
                <c:pt idx="106">
                  <c:v>45589</c:v>
                </c:pt>
                <c:pt idx="107">
                  <c:v>45590</c:v>
                </c:pt>
                <c:pt idx="108">
                  <c:v>45591</c:v>
                </c:pt>
                <c:pt idx="109">
                  <c:v>45592</c:v>
                </c:pt>
                <c:pt idx="110">
                  <c:v>45593</c:v>
                </c:pt>
                <c:pt idx="111">
                  <c:v>45594</c:v>
                </c:pt>
                <c:pt idx="112">
                  <c:v>45595</c:v>
                </c:pt>
                <c:pt idx="113">
                  <c:v>45596</c:v>
                </c:pt>
                <c:pt idx="114">
                  <c:v>45597</c:v>
                </c:pt>
                <c:pt idx="115">
                  <c:v>45598</c:v>
                </c:pt>
                <c:pt idx="116">
                  <c:v>45599</c:v>
                </c:pt>
                <c:pt idx="117">
                  <c:v>45600</c:v>
                </c:pt>
                <c:pt idx="118">
                  <c:v>45601</c:v>
                </c:pt>
                <c:pt idx="119">
                  <c:v>45602</c:v>
                </c:pt>
                <c:pt idx="120">
                  <c:v>45603</c:v>
                </c:pt>
                <c:pt idx="121">
                  <c:v>45604</c:v>
                </c:pt>
                <c:pt idx="122">
                  <c:v>45605</c:v>
                </c:pt>
                <c:pt idx="123">
                  <c:v>45606</c:v>
                </c:pt>
                <c:pt idx="124">
                  <c:v>45607</c:v>
                </c:pt>
                <c:pt idx="125">
                  <c:v>45608</c:v>
                </c:pt>
                <c:pt idx="126">
                  <c:v>45609</c:v>
                </c:pt>
                <c:pt idx="127">
                  <c:v>45610</c:v>
                </c:pt>
                <c:pt idx="128">
                  <c:v>45611</c:v>
                </c:pt>
                <c:pt idx="129">
                  <c:v>45612</c:v>
                </c:pt>
                <c:pt idx="130">
                  <c:v>45613</c:v>
                </c:pt>
                <c:pt idx="131">
                  <c:v>45614</c:v>
                </c:pt>
                <c:pt idx="132">
                  <c:v>45615</c:v>
                </c:pt>
                <c:pt idx="133">
                  <c:v>45616</c:v>
                </c:pt>
                <c:pt idx="134">
                  <c:v>45617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ConceptDemo!$AE$18:$AE$395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3.5270905639771302</c:v>
                </c:pt>
                <c:pt idx="15">
                  <c:v>3.6480146186729798</c:v>
                </c:pt>
                <c:pt idx="16">
                  <c:v>3.7812865710296202</c:v>
                </c:pt>
                <c:pt idx="17">
                  <c:v>3.9141229056266398</c:v>
                </c:pt>
                <c:pt idx="18">
                  <c:v>4.0523014014378997</c:v>
                </c:pt>
                <c:pt idx="19">
                  <c:v>4.1814622481588097</c:v>
                </c:pt>
                <c:pt idx="20">
                  <c:v>4.3240921688321601</c:v>
                </c:pt>
                <c:pt idx="21">
                  <c:v>4.4987287523493</c:v>
                </c:pt>
                <c:pt idx="22">
                  <c:v>4.6848594839820699</c:v>
                </c:pt>
                <c:pt idx="23">
                  <c:v>4.8693401286249003</c:v>
                </c:pt>
                <c:pt idx="24">
                  <c:v>5.0624156446353199</c:v>
                </c:pt>
                <c:pt idx="25">
                  <c:v>5.2546584215093199</c:v>
                </c:pt>
                <c:pt idx="26">
                  <c:v>5.4562362619980798</c:v>
                </c:pt>
                <c:pt idx="27">
                  <c:v>5.66764433374252</c:v>
                </c:pt>
                <c:pt idx="28">
                  <c:v>5.8752500962903502</c:v>
                </c:pt>
                <c:pt idx="29">
                  <c:v>6.06636941026398</c:v>
                </c:pt>
                <c:pt idx="30">
                  <c:v>6.2495560962942598</c:v>
                </c:pt>
                <c:pt idx="31">
                  <c:v>6.4612889348238998</c:v>
                </c:pt>
                <c:pt idx="32">
                  <c:v>6.6903655897475804</c:v>
                </c:pt>
                <c:pt idx="33">
                  <c:v>6.9348935985707199</c:v>
                </c:pt>
                <c:pt idx="34">
                  <c:v>7.1956945468073297</c:v>
                </c:pt>
                <c:pt idx="35">
                  <c:v>7.4562997512704197</c:v>
                </c:pt>
                <c:pt idx="36">
                  <c:v>7.7335751408515003</c:v>
                </c:pt>
                <c:pt idx="37">
                  <c:v>8.0181975023986993</c:v>
                </c:pt>
                <c:pt idx="38">
                  <c:v>8.2884359999973292</c:v>
                </c:pt>
                <c:pt idx="39">
                  <c:v>8.5882259420541196</c:v>
                </c:pt>
                <c:pt idx="40">
                  <c:v>8.8908474455928701</c:v>
                </c:pt>
                <c:pt idx="41">
                  <c:v>9.2212034153270199</c:v>
                </c:pt>
                <c:pt idx="42">
                  <c:v>9.5542864268874705</c:v>
                </c:pt>
                <c:pt idx="43">
                  <c:v>9.9008863364582709</c:v>
                </c:pt>
                <c:pt idx="44">
                  <c:v>10.2710817279482</c:v>
                </c:pt>
                <c:pt idx="45">
                  <c:v>10.6477278819343</c:v>
                </c:pt>
                <c:pt idx="46">
                  <c:v>11.077994777346801</c:v>
                </c:pt>
                <c:pt idx="47">
                  <c:v>11.5261196329183</c:v>
                </c:pt>
                <c:pt idx="48">
                  <c:v>12.0056597914914</c:v>
                </c:pt>
                <c:pt idx="49">
                  <c:v>12.480680568801301</c:v>
                </c:pt>
                <c:pt idx="50">
                  <c:v>12.9988144390234</c:v>
                </c:pt>
                <c:pt idx="51">
                  <c:v>13.5144449191869</c:v>
                </c:pt>
                <c:pt idx="52">
                  <c:v>14.0210859928582</c:v>
                </c:pt>
                <c:pt idx="53">
                  <c:v>14.5210341807582</c:v>
                </c:pt>
                <c:pt idx="54">
                  <c:v>15.0422580717101</c:v>
                </c:pt>
                <c:pt idx="55">
                  <c:v>15.597588506458001</c:v>
                </c:pt>
                <c:pt idx="56">
                  <c:v>16.155093919025202</c:v>
                </c:pt>
                <c:pt idx="57">
                  <c:v>16.7640343192082</c:v>
                </c:pt>
                <c:pt idx="58">
                  <c:v>17.420743825619901</c:v>
                </c:pt>
                <c:pt idx="59">
                  <c:v>18.088182317332301</c:v>
                </c:pt>
                <c:pt idx="60">
                  <c:v>18.714372343782301</c:v>
                </c:pt>
                <c:pt idx="61">
                  <c:v>19.392190830219</c:v>
                </c:pt>
                <c:pt idx="62">
                  <c:v>20.130734618764802</c:v>
                </c:pt>
                <c:pt idx="63">
                  <c:v>20.880286077701001</c:v>
                </c:pt>
                <c:pt idx="64">
                  <c:v>21.7115899577507</c:v>
                </c:pt>
                <c:pt idx="65">
                  <c:v>22.562464991968799</c:v>
                </c:pt>
                <c:pt idx="66">
                  <c:v>23.463850569947098</c:v>
                </c:pt>
                <c:pt idx="67">
                  <c:v>24.3893862009046</c:v>
                </c:pt>
                <c:pt idx="68">
                  <c:v>25.425238224455398</c:v>
                </c:pt>
                <c:pt idx="69">
                  <c:v>26.421030707057501</c:v>
                </c:pt>
                <c:pt idx="70">
                  <c:v>27.371536659539402</c:v>
                </c:pt>
                <c:pt idx="71">
                  <c:v>28.339264486191801</c:v>
                </c:pt>
                <c:pt idx="72">
                  <c:v>29.282796413444199</c:v>
                </c:pt>
                <c:pt idx="73">
                  <c:v>30.2825938378564</c:v>
                </c:pt>
                <c:pt idx="74">
                  <c:v>31.392358691242801</c:v>
                </c:pt>
                <c:pt idx="75">
                  <c:v>32.606753194100499</c:v>
                </c:pt>
                <c:pt idx="76">
                  <c:v>33.908980318446403</c:v>
                </c:pt>
                <c:pt idx="77">
                  <c:v>35.203734480692297</c:v>
                </c:pt>
                <c:pt idx="78">
                  <c:v>36.578736464567903</c:v>
                </c:pt>
                <c:pt idx="79">
                  <c:v>38.026983103762703</c:v>
                </c:pt>
                <c:pt idx="80">
                  <c:v>39.5571110618191</c:v>
                </c:pt>
                <c:pt idx="81">
                  <c:v>41.115777966666499</c:v>
                </c:pt>
                <c:pt idx="82">
                  <c:v>42.605480885212003</c:v>
                </c:pt>
                <c:pt idx="83">
                  <c:v>44.181795615255403</c:v>
                </c:pt>
                <c:pt idx="84">
                  <c:v>45.924328395763801</c:v>
                </c:pt>
                <c:pt idx="85">
                  <c:v>47.574336157748299</c:v>
                </c:pt>
                <c:pt idx="86">
                  <c:v>49.255539367773501</c:v>
                </c:pt>
                <c:pt idx="87">
                  <c:v>50.965679913861401</c:v>
                </c:pt>
                <c:pt idx="88">
                  <c:v>52.757645324426399</c:v>
                </c:pt>
                <c:pt idx="89">
                  <c:v>54.547792922576498</c:v>
                </c:pt>
                <c:pt idx="90">
                  <c:v>56.320594500079999</c:v>
                </c:pt>
                <c:pt idx="91">
                  <c:v>58.092620198403097</c:v>
                </c:pt>
                <c:pt idx="92">
                  <c:v>60.080188566826699</c:v>
                </c:pt>
                <c:pt idx="93">
                  <c:v>62.119986308253402</c:v>
                </c:pt>
                <c:pt idx="94">
                  <c:v>64.122575482557707</c:v>
                </c:pt>
                <c:pt idx="95">
                  <c:v>66.262454887764093</c:v>
                </c:pt>
                <c:pt idx="96">
                  <c:v>68.419759804547397</c:v>
                </c:pt>
                <c:pt idx="97">
                  <c:v>70.542651174005698</c:v>
                </c:pt>
                <c:pt idx="98">
                  <c:v>72.811947807344197</c:v>
                </c:pt>
                <c:pt idx="99">
                  <c:v>75.064445692460495</c:v>
                </c:pt>
                <c:pt idx="100">
                  <c:v>77.235007179035307</c:v>
                </c:pt>
                <c:pt idx="101">
                  <c:v>79.5174834674376</c:v>
                </c:pt>
                <c:pt idx="102">
                  <c:v>81.786342172988199</c:v>
                </c:pt>
                <c:pt idx="103">
                  <c:v>84.149918015944607</c:v>
                </c:pt>
                <c:pt idx="104">
                  <c:v>86.398654090818596</c:v>
                </c:pt>
                <c:pt idx="105">
                  <c:v>88.664607062957202</c:v>
                </c:pt>
                <c:pt idx="106">
                  <c:v>91.046512738510501</c:v>
                </c:pt>
                <c:pt idx="107">
                  <c:v>93.602564648087196</c:v>
                </c:pt>
                <c:pt idx="108">
                  <c:v>96.184255834750303</c:v>
                </c:pt>
                <c:pt idx="109">
                  <c:v>98.675725523544699</c:v>
                </c:pt>
                <c:pt idx="110">
                  <c:v>101.261120919929</c:v>
                </c:pt>
                <c:pt idx="111">
                  <c:v>103.668064316962</c:v>
                </c:pt>
                <c:pt idx="112">
                  <c:v>105.984846076339</c:v>
                </c:pt>
                <c:pt idx="113">
                  <c:v>108.26304343540799</c:v>
                </c:pt>
                <c:pt idx="114">
                  <c:v>110.675829713098</c:v>
                </c:pt>
                <c:pt idx="115">
                  <c:v>113.252945109224</c:v>
                </c:pt>
                <c:pt idx="116">
                  <c:v>115.717995766212</c:v>
                </c:pt>
                <c:pt idx="117">
                  <c:v>118.056130794262</c:v>
                </c:pt>
                <c:pt idx="118">
                  <c:v>120.334933984779</c:v>
                </c:pt>
                <c:pt idx="119">
                  <c:v>122.628241219739</c:v>
                </c:pt>
                <c:pt idx="120">
                  <c:v>124.96210226732801</c:v>
                </c:pt>
                <c:pt idx="121">
                  <c:v>127.30292187560001</c:v>
                </c:pt>
                <c:pt idx="122">
                  <c:v>129.52051545428299</c:v>
                </c:pt>
                <c:pt idx="123">
                  <c:v>131.73099204748601</c:v>
                </c:pt>
                <c:pt idx="124">
                  <c:v>133.76651162015099</c:v>
                </c:pt>
                <c:pt idx="125">
                  <c:v>135.68215589954801</c:v>
                </c:pt>
                <c:pt idx="126">
                  <c:v>137.56365014497999</c:v>
                </c:pt>
                <c:pt idx="127">
                  <c:v>139.529314642961</c:v>
                </c:pt>
                <c:pt idx="128">
                  <c:v>141.62673422393499</c:v>
                </c:pt>
                <c:pt idx="129">
                  <c:v>143.69222489039001</c:v>
                </c:pt>
                <c:pt idx="130">
                  <c:v>145.63062719680499</c:v>
                </c:pt>
                <c:pt idx="131">
                  <c:v>147.445768266394</c:v>
                </c:pt>
                <c:pt idx="132">
                  <c:v>149.228813058631</c:v>
                </c:pt>
                <c:pt idx="133">
                  <c:v>150.96549861181299</c:v>
                </c:pt>
                <c:pt idx="134">
                  <c:v>152.656399777216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ConceptDemo!$AB$18:$AB$395</c:f>
              <c:numCache>
                <c:formatCode>m/d/yyyy</c:formatCode>
                <c:ptCount val="378"/>
                <c:pt idx="0">
                  <c:v>45483</c:v>
                </c:pt>
                <c:pt idx="1">
                  <c:v>45484</c:v>
                </c:pt>
                <c:pt idx="2">
                  <c:v>45485</c:v>
                </c:pt>
                <c:pt idx="3">
                  <c:v>45486</c:v>
                </c:pt>
                <c:pt idx="4">
                  <c:v>45487</c:v>
                </c:pt>
                <c:pt idx="5">
                  <c:v>45488</c:v>
                </c:pt>
                <c:pt idx="6">
                  <c:v>45489</c:v>
                </c:pt>
                <c:pt idx="7">
                  <c:v>45490</c:v>
                </c:pt>
                <c:pt idx="8">
                  <c:v>45491</c:v>
                </c:pt>
                <c:pt idx="9">
                  <c:v>45492</c:v>
                </c:pt>
                <c:pt idx="10">
                  <c:v>45493</c:v>
                </c:pt>
                <c:pt idx="11">
                  <c:v>45494</c:v>
                </c:pt>
                <c:pt idx="12">
                  <c:v>45495</c:v>
                </c:pt>
                <c:pt idx="13">
                  <c:v>45496</c:v>
                </c:pt>
                <c:pt idx="14">
                  <c:v>45497</c:v>
                </c:pt>
                <c:pt idx="15">
                  <c:v>45498</c:v>
                </c:pt>
                <c:pt idx="16">
                  <c:v>45499</c:v>
                </c:pt>
                <c:pt idx="17">
                  <c:v>45500</c:v>
                </c:pt>
                <c:pt idx="18">
                  <c:v>45501</c:v>
                </c:pt>
                <c:pt idx="19">
                  <c:v>45502</c:v>
                </c:pt>
                <c:pt idx="20">
                  <c:v>45503</c:v>
                </c:pt>
                <c:pt idx="21">
                  <c:v>45504</c:v>
                </c:pt>
                <c:pt idx="22">
                  <c:v>45505</c:v>
                </c:pt>
                <c:pt idx="23">
                  <c:v>45506</c:v>
                </c:pt>
                <c:pt idx="24">
                  <c:v>45507</c:v>
                </c:pt>
                <c:pt idx="25">
                  <c:v>45508</c:v>
                </c:pt>
                <c:pt idx="26">
                  <c:v>45509</c:v>
                </c:pt>
                <c:pt idx="27">
                  <c:v>45510</c:v>
                </c:pt>
                <c:pt idx="28">
                  <c:v>45511</c:v>
                </c:pt>
                <c:pt idx="29">
                  <c:v>45512</c:v>
                </c:pt>
                <c:pt idx="30">
                  <c:v>45513</c:v>
                </c:pt>
                <c:pt idx="31">
                  <c:v>45514</c:v>
                </c:pt>
                <c:pt idx="32">
                  <c:v>45515</c:v>
                </c:pt>
                <c:pt idx="33">
                  <c:v>45516</c:v>
                </c:pt>
                <c:pt idx="34">
                  <c:v>45517</c:v>
                </c:pt>
                <c:pt idx="35">
                  <c:v>45518</c:v>
                </c:pt>
                <c:pt idx="36">
                  <c:v>45519</c:v>
                </c:pt>
                <c:pt idx="37">
                  <c:v>45520</c:v>
                </c:pt>
                <c:pt idx="38">
                  <c:v>45521</c:v>
                </c:pt>
                <c:pt idx="39">
                  <c:v>45522</c:v>
                </c:pt>
                <c:pt idx="40">
                  <c:v>45523</c:v>
                </c:pt>
                <c:pt idx="41">
                  <c:v>45524</c:v>
                </c:pt>
                <c:pt idx="42">
                  <c:v>45525</c:v>
                </c:pt>
                <c:pt idx="43">
                  <c:v>45526</c:v>
                </c:pt>
                <c:pt idx="44">
                  <c:v>45527</c:v>
                </c:pt>
                <c:pt idx="45">
                  <c:v>45528</c:v>
                </c:pt>
                <c:pt idx="46">
                  <c:v>45529</c:v>
                </c:pt>
                <c:pt idx="47">
                  <c:v>45530</c:v>
                </c:pt>
                <c:pt idx="48">
                  <c:v>45531</c:v>
                </c:pt>
                <c:pt idx="49">
                  <c:v>45532</c:v>
                </c:pt>
                <c:pt idx="50">
                  <c:v>45533</c:v>
                </c:pt>
                <c:pt idx="51">
                  <c:v>45534</c:v>
                </c:pt>
                <c:pt idx="52">
                  <c:v>45535</c:v>
                </c:pt>
                <c:pt idx="53">
                  <c:v>45536</c:v>
                </c:pt>
                <c:pt idx="54">
                  <c:v>45537</c:v>
                </c:pt>
                <c:pt idx="55">
                  <c:v>45538</c:v>
                </c:pt>
                <c:pt idx="56">
                  <c:v>45539</c:v>
                </c:pt>
                <c:pt idx="57">
                  <c:v>45540</c:v>
                </c:pt>
                <c:pt idx="58">
                  <c:v>45541</c:v>
                </c:pt>
                <c:pt idx="59">
                  <c:v>45542</c:v>
                </c:pt>
                <c:pt idx="60">
                  <c:v>45543</c:v>
                </c:pt>
                <c:pt idx="61">
                  <c:v>45544</c:v>
                </c:pt>
                <c:pt idx="62">
                  <c:v>45545</c:v>
                </c:pt>
                <c:pt idx="63">
                  <c:v>45546</c:v>
                </c:pt>
                <c:pt idx="64">
                  <c:v>45547</c:v>
                </c:pt>
                <c:pt idx="65">
                  <c:v>45548</c:v>
                </c:pt>
                <c:pt idx="66">
                  <c:v>45549</c:v>
                </c:pt>
                <c:pt idx="67">
                  <c:v>45550</c:v>
                </c:pt>
                <c:pt idx="68">
                  <c:v>45551</c:v>
                </c:pt>
                <c:pt idx="69">
                  <c:v>45552</c:v>
                </c:pt>
                <c:pt idx="70">
                  <c:v>45553</c:v>
                </c:pt>
                <c:pt idx="71">
                  <c:v>45554</c:v>
                </c:pt>
                <c:pt idx="72">
                  <c:v>45555</c:v>
                </c:pt>
                <c:pt idx="73">
                  <c:v>45556</c:v>
                </c:pt>
                <c:pt idx="74">
                  <c:v>45557</c:v>
                </c:pt>
                <c:pt idx="75">
                  <c:v>45558</c:v>
                </c:pt>
                <c:pt idx="76">
                  <c:v>45559</c:v>
                </c:pt>
                <c:pt idx="77">
                  <c:v>45560</c:v>
                </c:pt>
                <c:pt idx="78">
                  <c:v>45561</c:v>
                </c:pt>
                <c:pt idx="79">
                  <c:v>45562</c:v>
                </c:pt>
                <c:pt idx="80">
                  <c:v>45563</c:v>
                </c:pt>
                <c:pt idx="81">
                  <c:v>45564</c:v>
                </c:pt>
                <c:pt idx="82">
                  <c:v>45565</c:v>
                </c:pt>
                <c:pt idx="83">
                  <c:v>45566</c:v>
                </c:pt>
                <c:pt idx="84">
                  <c:v>45567</c:v>
                </c:pt>
                <c:pt idx="85">
                  <c:v>45568</c:v>
                </c:pt>
                <c:pt idx="86">
                  <c:v>45569</c:v>
                </c:pt>
                <c:pt idx="87">
                  <c:v>45570</c:v>
                </c:pt>
                <c:pt idx="88">
                  <c:v>45571</c:v>
                </c:pt>
                <c:pt idx="89">
                  <c:v>45572</c:v>
                </c:pt>
                <c:pt idx="90">
                  <c:v>45573</c:v>
                </c:pt>
                <c:pt idx="91">
                  <c:v>45574</c:v>
                </c:pt>
                <c:pt idx="92">
                  <c:v>45575</c:v>
                </c:pt>
                <c:pt idx="93">
                  <c:v>45576</c:v>
                </c:pt>
                <c:pt idx="94">
                  <c:v>45577</c:v>
                </c:pt>
                <c:pt idx="95">
                  <c:v>45578</c:v>
                </c:pt>
                <c:pt idx="96">
                  <c:v>45579</c:v>
                </c:pt>
                <c:pt idx="97">
                  <c:v>45580</c:v>
                </c:pt>
                <c:pt idx="98">
                  <c:v>45581</c:v>
                </c:pt>
                <c:pt idx="99">
                  <c:v>45582</c:v>
                </c:pt>
                <c:pt idx="100">
                  <c:v>45583</c:v>
                </c:pt>
                <c:pt idx="101">
                  <c:v>45584</c:v>
                </c:pt>
                <c:pt idx="102">
                  <c:v>45585</c:v>
                </c:pt>
                <c:pt idx="103">
                  <c:v>45586</c:v>
                </c:pt>
                <c:pt idx="104">
                  <c:v>45587</c:v>
                </c:pt>
                <c:pt idx="105">
                  <c:v>45588</c:v>
                </c:pt>
                <c:pt idx="106">
                  <c:v>45589</c:v>
                </c:pt>
                <c:pt idx="107">
                  <c:v>45590</c:v>
                </c:pt>
                <c:pt idx="108">
                  <c:v>45591</c:v>
                </c:pt>
                <c:pt idx="109">
                  <c:v>45592</c:v>
                </c:pt>
                <c:pt idx="110">
                  <c:v>45593</c:v>
                </c:pt>
                <c:pt idx="111">
                  <c:v>45594</c:v>
                </c:pt>
                <c:pt idx="112">
                  <c:v>45595</c:v>
                </c:pt>
                <c:pt idx="113">
                  <c:v>45596</c:v>
                </c:pt>
                <c:pt idx="114">
                  <c:v>45597</c:v>
                </c:pt>
                <c:pt idx="115">
                  <c:v>45598</c:v>
                </c:pt>
                <c:pt idx="116">
                  <c:v>45599</c:v>
                </c:pt>
                <c:pt idx="117">
                  <c:v>45600</c:v>
                </c:pt>
                <c:pt idx="118">
                  <c:v>45601</c:v>
                </c:pt>
                <c:pt idx="119">
                  <c:v>45602</c:v>
                </c:pt>
                <c:pt idx="120">
                  <c:v>45603</c:v>
                </c:pt>
                <c:pt idx="121">
                  <c:v>45604</c:v>
                </c:pt>
                <c:pt idx="122">
                  <c:v>45605</c:v>
                </c:pt>
                <c:pt idx="123">
                  <c:v>45606</c:v>
                </c:pt>
                <c:pt idx="124">
                  <c:v>45607</c:v>
                </c:pt>
                <c:pt idx="125">
                  <c:v>45608</c:v>
                </c:pt>
                <c:pt idx="126">
                  <c:v>45609</c:v>
                </c:pt>
                <c:pt idx="127">
                  <c:v>45610</c:v>
                </c:pt>
                <c:pt idx="128">
                  <c:v>45611</c:v>
                </c:pt>
                <c:pt idx="129">
                  <c:v>45612</c:v>
                </c:pt>
                <c:pt idx="130">
                  <c:v>45613</c:v>
                </c:pt>
                <c:pt idx="131">
                  <c:v>45614</c:v>
                </c:pt>
                <c:pt idx="132">
                  <c:v>45615</c:v>
                </c:pt>
                <c:pt idx="133">
                  <c:v>45616</c:v>
                </c:pt>
                <c:pt idx="134">
                  <c:v>45617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11.152579487491961</c:v>
                </c:pt>
                <c:pt idx="1">
                  <c:v>16.175109667234778</c:v>
                </c:pt>
                <c:pt idx="2">
                  <c:v>20.321598819678705</c:v>
                </c:pt>
                <c:pt idx="3">
                  <c:v>24.112877478297449</c:v>
                </c:pt>
                <c:pt idx="4">
                  <c:v>28.287594350757836</c:v>
                </c:pt>
                <c:pt idx="5">
                  <c:v>31.436318220878427</c:v>
                </c:pt>
                <c:pt idx="6">
                  <c:v>34.773141598475604</c:v>
                </c:pt>
                <c:pt idx="7">
                  <c:v>38.192956536746635</c:v>
                </c:pt>
                <c:pt idx="8">
                  <c:v>41.368473337354096</c:v>
                </c:pt>
                <c:pt idx="9">
                  <c:v>44.092284001407798</c:v>
                </c:pt>
                <c:pt idx="10">
                  <c:v>46.441724267974585</c:v>
                </c:pt>
                <c:pt idx="11">
                  <c:v>48.300777651589243</c:v>
                </c:pt>
                <c:pt idx="12">
                  <c:v>49.564913242676795</c:v>
                </c:pt>
                <c:pt idx="13">
                  <c:v>51.488233459317101</c:v>
                </c:pt>
                <c:pt idx="14">
                  <c:v>53.432300755648399</c:v>
                </c:pt>
                <c:pt idx="15">
                  <c:v>55.195864012504259</c:v>
                </c:pt>
                <c:pt idx="16">
                  <c:v>56.598279655517132</c:v>
                </c:pt>
                <c:pt idx="17">
                  <c:v>57.962184361187269</c:v>
                </c:pt>
                <c:pt idx="18">
                  <c:v>58.704689006242482</c:v>
                </c:pt>
                <c:pt idx="19">
                  <c:v>59.64875859686385</c:v>
                </c:pt>
                <c:pt idx="20">
                  <c:v>60.180203300346896</c:v>
                </c:pt>
                <c:pt idx="21">
                  <c:v>59.888866792151909</c:v>
                </c:pt>
                <c:pt idx="22">
                  <c:v>59.802193034290937</c:v>
                </c:pt>
                <c:pt idx="23">
                  <c:v>60.356578042473167</c:v>
                </c:pt>
                <c:pt idx="24">
                  <c:v>59.504296923675611</c:v>
                </c:pt>
                <c:pt idx="25">
                  <c:v>59.547094769230654</c:v>
                </c:pt>
                <c:pt idx="26">
                  <c:v>58.985691402983164</c:v>
                </c:pt>
                <c:pt idx="27">
                  <c:v>59.090814655043438</c:v>
                </c:pt>
                <c:pt idx="28">
                  <c:v>58.6545079891157</c:v>
                </c:pt>
                <c:pt idx="29">
                  <c:v>58.231132245329754</c:v>
                </c:pt>
                <c:pt idx="30">
                  <c:v>58.367555964216784</c:v>
                </c:pt>
                <c:pt idx="31">
                  <c:v>57.463296968283679</c:v>
                </c:pt>
                <c:pt idx="32">
                  <c:v>56.454028801138705</c:v>
                </c:pt>
                <c:pt idx="33">
                  <c:v>55.97002899535714</c:v>
                </c:pt>
                <c:pt idx="34">
                  <c:v>54.402903526405296</c:v>
                </c:pt>
                <c:pt idx="35">
                  <c:v>53.812060361479539</c:v>
                </c:pt>
                <c:pt idx="36">
                  <c:v>53.680636578042019</c:v>
                </c:pt>
                <c:pt idx="37">
                  <c:v>52.123469493083164</c:v>
                </c:pt>
                <c:pt idx="38">
                  <c:v>51.46622138959966</c:v>
                </c:pt>
                <c:pt idx="39">
                  <c:v>51.129000399904776</c:v>
                </c:pt>
                <c:pt idx="40">
                  <c:v>50.334972714351537</c:v>
                </c:pt>
                <c:pt idx="41">
                  <c:v>49.89780212453006</c:v>
                </c:pt>
                <c:pt idx="42">
                  <c:v>48.881725436541309</c:v>
                </c:pt>
                <c:pt idx="43">
                  <c:v>48.584851780162232</c:v>
                </c:pt>
                <c:pt idx="44">
                  <c:v>48.419169927543571</c:v>
                </c:pt>
                <c:pt idx="45">
                  <c:v>47.928399909819717</c:v>
                </c:pt>
                <c:pt idx="46">
                  <c:v>47.129061656044705</c:v>
                </c:pt>
                <c:pt idx="47">
                  <c:v>46.83657237472287</c:v>
                </c:pt>
                <c:pt idx="48">
                  <c:v>46.284889631084923</c:v>
                </c:pt>
                <c:pt idx="49">
                  <c:v>45.428341605859217</c:v>
                </c:pt>
                <c:pt idx="50">
                  <c:v>44.918294539564499</c:v>
                </c:pt>
                <c:pt idx="51">
                  <c:v>44.359682629348747</c:v>
                </c:pt>
                <c:pt idx="52">
                  <c:v>43.954786757163944</c:v>
                </c:pt>
                <c:pt idx="53">
                  <c:v>43.087510048817393</c:v>
                </c:pt>
                <c:pt idx="54">
                  <c:v>42.638442036332378</c:v>
                </c:pt>
                <c:pt idx="55">
                  <c:v>41.849019043230719</c:v>
                </c:pt>
                <c:pt idx="56">
                  <c:v>40.852817371168271</c:v>
                </c:pt>
                <c:pt idx="57">
                  <c:v>39.242838252943486</c:v>
                </c:pt>
                <c:pt idx="58">
                  <c:v>38.62535126809663</c:v>
                </c:pt>
                <c:pt idx="59">
                  <c:v>38.017978353646292</c:v>
                </c:pt>
                <c:pt idx="60">
                  <c:v>36.836105008620649</c:v>
                </c:pt>
                <c:pt idx="61">
                  <c:v>35.733458665047465</c:v>
                </c:pt>
                <c:pt idx="62">
                  <c:v>34.041938369288808</c:v>
                </c:pt>
                <c:pt idx="63">
                  <c:v>33.177874175033601</c:v>
                </c:pt>
                <c:pt idx="64">
                  <c:v>32.322506191669078</c:v>
                </c:pt>
                <c:pt idx="65">
                  <c:v>31.268299636742995</c:v>
                </c:pt>
                <c:pt idx="66">
                  <c:v>30.365879612483738</c:v>
                </c:pt>
                <c:pt idx="67">
                  <c:v>29.240969033037359</c:v>
                </c:pt>
                <c:pt idx="68">
                  <c:v>27.732869234387209</c:v>
                </c:pt>
                <c:pt idx="69">
                  <c:v>26.376812355224949</c:v>
                </c:pt>
                <c:pt idx="70">
                  <c:v>24.453301873539861</c:v>
                </c:pt>
                <c:pt idx="71">
                  <c:v>23.183038135550717</c:v>
                </c:pt>
                <c:pt idx="72">
                  <c:v>22.197168102428435</c:v>
                </c:pt>
                <c:pt idx="73">
                  <c:v>20.929511980945293</c:v>
                </c:pt>
                <c:pt idx="74">
                  <c:v>19.781735815865218</c:v>
                </c:pt>
                <c:pt idx="75">
                  <c:v>18.147616519028986</c:v>
                </c:pt>
                <c:pt idx="76">
                  <c:v>16.841740105005741</c:v>
                </c:pt>
                <c:pt idx="77">
                  <c:v>15.567979936114918</c:v>
                </c:pt>
                <c:pt idx="78">
                  <c:v>14.213825119520768</c:v>
                </c:pt>
                <c:pt idx="79">
                  <c:v>12.58933765452525</c:v>
                </c:pt>
                <c:pt idx="80">
                  <c:v>11.300540875272494</c:v>
                </c:pt>
                <c:pt idx="81">
                  <c:v>9.9639951532801359</c:v>
                </c:pt>
                <c:pt idx="82">
                  <c:v>8.9401373939610789</c:v>
                </c:pt>
                <c:pt idx="83">
                  <c:v>8.0173292477295135</c:v>
                </c:pt>
                <c:pt idx="84">
                  <c:v>7.1280995907392519</c:v>
                </c:pt>
                <c:pt idx="85">
                  <c:v>6.4304380112187571</c:v>
                </c:pt>
                <c:pt idx="86">
                  <c:v>5.7838753506101801</c:v>
                </c:pt>
                <c:pt idx="87">
                  <c:v>5.2199821968551632</c:v>
                </c:pt>
                <c:pt idx="88">
                  <c:v>4.7126741367344556</c:v>
                </c:pt>
                <c:pt idx="89">
                  <c:v>4.189364768534281</c:v>
                </c:pt>
                <c:pt idx="90">
                  <c:v>3.7666860021672459</c:v>
                </c:pt>
                <c:pt idx="91">
                  <c:v>3.3764782537247524</c:v>
                </c:pt>
                <c:pt idx="92">
                  <c:v>3.0193238394067961</c:v>
                </c:pt>
                <c:pt idx="93">
                  <c:v>2.7273406997854694</c:v>
                </c:pt>
                <c:pt idx="94">
                  <c:v>2.4482658577867156</c:v>
                </c:pt>
                <c:pt idx="95">
                  <c:v>2.1905700563152095</c:v>
                </c:pt>
                <c:pt idx="96">
                  <c:v>1.9562449262968535</c:v>
                </c:pt>
                <c:pt idx="97">
                  <c:v>1.7744614091155952</c:v>
                </c:pt>
                <c:pt idx="98">
                  <c:v>1.602841651314258</c:v>
                </c:pt>
                <c:pt idx="99">
                  <c:v>1.4432014225379188</c:v>
                </c:pt>
                <c:pt idx="100">
                  <c:v>1.3123437181737518</c:v>
                </c:pt>
                <c:pt idx="101">
                  <c:v>1.1951523652411853</c:v>
                </c:pt>
                <c:pt idx="102">
                  <c:v>1.0894056004073733</c:v>
                </c:pt>
                <c:pt idx="103">
                  <c:v>0.99257345699342747</c:v>
                </c:pt>
                <c:pt idx="104">
                  <c:v>0.90066211635065685</c:v>
                </c:pt>
                <c:pt idx="105">
                  <c:v>0.82393606079914627</c:v>
                </c:pt>
                <c:pt idx="106">
                  <c:v>0.75555137203757994</c:v>
                </c:pt>
                <c:pt idx="107">
                  <c:v>0.69372056150140138</c:v>
                </c:pt>
                <c:pt idx="108">
                  <c:v>0.62837638816775754</c:v>
                </c:pt>
                <c:pt idx="109">
                  <c:v>0.56749671343370889</c:v>
                </c:pt>
                <c:pt idx="110">
                  <c:v>0.52009921544048998</c:v>
                </c:pt>
                <c:pt idx="111">
                  <c:v>0.48200945621662233</c:v>
                </c:pt>
                <c:pt idx="112">
                  <c:v>0.44685947027512218</c:v>
                </c:pt>
                <c:pt idx="113">
                  <c:v>0.41336907202845091</c:v>
                </c:pt>
                <c:pt idx="114">
                  <c:v>0.38607611849355811</c:v>
                </c:pt>
                <c:pt idx="115">
                  <c:v>0.35656463587131043</c:v>
                </c:pt>
                <c:pt idx="116">
                  <c:v>0.33502055831742644</c:v>
                </c:pt>
                <c:pt idx="117">
                  <c:v>0.31531781001242831</c:v>
                </c:pt>
                <c:pt idx="118">
                  <c:v>0.29729678467394005</c:v>
                </c:pt>
                <c:pt idx="119">
                  <c:v>0.28131613203108391</c:v>
                </c:pt>
                <c:pt idx="120">
                  <c:v>0.26738965236757883</c:v>
                </c:pt>
                <c:pt idx="121">
                  <c:v>0.25468328943253182</c:v>
                </c:pt>
                <c:pt idx="122">
                  <c:v>0.24233675672068947</c:v>
                </c:pt>
                <c:pt idx="123">
                  <c:v>0.22924225558720551</c:v>
                </c:pt>
                <c:pt idx="124">
                  <c:v>0.21757453201971766</c:v>
                </c:pt>
                <c:pt idx="125">
                  <c:v>0.20800842937740113</c:v>
                </c:pt>
                <c:pt idx="126">
                  <c:v>0.19935636863330652</c:v>
                </c:pt>
                <c:pt idx="127">
                  <c:v>0.19244198698289244</c:v>
                </c:pt>
                <c:pt idx="128">
                  <c:v>0.1856986493404256</c:v>
                </c:pt>
                <c:pt idx="129">
                  <c:v>0.17813667537244071</c:v>
                </c:pt>
                <c:pt idx="130">
                  <c:v>0.17029268492855443</c:v>
                </c:pt>
                <c:pt idx="131">
                  <c:v>0.16634252079625733</c:v>
                </c:pt>
                <c:pt idx="132">
                  <c:v>0.16286517365611</c:v>
                </c:pt>
                <c:pt idx="133">
                  <c:v>0.15969697245277337</c:v>
                </c:pt>
                <c:pt idx="134">
                  <c:v>0.15681753514243862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ConceptDemo!$X$17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105.98744580569728</c:v>
                </c:pt>
                <c:pt idx="1">
                  <c:v>108.13210886087316</c:v>
                </c:pt>
                <c:pt idx="2">
                  <c:v>106.69314561982139</c:v>
                </c:pt>
                <c:pt idx="3">
                  <c:v>109.73154018886819</c:v>
                </c:pt>
                <c:pt idx="4">
                  <c:v>117.35614026337274</c:v>
                </c:pt>
                <c:pt idx="5">
                  <c:v>119.14151363447426</c:v>
                </c:pt>
                <c:pt idx="6">
                  <c:v>120</c:v>
                </c:pt>
                <c:pt idx="7">
                  <c:v>118.40424920819866</c:v>
                </c:pt>
                <c:pt idx="8">
                  <c:v>116.44274340880288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119.63489366872781</c:v>
                </c:pt>
                <c:pt idx="13">
                  <c:v>117.13207689699477</c:v>
                </c:pt>
                <c:pt idx="14">
                  <c:v>117.77466521493665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118.92853908166309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119.20114236397399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119.04412046606357</c:v>
                </c:pt>
                <c:pt idx="56">
                  <c:v>117.98383683848517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119.64918047210419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119.31960666466189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ConceptDemo!$Z$17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ConceptDemo!$Y$17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0.40364133702095728</c:v>
                </c:pt>
                <c:pt idx="7">
                  <c:v>0.40364133702095728</c:v>
                </c:pt>
                <c:pt idx="8">
                  <c:v>0.40364133702095728</c:v>
                </c:pt>
                <c:pt idx="9">
                  <c:v>1.0438105256110504</c:v>
                </c:pt>
                <c:pt idx="10">
                  <c:v>2.3138824582095623</c:v>
                </c:pt>
                <c:pt idx="11">
                  <c:v>10.242486713647679</c:v>
                </c:pt>
                <c:pt idx="12">
                  <c:v>10.242486713647679</c:v>
                </c:pt>
                <c:pt idx="13">
                  <c:v>10.242486713647679</c:v>
                </c:pt>
                <c:pt idx="14">
                  <c:v>10.242486713647679</c:v>
                </c:pt>
                <c:pt idx="15">
                  <c:v>10.42436740379857</c:v>
                </c:pt>
                <c:pt idx="16">
                  <c:v>14.319340295936385</c:v>
                </c:pt>
                <c:pt idx="17">
                  <c:v>23.114460475398246</c:v>
                </c:pt>
                <c:pt idx="18">
                  <c:v>29.064654101388356</c:v>
                </c:pt>
                <c:pt idx="19">
                  <c:v>37.467334896925337</c:v>
                </c:pt>
                <c:pt idx="20">
                  <c:v>40.404490234076221</c:v>
                </c:pt>
                <c:pt idx="21">
                  <c:v>41.685383393295865</c:v>
                </c:pt>
                <c:pt idx="22">
                  <c:v>46.082519822059297</c:v>
                </c:pt>
                <c:pt idx="23">
                  <c:v>50.003807323917044</c:v>
                </c:pt>
                <c:pt idx="24">
                  <c:v>53.558524485659703</c:v>
                </c:pt>
                <c:pt idx="25">
                  <c:v>55.094459956984579</c:v>
                </c:pt>
                <c:pt idx="26">
                  <c:v>55.094459956984579</c:v>
                </c:pt>
                <c:pt idx="27">
                  <c:v>64.449679400422824</c:v>
                </c:pt>
                <c:pt idx="28">
                  <c:v>78.396760591867022</c:v>
                </c:pt>
                <c:pt idx="29">
                  <c:v>87.505098160811073</c:v>
                </c:pt>
                <c:pt idx="30">
                  <c:v>88.870542507417326</c:v>
                </c:pt>
                <c:pt idx="31">
                  <c:v>90.344752601252125</c:v>
                </c:pt>
                <c:pt idx="32">
                  <c:v>102.37182263905679</c:v>
                </c:pt>
                <c:pt idx="33">
                  <c:v>112.98016408224684</c:v>
                </c:pt>
                <c:pt idx="34">
                  <c:v>123.81948648462803</c:v>
                </c:pt>
                <c:pt idx="35">
                  <c:v>126.03445299210455</c:v>
                </c:pt>
                <c:pt idx="36">
                  <c:v>135.07460309524467</c:v>
                </c:pt>
                <c:pt idx="37">
                  <c:v>146.4306331590754</c:v>
                </c:pt>
                <c:pt idx="38">
                  <c:v>157.73856456863436</c:v>
                </c:pt>
                <c:pt idx="39">
                  <c:v>158.27462543487118</c:v>
                </c:pt>
                <c:pt idx="40">
                  <c:v>178.53020419046916</c:v>
                </c:pt>
                <c:pt idx="41">
                  <c:v>187.03074341074321</c:v>
                </c:pt>
                <c:pt idx="42">
                  <c:v>192.37216289871969</c:v>
                </c:pt>
                <c:pt idx="43">
                  <c:v>195.29273442926149</c:v>
                </c:pt>
                <c:pt idx="44">
                  <c:v>196.92948754335825</c:v>
                </c:pt>
                <c:pt idx="45">
                  <c:v>201.43507894444568</c:v>
                </c:pt>
                <c:pt idx="46">
                  <c:v>201.99555666992586</c:v>
                </c:pt>
                <c:pt idx="47">
                  <c:v>201.99555666992586</c:v>
                </c:pt>
                <c:pt idx="48">
                  <c:v>206.94259925627705</c:v>
                </c:pt>
                <c:pt idx="49">
                  <c:v>226.81823221847924</c:v>
                </c:pt>
                <c:pt idx="50">
                  <c:v>227.34469995630337</c:v>
                </c:pt>
                <c:pt idx="51">
                  <c:v>239.01589632640668</c:v>
                </c:pt>
                <c:pt idx="52">
                  <c:v>253.76994653968706</c:v>
                </c:pt>
                <c:pt idx="53">
                  <c:v>265.79698666745514</c:v>
                </c:pt>
                <c:pt idx="54">
                  <c:v>279.79998256459709</c:v>
                </c:pt>
                <c:pt idx="55">
                  <c:v>279.79998256459709</c:v>
                </c:pt>
                <c:pt idx="56">
                  <c:v>279.79998256459709</c:v>
                </c:pt>
                <c:pt idx="57">
                  <c:v>282.51717588776989</c:v>
                </c:pt>
                <c:pt idx="58">
                  <c:v>290.02304421388283</c:v>
                </c:pt>
                <c:pt idx="59">
                  <c:v>302.73464259940783</c:v>
                </c:pt>
                <c:pt idx="60">
                  <c:v>308.27679139223005</c:v>
                </c:pt>
                <c:pt idx="61">
                  <c:v>322.62376639772481</c:v>
                </c:pt>
                <c:pt idx="62">
                  <c:v>327.61430892357896</c:v>
                </c:pt>
                <c:pt idx="63">
                  <c:v>329.81928926720906</c:v>
                </c:pt>
                <c:pt idx="64">
                  <c:v>333.14890653892928</c:v>
                </c:pt>
                <c:pt idx="65">
                  <c:v>342.80821022730879</c:v>
                </c:pt>
                <c:pt idx="66">
                  <c:v>358.82926769450137</c:v>
                </c:pt>
                <c:pt idx="67">
                  <c:v>372.42478161403244</c:v>
                </c:pt>
                <c:pt idx="68">
                  <c:v>385.29868501825479</c:v>
                </c:pt>
                <c:pt idx="69">
                  <c:v>409.51410958553515</c:v>
                </c:pt>
                <c:pt idx="70">
                  <c:v>422.34031785526702</c:v>
                </c:pt>
                <c:pt idx="71">
                  <c:v>431.77399470534215</c:v>
                </c:pt>
                <c:pt idx="72">
                  <c:v>438.00404603596553</c:v>
                </c:pt>
                <c:pt idx="73">
                  <c:v>443.49936839510258</c:v>
                </c:pt>
                <c:pt idx="74">
                  <c:v>443.49936839510258</c:v>
                </c:pt>
                <c:pt idx="75">
                  <c:v>447.86784247399567</c:v>
                </c:pt>
                <c:pt idx="76">
                  <c:v>455.2378303366005</c:v>
                </c:pt>
                <c:pt idx="77">
                  <c:v>462.38061951579283</c:v>
                </c:pt>
                <c:pt idx="78">
                  <c:v>477.65684905335871</c:v>
                </c:pt>
                <c:pt idx="79">
                  <c:v>485.8225375144159</c:v>
                </c:pt>
                <c:pt idx="80">
                  <c:v>502.57073072389483</c:v>
                </c:pt>
                <c:pt idx="81">
                  <c:v>509.51131196149419</c:v>
                </c:pt>
                <c:pt idx="82">
                  <c:v>516.44790984791075</c:v>
                </c:pt>
                <c:pt idx="83">
                  <c:v>524.70407486397255</c:v>
                </c:pt>
                <c:pt idx="84">
                  <c:v>529.12820417978241</c:v>
                </c:pt>
                <c:pt idx="85">
                  <c:v>541.60923411259398</c:v>
                </c:pt>
                <c:pt idx="86">
                  <c:v>547.66522432723661</c:v>
                </c:pt>
                <c:pt idx="87">
                  <c:v>554.68096808371831</c:v>
                </c:pt>
                <c:pt idx="88">
                  <c:v>558.86369844767444</c:v>
                </c:pt>
                <c:pt idx="89">
                  <c:v>564.98342757018088</c:v>
                </c:pt>
                <c:pt idx="90">
                  <c:v>576.08543400153258</c:v>
                </c:pt>
                <c:pt idx="91">
                  <c:v>590.47000640277042</c:v>
                </c:pt>
                <c:pt idx="92">
                  <c:v>596.55138075334662</c:v>
                </c:pt>
                <c:pt idx="93">
                  <c:v>600.47680893169695</c:v>
                </c:pt>
                <c:pt idx="94">
                  <c:v>604.01063296576797</c:v>
                </c:pt>
                <c:pt idx="95">
                  <c:v>617.21623127651299</c:v>
                </c:pt>
                <c:pt idx="96">
                  <c:v>637.09771846987746</c:v>
                </c:pt>
                <c:pt idx="97">
                  <c:v>638.76397854730294</c:v>
                </c:pt>
                <c:pt idx="98">
                  <c:v>653.37613899631913</c:v>
                </c:pt>
                <c:pt idx="99">
                  <c:v>655.74915741855841</c:v>
                </c:pt>
                <c:pt idx="100">
                  <c:v>660.91002450779263</c:v>
                </c:pt>
                <c:pt idx="101">
                  <c:v>667.81852062934286</c:v>
                </c:pt>
                <c:pt idx="102">
                  <c:v>674.22373612611875</c:v>
                </c:pt>
                <c:pt idx="103">
                  <c:v>689.36884108213656</c:v>
                </c:pt>
                <c:pt idx="104">
                  <c:v>722.99135718336402</c:v>
                </c:pt>
                <c:pt idx="105">
                  <c:v>748.22455732793628</c:v>
                </c:pt>
                <c:pt idx="106">
                  <c:v>752.83608769409898</c:v>
                </c:pt>
                <c:pt idx="107">
                  <c:v>757.61194834809498</c:v>
                </c:pt>
                <c:pt idx="108">
                  <c:v>765.50535765151903</c:v>
                </c:pt>
                <c:pt idx="109">
                  <c:v>775.44225891244992</c:v>
                </c:pt>
                <c:pt idx="110">
                  <c:v>783.4488656450161</c:v>
                </c:pt>
                <c:pt idx="111">
                  <c:v>786.07044503474367</c:v>
                </c:pt>
                <c:pt idx="112">
                  <c:v>793.79734436887327</c:v>
                </c:pt>
                <c:pt idx="113">
                  <c:v>795.47528110117059</c:v>
                </c:pt>
                <c:pt idx="114">
                  <c:v>799.70372270715575</c:v>
                </c:pt>
                <c:pt idx="115">
                  <c:v>806.34331627042434</c:v>
                </c:pt>
                <c:pt idx="116">
                  <c:v>811.70174911557922</c:v>
                </c:pt>
                <c:pt idx="117">
                  <c:v>813.09516380480545</c:v>
                </c:pt>
                <c:pt idx="118">
                  <c:v>822.51157667643167</c:v>
                </c:pt>
                <c:pt idx="119">
                  <c:v>823.75866914203721</c:v>
                </c:pt>
                <c:pt idx="120">
                  <c:v>823.75866914203721</c:v>
                </c:pt>
                <c:pt idx="121">
                  <c:v>828.53648029997692</c:v>
                </c:pt>
                <c:pt idx="122">
                  <c:v>840.92562828008386</c:v>
                </c:pt>
                <c:pt idx="123">
                  <c:v>850.76452390347254</c:v>
                </c:pt>
                <c:pt idx="124">
                  <c:v>861.96409983479862</c:v>
                </c:pt>
                <c:pt idx="125">
                  <c:v>867.45009604850975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ConceptDemo!$AA$17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45357</c:v>
                </c:pt>
                <c:pt idx="1">
                  <c:v>45358</c:v>
                </c:pt>
                <c:pt idx="2">
                  <c:v>45359</c:v>
                </c:pt>
                <c:pt idx="3">
                  <c:v>45360</c:v>
                </c:pt>
                <c:pt idx="4">
                  <c:v>45361</c:v>
                </c:pt>
                <c:pt idx="5">
                  <c:v>45362</c:v>
                </c:pt>
                <c:pt idx="6">
                  <c:v>45363</c:v>
                </c:pt>
                <c:pt idx="7">
                  <c:v>45364</c:v>
                </c:pt>
                <c:pt idx="8">
                  <c:v>45365</c:v>
                </c:pt>
                <c:pt idx="9">
                  <c:v>45366</c:v>
                </c:pt>
                <c:pt idx="10">
                  <c:v>45367</c:v>
                </c:pt>
                <c:pt idx="11">
                  <c:v>45368</c:v>
                </c:pt>
                <c:pt idx="12">
                  <c:v>45369</c:v>
                </c:pt>
                <c:pt idx="13">
                  <c:v>45370</c:v>
                </c:pt>
                <c:pt idx="14">
                  <c:v>45371</c:v>
                </c:pt>
                <c:pt idx="15">
                  <c:v>45372</c:v>
                </c:pt>
                <c:pt idx="16">
                  <c:v>45373</c:v>
                </c:pt>
                <c:pt idx="17">
                  <c:v>45374</c:v>
                </c:pt>
                <c:pt idx="18">
                  <c:v>45375</c:v>
                </c:pt>
                <c:pt idx="19">
                  <c:v>45376</c:v>
                </c:pt>
                <c:pt idx="20">
                  <c:v>45377</c:v>
                </c:pt>
                <c:pt idx="21">
                  <c:v>45378</c:v>
                </c:pt>
                <c:pt idx="22">
                  <c:v>45379</c:v>
                </c:pt>
                <c:pt idx="23">
                  <c:v>45380</c:v>
                </c:pt>
                <c:pt idx="24">
                  <c:v>45381</c:v>
                </c:pt>
                <c:pt idx="25">
                  <c:v>45382</c:v>
                </c:pt>
                <c:pt idx="26">
                  <c:v>45383</c:v>
                </c:pt>
                <c:pt idx="27">
                  <c:v>45384</c:v>
                </c:pt>
                <c:pt idx="28">
                  <c:v>45385</c:v>
                </c:pt>
                <c:pt idx="29">
                  <c:v>45386</c:v>
                </c:pt>
                <c:pt idx="30">
                  <c:v>45387</c:v>
                </c:pt>
                <c:pt idx="31">
                  <c:v>45388</c:v>
                </c:pt>
                <c:pt idx="32">
                  <c:v>45389</c:v>
                </c:pt>
                <c:pt idx="33">
                  <c:v>45390</c:v>
                </c:pt>
                <c:pt idx="34">
                  <c:v>45391</c:v>
                </c:pt>
                <c:pt idx="35">
                  <c:v>45392</c:v>
                </c:pt>
                <c:pt idx="36">
                  <c:v>45393</c:v>
                </c:pt>
                <c:pt idx="37">
                  <c:v>45394</c:v>
                </c:pt>
                <c:pt idx="38">
                  <c:v>45395</c:v>
                </c:pt>
                <c:pt idx="39">
                  <c:v>45396</c:v>
                </c:pt>
                <c:pt idx="40">
                  <c:v>45397</c:v>
                </c:pt>
                <c:pt idx="41">
                  <c:v>45398</c:v>
                </c:pt>
                <c:pt idx="42">
                  <c:v>45399</c:v>
                </c:pt>
                <c:pt idx="43">
                  <c:v>45400</c:v>
                </c:pt>
                <c:pt idx="44">
                  <c:v>45401</c:v>
                </c:pt>
                <c:pt idx="45">
                  <c:v>45402</c:v>
                </c:pt>
                <c:pt idx="46">
                  <c:v>45403</c:v>
                </c:pt>
                <c:pt idx="47">
                  <c:v>45404</c:v>
                </c:pt>
                <c:pt idx="48">
                  <c:v>45405</c:v>
                </c:pt>
                <c:pt idx="49">
                  <c:v>45406</c:v>
                </c:pt>
                <c:pt idx="50">
                  <c:v>45407</c:v>
                </c:pt>
                <c:pt idx="51">
                  <c:v>45408</c:v>
                </c:pt>
                <c:pt idx="52">
                  <c:v>45409</c:v>
                </c:pt>
                <c:pt idx="53">
                  <c:v>45410</c:v>
                </c:pt>
                <c:pt idx="54">
                  <c:v>45411</c:v>
                </c:pt>
                <c:pt idx="55">
                  <c:v>45412</c:v>
                </c:pt>
                <c:pt idx="56">
                  <c:v>45413</c:v>
                </c:pt>
                <c:pt idx="57">
                  <c:v>45414</c:v>
                </c:pt>
                <c:pt idx="58">
                  <c:v>45415</c:v>
                </c:pt>
                <c:pt idx="59">
                  <c:v>45416</c:v>
                </c:pt>
                <c:pt idx="60">
                  <c:v>45417</c:v>
                </c:pt>
                <c:pt idx="61">
                  <c:v>45418</c:v>
                </c:pt>
                <c:pt idx="62">
                  <c:v>45419</c:v>
                </c:pt>
                <c:pt idx="63">
                  <c:v>45420</c:v>
                </c:pt>
                <c:pt idx="64">
                  <c:v>45421</c:v>
                </c:pt>
                <c:pt idx="65">
                  <c:v>45422</c:v>
                </c:pt>
                <c:pt idx="66">
                  <c:v>45423</c:v>
                </c:pt>
                <c:pt idx="67">
                  <c:v>45424</c:v>
                </c:pt>
                <c:pt idx="68">
                  <c:v>45425</c:v>
                </c:pt>
                <c:pt idx="69">
                  <c:v>45426</c:v>
                </c:pt>
                <c:pt idx="70">
                  <c:v>45427</c:v>
                </c:pt>
                <c:pt idx="71">
                  <c:v>45428</c:v>
                </c:pt>
                <c:pt idx="72">
                  <c:v>45429</c:v>
                </c:pt>
                <c:pt idx="73">
                  <c:v>45430</c:v>
                </c:pt>
                <c:pt idx="74">
                  <c:v>45431</c:v>
                </c:pt>
                <c:pt idx="75">
                  <c:v>45432</c:v>
                </c:pt>
                <c:pt idx="76">
                  <c:v>45433</c:v>
                </c:pt>
                <c:pt idx="77">
                  <c:v>45434</c:v>
                </c:pt>
                <c:pt idx="78">
                  <c:v>45435</c:v>
                </c:pt>
                <c:pt idx="79">
                  <c:v>45436</c:v>
                </c:pt>
                <c:pt idx="80">
                  <c:v>45437</c:v>
                </c:pt>
                <c:pt idx="81">
                  <c:v>45438</c:v>
                </c:pt>
                <c:pt idx="82">
                  <c:v>45439</c:v>
                </c:pt>
                <c:pt idx="83">
                  <c:v>45440</c:v>
                </c:pt>
                <c:pt idx="84">
                  <c:v>45441</c:v>
                </c:pt>
                <c:pt idx="85">
                  <c:v>45442</c:v>
                </c:pt>
                <c:pt idx="86">
                  <c:v>45443</c:v>
                </c:pt>
                <c:pt idx="87">
                  <c:v>45444</c:v>
                </c:pt>
                <c:pt idx="88">
                  <c:v>45445</c:v>
                </c:pt>
                <c:pt idx="89">
                  <c:v>45446</c:v>
                </c:pt>
                <c:pt idx="90">
                  <c:v>45447</c:v>
                </c:pt>
                <c:pt idx="91">
                  <c:v>45448</c:v>
                </c:pt>
                <c:pt idx="92">
                  <c:v>45449</c:v>
                </c:pt>
                <c:pt idx="93">
                  <c:v>45450</c:v>
                </c:pt>
                <c:pt idx="94">
                  <c:v>45451</c:v>
                </c:pt>
                <c:pt idx="95">
                  <c:v>45452</c:v>
                </c:pt>
                <c:pt idx="96">
                  <c:v>45453</c:v>
                </c:pt>
                <c:pt idx="97">
                  <c:v>45454</c:v>
                </c:pt>
                <c:pt idx="98">
                  <c:v>45455</c:v>
                </c:pt>
                <c:pt idx="99">
                  <c:v>45456</c:v>
                </c:pt>
                <c:pt idx="100">
                  <c:v>45457</c:v>
                </c:pt>
                <c:pt idx="101">
                  <c:v>45458</c:v>
                </c:pt>
                <c:pt idx="102">
                  <c:v>45459</c:v>
                </c:pt>
                <c:pt idx="103">
                  <c:v>45460</c:v>
                </c:pt>
                <c:pt idx="104">
                  <c:v>45461</c:v>
                </c:pt>
                <c:pt idx="105">
                  <c:v>45462</c:v>
                </c:pt>
                <c:pt idx="106">
                  <c:v>45463</c:v>
                </c:pt>
                <c:pt idx="107">
                  <c:v>45464</c:v>
                </c:pt>
                <c:pt idx="108">
                  <c:v>45465</c:v>
                </c:pt>
                <c:pt idx="109">
                  <c:v>45466</c:v>
                </c:pt>
                <c:pt idx="110">
                  <c:v>45467</c:v>
                </c:pt>
                <c:pt idx="111">
                  <c:v>45468</c:v>
                </c:pt>
                <c:pt idx="112">
                  <c:v>45469</c:v>
                </c:pt>
                <c:pt idx="113">
                  <c:v>45470</c:v>
                </c:pt>
                <c:pt idx="114">
                  <c:v>45471</c:v>
                </c:pt>
                <c:pt idx="115">
                  <c:v>45472</c:v>
                </c:pt>
                <c:pt idx="116">
                  <c:v>45473</c:v>
                </c:pt>
                <c:pt idx="117">
                  <c:v>45474</c:v>
                </c:pt>
                <c:pt idx="118">
                  <c:v>45475</c:v>
                </c:pt>
                <c:pt idx="119">
                  <c:v>45476</c:v>
                </c:pt>
                <c:pt idx="120">
                  <c:v>45477</c:v>
                </c:pt>
                <c:pt idx="121">
                  <c:v>45478</c:v>
                </c:pt>
                <c:pt idx="122">
                  <c:v>45479</c:v>
                </c:pt>
                <c:pt idx="123">
                  <c:v>45480</c:v>
                </c:pt>
                <c:pt idx="124">
                  <c:v>45481</c:v>
                </c:pt>
                <c:pt idx="125">
                  <c:v>45482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8.7878750318873197E-3</c:v>
                </c:pt>
                <c:pt idx="1">
                  <c:v>1.1541447356609599E-2</c:v>
                </c:pt>
                <c:pt idx="2">
                  <c:v>1.5087367353501101E-2</c:v>
                </c:pt>
                <c:pt idx="3">
                  <c:v>1.9847410132795801E-2</c:v>
                </c:pt>
                <c:pt idx="4">
                  <c:v>2.59172076944474E-2</c:v>
                </c:pt>
                <c:pt idx="5">
                  <c:v>3.3854727000134303E-2</c:v>
                </c:pt>
                <c:pt idx="6">
                  <c:v>4.33555766799784E-2</c:v>
                </c:pt>
                <c:pt idx="7">
                  <c:v>5.5817891039824798E-2</c:v>
                </c:pt>
                <c:pt idx="8">
                  <c:v>7.2869164415116802E-2</c:v>
                </c:pt>
                <c:pt idx="9">
                  <c:v>9.5763859910000096E-2</c:v>
                </c:pt>
                <c:pt idx="10">
                  <c:v>0.121857430597941</c:v>
                </c:pt>
                <c:pt idx="11">
                  <c:v>0.15228266226928699</c:v>
                </c:pt>
                <c:pt idx="12">
                  <c:v>0.18990656865452599</c:v>
                </c:pt>
                <c:pt idx="13">
                  <c:v>0.23533800705371799</c:v>
                </c:pt>
                <c:pt idx="14">
                  <c:v>0.288695391199917</c:v>
                </c:pt>
                <c:pt idx="15">
                  <c:v>0.34938149759798798</c:v>
                </c:pt>
                <c:pt idx="16">
                  <c:v>0.41586750381331999</c:v>
                </c:pt>
                <c:pt idx="17">
                  <c:v>0.483205037646043</c:v>
                </c:pt>
                <c:pt idx="18">
                  <c:v>0.55380379157423598</c:v>
                </c:pt>
                <c:pt idx="19">
                  <c:v>0.62288842619228002</c:v>
                </c:pt>
                <c:pt idx="20">
                  <c:v>0.68830716436719097</c:v>
                </c:pt>
                <c:pt idx="21">
                  <c:v>0.742787355238688</c:v>
                </c:pt>
                <c:pt idx="22">
                  <c:v>0.79180833550265095</c:v>
                </c:pt>
                <c:pt idx="23">
                  <c:v>0.83410311187687602</c:v>
                </c:pt>
                <c:pt idx="24">
                  <c:v>0.868235686664526</c:v>
                </c:pt>
                <c:pt idx="25">
                  <c:v>0.89582844144074503</c:v>
                </c:pt>
                <c:pt idx="26">
                  <c:v>0.91747539606032202</c:v>
                </c:pt>
                <c:pt idx="27">
                  <c:v>0.93593062395403603</c:v>
                </c:pt>
                <c:pt idx="28">
                  <c:v>0.95027691655157498</c:v>
                </c:pt>
                <c:pt idx="29">
                  <c:v>0.96079100565263997</c:v>
                </c:pt>
                <c:pt idx="30">
                  <c:v>0.96888949122518397</c:v>
                </c:pt>
                <c:pt idx="31">
                  <c:v>0.97494124214588096</c:v>
                </c:pt>
                <c:pt idx="32">
                  <c:v>0.98004099501547703</c:v>
                </c:pt>
                <c:pt idx="33">
                  <c:v>0.98426017893737605</c:v>
                </c:pt>
                <c:pt idx="34">
                  <c:v>0.98762698059779297</c:v>
                </c:pt>
                <c:pt idx="35">
                  <c:v>0.99023822255848204</c:v>
                </c:pt>
                <c:pt idx="36">
                  <c:v>0.99241563013909595</c:v>
                </c:pt>
                <c:pt idx="37">
                  <c:v>0.99406172715237096</c:v>
                </c:pt>
                <c:pt idx="38">
                  <c:v>0.99526042215342403</c:v>
                </c:pt>
                <c:pt idx="39">
                  <c:v>0.99623542184123404</c:v>
                </c:pt>
                <c:pt idx="40">
                  <c:v>0.99701753186686404</c:v>
                </c:pt>
                <c:pt idx="41">
                  <c:v>0.99762646985182801</c:v>
                </c:pt>
                <c:pt idx="42">
                  <c:v>0.99811263295495201</c:v>
                </c:pt>
                <c:pt idx="43">
                  <c:v>0.99848070254552301</c:v>
                </c:pt>
                <c:pt idx="44">
                  <c:v>0.99880428067494997</c:v>
                </c:pt>
                <c:pt idx="45">
                  <c:v>0.99905881120056295</c:v>
                </c:pt>
                <c:pt idx="46">
                  <c:v>0.99925071324716797</c:v>
                </c:pt>
                <c:pt idx="47">
                  <c:v>0.99940667143303397</c:v>
                </c:pt>
                <c:pt idx="48">
                  <c:v>0.99953728903241401</c:v>
                </c:pt>
                <c:pt idx="49">
                  <c:v>0.99963670694431395</c:v>
                </c:pt>
                <c:pt idx="50">
                  <c:v>0.99971246733520902</c:v>
                </c:pt>
                <c:pt idx="51">
                  <c:v>0.99977571967245105</c:v>
                </c:pt>
                <c:pt idx="52">
                  <c:v>0.99982300621229503</c:v>
                </c:pt>
                <c:pt idx="53">
                  <c:v>0.99985968628461597</c:v>
                </c:pt>
                <c:pt idx="54">
                  <c:v>0.99988840724572503</c:v>
                </c:pt>
                <c:pt idx="55">
                  <c:v>0.999908585184624</c:v>
                </c:pt>
                <c:pt idx="56">
                  <c:v>0.99992507820093801</c:v>
                </c:pt>
                <c:pt idx="57">
                  <c:v>0.99993985379921602</c:v>
                </c:pt>
                <c:pt idx="58">
                  <c:v>0.99995175609431897</c:v>
                </c:pt>
                <c:pt idx="59">
                  <c:v>0.99996159701346499</c:v>
                </c:pt>
                <c:pt idx="60">
                  <c:v>0.99996926555068699</c:v>
                </c:pt>
                <c:pt idx="61">
                  <c:v>0.99997515732920395</c:v>
                </c:pt>
                <c:pt idx="62">
                  <c:v>0.99997996036540704</c:v>
                </c:pt>
                <c:pt idx="63">
                  <c:v>0.99998418372507603</c:v>
                </c:pt>
                <c:pt idx="64">
                  <c:v>0.99998744171301701</c:v>
                </c:pt>
                <c:pt idx="65">
                  <c:v>0.99998992061715397</c:v>
                </c:pt>
                <c:pt idx="66">
                  <c:v>0.99999197333114398</c:v>
                </c:pt>
                <c:pt idx="67">
                  <c:v>0.99999353471629304</c:v>
                </c:pt>
                <c:pt idx="68">
                  <c:v>0.99999480219972403</c:v>
                </c:pt>
                <c:pt idx="69">
                  <c:v>0.99999585409666003</c:v>
                </c:pt>
                <c:pt idx="70">
                  <c:v>0.99999665941168503</c:v>
                </c:pt>
                <c:pt idx="71">
                  <c:v>0.999997279722451</c:v>
                </c:pt>
                <c:pt idx="72">
                  <c:v>0.99999776086079195</c:v>
                </c:pt>
                <c:pt idx="73">
                  <c:v>0.99999816641425499</c:v>
                </c:pt>
                <c:pt idx="74">
                  <c:v>0.99999849493916804</c:v>
                </c:pt>
                <c:pt idx="75">
                  <c:v>0.99999876148765399</c:v>
                </c:pt>
                <c:pt idx="76">
                  <c:v>0.999998955939153</c:v>
                </c:pt>
                <c:pt idx="77">
                  <c:v>0.99999912819303804</c:v>
                </c:pt>
                <c:pt idx="78">
                  <c:v>0.99999927497476704</c:v>
                </c:pt>
                <c:pt idx="79">
                  <c:v>0.99999939484674305</c:v>
                </c:pt>
                <c:pt idx="80">
                  <c:v>0.99999949842004998</c:v>
                </c:pt>
                <c:pt idx="81">
                  <c:v>0.99999957994091504</c:v>
                </c:pt>
                <c:pt idx="82">
                  <c:v>0.99999964653529205</c:v>
                </c:pt>
                <c:pt idx="83">
                  <c:v>0.99999970514038905</c:v>
                </c:pt>
                <c:pt idx="84">
                  <c:v>0.99999974928705404</c:v>
                </c:pt>
                <c:pt idx="85">
                  <c:v>0.99999978701777503</c:v>
                </c:pt>
                <c:pt idx="86">
                  <c:v>0.99999981994129805</c:v>
                </c:pt>
                <c:pt idx="87">
                  <c:v>0.99999984775409601</c:v>
                </c:pt>
                <c:pt idx="88">
                  <c:v>0.99999987106354304</c:v>
                </c:pt>
                <c:pt idx="89">
                  <c:v>0.99999989271192202</c:v>
                </c:pt>
                <c:pt idx="90">
                  <c:v>0.99999991033131796</c:v>
                </c:pt>
                <c:pt idx="91">
                  <c:v>0.99999992489975598</c:v>
                </c:pt>
                <c:pt idx="92">
                  <c:v>0.99999993699559797</c:v>
                </c:pt>
                <c:pt idx="93">
                  <c:v>0.99999994636119505</c:v>
                </c:pt>
                <c:pt idx="94">
                  <c:v>0.99999995425788102</c:v>
                </c:pt>
                <c:pt idx="95">
                  <c:v>0.99999996190600704</c:v>
                </c:pt>
                <c:pt idx="96">
                  <c:v>0.99999996827293802</c:v>
                </c:pt>
                <c:pt idx="97">
                  <c:v>0.99999997399027296</c:v>
                </c:pt>
                <c:pt idx="98">
                  <c:v>0.99999997819014796</c:v>
                </c:pt>
                <c:pt idx="99">
                  <c:v>0.99999998160152404</c:v>
                </c:pt>
                <c:pt idx="100">
                  <c:v>0.99999998418896696</c:v>
                </c:pt>
                <c:pt idx="101">
                  <c:v>0.99999998666017498</c:v>
                </c:pt>
                <c:pt idx="102">
                  <c:v>0.999999988764804</c:v>
                </c:pt>
                <c:pt idx="103">
                  <c:v>0.99999999055127298</c:v>
                </c:pt>
                <c:pt idx="104">
                  <c:v>0.99999999210022905</c:v>
                </c:pt>
                <c:pt idx="105">
                  <c:v>0.99999999338988299</c:v>
                </c:pt>
                <c:pt idx="106">
                  <c:v>0.99999999441429099</c:v>
                </c:pt>
                <c:pt idx="107">
                  <c:v>0.99999999519528004</c:v>
                </c:pt>
                <c:pt idx="108">
                  <c:v>0.99999999587053801</c:v>
                </c:pt>
                <c:pt idx="109">
                  <c:v>0.99999999652962202</c:v>
                </c:pt>
                <c:pt idx="110">
                  <c:v>0.99999999704160203</c:v>
                </c:pt>
                <c:pt idx="111">
                  <c:v>0.99999999746183499</c:v>
                </c:pt>
                <c:pt idx="112">
                  <c:v>0.99999999780937698</c:v>
                </c:pt>
                <c:pt idx="113">
                  <c:v>0.99999999811134999</c:v>
                </c:pt>
                <c:pt idx="114">
                  <c:v>0.99999999836833897</c:v>
                </c:pt>
                <c:pt idx="115">
                  <c:v>0.99999999858598698</c:v>
                </c:pt>
                <c:pt idx="116">
                  <c:v>0.99999999878058798</c:v>
                </c:pt>
                <c:pt idx="117">
                  <c:v>0.99999999893783698</c:v>
                </c:pt>
                <c:pt idx="118">
                  <c:v>0.999999999084207</c:v>
                </c:pt>
                <c:pt idx="119">
                  <c:v>0.99999999920730898</c:v>
                </c:pt>
                <c:pt idx="120">
                  <c:v>0.99999999932301498</c:v>
                </c:pt>
                <c:pt idx="121">
                  <c:v>0.99999999941911599</c:v>
                </c:pt>
                <c:pt idx="122">
                  <c:v>0.99999999950605201</c:v>
                </c:pt>
                <c:pt idx="123">
                  <c:v>0.99999999957193997</c:v>
                </c:pt>
                <c:pt idx="124">
                  <c:v>0.99999999962672304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F662"/>
  <sheetViews>
    <sheetView tabSelected="1" topLeftCell="C4" zoomScale="110" zoomScaleNormal="110" workbookViewId="0">
      <selection activeCell="H5" sqref="H5"/>
    </sheetView>
  </sheetViews>
  <sheetFormatPr defaultColWidth="9.140625" defaultRowHeight="15" x14ac:dyDescent="0.25"/>
  <cols>
    <col min="1" max="1" width="9.140625" hidden="1" customWidth="1"/>
    <col min="2" max="2" width="10.28515625" hidden="1" customWidth="1"/>
    <col min="3" max="3" width="30.140625" style="57" customWidth="1"/>
    <col min="4" max="4" width="26.42578125" style="57" bestFit="1" customWidth="1"/>
    <col min="5" max="5" width="18.42578125" style="57" customWidth="1"/>
    <col min="6" max="6" width="20.42578125" style="57" bestFit="1" customWidth="1"/>
    <col min="7" max="8" width="17.42578125" style="57" bestFit="1" customWidth="1"/>
    <col min="9" max="10" width="22.5703125" style="57" bestFit="1" customWidth="1"/>
    <col min="11" max="15" width="9.140625" style="57"/>
    <col min="16" max="16" width="4.42578125" style="57" customWidth="1"/>
    <col min="17" max="17" width="92.140625" style="57" customWidth="1"/>
    <col min="18" max="18" width="10.7109375" style="57" customWidth="1"/>
    <col min="19" max="23" width="9.140625" style="57" customWidth="1"/>
    <col min="24" max="27" width="9.140625" customWidth="1"/>
    <col min="28" max="28" width="10.85546875" bestFit="1" customWidth="1"/>
  </cols>
  <sheetData>
    <row r="1" spans="2:32" s="57" customFormat="1" ht="20.25" customHeight="1" x14ac:dyDescent="0.3">
      <c r="B1" s="57">
        <f>VLOOKUP(C1,ListMembers!U8:V10,2,FALSE)</f>
        <v>3</v>
      </c>
      <c r="C1" s="118" t="s">
        <v>193</v>
      </c>
      <c r="D1" s="131" t="s">
        <v>162</v>
      </c>
      <c r="E1" s="132"/>
      <c r="F1" s="132"/>
      <c r="G1" s="132"/>
      <c r="H1" s="133"/>
      <c r="X1"/>
      <c r="Y1"/>
      <c r="Z1"/>
      <c r="AA1"/>
    </row>
    <row r="2" spans="2:32" s="57" customFormat="1" ht="47.25" customHeight="1" x14ac:dyDescent="0.25">
      <c r="C2" s="108"/>
      <c r="D2" s="134" t="s">
        <v>163</v>
      </c>
      <c r="E2" s="135"/>
      <c r="F2" s="135"/>
      <c r="G2" s="135"/>
      <c r="H2" s="136"/>
      <c r="X2"/>
      <c r="Y2"/>
      <c r="Z2"/>
      <c r="AA2"/>
    </row>
    <row r="3" spans="2:32" s="56" customFormat="1" ht="15.75" thickBot="1" x14ac:dyDescent="0.3">
      <c r="B3" s="57"/>
      <c r="C3" s="137" t="s">
        <v>194</v>
      </c>
      <c r="D3" s="137"/>
      <c r="E3" s="137"/>
      <c r="F3" s="137"/>
      <c r="G3" s="138"/>
      <c r="H3" s="138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/>
      <c r="Y3"/>
      <c r="Z3"/>
      <c r="AA3"/>
    </row>
    <row r="4" spans="2:32" s="57" customFormat="1" ht="15.75" x14ac:dyDescent="0.25">
      <c r="C4" s="110" t="s">
        <v>182</v>
      </c>
      <c r="D4" s="111" t="s">
        <v>10</v>
      </c>
      <c r="E4" s="60"/>
      <c r="F4" s="110" t="s">
        <v>202</v>
      </c>
      <c r="G4" s="88" t="str">
        <f>IF(H4="","Typical",H4)</f>
        <v>Typical</v>
      </c>
      <c r="H4" s="106"/>
      <c r="X4"/>
      <c r="Y4"/>
      <c r="Z4"/>
      <c r="AA4"/>
    </row>
    <row r="5" spans="2:32" s="57" customFormat="1" ht="15.75" x14ac:dyDescent="0.25">
      <c r="C5" s="110" t="s">
        <v>30</v>
      </c>
      <c r="D5" s="112" t="s">
        <v>69</v>
      </c>
      <c r="E5" s="60"/>
      <c r="F5" s="110" t="s">
        <v>203</v>
      </c>
      <c r="G5" s="88" t="str">
        <f>IF(H5="","Typical",H5)</f>
        <v>Very Wet</v>
      </c>
      <c r="H5" s="106" t="s">
        <v>217</v>
      </c>
      <c r="X5"/>
      <c r="Y5"/>
      <c r="Z5"/>
      <c r="AA5"/>
    </row>
    <row r="6" spans="2:32" s="57" customFormat="1" ht="15.75" x14ac:dyDescent="0.25">
      <c r="C6" s="110" t="s">
        <v>99</v>
      </c>
      <c r="D6" s="112" t="s">
        <v>80</v>
      </c>
      <c r="F6" s="110" t="s">
        <v>198</v>
      </c>
      <c r="G6" s="88" t="str">
        <f>IF(H6="","None",H6)</f>
        <v>None</v>
      </c>
      <c r="H6" s="120" t="s">
        <v>199</v>
      </c>
      <c r="X6"/>
      <c r="Y6"/>
      <c r="Z6"/>
      <c r="AA6"/>
    </row>
    <row r="7" spans="2:32" s="57" customFormat="1" x14ac:dyDescent="0.25">
      <c r="C7" s="59" t="s">
        <v>100</v>
      </c>
      <c r="D7" s="87" t="str">
        <f>IF(E7="","General",E7)</f>
        <v>General</v>
      </c>
      <c r="E7" s="94"/>
      <c r="X7"/>
      <c r="Y7"/>
      <c r="Z7"/>
      <c r="AA7"/>
    </row>
    <row r="8" spans="2:32" s="57" customFormat="1" x14ac:dyDescent="0.25">
      <c r="C8" s="66" t="s">
        <v>158</v>
      </c>
      <c r="D8" s="67" t="str">
        <f>CurrentCropName&amp;" "&amp;CurrentCropType&amp;" "&amp;CurrentCropVariety</f>
        <v>Broccoli Vegetable General</v>
      </c>
      <c r="X8"/>
      <c r="Y8"/>
      <c r="Z8"/>
      <c r="AA8"/>
    </row>
    <row r="9" spans="2:32" s="57" customFormat="1" x14ac:dyDescent="0.25">
      <c r="C9" s="59" t="s">
        <v>4</v>
      </c>
      <c r="D9" s="93">
        <f ca="1">IF(E9="",TODAY(),E9)</f>
        <v>45357</v>
      </c>
      <c r="E9" s="69"/>
      <c r="F9" s="59" t="s">
        <v>153</v>
      </c>
      <c r="G9" s="87" t="str">
        <f>IF(H9="",VLOOKUP(CurrentCropNameFull,CropCoefficients,13,FALSE),H9)</f>
        <v>Seedling</v>
      </c>
      <c r="H9" s="74"/>
      <c r="X9"/>
      <c r="Y9"/>
      <c r="Z9"/>
      <c r="AA9"/>
    </row>
    <row r="10" spans="2:32" s="57" customFormat="1" x14ac:dyDescent="0.25">
      <c r="C10" s="59" t="s">
        <v>5</v>
      </c>
      <c r="D10" s="93">
        <f ca="1">IF(E10="",CurrentEstablishDate+125,E10)</f>
        <v>45482</v>
      </c>
      <c r="E10" s="69"/>
      <c r="F10" s="59" t="s">
        <v>154</v>
      </c>
      <c r="G10" s="87" t="str">
        <f>IF(H10="",VLOOKUP(CurrentCropNameFull,CropCoefficients,15,FALSE),H10)</f>
        <v>EarlyReproductive</v>
      </c>
      <c r="H10" s="74"/>
      <c r="X10"/>
      <c r="Y10"/>
      <c r="Z10"/>
      <c r="AA10"/>
    </row>
    <row r="11" spans="2:32" s="57" customFormat="1" x14ac:dyDescent="0.25">
      <c r="C11" s="59" t="s">
        <v>144</v>
      </c>
      <c r="D11" s="87" t="str">
        <f>IF(CurrentUnits="kg/head",IF(E11="",VLOOKUP(CurrentCropNameFull,CropCoefficients,20,FALSE),E11),"  -")</f>
        <v xml:space="preserve">  -</v>
      </c>
      <c r="E11" s="74"/>
      <c r="F11" s="59" t="s">
        <v>141</v>
      </c>
      <c r="G11" s="87">
        <f>IF(H11="",VLOOKUP(CurrentCropNameFull,CropCoefficients,23,FALSE),H11)</f>
        <v>0</v>
      </c>
      <c r="H11" s="74"/>
      <c r="X11"/>
      <c r="Y11"/>
      <c r="Z11"/>
      <c r="AA11"/>
    </row>
    <row r="12" spans="2:32" s="57" customFormat="1" x14ac:dyDescent="0.25">
      <c r="C12" s="59" t="str">
        <f>"Yield ("&amp;CurrentUnits&amp;")"</f>
        <v>Yield (t/ha)</v>
      </c>
      <c r="D12" s="87">
        <v>20</v>
      </c>
      <c r="E12" s="71"/>
      <c r="F12" s="59" t="s">
        <v>143</v>
      </c>
      <c r="G12" s="87">
        <f>IF(H12="",VLOOKUP(CurrentCropNameFull,CropCoefficients,22,FALSE),H12)</f>
        <v>0</v>
      </c>
      <c r="H12" s="74"/>
      <c r="X12"/>
      <c r="Y12"/>
      <c r="Z12"/>
      <c r="AA12"/>
    </row>
    <row r="13" spans="2:32" s="57" customFormat="1" x14ac:dyDescent="0.25">
      <c r="C13" s="59" t="s">
        <v>15</v>
      </c>
      <c r="D13" s="88" t="str">
        <f>IF(E13="",VLOOKUP(CurrentCropNameFull,CropCoefficients,18,FALSE),E13)</f>
        <v>t/ha</v>
      </c>
      <c r="E13" s="73"/>
      <c r="F13" s="59" t="s">
        <v>142</v>
      </c>
      <c r="G13" s="101">
        <f>IF(H13="",VLOOKUP(CurrentCropNameFull,CropCoefficients,26,FALSE),H13)</f>
        <v>89</v>
      </c>
      <c r="H13" s="74"/>
      <c r="X13"/>
      <c r="Y13"/>
      <c r="Z13"/>
      <c r="AA13"/>
    </row>
    <row r="14" spans="2:32" s="57" customFormat="1" x14ac:dyDescent="0.25">
      <c r="B14" s="92">
        <f>IF(CurrentUnits="kg/head",CurrentYield*CurrentPopulation/1000,IF(CurrentUnits="kg/ha",CurrentYield/1000,CurrentYield))</f>
        <v>20</v>
      </c>
      <c r="C14" s="66" t="str">
        <f>"Yield "&amp;CurrentYield_tperHa&amp;" (t/ha)"</f>
        <v>Yield 20 (t/ha)</v>
      </c>
      <c r="D14" s="92" t="str">
        <f ca="1">"requires "&amp;ROUND(SUM('Model Interface'!V3:W3),0)&amp;" kg N/ha from all sources"</f>
        <v>requires 230 kg N/ha from all sources</v>
      </c>
      <c r="F14" s="59" t="s">
        <v>168</v>
      </c>
      <c r="G14" s="87" t="str">
        <f>IF(H14="","None removed",H14)</f>
        <v>None removed</v>
      </c>
      <c r="H14" s="74"/>
      <c r="R14" s="85">
        <f ca="1">MAX(PriorHarvestDate,MIN(C38,CurrentEstablishDate))</f>
        <v>45357</v>
      </c>
      <c r="X14"/>
      <c r="Y14"/>
      <c r="Z14"/>
      <c r="AA14"/>
    </row>
    <row r="15" spans="2:32" s="57" customFormat="1" ht="16.5" thickBot="1" x14ac:dyDescent="0.3">
      <c r="B15" s="57">
        <f ca="1">SUMIF(B29:B43,1,G29:G43)</f>
        <v>215.89597042327873</v>
      </c>
      <c r="C15" s="113" t="s">
        <v>240</v>
      </c>
      <c r="D15" s="114" t="str">
        <f ca="1">SUMIF(B29:B43,1,G29:G43)&amp;" Kg/ha"</f>
        <v>215.895970423279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30" t="s">
        <v>243</v>
      </c>
      <c r="S15" s="130"/>
      <c r="T15" s="130"/>
      <c r="U15" s="130"/>
      <c r="V15" s="130"/>
      <c r="W15" s="127"/>
      <c r="X15" s="128" t="s">
        <v>242</v>
      </c>
      <c r="Y15" s="128"/>
      <c r="Z15" s="128"/>
      <c r="AA15" s="128"/>
      <c r="AB15" s="129" t="s">
        <v>244</v>
      </c>
      <c r="AC15" s="129"/>
      <c r="AD15" s="129"/>
      <c r="AE15" s="129"/>
      <c r="AF15" s="129"/>
    </row>
    <row r="16" spans="2:32" s="57" customFormat="1" ht="5.25" customHeight="1" x14ac:dyDescent="0.25">
      <c r="X16"/>
      <c r="Y16"/>
      <c r="Z16"/>
      <c r="AA16"/>
    </row>
    <row r="17" spans="1:32" s="56" customFormat="1" ht="15.75" thickBot="1" x14ac:dyDescent="0.3">
      <c r="A17" s="57"/>
      <c r="B17" s="57"/>
      <c r="C17" s="137" t="s">
        <v>195</v>
      </c>
      <c r="D17" s="137"/>
      <c r="E17" s="137"/>
      <c r="F17" s="137"/>
      <c r="G17" s="137"/>
      <c r="H17" s="137"/>
      <c r="I17" s="57"/>
      <c r="J17" s="57"/>
      <c r="K17" s="57"/>
      <c r="L17" s="57"/>
      <c r="M17" s="57"/>
      <c r="N17" s="57"/>
      <c r="O17" s="57"/>
      <c r="P17" s="57"/>
      <c r="Q17" s="57"/>
      <c r="R17" s="57" t="str">
        <f ca="1">'Model Interface'!P5</f>
        <v>Date</v>
      </c>
      <c r="S17" s="57"/>
      <c r="T17" s="57" t="s">
        <v>167</v>
      </c>
      <c r="U17" s="57" t="s">
        <v>166</v>
      </c>
      <c r="V17" s="57" t="s">
        <v>13</v>
      </c>
      <c r="W17" s="57"/>
      <c r="X17" s="57" t="s">
        <v>215</v>
      </c>
      <c r="Y17" s="57" t="s">
        <v>216</v>
      </c>
      <c r="Z17" s="57" t="s">
        <v>198</v>
      </c>
      <c r="AA17" s="57" t="s">
        <v>219</v>
      </c>
      <c r="AB17" s="57" t="s">
        <v>14</v>
      </c>
      <c r="AC17" s="57"/>
      <c r="AD17" s="57" t="s">
        <v>167</v>
      </c>
      <c r="AE17" s="57" t="s">
        <v>166</v>
      </c>
      <c r="AF17" s="57" t="s">
        <v>13</v>
      </c>
    </row>
    <row r="18" spans="1:32" s="57" customFormat="1" ht="5.25" customHeight="1" x14ac:dyDescent="0.25">
      <c r="F18" s="61"/>
      <c r="G18" s="61"/>
      <c r="H18" s="61"/>
      <c r="R18" s="85">
        <f t="array" aca="1" ref="R18:R662" ca="1">_xlfn._xlws.FILTER('Model Interface'!AD6:AD495,('Model Interface'!AD6:AD495&gt;=StartGraphDate)*('Model Interface'!AD6:AD495&lt;=CurrentHarvestDate),"")</f>
        <v>45357</v>
      </c>
      <c r="S18" s="57">
        <f ca="1">IF(R18&gt;1,R18,"")</f>
        <v>45357</v>
      </c>
      <c r="T18" s="57">
        <f t="shared" ref="T18:T81" ca="1" si="0">VLOOKUP(S18,ModelOutputs,2,FALSE)</f>
        <v>141.27076925422242</v>
      </c>
      <c r="U18" s="57">
        <f t="shared" ref="U18:U81" ca="1" si="1">VLOOKUP(S18,ModelOutputs,7,FALSE)</f>
        <v>7.7964229469430402</v>
      </c>
      <c r="V18" s="57">
        <f t="shared" ref="V18:V81" ca="1" si="2">VLOOKUP(S18,ModelOutputs,6,FALSE)</f>
        <v>0</v>
      </c>
      <c r="W18" s="57">
        <f ca="1">VLOOKUP(S18,ModelOutputs,9,FALSE)</f>
        <v>0</v>
      </c>
      <c r="X18">
        <f t="shared" ref="X18:X81" ca="1" si="3">VLOOKUP(S18,ModelOutputs,10,FALSE)*AWC</f>
        <v>105.98744580569728</v>
      </c>
      <c r="Y18">
        <f ca="1">VLOOKUP(S18,ModelOutputs,11,FALSE)</f>
        <v>0</v>
      </c>
      <c r="Z18">
        <f t="shared" ref="Z18:Z81" ca="1" si="4">VLOOKUP(S18,ModelOutputs,12,FALSE)</f>
        <v>0</v>
      </c>
      <c r="AA18">
        <f t="shared" ref="AA18:AA81" ca="1" si="5">VLOOKUP(S18,ModelOutputs,13,FALSE)</f>
        <v>8.7878750318873197E-3</v>
      </c>
      <c r="AB18" s="85">
        <f t="array" aca="1" ref="AB18:AB662" ca="1">_xlfn._xlws.FILTER('Model Interface'!AD6:AD999,('Model Interface'!AD6:AD999&gt;=CurrentHarvestDate+1)*('Model Interface'!AD6:AD999&lt;=FollowingHarvestDate),"")</f>
        <v>45483</v>
      </c>
      <c r="AC18" s="57">
        <f ca="1">IF(AB18&gt;1,AB18,"")</f>
        <v>45483</v>
      </c>
      <c r="AD18" s="57">
        <f t="shared" ref="AD18:AD20" ca="1" si="6">VLOOKUP(AC18,ModelOutputs,2,FALSE)</f>
        <v>11.152579487491961</v>
      </c>
      <c r="AE18" s="57">
        <f t="shared" ref="AE18:AE20" ca="1" si="7">VLOOKUP(AC18,ModelOutputs,7,FALSE)</f>
        <v>0</v>
      </c>
      <c r="AF18" s="57">
        <f t="shared" ref="AF18:AF20" ca="1" si="8">VLOOKUP(AC18,ModelOutputs,6,FALSE)</f>
        <v>0</v>
      </c>
    </row>
    <row r="19" spans="1:32" s="57" customFormat="1" x14ac:dyDescent="0.25">
      <c r="C19" s="59" t="s">
        <v>237</v>
      </c>
      <c r="D19" s="87">
        <f>IF(E19="",60,E19)</f>
        <v>50</v>
      </c>
      <c r="E19" s="18">
        <v>50</v>
      </c>
      <c r="F19" s="102" t="str">
        <f ca="1">ROUND('Model Interface'!T2,0)&amp;" kg N/ha available from SOM mineralisation"</f>
        <v>0 kg N/ha available from SOM mineralisation</v>
      </c>
      <c r="R19" s="85">
        <f ca="1"/>
        <v>45358</v>
      </c>
      <c r="S19" s="57">
        <f t="shared" ref="S19:S82" ca="1" si="9">IF(R19&gt;1,R19,"")</f>
        <v>45358</v>
      </c>
      <c r="T19" s="57">
        <f t="shared" ca="1" si="0"/>
        <v>140.72964165034668</v>
      </c>
      <c r="U19" s="57">
        <f t="shared" ca="1" si="1"/>
        <v>8.1406998690694508</v>
      </c>
      <c r="V19" s="57">
        <f t="shared" ca="1" si="2"/>
        <v>0</v>
      </c>
      <c r="W19" s="57">
        <f t="shared" ref="W19:W82" ca="1" si="10">VLOOKUP(S19,ModelOutputs,9,FALSE)+W18</f>
        <v>0</v>
      </c>
      <c r="X19">
        <f t="shared" ca="1" si="3"/>
        <v>108.13210886087316</v>
      </c>
      <c r="Y19">
        <f t="shared" ref="Y19:Y82" ca="1" si="11">VLOOKUP(S19,ModelOutputs,11,FALSE)+Y18</f>
        <v>0</v>
      </c>
      <c r="Z19">
        <f t="shared" ca="1" si="4"/>
        <v>0</v>
      </c>
      <c r="AA19">
        <f t="shared" ca="1" si="5"/>
        <v>1.1541447356609599E-2</v>
      </c>
      <c r="AB19" s="85">
        <f ca="1"/>
        <v>45484</v>
      </c>
      <c r="AC19" s="57">
        <f t="shared" ref="AC19:AC20" ca="1" si="12">IF(AB19&gt;1,AB19,"")</f>
        <v>45484</v>
      </c>
      <c r="AD19" s="57">
        <f t="shared" ca="1" si="6"/>
        <v>16.175109667234778</v>
      </c>
      <c r="AE19" s="57">
        <f t="shared" ca="1" si="7"/>
        <v>0</v>
      </c>
      <c r="AF19" s="57">
        <f t="shared" ca="1" si="8"/>
        <v>0</v>
      </c>
    </row>
    <row r="20" spans="1:32" s="57" customFormat="1" x14ac:dyDescent="0.25">
      <c r="C20" s="59" t="s">
        <v>227</v>
      </c>
      <c r="D20" s="87" t="str">
        <f>IF(E20="","PMN",E20)</f>
        <v>PMN</v>
      </c>
      <c r="E20" s="18"/>
      <c r="F20" s="102"/>
      <c r="R20" s="85">
        <f ca="1"/>
        <v>45359</v>
      </c>
      <c r="S20" s="57">
        <f t="shared" ca="1" si="9"/>
        <v>45359</v>
      </c>
      <c r="T20" s="57">
        <f t="shared" ca="1" si="0"/>
        <v>140.19832146289821</v>
      </c>
      <c r="U20" s="57">
        <f t="shared" ca="1" si="1"/>
        <v>8.4947394737530395</v>
      </c>
      <c r="V20" s="57">
        <f t="shared" ca="1" si="2"/>
        <v>0</v>
      </c>
      <c r="W20" s="57">
        <f t="shared" ca="1" si="10"/>
        <v>0</v>
      </c>
      <c r="X20">
        <f t="shared" ca="1" si="3"/>
        <v>106.69314561982139</v>
      </c>
      <c r="Y20">
        <f t="shared" ca="1" si="11"/>
        <v>0</v>
      </c>
      <c r="Z20">
        <f t="shared" ca="1" si="4"/>
        <v>0</v>
      </c>
      <c r="AA20">
        <f t="shared" ca="1" si="5"/>
        <v>1.5087367353501101E-2</v>
      </c>
      <c r="AB20" s="85">
        <f ca="1"/>
        <v>45485</v>
      </c>
      <c r="AC20" s="57">
        <f t="shared" ca="1" si="12"/>
        <v>45485</v>
      </c>
      <c r="AD20" s="57">
        <f t="shared" ca="1" si="6"/>
        <v>20.321598819678705</v>
      </c>
      <c r="AE20" s="57">
        <f t="shared" ca="1" si="7"/>
        <v>0</v>
      </c>
      <c r="AF20" s="57">
        <f t="shared" ca="1" si="8"/>
        <v>0</v>
      </c>
    </row>
    <row r="21" spans="1:32" s="57" customFormat="1" ht="15.75" customHeight="1" x14ac:dyDescent="0.25">
      <c r="B21" s="57">
        <f>VLOOKUP(SampleDepth,depths,2,FALSE)</f>
        <v>3</v>
      </c>
      <c r="C21" s="59" t="s">
        <v>225</v>
      </c>
      <c r="D21" s="87" t="str">
        <f>IF(E21="","0-30cm",E21)</f>
        <v>0-30cm</v>
      </c>
      <c r="E21" s="18"/>
      <c r="F21" s="102"/>
      <c r="R21" s="85">
        <f ca="1"/>
        <v>45360</v>
      </c>
      <c r="S21" s="57">
        <f t="shared" ca="1" si="9"/>
        <v>45360</v>
      </c>
      <c r="T21" s="57">
        <f t="shared" ca="1" si="0"/>
        <v>139.64248726059182</v>
      </c>
      <c r="U21" s="57">
        <f t="shared" ca="1" si="1"/>
        <v>8.8743308555207996</v>
      </c>
      <c r="V21" s="57">
        <f t="shared" ca="1" si="2"/>
        <v>0</v>
      </c>
      <c r="W21" s="57">
        <f t="shared" ca="1" si="10"/>
        <v>0</v>
      </c>
      <c r="X21">
        <f t="shared" ca="1" si="3"/>
        <v>109.73154018886819</v>
      </c>
      <c r="Y21">
        <f t="shared" ca="1" si="11"/>
        <v>0</v>
      </c>
      <c r="Z21">
        <f t="shared" ca="1" si="4"/>
        <v>0</v>
      </c>
      <c r="AA21">
        <f t="shared" ca="1" si="5"/>
        <v>1.9847410132795801E-2</v>
      </c>
      <c r="AB21" s="85">
        <f ca="1"/>
        <v>45486</v>
      </c>
      <c r="AC21" s="57">
        <f t="shared" ref="AC21:AC84" ca="1" si="13">IF(AB21&gt;1,AB21,"")</f>
        <v>45486</v>
      </c>
      <c r="AD21" s="57">
        <f t="shared" ref="AD21:AD84" ca="1" si="14">VLOOKUP(AC21,ModelOutputs,2,FALSE)</f>
        <v>24.112877478297449</v>
      </c>
      <c r="AE21" s="57">
        <f t="shared" ref="AE21:AE84" ca="1" si="15">VLOOKUP(AC21,ModelOutputs,7,FALSE)</f>
        <v>0</v>
      </c>
      <c r="AF21" s="57">
        <f t="shared" ref="AF21:AF84" ca="1" si="16">VLOOKUP(AC21,ModelOutputs,6,FALSE)</f>
        <v>0</v>
      </c>
    </row>
    <row r="22" spans="1:32" s="57" customFormat="1" ht="15" customHeight="1" x14ac:dyDescent="0.25">
      <c r="C22" s="59" t="s">
        <v>226</v>
      </c>
      <c r="D22" s="87" t="str">
        <f>IF(E22="","Brown",E22)</f>
        <v>Brown</v>
      </c>
      <c r="E22" s="18"/>
      <c r="F22" s="102"/>
      <c r="R22" s="85">
        <f ca="1"/>
        <v>45361</v>
      </c>
      <c r="S22" s="57">
        <f t="shared" ca="1" si="9"/>
        <v>45361</v>
      </c>
      <c r="T22" s="57">
        <f t="shared" ca="1" si="0"/>
        <v>139.08723761420504</v>
      </c>
      <c r="U22" s="57">
        <f t="shared" ca="1" si="1"/>
        <v>9.2617793321352693</v>
      </c>
      <c r="V22" s="57">
        <f t="shared" ca="1" si="2"/>
        <v>0</v>
      </c>
      <c r="W22" s="57">
        <f t="shared" ca="1" si="10"/>
        <v>0</v>
      </c>
      <c r="X22">
        <f t="shared" ca="1" si="3"/>
        <v>117.35614026337274</v>
      </c>
      <c r="Y22">
        <f t="shared" ca="1" si="11"/>
        <v>0</v>
      </c>
      <c r="Z22">
        <f t="shared" ca="1" si="4"/>
        <v>0</v>
      </c>
      <c r="AA22">
        <f t="shared" ca="1" si="5"/>
        <v>2.59172076944474E-2</v>
      </c>
      <c r="AB22" s="85">
        <f ca="1"/>
        <v>45487</v>
      </c>
      <c r="AC22" s="57">
        <f t="shared" ca="1" si="13"/>
        <v>45487</v>
      </c>
      <c r="AD22" s="57">
        <f t="shared" ca="1" si="14"/>
        <v>28.287594350757836</v>
      </c>
      <c r="AE22" s="57">
        <f t="shared" ca="1" si="15"/>
        <v>0</v>
      </c>
      <c r="AF22" s="57">
        <f t="shared" ca="1" si="16"/>
        <v>0</v>
      </c>
    </row>
    <row r="23" spans="1:32" s="57" customFormat="1" x14ac:dyDescent="0.25">
      <c r="C23" s="59" t="s">
        <v>223</v>
      </c>
      <c r="D23" s="87">
        <f>IF(E23="",VLOOKUP(SoilOrder,SoilOrders,B21,FALSE),E23)</f>
        <v>1.22</v>
      </c>
      <c r="E23" s="125"/>
      <c r="F23" s="102"/>
      <c r="R23" s="85">
        <f ca="1"/>
        <v>45362</v>
      </c>
      <c r="S23" s="57">
        <f t="shared" ca="1" si="9"/>
        <v>45362</v>
      </c>
      <c r="T23" s="57">
        <f t="shared" ca="1" si="0"/>
        <v>138.5234604836094</v>
      </c>
      <c r="U23" s="57">
        <f t="shared" ca="1" si="1"/>
        <v>9.6692280919990008</v>
      </c>
      <c r="V23" s="57">
        <f t="shared" ca="1" si="2"/>
        <v>0</v>
      </c>
      <c r="W23" s="57">
        <f t="shared" ca="1" si="10"/>
        <v>0</v>
      </c>
      <c r="X23">
        <f t="shared" ca="1" si="3"/>
        <v>119.14151363447426</v>
      </c>
      <c r="Y23">
        <f t="shared" ca="1" si="11"/>
        <v>0</v>
      </c>
      <c r="Z23">
        <f t="shared" ca="1" si="4"/>
        <v>0</v>
      </c>
      <c r="AA23">
        <f t="shared" ca="1" si="5"/>
        <v>3.3854727000134303E-2</v>
      </c>
      <c r="AB23" s="85">
        <f ca="1"/>
        <v>45488</v>
      </c>
      <c r="AC23" s="57">
        <f t="shared" ca="1" si="13"/>
        <v>45488</v>
      </c>
      <c r="AD23" s="57">
        <f t="shared" ca="1" si="14"/>
        <v>31.436318220878427</v>
      </c>
      <c r="AE23" s="57">
        <f t="shared" ca="1" si="15"/>
        <v>0</v>
      </c>
      <c r="AF23" s="57">
        <f t="shared" ca="1" si="16"/>
        <v>0</v>
      </c>
    </row>
    <row r="24" spans="1:32" s="57" customFormat="1" x14ac:dyDescent="0.25">
      <c r="D24" s="124"/>
      <c r="F24" s="102"/>
      <c r="R24" s="85">
        <f ca="1"/>
        <v>45363</v>
      </c>
      <c r="S24" s="57">
        <f t="shared" ca="1" si="9"/>
        <v>45363</v>
      </c>
      <c r="T24" s="57">
        <f t="shared" ca="1" si="0"/>
        <v>137.8186392879563</v>
      </c>
      <c r="U24" s="57">
        <f t="shared" ca="1" si="1"/>
        <v>10.0656504016752</v>
      </c>
      <c r="V24" s="57">
        <f t="shared" ca="1" si="2"/>
        <v>0</v>
      </c>
      <c r="W24" s="57">
        <f t="shared" ca="1" si="10"/>
        <v>0.17615944945723241</v>
      </c>
      <c r="X24">
        <f t="shared" ca="1" si="3"/>
        <v>120</v>
      </c>
      <c r="Y24">
        <f t="shared" ca="1" si="11"/>
        <v>0.40364133702095728</v>
      </c>
      <c r="Z24">
        <f t="shared" ca="1" si="4"/>
        <v>0</v>
      </c>
      <c r="AA24">
        <f t="shared" ca="1" si="5"/>
        <v>4.33555766799784E-2</v>
      </c>
      <c r="AB24" s="85">
        <f ca="1"/>
        <v>45489</v>
      </c>
      <c r="AC24" s="57">
        <f t="shared" ca="1" si="13"/>
        <v>45489</v>
      </c>
      <c r="AD24" s="57">
        <f t="shared" ca="1" si="14"/>
        <v>34.773141598475604</v>
      </c>
      <c r="AE24" s="57">
        <f t="shared" ca="1" si="15"/>
        <v>0</v>
      </c>
      <c r="AF24" s="57">
        <f t="shared" ca="1" si="16"/>
        <v>0</v>
      </c>
    </row>
    <row r="25" spans="1:32" s="57" customFormat="1" x14ac:dyDescent="0.25">
      <c r="C25" s="63" t="str">
        <f>IF(COUNT(C29:C34)&gt;0,"Side dressings remaining","Side dressings")</f>
        <v>Side dressings remaining</v>
      </c>
      <c r="D25" s="87">
        <f>IF(E25="",1,E25)</f>
        <v>2</v>
      </c>
      <c r="E25" s="106">
        <v>2</v>
      </c>
      <c r="R25" s="85">
        <f ca="1"/>
        <v>45364</v>
      </c>
      <c r="S25" s="57">
        <f t="shared" ca="1" si="9"/>
        <v>45364</v>
      </c>
      <c r="T25" s="57">
        <f t="shared" ca="1" si="0"/>
        <v>137.26522229033787</v>
      </c>
      <c r="U25" s="57">
        <f t="shared" ca="1" si="1"/>
        <v>10.4918581796256</v>
      </c>
      <c r="V25" s="57">
        <f t="shared" ca="1" si="2"/>
        <v>0</v>
      </c>
      <c r="W25" s="57">
        <f t="shared" ca="1" si="10"/>
        <v>0.17615944945723241</v>
      </c>
      <c r="X25">
        <f t="shared" ca="1" si="3"/>
        <v>118.40424920819866</v>
      </c>
      <c r="Y25">
        <f t="shared" ca="1" si="11"/>
        <v>0.40364133702095728</v>
      </c>
      <c r="Z25">
        <f t="shared" ca="1" si="4"/>
        <v>0</v>
      </c>
      <c r="AA25">
        <f t="shared" ca="1" si="5"/>
        <v>5.5817891039824798E-2</v>
      </c>
      <c r="AB25" s="85">
        <f ca="1"/>
        <v>45490</v>
      </c>
      <c r="AC25" s="57">
        <f t="shared" ca="1" si="13"/>
        <v>45490</v>
      </c>
      <c r="AD25" s="57">
        <f t="shared" ca="1" si="14"/>
        <v>38.192956536746635</v>
      </c>
      <c r="AE25" s="57">
        <f t="shared" ca="1" si="15"/>
        <v>0</v>
      </c>
      <c r="AF25" s="57">
        <f t="shared" ca="1" si="16"/>
        <v>0</v>
      </c>
    </row>
    <row r="26" spans="1:32" s="57" customFormat="1" ht="15.75" thickBot="1" x14ac:dyDescent="0.3">
      <c r="C26" s="58"/>
      <c r="D26" s="58"/>
      <c r="E26" s="58"/>
      <c r="F26" s="58"/>
      <c r="R26" s="85">
        <f ca="1"/>
        <v>45365</v>
      </c>
      <c r="S26" s="57">
        <f t="shared" ca="1" si="9"/>
        <v>45365</v>
      </c>
      <c r="T26" s="57">
        <f t="shared" ca="1" si="0"/>
        <v>136.66151052281739</v>
      </c>
      <c r="U26" s="57">
        <f t="shared" ca="1" si="1"/>
        <v>10.9680813806569</v>
      </c>
      <c r="V26" s="57">
        <f t="shared" ca="1" si="2"/>
        <v>0</v>
      </c>
      <c r="W26" s="57">
        <f t="shared" ca="1" si="10"/>
        <v>0.17615944945723241</v>
      </c>
      <c r="X26">
        <f t="shared" ca="1" si="3"/>
        <v>116.44274340880288</v>
      </c>
      <c r="Y26">
        <f t="shared" ca="1" si="11"/>
        <v>0.40364133702095728</v>
      </c>
      <c r="Z26">
        <f t="shared" ca="1" si="4"/>
        <v>0</v>
      </c>
      <c r="AA26">
        <f t="shared" ca="1" si="5"/>
        <v>7.2869164415116802E-2</v>
      </c>
      <c r="AB26" s="85">
        <f ca="1"/>
        <v>45491</v>
      </c>
      <c r="AC26" s="57">
        <f t="shared" ca="1" si="13"/>
        <v>45491</v>
      </c>
      <c r="AD26" s="57">
        <f t="shared" ca="1" si="14"/>
        <v>41.368473337354096</v>
      </c>
      <c r="AE26" s="57">
        <f t="shared" ca="1" si="15"/>
        <v>0</v>
      </c>
      <c r="AF26" s="57">
        <f t="shared" ca="1" si="16"/>
        <v>0</v>
      </c>
    </row>
    <row r="27" spans="1:32" s="57" customFormat="1" ht="15.75" thickBot="1" x14ac:dyDescent="0.3">
      <c r="C27" s="140" t="s">
        <v>145</v>
      </c>
      <c r="D27" s="141"/>
      <c r="E27" s="62"/>
      <c r="F27" s="142" t="s">
        <v>152</v>
      </c>
      <c r="G27" s="143"/>
      <c r="R27" s="85">
        <f ca="1"/>
        <v>45366</v>
      </c>
      <c r="S27" s="57">
        <f t="shared" ca="1" si="9"/>
        <v>45366</v>
      </c>
      <c r="T27" s="57">
        <f t="shared" ca="1" si="0"/>
        <v>135.74208659608712</v>
      </c>
      <c r="U27" s="57">
        <f t="shared" ca="1" si="1"/>
        <v>11.4892857560368</v>
      </c>
      <c r="V27" s="57">
        <f t="shared" ca="1" si="2"/>
        <v>0</v>
      </c>
      <c r="W27" s="57">
        <f t="shared" ca="1" si="10"/>
        <v>0.45133613733075262</v>
      </c>
      <c r="X27">
        <f t="shared" ca="1" si="3"/>
        <v>120</v>
      </c>
      <c r="Y27">
        <f t="shared" ca="1" si="11"/>
        <v>1.0438105256110504</v>
      </c>
      <c r="Z27">
        <f t="shared" ca="1" si="4"/>
        <v>0</v>
      </c>
      <c r="AA27">
        <f t="shared" ca="1" si="5"/>
        <v>9.5763859910000096E-2</v>
      </c>
      <c r="AB27" s="85">
        <f ca="1"/>
        <v>45492</v>
      </c>
      <c r="AC27" s="57">
        <f t="shared" ca="1" si="13"/>
        <v>45492</v>
      </c>
      <c r="AD27" s="57">
        <f t="shared" ca="1" si="14"/>
        <v>44.092284001407798</v>
      </c>
      <c r="AE27" s="57">
        <f t="shared" ca="1" si="15"/>
        <v>0</v>
      </c>
      <c r="AF27" s="57">
        <f t="shared" ca="1" si="16"/>
        <v>0</v>
      </c>
    </row>
    <row r="28" spans="1:32" s="57" customFormat="1" ht="15.75" thickBot="1" x14ac:dyDescent="0.3">
      <c r="C28" s="116" t="s">
        <v>14</v>
      </c>
      <c r="D28" s="117" t="s">
        <v>116</v>
      </c>
      <c r="F28" s="10" t="s">
        <v>14</v>
      </c>
      <c r="G28" s="64" t="s">
        <v>116</v>
      </c>
      <c r="R28" s="85">
        <f ca="1"/>
        <v>45367</v>
      </c>
      <c r="S28" s="57">
        <f t="shared" ca="1" si="9"/>
        <v>45367</v>
      </c>
      <c r="T28" s="57">
        <f t="shared" ca="1" si="0"/>
        <v>134.6095597840297</v>
      </c>
      <c r="U28" s="57">
        <f t="shared" ca="1" si="1"/>
        <v>11.982323593163301</v>
      </c>
      <c r="V28" s="57">
        <f t="shared" ca="1" si="2"/>
        <v>0</v>
      </c>
      <c r="W28" s="57">
        <f t="shared" ca="1" si="10"/>
        <v>0.992721579177688</v>
      </c>
      <c r="X28">
        <f t="shared" ca="1" si="3"/>
        <v>120</v>
      </c>
      <c r="Y28">
        <f t="shared" ca="1" si="11"/>
        <v>2.3138824582095623</v>
      </c>
      <c r="Z28">
        <f t="shared" ca="1" si="4"/>
        <v>0</v>
      </c>
      <c r="AA28">
        <f t="shared" ca="1" si="5"/>
        <v>0.121857430597941</v>
      </c>
      <c r="AB28" s="85">
        <f ca="1"/>
        <v>45493</v>
      </c>
      <c r="AC28" s="57">
        <f t="shared" ca="1" si="13"/>
        <v>45493</v>
      </c>
      <c r="AD28" s="57">
        <f t="shared" ca="1" si="14"/>
        <v>46.441724267974585</v>
      </c>
      <c r="AE28" s="57">
        <f t="shared" ca="1" si="15"/>
        <v>0</v>
      </c>
      <c r="AF28" s="57">
        <f t="shared" ca="1" si="16"/>
        <v>0</v>
      </c>
    </row>
    <row r="29" spans="1:32" s="57" customFormat="1" x14ac:dyDescent="0.25">
      <c r="A29" s="85">
        <f t="array" aca="1" ref="A29:A43" ca="1">_xlfn._xlws.FILTER('Model Interface'!AD6:AD495,'Model Interface'!AE6:AE495&gt;0,"")</f>
        <v>45409</v>
      </c>
      <c r="B29" s="57">
        <f t="shared" ref="B29:B43" ca="1" si="17">IF(AND(NOT(F29=""),F29&gt;=StartSchedullingDate),1,0)</f>
        <v>1</v>
      </c>
      <c r="C29" s="80">
        <v>45383</v>
      </c>
      <c r="D29" s="82">
        <v>0</v>
      </c>
      <c r="F29" s="76">
        <f ca="1">A29</f>
        <v>45409</v>
      </c>
      <c r="G29" s="78">
        <f ca="1">IFERROR(VLOOKUP(F29,'Model Interface'!$P$6:$U$495,6,FALSE),"")</f>
        <v>86.578487614690829</v>
      </c>
      <c r="H29" s="57" t="str">
        <f ca="1">IF(B29=1,"Suggested","Applied or Planned")</f>
        <v>Suggested</v>
      </c>
      <c r="R29" s="85">
        <f ca="1"/>
        <v>45368</v>
      </c>
      <c r="S29" s="57">
        <f t="shared" ca="1" si="9"/>
        <v>45368</v>
      </c>
      <c r="T29" s="57">
        <f t="shared" ca="1" si="0"/>
        <v>130.75209912209669</v>
      </c>
      <c r="U29" s="57">
        <f t="shared" ca="1" si="1"/>
        <v>12.472422377119599</v>
      </c>
      <c r="V29" s="57">
        <f t="shared" ca="1" si="2"/>
        <v>0</v>
      </c>
      <c r="W29" s="57">
        <f t="shared" ca="1" si="10"/>
        <v>4.2755468026162751</v>
      </c>
      <c r="X29">
        <f t="shared" ca="1" si="3"/>
        <v>120</v>
      </c>
      <c r="Y29">
        <f t="shared" ca="1" si="11"/>
        <v>10.242486713647679</v>
      </c>
      <c r="Z29">
        <f t="shared" ca="1" si="4"/>
        <v>0</v>
      </c>
      <c r="AA29">
        <f t="shared" ca="1" si="5"/>
        <v>0.15228266226928699</v>
      </c>
      <c r="AB29" s="85">
        <f ca="1"/>
        <v>45494</v>
      </c>
      <c r="AC29" s="57">
        <f t="shared" ca="1" si="13"/>
        <v>45494</v>
      </c>
      <c r="AD29" s="57">
        <f t="shared" ca="1" si="14"/>
        <v>48.300777651589243</v>
      </c>
      <c r="AE29" s="57">
        <f t="shared" ca="1" si="15"/>
        <v>0</v>
      </c>
      <c r="AF29" s="57">
        <f t="shared" ca="1" si="16"/>
        <v>0</v>
      </c>
    </row>
    <row r="30" spans="1:32" s="57" customFormat="1" x14ac:dyDescent="0.25">
      <c r="A30" s="85">
        <f ca="1"/>
        <v>45429</v>
      </c>
      <c r="B30" s="57">
        <f t="shared" ca="1" si="17"/>
        <v>1</v>
      </c>
      <c r="C30" s="80"/>
      <c r="D30" s="83"/>
      <c r="F30" s="76">
        <f t="shared" ref="F30:F43" ca="1" si="18">IFERROR(IF(A30=A29,"",A30),"")</f>
        <v>45429</v>
      </c>
      <c r="G30" s="78">
        <f ca="1">IFERROR(VLOOKUP(F30,'Model Interface'!$P$6:$U$495,6,FALSE),"")</f>
        <v>129.3174828085879</v>
      </c>
      <c r="H30" s="57" t="str">
        <f t="shared" ref="H30:H43" ca="1" si="19">IF(F30="","",IF(F30&lt;=StartSchedullingDate,"Applied or Planned","Suggested"))</f>
        <v>Suggested</v>
      </c>
      <c r="R30" s="85">
        <f ca="1"/>
        <v>45369</v>
      </c>
      <c r="S30" s="57">
        <f t="shared" ca="1" si="9"/>
        <v>45369</v>
      </c>
      <c r="T30" s="57">
        <f t="shared" ca="1" si="0"/>
        <v>130.14627058725392</v>
      </c>
      <c r="U30" s="57">
        <f t="shared" ca="1" si="1"/>
        <v>12.998115422157801</v>
      </c>
      <c r="V30" s="57">
        <f t="shared" ca="1" si="2"/>
        <v>0</v>
      </c>
      <c r="W30" s="57">
        <f t="shared" ca="1" si="10"/>
        <v>4.2755468026162751</v>
      </c>
      <c r="X30">
        <f t="shared" ca="1" si="3"/>
        <v>119.63489366872781</v>
      </c>
      <c r="Y30">
        <f t="shared" ca="1" si="11"/>
        <v>10.242486713647679</v>
      </c>
      <c r="Z30">
        <f t="shared" ca="1" si="4"/>
        <v>0</v>
      </c>
      <c r="AA30">
        <f t="shared" ca="1" si="5"/>
        <v>0.18990656865452599</v>
      </c>
      <c r="AB30" s="85">
        <f ca="1"/>
        <v>45495</v>
      </c>
      <c r="AC30" s="57">
        <f t="shared" ca="1" si="13"/>
        <v>45495</v>
      </c>
      <c r="AD30" s="57">
        <f t="shared" ca="1" si="14"/>
        <v>49.564913242676795</v>
      </c>
      <c r="AE30" s="57">
        <f t="shared" ca="1" si="15"/>
        <v>0</v>
      </c>
      <c r="AF30" s="57">
        <f t="shared" ca="1" si="16"/>
        <v>0</v>
      </c>
    </row>
    <row r="31" spans="1:32" s="57" customFormat="1" x14ac:dyDescent="0.25">
      <c r="A31" s="85" t="e">
        <f ca="1"/>
        <v>#N/A</v>
      </c>
      <c r="B31" s="57">
        <f t="shared" ca="1" si="17"/>
        <v>0</v>
      </c>
      <c r="C31" s="80"/>
      <c r="D31" s="83"/>
      <c r="F31" s="76" t="str">
        <f t="shared" ca="1" si="18"/>
        <v/>
      </c>
      <c r="G31" s="78" t="str">
        <f ca="1">IFERROR(VLOOKUP(F31,'Model Interface'!$P$6:$U$495,6,FALSE),"")</f>
        <v/>
      </c>
      <c r="H31" s="57" t="str">
        <f t="shared" ca="1" si="19"/>
        <v/>
      </c>
      <c r="R31" s="85">
        <f ca="1"/>
        <v>45370</v>
      </c>
      <c r="S31" s="57">
        <f t="shared" ca="1" si="9"/>
        <v>45370</v>
      </c>
      <c r="T31" s="57">
        <f t="shared" ca="1" si="0"/>
        <v>129.51184189890421</v>
      </c>
      <c r="U31" s="57">
        <f t="shared" ca="1" si="1"/>
        <v>13.557836293046099</v>
      </c>
      <c r="V31" s="57">
        <f t="shared" ca="1" si="2"/>
        <v>0</v>
      </c>
      <c r="W31" s="57">
        <f t="shared" ca="1" si="10"/>
        <v>4.2755468026162751</v>
      </c>
      <c r="X31">
        <f t="shared" ca="1" si="3"/>
        <v>117.13207689699477</v>
      </c>
      <c r="Y31">
        <f t="shared" ca="1" si="11"/>
        <v>10.242486713647679</v>
      </c>
      <c r="Z31">
        <f t="shared" ca="1" si="4"/>
        <v>0</v>
      </c>
      <c r="AA31">
        <f t="shared" ca="1" si="5"/>
        <v>0.23533800705371799</v>
      </c>
      <c r="AB31" s="85">
        <f ca="1"/>
        <v>45496</v>
      </c>
      <c r="AC31" s="57">
        <f t="shared" ca="1" si="13"/>
        <v>45496</v>
      </c>
      <c r="AD31" s="57">
        <f t="shared" ca="1" si="14"/>
        <v>51.488233459317101</v>
      </c>
      <c r="AE31" s="57">
        <f t="shared" ca="1" si="15"/>
        <v>0</v>
      </c>
      <c r="AF31" s="57">
        <f t="shared" ca="1" si="16"/>
        <v>0</v>
      </c>
    </row>
    <row r="32" spans="1:32" s="57" customFormat="1" x14ac:dyDescent="0.25">
      <c r="A32" s="85" t="e">
        <f ca="1"/>
        <v>#N/A</v>
      </c>
      <c r="B32" s="57">
        <f t="shared" ca="1" si="17"/>
        <v>0</v>
      </c>
      <c r="C32" s="80"/>
      <c r="D32" s="83"/>
      <c r="F32" s="76" t="str">
        <f t="shared" ca="1" si="18"/>
        <v/>
      </c>
      <c r="G32" s="78" t="str">
        <f ca="1">IFERROR(VLOOKUP(F32,'Model Interface'!$P$6:$U$495,6,FALSE),"")</f>
        <v/>
      </c>
      <c r="H32" s="57" t="str">
        <f t="shared" ca="1" si="19"/>
        <v/>
      </c>
      <c r="R32" s="85">
        <f ca="1"/>
        <v>45371</v>
      </c>
      <c r="S32" s="57">
        <f t="shared" ca="1" si="9"/>
        <v>45371</v>
      </c>
      <c r="T32" s="57">
        <f t="shared" ca="1" si="0"/>
        <v>128.85039977602074</v>
      </c>
      <c r="U32" s="57">
        <f t="shared" ca="1" si="1"/>
        <v>14.150598009617401</v>
      </c>
      <c r="V32" s="57">
        <f t="shared" ca="1" si="2"/>
        <v>0</v>
      </c>
      <c r="W32" s="57">
        <f t="shared" ca="1" si="10"/>
        <v>4.2755468026162751</v>
      </c>
      <c r="X32">
        <f t="shared" ca="1" si="3"/>
        <v>117.77466521493665</v>
      </c>
      <c r="Y32">
        <f t="shared" ca="1" si="11"/>
        <v>10.242486713647679</v>
      </c>
      <c r="Z32">
        <f t="shared" ca="1" si="4"/>
        <v>0</v>
      </c>
      <c r="AA32">
        <f t="shared" ca="1" si="5"/>
        <v>0.288695391199917</v>
      </c>
      <c r="AB32" s="85">
        <f ca="1"/>
        <v>45497</v>
      </c>
      <c r="AC32" s="57">
        <f t="shared" ca="1" si="13"/>
        <v>45497</v>
      </c>
      <c r="AD32" s="57">
        <f t="shared" ca="1" si="14"/>
        <v>53.432300755648399</v>
      </c>
      <c r="AE32" s="57">
        <f t="shared" ca="1" si="15"/>
        <v>3.5270905639771302</v>
      </c>
      <c r="AF32" s="57">
        <f t="shared" ca="1" si="16"/>
        <v>0</v>
      </c>
    </row>
    <row r="33" spans="1:32" s="57" customFormat="1" x14ac:dyDescent="0.25">
      <c r="A33" s="85" t="e">
        <f ca="1"/>
        <v>#N/A</v>
      </c>
      <c r="B33" s="57">
        <f t="shared" ca="1" si="17"/>
        <v>0</v>
      </c>
      <c r="C33" s="80"/>
      <c r="D33" s="83"/>
      <c r="F33" s="76" t="str">
        <f t="shared" ca="1" si="18"/>
        <v/>
      </c>
      <c r="G33" s="78" t="str">
        <f ca="1">IFERROR(VLOOKUP(F33,'Model Interface'!$P$6:$U$495,6,FALSE),"")</f>
        <v/>
      </c>
      <c r="H33" s="57" t="str">
        <f t="shared" ca="1" si="19"/>
        <v/>
      </c>
      <c r="R33" s="85">
        <f ca="1"/>
        <v>45372</v>
      </c>
      <c r="S33" s="57">
        <f t="shared" ca="1" si="9"/>
        <v>45372</v>
      </c>
      <c r="T33" s="57">
        <f t="shared" ca="1" si="0"/>
        <v>128.08904515263288</v>
      </c>
      <c r="U33" s="57">
        <f t="shared" ca="1" si="1"/>
        <v>14.775815774973999</v>
      </c>
      <c r="V33" s="57">
        <f t="shared" ca="1" si="2"/>
        <v>0</v>
      </c>
      <c r="W33" s="57">
        <f t="shared" ca="1" si="10"/>
        <v>4.3493203950711852</v>
      </c>
      <c r="X33">
        <f t="shared" ca="1" si="3"/>
        <v>120</v>
      </c>
      <c r="Y33">
        <f t="shared" ca="1" si="11"/>
        <v>10.42436740379857</v>
      </c>
      <c r="Z33">
        <f t="shared" ca="1" si="4"/>
        <v>0</v>
      </c>
      <c r="AA33">
        <f t="shared" ca="1" si="5"/>
        <v>0.34938149759798798</v>
      </c>
      <c r="AB33" s="85">
        <f ca="1"/>
        <v>45498</v>
      </c>
      <c r="AC33" s="57">
        <f t="shared" ca="1" si="13"/>
        <v>45498</v>
      </c>
      <c r="AD33" s="57">
        <f t="shared" ca="1" si="14"/>
        <v>55.195864012504259</v>
      </c>
      <c r="AE33" s="57">
        <f t="shared" ca="1" si="15"/>
        <v>3.6480146186729798</v>
      </c>
      <c r="AF33" s="57">
        <f t="shared" ca="1" si="16"/>
        <v>0</v>
      </c>
    </row>
    <row r="34" spans="1:32" s="57" customFormat="1" ht="15.75" thickBot="1" x14ac:dyDescent="0.3">
      <c r="A34" s="85" t="e">
        <f ca="1"/>
        <v>#N/A</v>
      </c>
      <c r="B34" s="57">
        <f t="shared" ca="1" si="17"/>
        <v>0</v>
      </c>
      <c r="C34" s="81"/>
      <c r="D34" s="84"/>
      <c r="F34" s="76" t="str">
        <f t="shared" ca="1" si="18"/>
        <v/>
      </c>
      <c r="G34" s="78" t="str">
        <f ca="1">IFERROR(VLOOKUP(F34,'Model Interface'!$P$6:$U$495,6,FALSE),"")</f>
        <v/>
      </c>
      <c r="H34" s="57" t="str">
        <f t="shared" ca="1" si="19"/>
        <v/>
      </c>
      <c r="R34" s="85">
        <f ca="1"/>
        <v>45373</v>
      </c>
      <c r="S34" s="57">
        <f t="shared" ca="1" si="9"/>
        <v>45373</v>
      </c>
      <c r="T34" s="57">
        <f t="shared" ca="1" si="0"/>
        <v>125.82461505300206</v>
      </c>
      <c r="U34" s="57">
        <f t="shared" ca="1" si="1"/>
        <v>15.432416190737101</v>
      </c>
      <c r="V34" s="57">
        <f t="shared" ca="1" si="2"/>
        <v>0</v>
      </c>
      <c r="W34" s="57">
        <f t="shared" ca="1" si="10"/>
        <v>5.901251366922394</v>
      </c>
      <c r="X34">
        <f t="shared" ca="1" si="3"/>
        <v>120</v>
      </c>
      <c r="Y34">
        <f t="shared" ca="1" si="11"/>
        <v>14.319340295936385</v>
      </c>
      <c r="Z34">
        <f t="shared" ca="1" si="4"/>
        <v>0</v>
      </c>
      <c r="AA34">
        <f t="shared" ca="1" si="5"/>
        <v>0.41586750381331999</v>
      </c>
      <c r="AB34" s="85">
        <f ca="1"/>
        <v>45499</v>
      </c>
      <c r="AC34" s="57">
        <f t="shared" ca="1" si="13"/>
        <v>45499</v>
      </c>
      <c r="AD34" s="57">
        <f t="shared" ca="1" si="14"/>
        <v>56.598279655517132</v>
      </c>
      <c r="AE34" s="57">
        <f t="shared" ca="1" si="15"/>
        <v>3.7812865710296202</v>
      </c>
      <c r="AF34" s="57">
        <f t="shared" ca="1" si="16"/>
        <v>0</v>
      </c>
    </row>
    <row r="35" spans="1:32" s="57" customFormat="1" ht="15.75" thickBot="1" x14ac:dyDescent="0.3">
      <c r="A35" s="85" t="e">
        <f ca="1"/>
        <v>#N/A</v>
      </c>
      <c r="B35" s="57">
        <f t="shared" ca="1" si="17"/>
        <v>0</v>
      </c>
      <c r="F35" s="76" t="str">
        <f t="shared" ca="1" si="18"/>
        <v/>
      </c>
      <c r="G35" s="78" t="str">
        <f ca="1">IFERROR(VLOOKUP(F35,'Model Interface'!$P$6:$U$495,6,FALSE),"")</f>
        <v/>
      </c>
      <c r="H35" s="57" t="str">
        <f t="shared" ca="1" si="19"/>
        <v/>
      </c>
      <c r="R35" s="85">
        <f ca="1"/>
        <v>45374</v>
      </c>
      <c r="S35" s="57">
        <f t="shared" ca="1" si="9"/>
        <v>45374</v>
      </c>
      <c r="T35" s="57">
        <f t="shared" ca="1" si="0"/>
        <v>121.72591601574884</v>
      </c>
      <c r="U35" s="57">
        <f t="shared" ca="1" si="1"/>
        <v>16.0936332783265</v>
      </c>
      <c r="V35" s="57">
        <f t="shared" ca="1" si="2"/>
        <v>0</v>
      </c>
      <c r="W35" s="57">
        <f t="shared" ca="1" si="10"/>
        <v>9.2914658912487695</v>
      </c>
      <c r="X35">
        <f t="shared" ca="1" si="3"/>
        <v>120</v>
      </c>
      <c r="Y35">
        <f t="shared" ca="1" si="11"/>
        <v>23.114460475398246</v>
      </c>
      <c r="Z35">
        <f t="shared" ca="1" si="4"/>
        <v>0</v>
      </c>
      <c r="AA35">
        <f t="shared" ca="1" si="5"/>
        <v>0.483205037646043</v>
      </c>
      <c r="AB35" s="85">
        <f ca="1"/>
        <v>45500</v>
      </c>
      <c r="AC35" s="57">
        <f t="shared" ca="1" si="13"/>
        <v>45500</v>
      </c>
      <c r="AD35" s="57">
        <f t="shared" ca="1" si="14"/>
        <v>57.962184361187269</v>
      </c>
      <c r="AE35" s="57">
        <f t="shared" ca="1" si="15"/>
        <v>3.9141229056266398</v>
      </c>
      <c r="AF35" s="57">
        <f t="shared" ca="1" si="16"/>
        <v>0</v>
      </c>
    </row>
    <row r="36" spans="1:32" s="57" customFormat="1" ht="15.75" thickBot="1" x14ac:dyDescent="0.3">
      <c r="A36" s="85" t="e">
        <f ca="1"/>
        <v>#N/A</v>
      </c>
      <c r="B36" s="57">
        <f t="shared" ca="1" si="17"/>
        <v>0</v>
      </c>
      <c r="C36" s="140" t="s">
        <v>146</v>
      </c>
      <c r="D36" s="141"/>
      <c r="F36" s="76" t="str">
        <f t="shared" ca="1" si="18"/>
        <v/>
      </c>
      <c r="G36" s="78" t="str">
        <f ca="1">IFERROR(VLOOKUP(F36,'Model Interface'!$P$6:$U$495,6,FALSE),"")</f>
        <v/>
      </c>
      <c r="H36" s="57" t="str">
        <f t="shared" ca="1" si="19"/>
        <v/>
      </c>
      <c r="R36" s="85">
        <f ca="1"/>
        <v>45375</v>
      </c>
      <c r="S36" s="57">
        <f t="shared" ca="1" si="9"/>
        <v>45375</v>
      </c>
      <c r="T36" s="57">
        <f t="shared" ca="1" si="0"/>
        <v>118.72924604882988</v>
      </c>
      <c r="U36" s="57">
        <f t="shared" ca="1" si="1"/>
        <v>16.809584747096899</v>
      </c>
      <c r="V36" s="57">
        <f t="shared" ca="1" si="2"/>
        <v>0</v>
      </c>
      <c r="W36" s="57">
        <f t="shared" ca="1" si="10"/>
        <v>11.52859556760024</v>
      </c>
      <c r="X36">
        <f t="shared" ca="1" si="3"/>
        <v>120</v>
      </c>
      <c r="Y36">
        <f t="shared" ca="1" si="11"/>
        <v>29.064654101388356</v>
      </c>
      <c r="Z36">
        <f t="shared" ca="1" si="4"/>
        <v>0</v>
      </c>
      <c r="AA36">
        <f t="shared" ca="1" si="5"/>
        <v>0.55380379157423598</v>
      </c>
      <c r="AB36" s="85">
        <f ca="1"/>
        <v>45501</v>
      </c>
      <c r="AC36" s="57">
        <f t="shared" ca="1" si="13"/>
        <v>45501</v>
      </c>
      <c r="AD36" s="57">
        <f t="shared" ca="1" si="14"/>
        <v>58.704689006242482</v>
      </c>
      <c r="AE36" s="57">
        <f t="shared" ca="1" si="15"/>
        <v>4.0523014014378997</v>
      </c>
      <c r="AF36" s="57">
        <f t="shared" ca="1" si="16"/>
        <v>0</v>
      </c>
    </row>
    <row r="37" spans="1:32" s="57" customFormat="1" ht="15.75" thickBot="1" x14ac:dyDescent="0.3">
      <c r="A37" s="85" t="e">
        <f ca="1"/>
        <v>#N/A</v>
      </c>
      <c r="B37" s="57">
        <f t="shared" ca="1" si="17"/>
        <v>0</v>
      </c>
      <c r="C37" s="116" t="s">
        <v>14</v>
      </c>
      <c r="D37" s="117" t="s">
        <v>19</v>
      </c>
      <c r="F37" s="76" t="str">
        <f t="shared" ca="1" si="18"/>
        <v/>
      </c>
      <c r="G37" s="78" t="str">
        <f ca="1">IFERROR(VLOOKUP(F37,'Model Interface'!$P$6:$U$495,6,FALSE),"")</f>
        <v/>
      </c>
      <c r="H37" s="57" t="str">
        <f t="shared" ca="1" si="19"/>
        <v/>
      </c>
      <c r="R37" s="85">
        <f ca="1"/>
        <v>45376</v>
      </c>
      <c r="S37" s="57">
        <f t="shared" ca="1" si="9"/>
        <v>45376</v>
      </c>
      <c r="T37" s="57">
        <f t="shared" ca="1" si="0"/>
        <v>114.88111061292088</v>
      </c>
      <c r="U37" s="57">
        <f t="shared" ca="1" si="1"/>
        <v>17.562760060529602</v>
      </c>
      <c r="V37" s="57">
        <f t="shared" ca="1" si="2"/>
        <v>0</v>
      </c>
      <c r="W37" s="57">
        <f t="shared" ca="1" si="10"/>
        <v>14.585408357004548</v>
      </c>
      <c r="X37">
        <f t="shared" ca="1" si="3"/>
        <v>120</v>
      </c>
      <c r="Y37">
        <f t="shared" ca="1" si="11"/>
        <v>37.467334896925337</v>
      </c>
      <c r="Z37">
        <f t="shared" ca="1" si="4"/>
        <v>0</v>
      </c>
      <c r="AA37">
        <f t="shared" ca="1" si="5"/>
        <v>0.62288842619228002</v>
      </c>
      <c r="AB37" s="85">
        <f ca="1"/>
        <v>45502</v>
      </c>
      <c r="AC37" s="57">
        <f t="shared" ca="1" si="13"/>
        <v>45502</v>
      </c>
      <c r="AD37" s="57">
        <f t="shared" ca="1" si="14"/>
        <v>59.64875859686385</v>
      </c>
      <c r="AE37" s="57">
        <f t="shared" ca="1" si="15"/>
        <v>4.1814622481588097</v>
      </c>
      <c r="AF37" s="57">
        <f t="shared" ca="1" si="16"/>
        <v>0</v>
      </c>
    </row>
    <row r="38" spans="1:32" s="57" customFormat="1" x14ac:dyDescent="0.25">
      <c r="A38" s="85" t="e">
        <f ca="1"/>
        <v>#N/A</v>
      </c>
      <c r="B38" s="57">
        <f t="shared" ca="1" si="17"/>
        <v>0</v>
      </c>
      <c r="C38" s="126"/>
      <c r="D38" s="83"/>
      <c r="F38" s="76" t="str">
        <f t="shared" ca="1" si="18"/>
        <v/>
      </c>
      <c r="G38" s="78" t="str">
        <f ca="1">IFERROR(VLOOKUP(F38,'Model Interface'!$P$6:$U$495,6,FALSE),"")</f>
        <v/>
      </c>
      <c r="H38" s="57" t="str">
        <f t="shared" ca="1" si="19"/>
        <v/>
      </c>
      <c r="R38" s="85">
        <f ca="1"/>
        <v>45377</v>
      </c>
      <c r="S38" s="57">
        <f t="shared" ca="1" si="9"/>
        <v>45377</v>
      </c>
      <c r="T38" s="57">
        <f t="shared" ca="1" si="0"/>
        <v>112.99857616533484</v>
      </c>
      <c r="U38" s="57">
        <f t="shared" ca="1" si="1"/>
        <v>18.3610848406509</v>
      </c>
      <c r="V38" s="57">
        <f t="shared" ca="1" si="2"/>
        <v>0</v>
      </c>
      <c r="W38" s="57">
        <f t="shared" ca="1" si="10"/>
        <v>15.636407198740351</v>
      </c>
      <c r="X38">
        <f t="shared" ca="1" si="3"/>
        <v>120</v>
      </c>
      <c r="Y38">
        <f t="shared" ca="1" si="11"/>
        <v>40.404490234076221</v>
      </c>
      <c r="Z38">
        <f t="shared" ca="1" si="4"/>
        <v>0</v>
      </c>
      <c r="AA38">
        <f t="shared" ca="1" si="5"/>
        <v>0.68830716436719097</v>
      </c>
      <c r="AB38" s="85">
        <f ca="1"/>
        <v>45503</v>
      </c>
      <c r="AC38" s="57">
        <f t="shared" ca="1" si="13"/>
        <v>45503</v>
      </c>
      <c r="AD38" s="57">
        <f t="shared" ca="1" si="14"/>
        <v>60.180203300346896</v>
      </c>
      <c r="AE38" s="57">
        <f t="shared" ca="1" si="15"/>
        <v>4.3240921688321601</v>
      </c>
      <c r="AF38" s="57">
        <f t="shared" ca="1" si="16"/>
        <v>0</v>
      </c>
    </row>
    <row r="39" spans="1:32" s="57" customFormat="1" x14ac:dyDescent="0.25">
      <c r="A39" s="85" t="e">
        <f ca="1"/>
        <v>#N/A</v>
      </c>
      <c r="B39" s="57">
        <f t="shared" ca="1" si="17"/>
        <v>0</v>
      </c>
      <c r="C39" s="80"/>
      <c r="D39" s="83"/>
      <c r="F39" s="76" t="str">
        <f t="shared" ca="1" si="18"/>
        <v/>
      </c>
      <c r="G39" s="78" t="str">
        <f ca="1">IFERROR(VLOOKUP(F39,'Model Interface'!$P$6:$U$495,6,FALSE),"")</f>
        <v/>
      </c>
      <c r="H39" s="57" t="str">
        <f t="shared" ca="1" si="19"/>
        <v/>
      </c>
      <c r="R39" s="85">
        <f ca="1"/>
        <v>45378</v>
      </c>
      <c r="S39" s="57">
        <f t="shared" ca="1" si="9"/>
        <v>45378</v>
      </c>
      <c r="T39" s="57">
        <f t="shared" ca="1" si="0"/>
        <v>111.75176497568926</v>
      </c>
      <c r="U39" s="57">
        <f t="shared" ca="1" si="1"/>
        <v>19.129314813533199</v>
      </c>
      <c r="V39" s="57">
        <f t="shared" ca="1" si="2"/>
        <v>0</v>
      </c>
      <c r="W39" s="57">
        <f t="shared" ca="1" si="10"/>
        <v>16.089690424485944</v>
      </c>
      <c r="X39">
        <f t="shared" ca="1" si="3"/>
        <v>120</v>
      </c>
      <c r="Y39">
        <f t="shared" ca="1" si="11"/>
        <v>41.685383393295865</v>
      </c>
      <c r="Z39">
        <f t="shared" ca="1" si="4"/>
        <v>0</v>
      </c>
      <c r="AA39">
        <f t="shared" ca="1" si="5"/>
        <v>0.742787355238688</v>
      </c>
      <c r="AB39" s="85">
        <f ca="1"/>
        <v>45504</v>
      </c>
      <c r="AC39" s="57">
        <f t="shared" ca="1" si="13"/>
        <v>45504</v>
      </c>
      <c r="AD39" s="57">
        <f t="shared" ca="1" si="14"/>
        <v>59.888866792151909</v>
      </c>
      <c r="AE39" s="57">
        <f t="shared" ca="1" si="15"/>
        <v>4.4987287523493</v>
      </c>
      <c r="AF39" s="57">
        <f t="shared" ca="1" si="16"/>
        <v>0</v>
      </c>
    </row>
    <row r="40" spans="1:32" s="57" customFormat="1" ht="6.75" customHeight="1" x14ac:dyDescent="0.25">
      <c r="A40" s="85" t="e">
        <f ca="1"/>
        <v>#N/A</v>
      </c>
      <c r="B40" s="57">
        <f t="shared" ca="1" si="17"/>
        <v>0</v>
      </c>
      <c r="C40" s="80"/>
      <c r="D40" s="83"/>
      <c r="F40" s="76" t="str">
        <f t="shared" ca="1" si="18"/>
        <v/>
      </c>
      <c r="G40" s="78" t="str">
        <f ca="1">IFERROR(VLOOKUP(F40,'Model Interface'!$P$6:$U$495,6,FALSE),"")</f>
        <v/>
      </c>
      <c r="H40" s="57" t="str">
        <f t="shared" ca="1" si="19"/>
        <v/>
      </c>
      <c r="R40" s="85">
        <f ca="1"/>
        <v>45379</v>
      </c>
      <c r="S40" s="57">
        <f t="shared" ca="1" si="9"/>
        <v>45379</v>
      </c>
      <c r="T40" s="57">
        <f t="shared" ca="1" si="0"/>
        <v>109.38658670261613</v>
      </c>
      <c r="U40" s="57">
        <f t="shared" ca="1" si="1"/>
        <v>19.949526585966399</v>
      </c>
      <c r="V40" s="57">
        <f t="shared" ca="1" si="2"/>
        <v>0</v>
      </c>
      <c r="W40" s="57">
        <f t="shared" ca="1" si="10"/>
        <v>17.612818284311793</v>
      </c>
      <c r="X40">
        <f t="shared" ca="1" si="3"/>
        <v>120</v>
      </c>
      <c r="Y40">
        <f t="shared" ca="1" si="11"/>
        <v>46.082519822059297</v>
      </c>
      <c r="Z40">
        <f t="shared" ca="1" si="4"/>
        <v>0</v>
      </c>
      <c r="AA40">
        <f t="shared" ca="1" si="5"/>
        <v>0.79180833550265095</v>
      </c>
      <c r="AB40" s="85">
        <f ca="1"/>
        <v>45505</v>
      </c>
      <c r="AC40" s="57">
        <f t="shared" ca="1" si="13"/>
        <v>45505</v>
      </c>
      <c r="AD40" s="57">
        <f t="shared" ca="1" si="14"/>
        <v>59.802193034290937</v>
      </c>
      <c r="AE40" s="57">
        <f t="shared" ca="1" si="15"/>
        <v>4.6848594839820699</v>
      </c>
      <c r="AF40" s="57">
        <f t="shared" ca="1" si="16"/>
        <v>0</v>
      </c>
    </row>
    <row r="41" spans="1:32" s="57" customFormat="1" x14ac:dyDescent="0.25">
      <c r="A41" s="85" t="e">
        <f ca="1"/>
        <v>#N/A</v>
      </c>
      <c r="B41" s="57">
        <f t="shared" ca="1" si="17"/>
        <v>0</v>
      </c>
      <c r="C41" s="80"/>
      <c r="D41" s="83"/>
      <c r="F41" s="76" t="str">
        <f t="shared" ca="1" si="18"/>
        <v/>
      </c>
      <c r="G41" s="78" t="str">
        <f ca="1">IFERROR(VLOOKUP(F41,'Model Interface'!$P$6:$U$495,6,FALSE),"")</f>
        <v/>
      </c>
      <c r="H41" s="57" t="str">
        <f t="shared" ca="1" si="19"/>
        <v/>
      </c>
      <c r="R41" s="85">
        <f ca="1"/>
        <v>45380</v>
      </c>
      <c r="S41" s="57">
        <f t="shared" ca="1" si="9"/>
        <v>45380</v>
      </c>
      <c r="T41" s="57">
        <f t="shared" ca="1" si="0"/>
        <v>107.17228881344899</v>
      </c>
      <c r="U41" s="57">
        <f t="shared" ca="1" si="1"/>
        <v>20.815003754060399</v>
      </c>
      <c r="V41" s="57">
        <f t="shared" ca="1" si="2"/>
        <v>0</v>
      </c>
      <c r="W41" s="57">
        <f t="shared" ca="1" si="10"/>
        <v>18.943620580432402</v>
      </c>
      <c r="X41">
        <f t="shared" ca="1" si="3"/>
        <v>120</v>
      </c>
      <c r="Y41">
        <f t="shared" ca="1" si="11"/>
        <v>50.003807323917044</v>
      </c>
      <c r="Z41">
        <f t="shared" ca="1" si="4"/>
        <v>0</v>
      </c>
      <c r="AA41">
        <f t="shared" ca="1" si="5"/>
        <v>0.83410311187687602</v>
      </c>
      <c r="AB41" s="85">
        <f ca="1"/>
        <v>45506</v>
      </c>
      <c r="AC41" s="57">
        <f t="shared" ca="1" si="13"/>
        <v>45506</v>
      </c>
      <c r="AD41" s="57">
        <f t="shared" ca="1" si="14"/>
        <v>60.356578042473167</v>
      </c>
      <c r="AE41" s="57">
        <f t="shared" ca="1" si="15"/>
        <v>4.8693401286249003</v>
      </c>
      <c r="AF41" s="57">
        <f t="shared" ca="1" si="16"/>
        <v>0</v>
      </c>
    </row>
    <row r="42" spans="1:32" s="57" customFormat="1" x14ac:dyDescent="0.25">
      <c r="A42" s="85" t="e">
        <f ca="1"/>
        <v>#N/A</v>
      </c>
      <c r="B42" s="57">
        <f t="shared" ca="1" si="17"/>
        <v>0</v>
      </c>
      <c r="C42" s="80"/>
      <c r="D42" s="83"/>
      <c r="F42" s="76" t="str">
        <f t="shared" ca="1" si="18"/>
        <v/>
      </c>
      <c r="G42" s="78" t="str">
        <f ca="1">IFERROR(VLOOKUP(F42,'Model Interface'!$P$6:$U$495,6,FALSE),"")</f>
        <v/>
      </c>
      <c r="H42" s="57" t="str">
        <f t="shared" ca="1" si="19"/>
        <v/>
      </c>
      <c r="R42" s="85">
        <f ca="1"/>
        <v>45381</v>
      </c>
      <c r="S42" s="57">
        <f t="shared" ca="1" si="9"/>
        <v>45381</v>
      </c>
      <c r="T42" s="57">
        <f t="shared" ca="1" si="0"/>
        <v>105.10319153482496</v>
      </c>
      <c r="U42" s="57">
        <f t="shared" ca="1" si="1"/>
        <v>21.6874257676516</v>
      </c>
      <c r="V42" s="57">
        <f t="shared" ca="1" si="2"/>
        <v>0</v>
      </c>
      <c r="W42" s="57">
        <f t="shared" ca="1" si="10"/>
        <v>20.126725622991167</v>
      </c>
      <c r="X42">
        <f t="shared" ca="1" si="3"/>
        <v>120</v>
      </c>
      <c r="Y42">
        <f t="shared" ca="1" si="11"/>
        <v>53.558524485659703</v>
      </c>
      <c r="Z42">
        <f t="shared" ca="1" si="4"/>
        <v>0</v>
      </c>
      <c r="AA42">
        <f t="shared" ca="1" si="5"/>
        <v>0.868235686664526</v>
      </c>
      <c r="AB42" s="85">
        <f ca="1"/>
        <v>45507</v>
      </c>
      <c r="AC42" s="57">
        <f t="shared" ca="1" si="13"/>
        <v>45507</v>
      </c>
      <c r="AD42" s="57">
        <f t="shared" ca="1" si="14"/>
        <v>59.504296923675611</v>
      </c>
      <c r="AE42" s="57">
        <f t="shared" ca="1" si="15"/>
        <v>5.0624156446353199</v>
      </c>
      <c r="AF42" s="57">
        <f t="shared" ca="1" si="16"/>
        <v>0</v>
      </c>
    </row>
    <row r="43" spans="1:32" s="57" customFormat="1" ht="15.75" thickBot="1" x14ac:dyDescent="0.3">
      <c r="A43" s="85" t="e">
        <f ca="1"/>
        <v>#N/A</v>
      </c>
      <c r="B43" s="57">
        <f t="shared" ca="1" si="17"/>
        <v>0</v>
      </c>
      <c r="C43" s="81"/>
      <c r="D43" s="84"/>
      <c r="F43" s="77" t="str">
        <f t="shared" ca="1" si="18"/>
        <v/>
      </c>
      <c r="G43" s="79" t="str">
        <f ca="1">IFERROR(VLOOKUP(F43,'Model Interface'!$P$6:$U$495,6,FALSE),"")</f>
        <v/>
      </c>
      <c r="H43" s="57" t="str">
        <f t="shared" ca="1" si="19"/>
        <v/>
      </c>
      <c r="R43" s="85">
        <f ca="1"/>
        <v>45382</v>
      </c>
      <c r="S43" s="57">
        <f t="shared" ca="1" si="9"/>
        <v>45382</v>
      </c>
      <c r="T43" s="57">
        <f t="shared" ca="1" si="0"/>
        <v>103.6962822224676</v>
      </c>
      <c r="U43" s="57">
        <f t="shared" ca="1" si="1"/>
        <v>22.579978262378201</v>
      </c>
      <c r="V43" s="57">
        <f t="shared" ca="1" si="2"/>
        <v>0</v>
      </c>
      <c r="W43" s="57">
        <f t="shared" ca="1" si="10"/>
        <v>20.63108315033951</v>
      </c>
      <c r="X43">
        <f t="shared" ca="1" si="3"/>
        <v>120</v>
      </c>
      <c r="Y43">
        <f t="shared" ca="1" si="11"/>
        <v>55.094459956984579</v>
      </c>
      <c r="Z43">
        <f t="shared" ca="1" si="4"/>
        <v>0</v>
      </c>
      <c r="AA43">
        <f t="shared" ca="1" si="5"/>
        <v>0.89582844144074503</v>
      </c>
      <c r="AB43" s="85">
        <f ca="1"/>
        <v>45508</v>
      </c>
      <c r="AC43" s="57">
        <f t="shared" ca="1" si="13"/>
        <v>45508</v>
      </c>
      <c r="AD43" s="57">
        <f t="shared" ca="1" si="14"/>
        <v>59.547094769230654</v>
      </c>
      <c r="AE43" s="57">
        <f t="shared" ca="1" si="15"/>
        <v>5.2546584215093199</v>
      </c>
      <c r="AF43" s="57">
        <f t="shared" ca="1" si="16"/>
        <v>0</v>
      </c>
    </row>
    <row r="44" spans="1:32" s="56" customFormat="1" x14ac:dyDescent="0.25">
      <c r="A44" s="57"/>
      <c r="B44" s="57">
        <f ca="1">IF(C38="",CurrentEstablishDate,IF(AND(C38&gt;CurrentEstablishDate,(C38-CurrentEstablishDate)&lt;10),C38,CurrentEstablishDate))</f>
        <v>45357</v>
      </c>
      <c r="C44" s="102" t="s">
        <v>157</v>
      </c>
      <c r="D44" s="104">
        <f ca="1">MAX(CurrentEstablishDate,C38:C43,MAX(C29:C34)+1)</f>
        <v>45384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>
        <f ca="1"/>
        <v>45383</v>
      </c>
      <c r="S44" s="57">
        <f t="shared" ca="1" si="9"/>
        <v>45383</v>
      </c>
      <c r="T44" s="57">
        <f t="shared" ca="1" si="0"/>
        <v>102.79596856451059</v>
      </c>
      <c r="U44" s="57">
        <f t="shared" ca="1" si="1"/>
        <v>23.4735904891396</v>
      </c>
      <c r="V44" s="57">
        <f t="shared" ca="1" si="2"/>
        <v>0</v>
      </c>
      <c r="W44" s="57">
        <f t="shared" ca="1" si="10"/>
        <v>20.63108315033951</v>
      </c>
      <c r="X44">
        <f t="shared" ca="1" si="3"/>
        <v>118.92853908166309</v>
      </c>
      <c r="Y44">
        <f t="shared" ca="1" si="11"/>
        <v>55.094459956984579</v>
      </c>
      <c r="Z44">
        <f t="shared" ca="1" si="4"/>
        <v>0</v>
      </c>
      <c r="AA44">
        <f t="shared" ca="1" si="5"/>
        <v>0.91747539606032202</v>
      </c>
      <c r="AB44" s="85">
        <f ca="1"/>
        <v>45509</v>
      </c>
      <c r="AC44" s="57">
        <f t="shared" ca="1" si="13"/>
        <v>45509</v>
      </c>
      <c r="AD44" s="57">
        <f t="shared" ca="1" si="14"/>
        <v>58.985691402983164</v>
      </c>
      <c r="AE44" s="57">
        <f t="shared" ca="1" si="15"/>
        <v>5.4562362619980798</v>
      </c>
      <c r="AF44" s="57">
        <f t="shared" ca="1" si="16"/>
        <v>0</v>
      </c>
    </row>
    <row r="45" spans="1:32" s="57" customFormat="1" x14ac:dyDescent="0.25">
      <c r="R45" s="85">
        <f ca="1"/>
        <v>45384</v>
      </c>
      <c r="S45" s="57">
        <f t="shared" ca="1" si="9"/>
        <v>45384</v>
      </c>
      <c r="T45" s="57">
        <f t="shared" ca="1" si="0"/>
        <v>98.875987367019604</v>
      </c>
      <c r="U45" s="57">
        <f t="shared" ca="1" si="1"/>
        <v>24.460062733388401</v>
      </c>
      <c r="V45" s="57">
        <f t="shared" ca="1" si="2"/>
        <v>0</v>
      </c>
      <c r="W45" s="57">
        <f t="shared" ca="1" si="10"/>
        <v>23.560270588772315</v>
      </c>
      <c r="X45">
        <f t="shared" ca="1" si="3"/>
        <v>120</v>
      </c>
      <c r="Y45">
        <f t="shared" ca="1" si="11"/>
        <v>64.449679400422824</v>
      </c>
      <c r="Z45">
        <f t="shared" ca="1" si="4"/>
        <v>0</v>
      </c>
      <c r="AA45">
        <f t="shared" ca="1" si="5"/>
        <v>0.93593062395403603</v>
      </c>
      <c r="AB45" s="85">
        <f ca="1"/>
        <v>45510</v>
      </c>
      <c r="AC45" s="57">
        <f t="shared" ca="1" si="13"/>
        <v>45510</v>
      </c>
      <c r="AD45" s="57">
        <f t="shared" ca="1" si="14"/>
        <v>59.090814655043438</v>
      </c>
      <c r="AE45" s="57">
        <f t="shared" ca="1" si="15"/>
        <v>5.66764433374252</v>
      </c>
      <c r="AF45" s="57">
        <f t="shared" ca="1" si="16"/>
        <v>0</v>
      </c>
    </row>
    <row r="46" spans="1:32" s="57" customFormat="1" ht="15.75" thickBot="1" x14ac:dyDescent="0.3">
      <c r="C46" s="137" t="s">
        <v>164</v>
      </c>
      <c r="D46" s="137"/>
      <c r="E46" s="137"/>
      <c r="F46" s="137"/>
      <c r="G46" s="137"/>
      <c r="H46" s="137"/>
      <c r="R46" s="85">
        <f ca="1"/>
        <v>45385</v>
      </c>
      <c r="S46" s="57">
        <f t="shared" ca="1" si="9"/>
        <v>45385</v>
      </c>
      <c r="T46" s="57">
        <f t="shared" ca="1" si="0"/>
        <v>93.726363972869706</v>
      </c>
      <c r="U46" s="57">
        <f t="shared" ca="1" si="1"/>
        <v>25.468702624906101</v>
      </c>
      <c r="V46" s="57">
        <f t="shared" ca="1" si="2"/>
        <v>0</v>
      </c>
      <c r="W46" s="57">
        <f t="shared" ca="1" si="10"/>
        <v>27.699766414449119</v>
      </c>
      <c r="X46">
        <f t="shared" ca="1" si="3"/>
        <v>120</v>
      </c>
      <c r="Y46">
        <f t="shared" ca="1" si="11"/>
        <v>78.396760591867022</v>
      </c>
      <c r="Z46">
        <f t="shared" ca="1" si="4"/>
        <v>0</v>
      </c>
      <c r="AA46">
        <f t="shared" ca="1" si="5"/>
        <v>0.95027691655157498</v>
      </c>
      <c r="AB46" s="85">
        <f ca="1"/>
        <v>45511</v>
      </c>
      <c r="AC46" s="57">
        <f t="shared" ca="1" si="13"/>
        <v>45511</v>
      </c>
      <c r="AD46" s="57">
        <f t="shared" ca="1" si="14"/>
        <v>58.6545079891157</v>
      </c>
      <c r="AE46" s="57">
        <f t="shared" ca="1" si="15"/>
        <v>5.8752500962903502</v>
      </c>
      <c r="AF46" s="57">
        <f t="shared" ca="1" si="16"/>
        <v>0</v>
      </c>
    </row>
    <row r="47" spans="1:32" s="57" customFormat="1" x14ac:dyDescent="0.25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>
        <f ca="1"/>
        <v>45386</v>
      </c>
      <c r="S47" s="57">
        <f t="shared" ca="1" si="9"/>
        <v>45386</v>
      </c>
      <c r="T47" s="57">
        <f t="shared" ca="1" si="0"/>
        <v>90.159212459520333</v>
      </c>
      <c r="U47" s="57">
        <f t="shared" ca="1" si="1"/>
        <v>26.436225525836601</v>
      </c>
      <c r="V47" s="57">
        <f t="shared" ca="1" si="2"/>
        <v>0</v>
      </c>
      <c r="W47" s="57">
        <f t="shared" ca="1" si="10"/>
        <v>30.300234797548736</v>
      </c>
      <c r="X47">
        <f t="shared" ca="1" si="3"/>
        <v>120</v>
      </c>
      <c r="Y47">
        <f t="shared" ca="1" si="11"/>
        <v>87.505098160811073</v>
      </c>
      <c r="Z47">
        <f t="shared" ca="1" si="4"/>
        <v>0</v>
      </c>
      <c r="AA47">
        <f t="shared" ca="1" si="5"/>
        <v>0.96079100565263997</v>
      </c>
      <c r="AB47" s="85">
        <f ca="1"/>
        <v>45512</v>
      </c>
      <c r="AC47" s="57">
        <f t="shared" ca="1" si="13"/>
        <v>45512</v>
      </c>
      <c r="AD47" s="57">
        <f t="shared" ca="1" si="14"/>
        <v>58.231132245329754</v>
      </c>
      <c r="AE47" s="57">
        <f t="shared" ca="1" si="15"/>
        <v>6.06636941026398</v>
      </c>
      <c r="AF47" s="57">
        <f t="shared" ca="1" si="16"/>
        <v>0</v>
      </c>
    </row>
    <row r="48" spans="1:32" s="57" customFormat="1" x14ac:dyDescent="0.25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>
        <f ca="1"/>
        <v>45387</v>
      </c>
      <c r="S48" s="57">
        <f t="shared" ca="1" si="9"/>
        <v>45387</v>
      </c>
      <c r="T48" s="57">
        <f t="shared" ca="1" si="0"/>
        <v>88.812239144823366</v>
      </c>
      <c r="U48" s="57">
        <f t="shared" ca="1" si="1"/>
        <v>27.401807242489902</v>
      </c>
      <c r="V48" s="57">
        <f t="shared" ca="1" si="2"/>
        <v>0</v>
      </c>
      <c r="W48" s="57">
        <f t="shared" ca="1" si="10"/>
        <v>30.684250668739583</v>
      </c>
      <c r="X48">
        <f t="shared" ca="1" si="3"/>
        <v>120</v>
      </c>
      <c r="Y48">
        <f t="shared" ca="1" si="11"/>
        <v>88.870542507417326</v>
      </c>
      <c r="Z48">
        <f t="shared" ca="1" si="4"/>
        <v>0</v>
      </c>
      <c r="AA48">
        <f t="shared" ca="1" si="5"/>
        <v>0.96888949122518397</v>
      </c>
      <c r="AB48" s="85">
        <f ca="1"/>
        <v>45513</v>
      </c>
      <c r="AC48" s="57">
        <f t="shared" ca="1" si="13"/>
        <v>45513</v>
      </c>
      <c r="AD48" s="57">
        <f t="shared" ca="1" si="14"/>
        <v>58.367555964216784</v>
      </c>
      <c r="AE48" s="57">
        <f t="shared" ca="1" si="15"/>
        <v>6.2495560962942598</v>
      </c>
      <c r="AF48" s="57">
        <f t="shared" ca="1" si="16"/>
        <v>0</v>
      </c>
    </row>
    <row r="49" spans="2:32" s="57" customFormat="1" x14ac:dyDescent="0.25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>
        <f ca="1"/>
        <v>45388</v>
      </c>
      <c r="S49" s="57">
        <f t="shared" ca="1" si="9"/>
        <v>45388</v>
      </c>
      <c r="T49" s="57">
        <f t="shared" ca="1" si="0"/>
        <v>87.48218366144566</v>
      </c>
      <c r="U49" s="57">
        <f t="shared" ca="1" si="1"/>
        <v>28.327333852702601</v>
      </c>
      <c r="V49" s="57">
        <f t="shared" ca="1" si="2"/>
        <v>0</v>
      </c>
      <c r="W49" s="57">
        <f t="shared" ca="1" si="10"/>
        <v>31.092646542990224</v>
      </c>
      <c r="X49">
        <f t="shared" ca="1" si="3"/>
        <v>120</v>
      </c>
      <c r="Y49">
        <f t="shared" ca="1" si="11"/>
        <v>90.344752601252125</v>
      </c>
      <c r="Z49">
        <f t="shared" ca="1" si="4"/>
        <v>0</v>
      </c>
      <c r="AA49">
        <f t="shared" ca="1" si="5"/>
        <v>0.97494124214588096</v>
      </c>
      <c r="AB49" s="85">
        <f ca="1"/>
        <v>45514</v>
      </c>
      <c r="AC49" s="57">
        <f t="shared" ca="1" si="13"/>
        <v>45514</v>
      </c>
      <c r="AD49" s="57">
        <f t="shared" ca="1" si="14"/>
        <v>57.463296968283679</v>
      </c>
      <c r="AE49" s="57">
        <f t="shared" ca="1" si="15"/>
        <v>6.4612889348238998</v>
      </c>
      <c r="AF49" s="57">
        <f t="shared" ca="1" si="16"/>
        <v>0</v>
      </c>
    </row>
    <row r="50" spans="2:32" s="57" customFormat="1" x14ac:dyDescent="0.25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>
        <f ca="1"/>
        <v>45389</v>
      </c>
      <c r="S50" s="57">
        <f t="shared" ca="1" si="9"/>
        <v>45389</v>
      </c>
      <c r="T50" s="57">
        <f t="shared" ca="1" si="0"/>
        <v>83.315625088183964</v>
      </c>
      <c r="U50" s="57">
        <f t="shared" ca="1" si="1"/>
        <v>29.3262581914422</v>
      </c>
      <c r="V50" s="57">
        <f t="shared" ca="1" si="2"/>
        <v>0</v>
      </c>
      <c r="W50" s="57">
        <f t="shared" ca="1" si="10"/>
        <v>34.265782260557259</v>
      </c>
      <c r="X50">
        <f t="shared" ca="1" si="3"/>
        <v>120</v>
      </c>
      <c r="Y50">
        <f t="shared" ca="1" si="11"/>
        <v>102.37182263905679</v>
      </c>
      <c r="Z50">
        <f t="shared" ca="1" si="4"/>
        <v>0</v>
      </c>
      <c r="AA50">
        <f t="shared" ca="1" si="5"/>
        <v>0.98004099501547703</v>
      </c>
      <c r="AB50" s="85">
        <f ca="1"/>
        <v>45515</v>
      </c>
      <c r="AC50" s="57">
        <f t="shared" ca="1" si="13"/>
        <v>45515</v>
      </c>
      <c r="AD50" s="57">
        <f t="shared" ca="1" si="14"/>
        <v>56.454028801138705</v>
      </c>
      <c r="AE50" s="57">
        <f t="shared" ca="1" si="15"/>
        <v>6.6903655897475804</v>
      </c>
      <c r="AF50" s="57">
        <f t="shared" ca="1" si="16"/>
        <v>0</v>
      </c>
    </row>
    <row r="51" spans="2:32" s="57" customFormat="1" x14ac:dyDescent="0.25">
      <c r="C51" s="63" t="s">
        <v>4</v>
      </c>
      <c r="D51" s="70">
        <f ca="1">IF(E51="",CurrentEstablishDate-60,E51)</f>
        <v>45297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>
        <f ca="1"/>
        <v>45390</v>
      </c>
      <c r="S51" s="57">
        <f t="shared" ca="1" si="9"/>
        <v>45390</v>
      </c>
      <c r="T51" s="57">
        <f t="shared" ca="1" si="0"/>
        <v>79.577569586064612</v>
      </c>
      <c r="U51" s="57">
        <f t="shared" ca="1" si="1"/>
        <v>30.3982877576574</v>
      </c>
      <c r="V51" s="57">
        <f t="shared" ca="1" si="2"/>
        <v>0</v>
      </c>
      <c r="W51" s="57">
        <f t="shared" ca="1" si="10"/>
        <v>36.939038020286524</v>
      </c>
      <c r="X51">
        <f t="shared" ca="1" si="3"/>
        <v>120</v>
      </c>
      <c r="Y51">
        <f t="shared" ca="1" si="11"/>
        <v>112.98016408224684</v>
      </c>
      <c r="Z51">
        <f t="shared" ca="1" si="4"/>
        <v>0</v>
      </c>
      <c r="AA51">
        <f t="shared" ca="1" si="5"/>
        <v>0.98426017893737605</v>
      </c>
      <c r="AB51" s="85">
        <f ca="1"/>
        <v>45516</v>
      </c>
      <c r="AC51" s="57">
        <f t="shared" ca="1" si="13"/>
        <v>45516</v>
      </c>
      <c r="AD51" s="57">
        <f t="shared" ca="1" si="14"/>
        <v>55.97002899535714</v>
      </c>
      <c r="AE51" s="57">
        <f t="shared" ca="1" si="15"/>
        <v>6.9348935985707199</v>
      </c>
      <c r="AF51" s="57">
        <f t="shared" ca="1" si="16"/>
        <v>0</v>
      </c>
    </row>
    <row r="52" spans="2:32" s="57" customFormat="1" x14ac:dyDescent="0.25">
      <c r="C52" s="63" t="s">
        <v>5</v>
      </c>
      <c r="D52" s="70">
        <f ca="1">IF(E52="",CurrentEstablishDate-15,E52)</f>
        <v>45342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>
        <f ca="1"/>
        <v>45391</v>
      </c>
      <c r="S52" s="57">
        <f t="shared" ca="1" si="9"/>
        <v>45391</v>
      </c>
      <c r="T52" s="57">
        <f t="shared" ca="1" si="0"/>
        <v>75.863563331317067</v>
      </c>
      <c r="U52" s="57">
        <f t="shared" ca="1" si="1"/>
        <v>31.517059306850999</v>
      </c>
      <c r="V52" s="57">
        <f t="shared" ca="1" si="2"/>
        <v>0</v>
      </c>
      <c r="W52" s="57">
        <f t="shared" ca="1" si="10"/>
        <v>39.543018488501616</v>
      </c>
      <c r="X52">
        <f t="shared" ca="1" si="3"/>
        <v>120</v>
      </c>
      <c r="Y52">
        <f t="shared" ca="1" si="11"/>
        <v>123.81948648462803</v>
      </c>
      <c r="Z52">
        <f t="shared" ca="1" si="4"/>
        <v>0</v>
      </c>
      <c r="AA52">
        <f t="shared" ca="1" si="5"/>
        <v>0.98762698059779297</v>
      </c>
      <c r="AB52" s="85">
        <f ca="1"/>
        <v>45517</v>
      </c>
      <c r="AC52" s="57">
        <f t="shared" ca="1" si="13"/>
        <v>45517</v>
      </c>
      <c r="AD52" s="57">
        <f t="shared" ca="1" si="14"/>
        <v>54.402903526405296</v>
      </c>
      <c r="AE52" s="57">
        <f t="shared" ca="1" si="15"/>
        <v>7.1956945468073297</v>
      </c>
      <c r="AF52" s="57">
        <f t="shared" ca="1" si="16"/>
        <v>0</v>
      </c>
    </row>
    <row r="53" spans="2:32" s="57" customFormat="1" x14ac:dyDescent="0.25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>
        <f ca="1"/>
        <v>45392</v>
      </c>
      <c r="S53" s="57">
        <f t="shared" ca="1" si="9"/>
        <v>45392</v>
      </c>
      <c r="T53" s="57">
        <f t="shared" ca="1" si="0"/>
        <v>74.217616369152623</v>
      </c>
      <c r="U53" s="57">
        <f t="shared" ca="1" si="1"/>
        <v>32.652293925154403</v>
      </c>
      <c r="V53" s="57">
        <f t="shared" ca="1" si="2"/>
        <v>0</v>
      </c>
      <c r="W53" s="57">
        <f t="shared" ca="1" si="10"/>
        <v>40.063585347822595</v>
      </c>
      <c r="X53">
        <f t="shared" ca="1" si="3"/>
        <v>120</v>
      </c>
      <c r="Y53">
        <f t="shared" ca="1" si="11"/>
        <v>126.03445299210455</v>
      </c>
      <c r="Z53">
        <f t="shared" ca="1" si="4"/>
        <v>0</v>
      </c>
      <c r="AA53">
        <f t="shared" ca="1" si="5"/>
        <v>0.99023822255848204</v>
      </c>
      <c r="AB53" s="85">
        <f ca="1"/>
        <v>45518</v>
      </c>
      <c r="AC53" s="57">
        <f t="shared" ca="1" si="13"/>
        <v>45518</v>
      </c>
      <c r="AD53" s="57">
        <f t="shared" ca="1" si="14"/>
        <v>53.812060361479539</v>
      </c>
      <c r="AE53" s="57">
        <f t="shared" ca="1" si="15"/>
        <v>7.4562997512704197</v>
      </c>
      <c r="AF53" s="57">
        <f t="shared" ca="1" si="16"/>
        <v>0</v>
      </c>
    </row>
    <row r="54" spans="2:32" s="56" customFormat="1" x14ac:dyDescent="0.25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>
        <f ca="1"/>
        <v>45393</v>
      </c>
      <c r="S54" s="57">
        <f t="shared" ca="1" si="9"/>
        <v>45393</v>
      </c>
      <c r="T54" s="57">
        <f t="shared" ca="1" si="0"/>
        <v>70.951774267452819</v>
      </c>
      <c r="U54" s="57">
        <f t="shared" ca="1" si="1"/>
        <v>33.898943053048598</v>
      </c>
      <c r="V54" s="57">
        <f t="shared" ca="1" si="2"/>
        <v>0</v>
      </c>
      <c r="W54" s="57">
        <f t="shared" ca="1" si="10"/>
        <v>42.094731864451909</v>
      </c>
      <c r="X54">
        <f t="shared" ca="1" si="3"/>
        <v>120</v>
      </c>
      <c r="Y54">
        <f t="shared" ca="1" si="11"/>
        <v>135.07460309524467</v>
      </c>
      <c r="Z54">
        <f t="shared" ca="1" si="4"/>
        <v>0</v>
      </c>
      <c r="AA54">
        <f t="shared" ca="1" si="5"/>
        <v>0.99241563013909595</v>
      </c>
      <c r="AB54" s="85">
        <f ca="1"/>
        <v>45519</v>
      </c>
      <c r="AC54" s="57">
        <f t="shared" ca="1" si="13"/>
        <v>45519</v>
      </c>
      <c r="AD54" s="57">
        <f t="shared" ca="1" si="14"/>
        <v>53.680636578042019</v>
      </c>
      <c r="AE54" s="57">
        <f t="shared" ca="1" si="15"/>
        <v>7.7335751408515003</v>
      </c>
      <c r="AF54" s="57">
        <f t="shared" ca="1" si="16"/>
        <v>0</v>
      </c>
    </row>
    <row r="55" spans="2:32" s="57" customFormat="1" x14ac:dyDescent="0.25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>
        <f ca="1"/>
        <v>45394</v>
      </c>
      <c r="S55" s="57">
        <f t="shared" ca="1" si="9"/>
        <v>45394</v>
      </c>
      <c r="T55" s="57">
        <f t="shared" ca="1" si="0"/>
        <v>67.297048551780151</v>
      </c>
      <c r="U55" s="57">
        <f t="shared" ca="1" si="1"/>
        <v>35.146306138111498</v>
      </c>
      <c r="V55" s="57">
        <f t="shared" ca="1" si="2"/>
        <v>0</v>
      </c>
      <c r="W55" s="57">
        <f t="shared" ca="1" si="10"/>
        <v>44.514785001895369</v>
      </c>
      <c r="X55">
        <f t="shared" ca="1" si="3"/>
        <v>120</v>
      </c>
      <c r="Y55">
        <f t="shared" ca="1" si="11"/>
        <v>146.4306331590754</v>
      </c>
      <c r="Z55">
        <f t="shared" ca="1" si="4"/>
        <v>0</v>
      </c>
      <c r="AA55">
        <f t="shared" ca="1" si="5"/>
        <v>0.99406172715237096</v>
      </c>
      <c r="AB55" s="85">
        <f ca="1"/>
        <v>45520</v>
      </c>
      <c r="AC55" s="57">
        <f t="shared" ca="1" si="13"/>
        <v>45520</v>
      </c>
      <c r="AD55" s="57">
        <f t="shared" ca="1" si="14"/>
        <v>52.123469493083164</v>
      </c>
      <c r="AE55" s="57">
        <f t="shared" ca="1" si="15"/>
        <v>8.0181975023986993</v>
      </c>
      <c r="AF55" s="57">
        <f t="shared" ca="1" si="16"/>
        <v>0</v>
      </c>
    </row>
    <row r="56" spans="2:32" s="57" customFormat="1" x14ac:dyDescent="0.25">
      <c r="C56" s="66" t="str">
        <f>"Yield "&amp;ROUND(PriorYield_tperHa,0)&amp;" (t/ha)"</f>
        <v>Yield 8 (t/ha)</v>
      </c>
      <c r="D56" s="92" t="str">
        <f ca="1">"Previous crop residues are providing "&amp;ROUND('Model Interface'!S4,0)&amp;" kg N/ha to the current crop"</f>
        <v>Previous crop residues are providing -6 kg N/ha to the current crop</v>
      </c>
      <c r="R56" s="85">
        <f ca="1"/>
        <v>45395</v>
      </c>
      <c r="S56" s="57">
        <f t="shared" ca="1" si="9"/>
        <v>45395</v>
      </c>
      <c r="T56" s="57">
        <f t="shared" ca="1" si="0"/>
        <v>63.839014455499765</v>
      </c>
      <c r="U56" s="57">
        <f t="shared" ca="1" si="1"/>
        <v>36.330801158828301</v>
      </c>
      <c r="V56" s="57">
        <f t="shared" ca="1" si="2"/>
        <v>0</v>
      </c>
      <c r="W56" s="57">
        <f t="shared" ca="1" si="10"/>
        <v>46.800761124831375</v>
      </c>
      <c r="X56">
        <f t="shared" ca="1" si="3"/>
        <v>120</v>
      </c>
      <c r="Y56">
        <f t="shared" ca="1" si="11"/>
        <v>157.73856456863436</v>
      </c>
      <c r="Z56">
        <f t="shared" ca="1" si="4"/>
        <v>0</v>
      </c>
      <c r="AA56">
        <f t="shared" ca="1" si="5"/>
        <v>0.99526042215342403</v>
      </c>
      <c r="AB56" s="85">
        <f ca="1"/>
        <v>45521</v>
      </c>
      <c r="AC56" s="57">
        <f t="shared" ca="1" si="13"/>
        <v>45521</v>
      </c>
      <c r="AD56" s="57">
        <f t="shared" ca="1" si="14"/>
        <v>51.46622138959966</v>
      </c>
      <c r="AE56" s="57">
        <f t="shared" ca="1" si="15"/>
        <v>8.2884359999973292</v>
      </c>
      <c r="AF56" s="57">
        <f t="shared" ca="1" si="16"/>
        <v>0</v>
      </c>
    </row>
    <row r="57" spans="2:32" s="57" customFormat="1" ht="15.75" thickBot="1" x14ac:dyDescent="0.3">
      <c r="C57" s="137" t="s">
        <v>165</v>
      </c>
      <c r="D57" s="137"/>
      <c r="E57" s="137"/>
      <c r="F57" s="137"/>
      <c r="G57" s="137"/>
      <c r="H57" s="137"/>
      <c r="R57" s="85">
        <f ca="1"/>
        <v>45396</v>
      </c>
      <c r="S57" s="57">
        <f t="shared" ca="1" si="9"/>
        <v>45396</v>
      </c>
      <c r="T57" s="57">
        <f t="shared" ca="1" si="0"/>
        <v>62.500826343483823</v>
      </c>
      <c r="U57" s="57">
        <f t="shared" ca="1" si="1"/>
        <v>37.5765046400549</v>
      </c>
      <c r="V57" s="57">
        <f t="shared" ca="1" si="2"/>
        <v>0</v>
      </c>
      <c r="W57" s="57">
        <f t="shared" ca="1" si="10"/>
        <v>46.906857907347025</v>
      </c>
      <c r="X57">
        <f t="shared" ca="1" si="3"/>
        <v>120</v>
      </c>
      <c r="Y57">
        <f t="shared" ca="1" si="11"/>
        <v>158.27462543487118</v>
      </c>
      <c r="Z57">
        <f t="shared" ca="1" si="4"/>
        <v>0</v>
      </c>
      <c r="AA57">
        <f t="shared" ca="1" si="5"/>
        <v>0.99623542184123404</v>
      </c>
      <c r="AB57" s="85">
        <f ca="1"/>
        <v>45522</v>
      </c>
      <c r="AC57" s="57">
        <f t="shared" ca="1" si="13"/>
        <v>45522</v>
      </c>
      <c r="AD57" s="57">
        <f t="shared" ca="1" si="14"/>
        <v>51.129000399904776</v>
      </c>
      <c r="AE57" s="57">
        <f t="shared" ca="1" si="15"/>
        <v>8.5882259420541196</v>
      </c>
      <c r="AF57" s="57">
        <f t="shared" ca="1" si="16"/>
        <v>0</v>
      </c>
    </row>
    <row r="58" spans="2:32" s="57" customFormat="1" x14ac:dyDescent="0.25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>
        <f ca="1"/>
        <v>45397</v>
      </c>
      <c r="S58" s="57">
        <f t="shared" ca="1" si="9"/>
        <v>45397</v>
      </c>
      <c r="T58" s="57">
        <f t="shared" ca="1" si="0"/>
        <v>57.528007585176447</v>
      </c>
      <c r="U58" s="57">
        <f t="shared" ca="1" si="1"/>
        <v>38.873942884860298</v>
      </c>
      <c r="V58" s="57">
        <f t="shared" ca="1" si="2"/>
        <v>0</v>
      </c>
      <c r="W58" s="57">
        <f t="shared" ca="1" si="10"/>
        <v>50.596857686945256</v>
      </c>
      <c r="X58">
        <f t="shared" ca="1" si="3"/>
        <v>120</v>
      </c>
      <c r="Y58">
        <f t="shared" ca="1" si="11"/>
        <v>178.53020419046916</v>
      </c>
      <c r="Z58">
        <f t="shared" ca="1" si="4"/>
        <v>0</v>
      </c>
      <c r="AA58">
        <f t="shared" ca="1" si="5"/>
        <v>0.99701753186686404</v>
      </c>
      <c r="AB58" s="85">
        <f ca="1"/>
        <v>45523</v>
      </c>
      <c r="AC58" s="57">
        <f t="shared" ca="1" si="13"/>
        <v>45523</v>
      </c>
      <c r="AD58" s="57">
        <f t="shared" ca="1" si="14"/>
        <v>50.334972714351537</v>
      </c>
      <c r="AE58" s="57">
        <f t="shared" ca="1" si="15"/>
        <v>8.8908474455928701</v>
      </c>
      <c r="AF58" s="57">
        <f t="shared" ca="1" si="16"/>
        <v>0</v>
      </c>
    </row>
    <row r="59" spans="2:32" s="57" customFormat="1" x14ac:dyDescent="0.25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>
        <f ca="1"/>
        <v>45398</v>
      </c>
      <c r="S59" s="57">
        <f t="shared" ca="1" si="9"/>
        <v>45398</v>
      </c>
      <c r="T59" s="57">
        <f t="shared" ca="1" si="0"/>
        <v>54.758774847446603</v>
      </c>
      <c r="U59" s="57">
        <f t="shared" ca="1" si="1"/>
        <v>40.184187859001597</v>
      </c>
      <c r="V59" s="57">
        <f t="shared" ca="1" si="2"/>
        <v>0</v>
      </c>
      <c r="W59" s="57">
        <f t="shared" ca="1" si="10"/>
        <v>52.070874878887366</v>
      </c>
      <c r="X59">
        <f t="shared" ca="1" si="3"/>
        <v>120</v>
      </c>
      <c r="Y59">
        <f t="shared" ca="1" si="11"/>
        <v>187.03074341074321</v>
      </c>
      <c r="Z59">
        <f t="shared" ca="1" si="4"/>
        <v>0</v>
      </c>
      <c r="AA59">
        <f t="shared" ca="1" si="5"/>
        <v>0.99762646985182801</v>
      </c>
      <c r="AB59" s="85">
        <f ca="1"/>
        <v>45524</v>
      </c>
      <c r="AC59" s="57">
        <f t="shared" ca="1" si="13"/>
        <v>45524</v>
      </c>
      <c r="AD59" s="57">
        <f t="shared" ca="1" si="14"/>
        <v>49.89780212453006</v>
      </c>
      <c r="AE59" s="57">
        <f t="shared" ca="1" si="15"/>
        <v>9.2212034153270199</v>
      </c>
      <c r="AF59" s="57">
        <f t="shared" ca="1" si="16"/>
        <v>0</v>
      </c>
    </row>
    <row r="60" spans="2:32" s="57" customFormat="1" x14ac:dyDescent="0.25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>
        <f ca="1"/>
        <v>45399</v>
      </c>
      <c r="S60" s="57">
        <f t="shared" ca="1" si="9"/>
        <v>45399</v>
      </c>
      <c r="T60" s="57">
        <f t="shared" ca="1" si="0"/>
        <v>52.532285221999004</v>
      </c>
      <c r="U60" s="57">
        <f t="shared" ca="1" si="1"/>
        <v>41.537903378577198</v>
      </c>
      <c r="V60" s="57">
        <f t="shared" ca="1" si="2"/>
        <v>0</v>
      </c>
      <c r="W60" s="57">
        <f t="shared" ca="1" si="10"/>
        <v>52.959431956990997</v>
      </c>
      <c r="X60">
        <f t="shared" ca="1" si="3"/>
        <v>120</v>
      </c>
      <c r="Y60">
        <f t="shared" ca="1" si="11"/>
        <v>192.37216289871969</v>
      </c>
      <c r="Z60">
        <f t="shared" ca="1" si="4"/>
        <v>0</v>
      </c>
      <c r="AA60">
        <f t="shared" ca="1" si="5"/>
        <v>0.99811263295495201</v>
      </c>
      <c r="AB60" s="85">
        <f ca="1"/>
        <v>45525</v>
      </c>
      <c r="AC60" s="57">
        <f t="shared" ca="1" si="13"/>
        <v>45525</v>
      </c>
      <c r="AD60" s="57">
        <f t="shared" ca="1" si="14"/>
        <v>48.881725436541309</v>
      </c>
      <c r="AE60" s="57">
        <f t="shared" ca="1" si="15"/>
        <v>9.5542864268874705</v>
      </c>
      <c r="AF60" s="57">
        <f t="shared" ca="1" si="16"/>
        <v>0</v>
      </c>
    </row>
    <row r="61" spans="2:32" s="57" customFormat="1" x14ac:dyDescent="0.25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>
        <f ca="1"/>
        <v>45400</v>
      </c>
      <c r="S61" s="57">
        <f t="shared" ca="1" si="9"/>
        <v>45400</v>
      </c>
      <c r="T61" s="57">
        <f t="shared" ca="1" si="0"/>
        <v>50.760299809327591</v>
      </c>
      <c r="U61" s="57">
        <f t="shared" ca="1" si="1"/>
        <v>42.855819172131199</v>
      </c>
      <c r="V61" s="57">
        <f t="shared" ca="1" si="2"/>
        <v>0</v>
      </c>
      <c r="W61" s="57">
        <f t="shared" ca="1" si="10"/>
        <v>53.428887397589804</v>
      </c>
      <c r="X61">
        <f t="shared" ca="1" si="3"/>
        <v>120</v>
      </c>
      <c r="Y61">
        <f t="shared" ca="1" si="11"/>
        <v>195.29273442926149</v>
      </c>
      <c r="Z61">
        <f t="shared" ca="1" si="4"/>
        <v>0</v>
      </c>
      <c r="AA61">
        <f t="shared" ca="1" si="5"/>
        <v>0.99848070254552301</v>
      </c>
      <c r="AB61" s="85">
        <f ca="1"/>
        <v>45526</v>
      </c>
      <c r="AC61" s="57">
        <f t="shared" ca="1" si="13"/>
        <v>45526</v>
      </c>
      <c r="AD61" s="57">
        <f t="shared" ca="1" si="14"/>
        <v>48.584851780162232</v>
      </c>
      <c r="AE61" s="57">
        <f t="shared" ca="1" si="15"/>
        <v>9.9008863364582709</v>
      </c>
      <c r="AF61" s="57">
        <f t="shared" ca="1" si="16"/>
        <v>0</v>
      </c>
    </row>
    <row r="62" spans="2:32" s="57" customFormat="1" x14ac:dyDescent="0.25">
      <c r="C62" s="63" t="s">
        <v>4</v>
      </c>
      <c r="D62" s="70">
        <f ca="1">IF(E62="",CurrentHarvestDate+15,E62)</f>
        <v>45497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>
        <f ca="1"/>
        <v>45401</v>
      </c>
      <c r="S62" s="57">
        <f t="shared" ca="1" si="9"/>
        <v>45401</v>
      </c>
      <c r="T62" s="57">
        <f t="shared" ca="1" si="0"/>
        <v>49.026782505796056</v>
      </c>
      <c r="U62" s="57">
        <f t="shared" ca="1" si="1"/>
        <v>44.353144853331699</v>
      </c>
      <c r="V62" s="57">
        <f t="shared" ca="1" si="2"/>
        <v>0</v>
      </c>
      <c r="W62" s="57">
        <f t="shared" ca="1" si="10"/>
        <v>53.682995737568078</v>
      </c>
      <c r="X62">
        <f t="shared" ca="1" si="3"/>
        <v>120</v>
      </c>
      <c r="Y62">
        <f t="shared" ca="1" si="11"/>
        <v>196.92948754335825</v>
      </c>
      <c r="Z62">
        <f t="shared" ca="1" si="4"/>
        <v>0</v>
      </c>
      <c r="AA62">
        <f t="shared" ca="1" si="5"/>
        <v>0.99880428067494997</v>
      </c>
      <c r="AB62" s="85">
        <f ca="1"/>
        <v>45527</v>
      </c>
      <c r="AC62" s="57">
        <f t="shared" ca="1" si="13"/>
        <v>45527</v>
      </c>
      <c r="AD62" s="57">
        <f t="shared" ca="1" si="14"/>
        <v>48.419169927543571</v>
      </c>
      <c r="AE62" s="57">
        <f t="shared" ca="1" si="15"/>
        <v>10.2710817279482</v>
      </c>
      <c r="AF62" s="57">
        <f t="shared" ca="1" si="16"/>
        <v>0</v>
      </c>
    </row>
    <row r="63" spans="2:32" s="57" customFormat="1" x14ac:dyDescent="0.25">
      <c r="C63" s="63" t="s">
        <v>5</v>
      </c>
      <c r="D63" s="70">
        <f ca="1">IF(E63="",FollowingEstablishDate+120,E63)</f>
        <v>45617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>
        <f ca="1"/>
        <v>45402</v>
      </c>
      <c r="S63" s="57">
        <f t="shared" ca="1" si="9"/>
        <v>45402</v>
      </c>
      <c r="T63" s="57">
        <f t="shared" ca="1" si="0"/>
        <v>46.835243057556241</v>
      </c>
      <c r="U63" s="57">
        <f t="shared" ca="1" si="1"/>
        <v>45.894965849035799</v>
      </c>
      <c r="V63" s="57">
        <f t="shared" ca="1" si="2"/>
        <v>0</v>
      </c>
      <c r="W63" s="57">
        <f t="shared" ca="1" si="10"/>
        <v>54.35122722079663</v>
      </c>
      <c r="X63">
        <f t="shared" ca="1" si="3"/>
        <v>120</v>
      </c>
      <c r="Y63">
        <f t="shared" ca="1" si="11"/>
        <v>201.43507894444568</v>
      </c>
      <c r="Z63">
        <f t="shared" ca="1" si="4"/>
        <v>0</v>
      </c>
      <c r="AA63">
        <f t="shared" ca="1" si="5"/>
        <v>0.99905881120056295</v>
      </c>
      <c r="AB63" s="85">
        <f ca="1"/>
        <v>45528</v>
      </c>
      <c r="AC63" s="57">
        <f t="shared" ca="1" si="13"/>
        <v>45528</v>
      </c>
      <c r="AD63" s="57">
        <f t="shared" ca="1" si="14"/>
        <v>47.928399909819717</v>
      </c>
      <c r="AE63" s="57">
        <f t="shared" ca="1" si="15"/>
        <v>10.6477278819343</v>
      </c>
      <c r="AF63" s="57">
        <f t="shared" ca="1" si="16"/>
        <v>0</v>
      </c>
    </row>
    <row r="64" spans="2:32" s="56" customFormat="1" x14ac:dyDescent="0.25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>
        <f ca="1"/>
        <v>45403</v>
      </c>
      <c r="S64" s="57">
        <f t="shared" ca="1" si="9"/>
        <v>45403</v>
      </c>
      <c r="T64" s="57">
        <f t="shared" ca="1" si="0"/>
        <v>45.26099095640717</v>
      </c>
      <c r="U64" s="57">
        <f t="shared" ca="1" si="1"/>
        <v>47.406869218746799</v>
      </c>
      <c r="V64" s="57">
        <f t="shared" ca="1" si="2"/>
        <v>0</v>
      </c>
      <c r="W64" s="57">
        <f t="shared" ca="1" si="10"/>
        <v>54.431558515466683</v>
      </c>
      <c r="X64">
        <f t="shared" ca="1" si="3"/>
        <v>120</v>
      </c>
      <c r="Y64">
        <f t="shared" ca="1" si="11"/>
        <v>201.99555666992586</v>
      </c>
      <c r="Z64">
        <f t="shared" ca="1" si="4"/>
        <v>0</v>
      </c>
      <c r="AA64">
        <f t="shared" ca="1" si="5"/>
        <v>0.99925071324716797</v>
      </c>
      <c r="AB64" s="85">
        <f ca="1"/>
        <v>45529</v>
      </c>
      <c r="AC64" s="57">
        <f t="shared" ca="1" si="13"/>
        <v>45529</v>
      </c>
      <c r="AD64" s="57">
        <f t="shared" ca="1" si="14"/>
        <v>47.129061656044705</v>
      </c>
      <c r="AE64" s="57">
        <f t="shared" ca="1" si="15"/>
        <v>11.077994777346801</v>
      </c>
      <c r="AF64" s="57">
        <f t="shared" ca="1" si="16"/>
        <v>0</v>
      </c>
    </row>
    <row r="65" spans="2:32" s="57" customFormat="1" x14ac:dyDescent="0.25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>
        <f ca="1"/>
        <v>45404</v>
      </c>
      <c r="S65" s="57">
        <f t="shared" ca="1" si="9"/>
        <v>45404</v>
      </c>
      <c r="T65" s="57">
        <f t="shared" ca="1" si="0"/>
        <v>43.688104835811153</v>
      </c>
      <c r="U65" s="57">
        <f t="shared" ca="1" si="1"/>
        <v>48.998717089762202</v>
      </c>
      <c r="V65" s="57">
        <f t="shared" ca="1" si="2"/>
        <v>0</v>
      </c>
      <c r="W65" s="57">
        <f t="shared" ca="1" si="10"/>
        <v>54.431558515466683</v>
      </c>
      <c r="X65">
        <f t="shared" ca="1" si="3"/>
        <v>119.20114236397399</v>
      </c>
      <c r="Y65">
        <f t="shared" ca="1" si="11"/>
        <v>201.99555666992586</v>
      </c>
      <c r="Z65">
        <f t="shared" ca="1" si="4"/>
        <v>0</v>
      </c>
      <c r="AA65">
        <f t="shared" ca="1" si="5"/>
        <v>0.99940667143303397</v>
      </c>
      <c r="AB65" s="85">
        <f ca="1"/>
        <v>45530</v>
      </c>
      <c r="AC65" s="57">
        <f t="shared" ca="1" si="13"/>
        <v>45530</v>
      </c>
      <c r="AD65" s="57">
        <f t="shared" ca="1" si="14"/>
        <v>46.83657237472287</v>
      </c>
      <c r="AE65" s="57">
        <f t="shared" ca="1" si="15"/>
        <v>11.5261196329183</v>
      </c>
      <c r="AF65" s="57">
        <f t="shared" ca="1" si="16"/>
        <v>0</v>
      </c>
    </row>
    <row r="66" spans="2:32" s="57" customFormat="1" x14ac:dyDescent="0.25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>
        <f ca="1"/>
        <v>45405</v>
      </c>
      <c r="S66" s="57">
        <f t="shared" ca="1" si="9"/>
        <v>45405</v>
      </c>
      <c r="T66" s="57">
        <f t="shared" ca="1" si="0"/>
        <v>41.315347352958504</v>
      </c>
      <c r="U66" s="57">
        <f t="shared" ca="1" si="1"/>
        <v>50.745219753632199</v>
      </c>
      <c r="V66" s="57">
        <f t="shared" ca="1" si="2"/>
        <v>0</v>
      </c>
      <c r="W66" s="57">
        <f t="shared" ca="1" si="10"/>
        <v>55.078789661079114</v>
      </c>
      <c r="X66">
        <f t="shared" ca="1" si="3"/>
        <v>120</v>
      </c>
      <c r="Y66">
        <f t="shared" ca="1" si="11"/>
        <v>206.94259925627705</v>
      </c>
      <c r="Z66">
        <f t="shared" ca="1" si="4"/>
        <v>0</v>
      </c>
      <c r="AA66">
        <f t="shared" ca="1" si="5"/>
        <v>0.99953728903241401</v>
      </c>
      <c r="AB66" s="85">
        <f ca="1"/>
        <v>45531</v>
      </c>
      <c r="AC66" s="57">
        <f t="shared" ca="1" si="13"/>
        <v>45531</v>
      </c>
      <c r="AD66" s="57">
        <f t="shared" ca="1" si="14"/>
        <v>46.284889631084923</v>
      </c>
      <c r="AE66" s="57">
        <f t="shared" ca="1" si="15"/>
        <v>12.0056597914914</v>
      </c>
      <c r="AF66" s="57">
        <f t="shared" ca="1" si="16"/>
        <v>0</v>
      </c>
    </row>
    <row r="67" spans="2:32" x14ac:dyDescent="0.25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151 kg N/ha</v>
      </c>
      <c r="R67" s="85">
        <f ca="1"/>
        <v>45406</v>
      </c>
      <c r="S67" s="57">
        <f t="shared" ca="1" si="9"/>
        <v>45406</v>
      </c>
      <c r="T67" s="57">
        <f t="shared" ca="1" si="0"/>
        <v>37.242051062443196</v>
      </c>
      <c r="U67" s="57">
        <f t="shared" ca="1" si="1"/>
        <v>52.495244326016497</v>
      </c>
      <c r="V67" s="57">
        <f t="shared" ca="1" si="2"/>
        <v>0</v>
      </c>
      <c r="W67" s="57">
        <f t="shared" ca="1" si="10"/>
        <v>57.42278589705537</v>
      </c>
      <c r="X67">
        <f t="shared" ca="1" si="3"/>
        <v>120</v>
      </c>
      <c r="Y67">
        <f t="shared" ca="1" si="11"/>
        <v>226.81823221847924</v>
      </c>
      <c r="Z67">
        <f t="shared" ca="1" si="4"/>
        <v>0</v>
      </c>
      <c r="AA67">
        <f t="shared" ca="1" si="5"/>
        <v>0.99963670694431395</v>
      </c>
      <c r="AB67" s="85">
        <f ca="1"/>
        <v>45532</v>
      </c>
      <c r="AC67" s="57">
        <f t="shared" ca="1" si="13"/>
        <v>45532</v>
      </c>
      <c r="AD67" s="57">
        <f t="shared" ca="1" si="14"/>
        <v>45.428341605859217</v>
      </c>
      <c r="AE67" s="57">
        <f t="shared" ca="1" si="15"/>
        <v>12.480680568801301</v>
      </c>
      <c r="AF67" s="57">
        <f t="shared" ca="1" si="16"/>
        <v>0</v>
      </c>
    </row>
    <row r="68" spans="2:32" ht="15.75" thickBot="1" x14ac:dyDescent="0.3">
      <c r="C68" s="139" t="s">
        <v>196</v>
      </c>
      <c r="D68" s="139"/>
      <c r="E68" s="139"/>
      <c r="F68" s="139"/>
      <c r="G68" s="139"/>
      <c r="H68" s="139"/>
      <c r="R68" s="85">
        <f ca="1"/>
        <v>45407</v>
      </c>
      <c r="S68" s="57">
        <f t="shared" ca="1" si="9"/>
        <v>45407</v>
      </c>
      <c r="T68" s="57">
        <f t="shared" ca="1" si="0"/>
        <v>35.46252220405632</v>
      </c>
      <c r="U68" s="57">
        <f t="shared" ca="1" si="1"/>
        <v>54.235922126861098</v>
      </c>
      <c r="V68" s="57">
        <f t="shared" ca="1" si="2"/>
        <v>0</v>
      </c>
      <c r="W68" s="57">
        <f t="shared" ca="1" si="10"/>
        <v>57.481907164222676</v>
      </c>
      <c r="X68">
        <f t="shared" ca="1" si="3"/>
        <v>120</v>
      </c>
      <c r="Y68">
        <f t="shared" ca="1" si="11"/>
        <v>227.34469995630337</v>
      </c>
      <c r="Z68">
        <f t="shared" ca="1" si="4"/>
        <v>0</v>
      </c>
      <c r="AA68">
        <f t="shared" ca="1" si="5"/>
        <v>0.99971246733520902</v>
      </c>
      <c r="AB68" s="85">
        <f ca="1"/>
        <v>45533</v>
      </c>
      <c r="AC68" s="57">
        <f t="shared" ca="1" si="13"/>
        <v>45533</v>
      </c>
      <c r="AD68" s="57">
        <f t="shared" ca="1" si="14"/>
        <v>44.918294539564499</v>
      </c>
      <c r="AE68" s="57">
        <f t="shared" ca="1" si="15"/>
        <v>12.9988144390234</v>
      </c>
      <c r="AF68" s="57">
        <f t="shared" ca="1" si="16"/>
        <v>0</v>
      </c>
    </row>
    <row r="69" spans="2:32" x14ac:dyDescent="0.25">
      <c r="C69" s="63" t="s">
        <v>159</v>
      </c>
      <c r="D69" s="90">
        <v>150</v>
      </c>
      <c r="E69" s="107"/>
      <c r="R69" s="85">
        <f ca="1"/>
        <v>45408</v>
      </c>
      <c r="S69" s="57">
        <f t="shared" ca="1" si="9"/>
        <v>45408</v>
      </c>
      <c r="T69" s="57">
        <f t="shared" ca="1" si="0"/>
        <v>32.385347199264885</v>
      </c>
      <c r="U69" s="57">
        <f t="shared" ca="1" si="1"/>
        <v>56.1383555246762</v>
      </c>
      <c r="V69" s="57">
        <f t="shared" ca="1" si="2"/>
        <v>0</v>
      </c>
      <c r="W69" s="57">
        <f t="shared" ca="1" si="10"/>
        <v>58.678830362031896</v>
      </c>
      <c r="X69">
        <f t="shared" ca="1" si="3"/>
        <v>120</v>
      </c>
      <c r="Y69">
        <f t="shared" ca="1" si="11"/>
        <v>239.01589632640668</v>
      </c>
      <c r="Z69">
        <f t="shared" ca="1" si="4"/>
        <v>0</v>
      </c>
      <c r="AA69">
        <f t="shared" ca="1" si="5"/>
        <v>0.99977571967245105</v>
      </c>
      <c r="AB69" s="85">
        <f ca="1"/>
        <v>45534</v>
      </c>
      <c r="AC69" s="57">
        <f t="shared" ca="1" si="13"/>
        <v>45534</v>
      </c>
      <c r="AD69" s="57">
        <f t="shared" ca="1" si="14"/>
        <v>44.359682629348747</v>
      </c>
      <c r="AE69" s="57">
        <f t="shared" ca="1" si="15"/>
        <v>13.5144449191869</v>
      </c>
      <c r="AF69" s="57">
        <f t="shared" ca="1" si="16"/>
        <v>0</v>
      </c>
    </row>
    <row r="70" spans="2:32" x14ac:dyDescent="0.25">
      <c r="C70" s="63" t="s">
        <v>160</v>
      </c>
      <c r="D70" s="86">
        <f>IF(E70="",30,E70)</f>
        <v>30</v>
      </c>
      <c r="E70" s="71"/>
      <c r="R70" s="85">
        <f ca="1"/>
        <v>45409</v>
      </c>
      <c r="S70" s="57">
        <f t="shared" ca="1" si="9"/>
        <v>45409</v>
      </c>
      <c r="T70" s="57">
        <f t="shared" ca="1" si="0"/>
        <v>108.82816203208083</v>
      </c>
      <c r="U70" s="57">
        <f t="shared" ca="1" si="1"/>
        <v>58.003514687099901</v>
      </c>
      <c r="V70" s="57">
        <f t="shared" ca="1" si="2"/>
        <v>86.578487614690829</v>
      </c>
      <c r="W70" s="57">
        <f t="shared" ca="1" si="10"/>
        <v>63.763408224959619</v>
      </c>
      <c r="X70">
        <f t="shared" ca="1" si="3"/>
        <v>120</v>
      </c>
      <c r="Y70">
        <f t="shared" ca="1" si="11"/>
        <v>253.76994653968706</v>
      </c>
      <c r="Z70">
        <f t="shared" ca="1" si="4"/>
        <v>0</v>
      </c>
      <c r="AA70">
        <f t="shared" ca="1" si="5"/>
        <v>0.99982300621229503</v>
      </c>
      <c r="AB70" s="85">
        <f ca="1"/>
        <v>45535</v>
      </c>
      <c r="AC70" s="57">
        <f t="shared" ca="1" si="13"/>
        <v>45535</v>
      </c>
      <c r="AD70" s="57">
        <f t="shared" ca="1" si="14"/>
        <v>43.954786757163944</v>
      </c>
      <c r="AE70" s="57">
        <f t="shared" ca="1" si="15"/>
        <v>14.0210859928582</v>
      </c>
      <c r="AF70" s="57">
        <f t="shared" ca="1" si="16"/>
        <v>0</v>
      </c>
    </row>
    <row r="71" spans="2:32" x14ac:dyDescent="0.25">
      <c r="C71" s="63" t="s">
        <v>161</v>
      </c>
      <c r="D71" s="86">
        <f>IF(E71="",80,E71)</f>
        <v>80</v>
      </c>
      <c r="E71" s="71"/>
      <c r="R71" s="85">
        <f ca="1"/>
        <v>45410</v>
      </c>
      <c r="S71" s="57">
        <f t="shared" ca="1" si="9"/>
        <v>45410</v>
      </c>
      <c r="T71" s="57">
        <f t="shared" ca="1" si="0"/>
        <v>103.04522665320998</v>
      </c>
      <c r="U71" s="57">
        <f t="shared" ca="1" si="1"/>
        <v>59.882911687658897</v>
      </c>
      <c r="V71" s="57">
        <f t="shared" ca="1" si="2"/>
        <v>0</v>
      </c>
      <c r="W71" s="57">
        <f t="shared" ca="1" si="10"/>
        <v>67.687950298747808</v>
      </c>
      <c r="X71">
        <f t="shared" ca="1" si="3"/>
        <v>120</v>
      </c>
      <c r="Y71">
        <f t="shared" ca="1" si="11"/>
        <v>265.79698666745514</v>
      </c>
      <c r="Z71">
        <f t="shared" ca="1" si="4"/>
        <v>0</v>
      </c>
      <c r="AA71">
        <f t="shared" ca="1" si="5"/>
        <v>0.99985968628461597</v>
      </c>
      <c r="AB71" s="85">
        <f ca="1"/>
        <v>45536</v>
      </c>
      <c r="AC71" s="57">
        <f t="shared" ca="1" si="13"/>
        <v>45536</v>
      </c>
      <c r="AD71" s="57">
        <f t="shared" ca="1" si="14"/>
        <v>43.087510048817393</v>
      </c>
      <c r="AE71" s="57">
        <f t="shared" ca="1" si="15"/>
        <v>14.5210341807582</v>
      </c>
      <c r="AF71" s="57">
        <f t="shared" ca="1" si="16"/>
        <v>0</v>
      </c>
    </row>
    <row r="72" spans="2:32" x14ac:dyDescent="0.25">
      <c r="C72" s="63" t="s">
        <v>213</v>
      </c>
      <c r="D72" s="86">
        <f>IF(E72="",120,E72)</f>
        <v>120</v>
      </c>
      <c r="E72" s="71"/>
      <c r="R72" s="85">
        <f ca="1"/>
        <v>45411</v>
      </c>
      <c r="S72" s="57">
        <f t="shared" ca="1" si="9"/>
        <v>45411</v>
      </c>
      <c r="T72" s="57">
        <f t="shared" ca="1" si="0"/>
        <v>96.868030072002639</v>
      </c>
      <c r="U72" s="57">
        <f t="shared" ca="1" si="1"/>
        <v>61.785588896984599</v>
      </c>
      <c r="V72" s="57">
        <f t="shared" ca="1" si="2"/>
        <v>0</v>
      </c>
      <c r="W72" s="57">
        <f t="shared" ca="1" si="10"/>
        <v>71.983351953012317</v>
      </c>
      <c r="X72">
        <f t="shared" ca="1" si="3"/>
        <v>120</v>
      </c>
      <c r="Y72">
        <f t="shared" ca="1" si="11"/>
        <v>279.79998256459709</v>
      </c>
      <c r="Z72">
        <f t="shared" ca="1" si="4"/>
        <v>0</v>
      </c>
      <c r="AA72">
        <f t="shared" ca="1" si="5"/>
        <v>0.99988840724572503</v>
      </c>
      <c r="AB72" s="85">
        <f ca="1"/>
        <v>45537</v>
      </c>
      <c r="AC72" s="57">
        <f t="shared" ca="1" si="13"/>
        <v>45537</v>
      </c>
      <c r="AD72" s="57">
        <f t="shared" ca="1" si="14"/>
        <v>42.638442036332378</v>
      </c>
      <c r="AE72" s="57">
        <f t="shared" ca="1" si="15"/>
        <v>15.0422580717101</v>
      </c>
      <c r="AF72" s="57">
        <f t="shared" ca="1" si="16"/>
        <v>0</v>
      </c>
    </row>
    <row r="73" spans="2:32" x14ac:dyDescent="0.25">
      <c r="R73" s="85">
        <f ca="1"/>
        <v>45412</v>
      </c>
      <c r="S73" s="57">
        <f t="shared" ca="1" si="9"/>
        <v>45412</v>
      </c>
      <c r="T73" s="57">
        <f t="shared" ca="1" si="0"/>
        <v>95.188709513642678</v>
      </c>
      <c r="U73" s="57">
        <f t="shared" ca="1" si="1"/>
        <v>63.482905922086999</v>
      </c>
      <c r="V73" s="57">
        <f t="shared" ca="1" si="2"/>
        <v>0</v>
      </c>
      <c r="W73" s="57">
        <f t="shared" ca="1" si="10"/>
        <v>71.983351953012317</v>
      </c>
      <c r="X73">
        <f t="shared" ca="1" si="3"/>
        <v>119.04412046606357</v>
      </c>
      <c r="Y73">
        <f t="shared" ca="1" si="11"/>
        <v>279.79998256459709</v>
      </c>
      <c r="Z73">
        <f t="shared" ca="1" si="4"/>
        <v>0</v>
      </c>
      <c r="AA73">
        <f t="shared" ca="1" si="5"/>
        <v>0.999908585184624</v>
      </c>
      <c r="AB73" s="85">
        <f ca="1"/>
        <v>45538</v>
      </c>
      <c r="AC73" s="57">
        <f t="shared" ca="1" si="13"/>
        <v>45538</v>
      </c>
      <c r="AD73" s="57">
        <f t="shared" ca="1" si="14"/>
        <v>41.849019043230719</v>
      </c>
      <c r="AE73" s="57">
        <f t="shared" ca="1" si="15"/>
        <v>15.597588506458001</v>
      </c>
      <c r="AF73" s="57">
        <f t="shared" ca="1" si="16"/>
        <v>0</v>
      </c>
    </row>
    <row r="74" spans="2:32" x14ac:dyDescent="0.25">
      <c r="R74" s="85">
        <f ca="1"/>
        <v>45413</v>
      </c>
      <c r="S74" s="57">
        <f t="shared" ca="1" si="9"/>
        <v>45413</v>
      </c>
      <c r="T74" s="57">
        <f t="shared" ca="1" si="0"/>
        <v>93.475751078853705</v>
      </c>
      <c r="U74" s="57">
        <f t="shared" ca="1" si="1"/>
        <v>65.213939017224106</v>
      </c>
      <c r="V74" s="57">
        <f t="shared" ca="1" si="2"/>
        <v>0</v>
      </c>
      <c r="W74" s="57">
        <f t="shared" ca="1" si="10"/>
        <v>71.983351953012317</v>
      </c>
      <c r="X74">
        <f t="shared" ca="1" si="3"/>
        <v>117.98383683848517</v>
      </c>
      <c r="Y74">
        <f t="shared" ca="1" si="11"/>
        <v>279.79998256459709</v>
      </c>
      <c r="Z74">
        <f t="shared" ca="1" si="4"/>
        <v>0</v>
      </c>
      <c r="AA74">
        <f t="shared" ca="1" si="5"/>
        <v>0.99992507820093801</v>
      </c>
      <c r="AB74" s="85">
        <f ca="1"/>
        <v>45539</v>
      </c>
      <c r="AC74" s="57">
        <f t="shared" ca="1" si="13"/>
        <v>45539</v>
      </c>
      <c r="AD74" s="57">
        <f t="shared" ca="1" si="14"/>
        <v>40.852817371168271</v>
      </c>
      <c r="AE74" s="57">
        <f t="shared" ca="1" si="15"/>
        <v>16.155093919025202</v>
      </c>
      <c r="AF74" s="57">
        <f t="shared" ca="1" si="16"/>
        <v>0</v>
      </c>
    </row>
    <row r="75" spans="2:32" x14ac:dyDescent="0.25">
      <c r="R75" s="85">
        <f ca="1"/>
        <v>45414</v>
      </c>
      <c r="S75" s="57">
        <f t="shared" ca="1" si="9"/>
        <v>45414</v>
      </c>
      <c r="T75" s="57">
        <f t="shared" ca="1" si="0"/>
        <v>90.759618121444561</v>
      </c>
      <c r="U75" s="57">
        <f t="shared" ca="1" si="1"/>
        <v>67.169468684730404</v>
      </c>
      <c r="V75" s="57">
        <f t="shared" ca="1" si="2"/>
        <v>0</v>
      </c>
      <c r="W75" s="57">
        <f t="shared" ca="1" si="10"/>
        <v>72.764288142861119</v>
      </c>
      <c r="X75">
        <f t="shared" ca="1" si="3"/>
        <v>120</v>
      </c>
      <c r="Y75">
        <f t="shared" ca="1" si="11"/>
        <v>282.51717588776989</v>
      </c>
      <c r="Z75">
        <f t="shared" ca="1" si="4"/>
        <v>0</v>
      </c>
      <c r="AA75">
        <f t="shared" ca="1" si="5"/>
        <v>0.99993985379921602</v>
      </c>
      <c r="AB75" s="85">
        <f ca="1"/>
        <v>45540</v>
      </c>
      <c r="AC75" s="57">
        <f t="shared" ca="1" si="13"/>
        <v>45540</v>
      </c>
      <c r="AD75" s="57">
        <f t="shared" ca="1" si="14"/>
        <v>39.242838252943486</v>
      </c>
      <c r="AE75" s="57">
        <f t="shared" ca="1" si="15"/>
        <v>16.7640343192082</v>
      </c>
      <c r="AF75" s="57">
        <f t="shared" ca="1" si="16"/>
        <v>0</v>
      </c>
    </row>
    <row r="76" spans="2:32" x14ac:dyDescent="0.25">
      <c r="R76" s="85">
        <f ca="1"/>
        <v>45415</v>
      </c>
      <c r="S76" s="57">
        <f t="shared" ca="1" si="9"/>
        <v>45415</v>
      </c>
      <c r="T76" s="57">
        <f t="shared" ca="1" si="0"/>
        <v>86.7088938079185</v>
      </c>
      <c r="U76" s="57">
        <f t="shared" ca="1" si="1"/>
        <v>69.179788843694794</v>
      </c>
      <c r="V76" s="57">
        <f t="shared" ca="1" si="2"/>
        <v>0</v>
      </c>
      <c r="W76" s="57">
        <f t="shared" ca="1" si="10"/>
        <v>74.825235685007414</v>
      </c>
      <c r="X76">
        <f t="shared" ca="1" si="3"/>
        <v>120</v>
      </c>
      <c r="Y76">
        <f t="shared" ca="1" si="11"/>
        <v>290.02304421388283</v>
      </c>
      <c r="Z76">
        <f t="shared" ca="1" si="4"/>
        <v>0</v>
      </c>
      <c r="AA76">
        <f t="shared" ca="1" si="5"/>
        <v>0.99995175609431897</v>
      </c>
      <c r="AB76" s="85">
        <f ca="1"/>
        <v>45541</v>
      </c>
      <c r="AC76" s="57">
        <f t="shared" ca="1" si="13"/>
        <v>45541</v>
      </c>
      <c r="AD76" s="57">
        <f t="shared" ca="1" si="14"/>
        <v>38.62535126809663</v>
      </c>
      <c r="AE76" s="57">
        <f t="shared" ca="1" si="15"/>
        <v>17.420743825619901</v>
      </c>
      <c r="AF76" s="57">
        <f t="shared" ca="1" si="16"/>
        <v>0</v>
      </c>
    </row>
    <row r="77" spans="2:32" x14ac:dyDescent="0.25">
      <c r="R77" s="85">
        <f ca="1"/>
        <v>45416</v>
      </c>
      <c r="S77" s="57">
        <f t="shared" ca="1" si="9"/>
        <v>45416</v>
      </c>
      <c r="T77" s="57">
        <f t="shared" ca="1" si="0"/>
        <v>81.326526216620692</v>
      </c>
      <c r="U77" s="57">
        <f t="shared" ca="1" si="1"/>
        <v>71.309971965628094</v>
      </c>
      <c r="V77" s="57">
        <f t="shared" ca="1" si="2"/>
        <v>0</v>
      </c>
      <c r="W77" s="57">
        <f t="shared" ca="1" si="10"/>
        <v>78.098904459633331</v>
      </c>
      <c r="X77">
        <f t="shared" ca="1" si="3"/>
        <v>120</v>
      </c>
      <c r="Y77">
        <f t="shared" ca="1" si="11"/>
        <v>302.73464259940783</v>
      </c>
      <c r="Z77">
        <f t="shared" ca="1" si="4"/>
        <v>0</v>
      </c>
      <c r="AA77">
        <f t="shared" ca="1" si="5"/>
        <v>0.99996159701346499</v>
      </c>
      <c r="AB77" s="85">
        <f ca="1"/>
        <v>45542</v>
      </c>
      <c r="AC77" s="57">
        <f t="shared" ca="1" si="13"/>
        <v>45542</v>
      </c>
      <c r="AD77" s="57">
        <f t="shared" ca="1" si="14"/>
        <v>38.017978353646292</v>
      </c>
      <c r="AE77" s="57">
        <f t="shared" ca="1" si="15"/>
        <v>18.088182317332301</v>
      </c>
      <c r="AF77" s="57">
        <f t="shared" ca="1" si="16"/>
        <v>0</v>
      </c>
    </row>
    <row r="78" spans="2:32" x14ac:dyDescent="0.25">
      <c r="R78" s="85">
        <f ca="1"/>
        <v>45417</v>
      </c>
      <c r="S78" s="57">
        <f t="shared" ca="1" si="9"/>
        <v>45417</v>
      </c>
      <c r="T78" s="57">
        <f t="shared" ca="1" si="0"/>
        <v>77.851457872515795</v>
      </c>
      <c r="U78" s="57">
        <f t="shared" ca="1" si="1"/>
        <v>73.439714335281096</v>
      </c>
      <c r="V78" s="57">
        <f t="shared" ca="1" si="2"/>
        <v>0</v>
      </c>
      <c r="W78" s="57">
        <f t="shared" ca="1" si="10"/>
        <v>79.465208276647445</v>
      </c>
      <c r="X78">
        <f t="shared" ca="1" si="3"/>
        <v>120</v>
      </c>
      <c r="Y78">
        <f t="shared" ca="1" si="11"/>
        <v>308.27679139223005</v>
      </c>
      <c r="Z78">
        <f t="shared" ca="1" si="4"/>
        <v>0</v>
      </c>
      <c r="AA78">
        <f t="shared" ca="1" si="5"/>
        <v>0.99996926555068699</v>
      </c>
      <c r="AB78" s="85">
        <f ca="1"/>
        <v>45543</v>
      </c>
      <c r="AC78" s="57">
        <f t="shared" ca="1" si="13"/>
        <v>45543</v>
      </c>
      <c r="AD78" s="57">
        <f t="shared" ca="1" si="14"/>
        <v>36.836105008620649</v>
      </c>
      <c r="AE78" s="57">
        <f t="shared" ca="1" si="15"/>
        <v>18.714372343782301</v>
      </c>
      <c r="AF78" s="57">
        <f t="shared" ca="1" si="16"/>
        <v>0</v>
      </c>
    </row>
    <row r="79" spans="2:32" x14ac:dyDescent="0.25">
      <c r="R79" s="85">
        <f ca="1"/>
        <v>45418</v>
      </c>
      <c r="S79" s="57">
        <f t="shared" ca="1" si="9"/>
        <v>45418</v>
      </c>
      <c r="T79" s="57">
        <f t="shared" ca="1" si="0"/>
        <v>72.496618601113227</v>
      </c>
      <c r="U79" s="57">
        <f t="shared" ca="1" si="1"/>
        <v>75.520849931360303</v>
      </c>
      <c r="V79" s="57">
        <f t="shared" ca="1" si="2"/>
        <v>0</v>
      </c>
      <c r="W79" s="57">
        <f t="shared" ca="1" si="10"/>
        <v>82.758880997648802</v>
      </c>
      <c r="X79">
        <f t="shared" ca="1" si="3"/>
        <v>120</v>
      </c>
      <c r="Y79">
        <f t="shared" ca="1" si="11"/>
        <v>322.62376639772481</v>
      </c>
      <c r="Z79">
        <f t="shared" ca="1" si="4"/>
        <v>0</v>
      </c>
      <c r="AA79">
        <f t="shared" ca="1" si="5"/>
        <v>0.99997515732920395</v>
      </c>
      <c r="AB79" s="85">
        <f ca="1"/>
        <v>45544</v>
      </c>
      <c r="AC79" s="57">
        <f t="shared" ca="1" si="13"/>
        <v>45544</v>
      </c>
      <c r="AD79" s="57">
        <f t="shared" ca="1" si="14"/>
        <v>35.733458665047465</v>
      </c>
      <c r="AE79" s="57">
        <f t="shared" ca="1" si="15"/>
        <v>19.392190830219</v>
      </c>
      <c r="AF79" s="57">
        <f t="shared" ca="1" si="16"/>
        <v>0</v>
      </c>
    </row>
    <row r="80" spans="2:32" x14ac:dyDescent="0.25">
      <c r="R80" s="85">
        <f ca="1"/>
        <v>45419</v>
      </c>
      <c r="S80" s="57">
        <f t="shared" ca="1" si="9"/>
        <v>45419</v>
      </c>
      <c r="T80" s="57">
        <f t="shared" ca="1" si="0"/>
        <v>69.274876211775933</v>
      </c>
      <c r="U80" s="57">
        <f t="shared" ca="1" si="1"/>
        <v>77.668048606928195</v>
      </c>
      <c r="V80" s="57">
        <f t="shared" ca="1" si="2"/>
        <v>0</v>
      </c>
      <c r="W80" s="57">
        <f t="shared" ca="1" si="10"/>
        <v>83.85365851405794</v>
      </c>
      <c r="X80">
        <f t="shared" ca="1" si="3"/>
        <v>120</v>
      </c>
      <c r="Y80">
        <f t="shared" ca="1" si="11"/>
        <v>327.61430892357896</v>
      </c>
      <c r="Z80">
        <f t="shared" ca="1" si="4"/>
        <v>0</v>
      </c>
      <c r="AA80">
        <f t="shared" ca="1" si="5"/>
        <v>0.99997996036540704</v>
      </c>
      <c r="AB80" s="85">
        <f ca="1"/>
        <v>45545</v>
      </c>
      <c r="AC80" s="57">
        <f t="shared" ca="1" si="13"/>
        <v>45545</v>
      </c>
      <c r="AD80" s="57">
        <f t="shared" ca="1" si="14"/>
        <v>34.041938369288808</v>
      </c>
      <c r="AE80" s="57">
        <f t="shared" ca="1" si="15"/>
        <v>20.130734618764802</v>
      </c>
      <c r="AF80" s="57">
        <f t="shared" ca="1" si="16"/>
        <v>0</v>
      </c>
    </row>
    <row r="81" spans="18:32" x14ac:dyDescent="0.25">
      <c r="R81" s="85">
        <f ca="1"/>
        <v>45420</v>
      </c>
      <c r="S81" s="57">
        <f t="shared" ca="1" si="9"/>
        <v>45420</v>
      </c>
      <c r="T81" s="57">
        <f t="shared" ca="1" si="0"/>
        <v>66.414514355929441</v>
      </c>
      <c r="U81" s="57">
        <f t="shared" ca="1" si="1"/>
        <v>80.087379738116397</v>
      </c>
      <c r="V81" s="57">
        <f t="shared" ca="1" si="2"/>
        <v>0</v>
      </c>
      <c r="W81" s="57">
        <f t="shared" ca="1" si="10"/>
        <v>84.317393726565385</v>
      </c>
      <c r="X81">
        <f t="shared" ca="1" si="3"/>
        <v>120</v>
      </c>
      <c r="Y81">
        <f t="shared" ca="1" si="11"/>
        <v>329.81928926720906</v>
      </c>
      <c r="Z81">
        <f t="shared" ca="1" si="4"/>
        <v>0</v>
      </c>
      <c r="AA81">
        <f t="shared" ca="1" si="5"/>
        <v>0.99998418372507603</v>
      </c>
      <c r="AB81" s="85">
        <f ca="1"/>
        <v>45546</v>
      </c>
      <c r="AC81" s="57">
        <f t="shared" ca="1" si="13"/>
        <v>45546</v>
      </c>
      <c r="AD81" s="57">
        <f t="shared" ca="1" si="14"/>
        <v>33.177874175033601</v>
      </c>
      <c r="AE81" s="57">
        <f t="shared" ca="1" si="15"/>
        <v>20.880286077701001</v>
      </c>
      <c r="AF81" s="57">
        <f t="shared" ca="1" si="16"/>
        <v>0</v>
      </c>
    </row>
    <row r="82" spans="18:32" x14ac:dyDescent="0.25">
      <c r="R82" s="85">
        <f ca="1"/>
        <v>45421</v>
      </c>
      <c r="S82" s="57">
        <f t="shared" ca="1" si="9"/>
        <v>45421</v>
      </c>
      <c r="T82" s="57">
        <f t="shared" ref="T82:T145" ca="1" si="20">VLOOKUP(S82,ModelOutputs,2,FALSE)</f>
        <v>63.355923707678024</v>
      </c>
      <c r="U82" s="57">
        <f t="shared" ref="U82:U145" ca="1" si="21">VLOOKUP(S82,ModelOutputs,7,FALSE)</f>
        <v>82.499999319554107</v>
      </c>
      <c r="V82" s="57">
        <f t="shared" ref="V82:V145" ca="1" si="22">VLOOKUP(S82,ModelOutputs,6,FALSE)</f>
        <v>0</v>
      </c>
      <c r="W82" s="57">
        <f t="shared" ca="1" si="10"/>
        <v>84.985405156401143</v>
      </c>
      <c r="X82">
        <f t="shared" ref="X82:X145" ca="1" si="23">VLOOKUP(S82,ModelOutputs,10,FALSE)*AWC</f>
        <v>120</v>
      </c>
      <c r="Y82">
        <f t="shared" ca="1" si="11"/>
        <v>333.14890653892928</v>
      </c>
      <c r="Z82">
        <f t="shared" ref="Z82:Z145" ca="1" si="24">VLOOKUP(S82,ModelOutputs,12,FALSE)</f>
        <v>0</v>
      </c>
      <c r="AA82">
        <f t="shared" ref="AA82:AA145" ca="1" si="25">VLOOKUP(S82,ModelOutputs,13,FALSE)</f>
        <v>0.99998744171301701</v>
      </c>
      <c r="AB82" s="85">
        <f ca="1"/>
        <v>45547</v>
      </c>
      <c r="AC82" s="57">
        <f t="shared" ca="1" si="13"/>
        <v>45547</v>
      </c>
      <c r="AD82" s="57">
        <f t="shared" ca="1" si="14"/>
        <v>32.322506191669078</v>
      </c>
      <c r="AE82" s="57">
        <f t="shared" ca="1" si="15"/>
        <v>21.7115899577507</v>
      </c>
      <c r="AF82" s="57">
        <f t="shared" ca="1" si="16"/>
        <v>0</v>
      </c>
    </row>
    <row r="83" spans="18:32" x14ac:dyDescent="0.25">
      <c r="R83" s="85">
        <f ca="1"/>
        <v>45422</v>
      </c>
      <c r="S83" s="57">
        <f t="shared" ref="S83:S146" ca="1" si="26">IF(R83&gt;1,R83,"")</f>
        <v>45422</v>
      </c>
      <c r="T83" s="57">
        <f t="shared" ca="1" si="20"/>
        <v>59.215041992656111</v>
      </c>
      <c r="U83" s="57">
        <f t="shared" ca="1" si="21"/>
        <v>84.850469973212</v>
      </c>
      <c r="V83" s="57">
        <f t="shared" ca="1" si="22"/>
        <v>0</v>
      </c>
      <c r="W83" s="57">
        <f t="shared" ref="W83:W146" ca="1" si="27">VLOOKUP(S83,ModelOutputs,9,FALSE)+W82</f>
        <v>86.796662722570645</v>
      </c>
      <c r="X83">
        <f t="shared" ca="1" si="23"/>
        <v>120</v>
      </c>
      <c r="Y83">
        <f t="shared" ref="Y83:Y146" ca="1" si="28">VLOOKUP(S83,ModelOutputs,11,FALSE)+Y82</f>
        <v>342.80821022730879</v>
      </c>
      <c r="Z83">
        <f t="shared" ca="1" si="24"/>
        <v>0</v>
      </c>
      <c r="AA83">
        <f t="shared" ca="1" si="25"/>
        <v>0.99998992061715397</v>
      </c>
      <c r="AB83" s="85">
        <f ca="1"/>
        <v>45548</v>
      </c>
      <c r="AC83" s="57">
        <f t="shared" ca="1" si="13"/>
        <v>45548</v>
      </c>
      <c r="AD83" s="57">
        <f t="shared" ca="1" si="14"/>
        <v>31.268299636742995</v>
      </c>
      <c r="AE83" s="57">
        <f t="shared" ca="1" si="15"/>
        <v>22.562464991968799</v>
      </c>
      <c r="AF83" s="57">
        <f t="shared" ca="1" si="16"/>
        <v>0</v>
      </c>
    </row>
    <row r="84" spans="18:32" x14ac:dyDescent="0.25">
      <c r="R84" s="85">
        <f ca="1"/>
        <v>45423</v>
      </c>
      <c r="S84" s="57">
        <f t="shared" ca="1" si="26"/>
        <v>45423</v>
      </c>
      <c r="T84" s="57">
        <f t="shared" ca="1" si="20"/>
        <v>54.010348525839071</v>
      </c>
      <c r="U84" s="57">
        <f t="shared" ca="1" si="21"/>
        <v>87.336747613727098</v>
      </c>
      <c r="V84" s="57">
        <f t="shared" ca="1" si="22"/>
        <v>0</v>
      </c>
      <c r="W84" s="57">
        <f t="shared" ca="1" si="27"/>
        <v>89.536788564829948</v>
      </c>
      <c r="X84">
        <f t="shared" ca="1" si="23"/>
        <v>120</v>
      </c>
      <c r="Y84">
        <f t="shared" ca="1" si="28"/>
        <v>358.82926769450137</v>
      </c>
      <c r="Z84">
        <f t="shared" ca="1" si="24"/>
        <v>0</v>
      </c>
      <c r="AA84">
        <f t="shared" ca="1" si="25"/>
        <v>0.99999197333114398</v>
      </c>
      <c r="AB84" s="85">
        <f ca="1"/>
        <v>45549</v>
      </c>
      <c r="AC84" s="57">
        <f t="shared" ca="1" si="13"/>
        <v>45549</v>
      </c>
      <c r="AD84" s="57">
        <f t="shared" ca="1" si="14"/>
        <v>30.365879612483738</v>
      </c>
      <c r="AE84" s="57">
        <f t="shared" ca="1" si="15"/>
        <v>23.463850569947098</v>
      </c>
      <c r="AF84" s="57">
        <f t="shared" ca="1" si="16"/>
        <v>0</v>
      </c>
    </row>
    <row r="85" spans="18:32" x14ac:dyDescent="0.25">
      <c r="R85" s="85">
        <f ca="1"/>
        <v>45424</v>
      </c>
      <c r="S85" s="57">
        <f t="shared" ca="1" si="26"/>
        <v>45424</v>
      </c>
      <c r="T85" s="57">
        <f t="shared" ca="1" si="20"/>
        <v>49.489223572388688</v>
      </c>
      <c r="U85" s="57">
        <f t="shared" ca="1" si="21"/>
        <v>89.747673821188002</v>
      </c>
      <c r="V85" s="57">
        <f t="shared" ca="1" si="22"/>
        <v>0</v>
      </c>
      <c r="W85" s="57">
        <f t="shared" ca="1" si="27"/>
        <v>91.667421419989736</v>
      </c>
      <c r="X85">
        <f t="shared" ca="1" si="23"/>
        <v>120</v>
      </c>
      <c r="Y85">
        <f t="shared" ca="1" si="28"/>
        <v>372.42478161403244</v>
      </c>
      <c r="Z85">
        <f t="shared" ca="1" si="24"/>
        <v>0</v>
      </c>
      <c r="AA85">
        <f t="shared" ca="1" si="25"/>
        <v>0.99999353471629304</v>
      </c>
      <c r="AB85" s="85">
        <f ca="1"/>
        <v>45550</v>
      </c>
      <c r="AC85" s="57">
        <f t="shared" ref="AC85:AC148" ca="1" si="29">IF(AB85&gt;1,AB85,"")</f>
        <v>45550</v>
      </c>
      <c r="AD85" s="57">
        <f t="shared" ref="AD85:AD148" ca="1" si="30">VLOOKUP(AC85,ModelOutputs,2,FALSE)</f>
        <v>29.240969033037359</v>
      </c>
      <c r="AE85" s="57">
        <f t="shared" ref="AE85:AE148" ca="1" si="31">VLOOKUP(AC85,ModelOutputs,7,FALSE)</f>
        <v>24.3893862009046</v>
      </c>
      <c r="AF85" s="57">
        <f t="shared" ref="AF85:AF148" ca="1" si="32">VLOOKUP(AC85,ModelOutputs,6,FALSE)</f>
        <v>0</v>
      </c>
    </row>
    <row r="86" spans="18:32" x14ac:dyDescent="0.25">
      <c r="R86" s="85">
        <f ca="1"/>
        <v>45425</v>
      </c>
      <c r="S86" s="57">
        <f t="shared" ca="1" si="26"/>
        <v>45425</v>
      </c>
      <c r="T86" s="57">
        <f t="shared" ca="1" si="20"/>
        <v>45.187234732040942</v>
      </c>
      <c r="U86" s="57">
        <f t="shared" ca="1" si="21"/>
        <v>92.228109118522795</v>
      </c>
      <c r="V86" s="57">
        <f t="shared" ca="1" si="22"/>
        <v>0</v>
      </c>
      <c r="W86" s="57">
        <f t="shared" ca="1" si="27"/>
        <v>93.509585720963088</v>
      </c>
      <c r="X86">
        <f t="shared" ca="1" si="23"/>
        <v>120</v>
      </c>
      <c r="Y86">
        <f t="shared" ca="1" si="28"/>
        <v>385.29868501825479</v>
      </c>
      <c r="Z86">
        <f t="shared" ca="1" si="24"/>
        <v>0</v>
      </c>
      <c r="AA86">
        <f t="shared" ca="1" si="25"/>
        <v>0.99999480219972403</v>
      </c>
      <c r="AB86" s="85">
        <f ca="1"/>
        <v>45551</v>
      </c>
      <c r="AC86" s="57">
        <f t="shared" ca="1" si="29"/>
        <v>45551</v>
      </c>
      <c r="AD86" s="57">
        <f t="shared" ca="1" si="30"/>
        <v>27.732869234387209</v>
      </c>
      <c r="AE86" s="57">
        <f t="shared" ca="1" si="31"/>
        <v>25.425238224455398</v>
      </c>
      <c r="AF86" s="57">
        <f t="shared" ca="1" si="32"/>
        <v>0</v>
      </c>
    </row>
    <row r="87" spans="18:32" x14ac:dyDescent="0.25">
      <c r="R87" s="85">
        <f ca="1"/>
        <v>45426</v>
      </c>
      <c r="S87" s="57">
        <f t="shared" ca="1" si="26"/>
        <v>45426</v>
      </c>
      <c r="T87" s="57">
        <f t="shared" ca="1" si="20"/>
        <v>39.554049551166578</v>
      </c>
      <c r="U87" s="57">
        <f t="shared" ca="1" si="21"/>
        <v>94.849643689748305</v>
      </c>
      <c r="V87" s="57">
        <f t="shared" ca="1" si="22"/>
        <v>0</v>
      </c>
      <c r="W87" s="57">
        <f t="shared" ca="1" si="27"/>
        <v>96.542676381212772</v>
      </c>
      <c r="X87">
        <f t="shared" ca="1" si="23"/>
        <v>120</v>
      </c>
      <c r="Y87">
        <f t="shared" ca="1" si="28"/>
        <v>409.51410958553515</v>
      </c>
      <c r="Z87">
        <f t="shared" ca="1" si="24"/>
        <v>0</v>
      </c>
      <c r="AA87">
        <f t="shared" ca="1" si="25"/>
        <v>0.99999585409666003</v>
      </c>
      <c r="AB87" s="85">
        <f ca="1"/>
        <v>45552</v>
      </c>
      <c r="AC87" s="57">
        <f t="shared" ca="1" si="29"/>
        <v>45552</v>
      </c>
      <c r="AD87" s="57">
        <f t="shared" ca="1" si="30"/>
        <v>26.376812355224949</v>
      </c>
      <c r="AE87" s="57">
        <f t="shared" ca="1" si="31"/>
        <v>26.421030707057501</v>
      </c>
      <c r="AF87" s="57">
        <f t="shared" ca="1" si="32"/>
        <v>0</v>
      </c>
    </row>
    <row r="88" spans="18:32" x14ac:dyDescent="0.25">
      <c r="R88" s="85">
        <f ca="1"/>
        <v>45427</v>
      </c>
      <c r="S88" s="57">
        <f t="shared" ca="1" si="26"/>
        <v>45427</v>
      </c>
      <c r="T88" s="57">
        <f t="shared" ca="1" si="20"/>
        <v>35.576801928080734</v>
      </c>
      <c r="U88" s="57">
        <f t="shared" ca="1" si="21"/>
        <v>97.402172444772205</v>
      </c>
      <c r="V88" s="57">
        <f t="shared" ca="1" si="22"/>
        <v>0</v>
      </c>
      <c r="W88" s="57">
        <f t="shared" ca="1" si="27"/>
        <v>97.987675373031209</v>
      </c>
      <c r="X88">
        <f t="shared" ca="1" si="23"/>
        <v>120</v>
      </c>
      <c r="Y88">
        <f t="shared" ca="1" si="28"/>
        <v>422.34031785526702</v>
      </c>
      <c r="Z88">
        <f t="shared" ca="1" si="24"/>
        <v>0</v>
      </c>
      <c r="AA88">
        <f t="shared" ca="1" si="25"/>
        <v>0.99999665941168503</v>
      </c>
      <c r="AB88" s="85">
        <f ca="1"/>
        <v>45553</v>
      </c>
      <c r="AC88" s="57">
        <f t="shared" ca="1" si="29"/>
        <v>45553</v>
      </c>
      <c r="AD88" s="57">
        <f t="shared" ca="1" si="30"/>
        <v>24.453301873539861</v>
      </c>
      <c r="AE88" s="57">
        <f t="shared" ca="1" si="31"/>
        <v>27.371536659539402</v>
      </c>
      <c r="AF88" s="57">
        <f t="shared" ca="1" si="32"/>
        <v>0</v>
      </c>
    </row>
    <row r="89" spans="18:32" x14ac:dyDescent="0.25">
      <c r="R89" s="85">
        <f ca="1"/>
        <v>45428</v>
      </c>
      <c r="S89" s="57">
        <f t="shared" ca="1" si="26"/>
        <v>45428</v>
      </c>
      <c r="T89" s="57">
        <f t="shared" ca="1" si="20"/>
        <v>32.163528531846502</v>
      </c>
      <c r="U89" s="57">
        <f t="shared" ca="1" si="21"/>
        <v>99.8737273645107</v>
      </c>
      <c r="V89" s="57">
        <f t="shared" ca="1" si="22"/>
        <v>0</v>
      </c>
      <c r="W89" s="57">
        <f t="shared" ca="1" si="27"/>
        <v>98.948506432368646</v>
      </c>
      <c r="X89">
        <f t="shared" ca="1" si="23"/>
        <v>120</v>
      </c>
      <c r="Y89">
        <f t="shared" ca="1" si="28"/>
        <v>431.77399470534215</v>
      </c>
      <c r="Z89">
        <f t="shared" ca="1" si="24"/>
        <v>0</v>
      </c>
      <c r="AA89">
        <f t="shared" ca="1" si="25"/>
        <v>0.999997279722451</v>
      </c>
      <c r="AB89" s="85">
        <f ca="1"/>
        <v>45554</v>
      </c>
      <c r="AC89" s="57">
        <f t="shared" ca="1" si="29"/>
        <v>45554</v>
      </c>
      <c r="AD89" s="57">
        <f t="shared" ca="1" si="30"/>
        <v>23.183038135550717</v>
      </c>
      <c r="AE89" s="57">
        <f t="shared" ca="1" si="31"/>
        <v>28.339264486191801</v>
      </c>
      <c r="AF89" s="57">
        <f t="shared" ca="1" si="32"/>
        <v>0</v>
      </c>
    </row>
    <row r="90" spans="18:32" x14ac:dyDescent="0.25">
      <c r="R90" s="85">
        <f ca="1"/>
        <v>45429</v>
      </c>
      <c r="S90" s="57">
        <f t="shared" ca="1" si="26"/>
        <v>45429</v>
      </c>
      <c r="T90" s="57">
        <f t="shared" ca="1" si="20"/>
        <v>153.15647803379898</v>
      </c>
      <c r="U90" s="57">
        <f t="shared" ca="1" si="21"/>
        <v>102.254915401578</v>
      </c>
      <c r="V90" s="57">
        <f t="shared" ca="1" si="22"/>
        <v>129.3174828085879</v>
      </c>
      <c r="W90" s="57">
        <f t="shared" ca="1" si="27"/>
        <v>101.97005337830085</v>
      </c>
      <c r="X90">
        <f t="shared" ca="1" si="23"/>
        <v>120</v>
      </c>
      <c r="Y90">
        <f t="shared" ca="1" si="28"/>
        <v>438.00404603596553</v>
      </c>
      <c r="Z90">
        <f t="shared" ca="1" si="24"/>
        <v>0</v>
      </c>
      <c r="AA90">
        <f t="shared" ca="1" si="25"/>
        <v>0.99999776086079195</v>
      </c>
      <c r="AB90" s="85">
        <f ca="1"/>
        <v>45555</v>
      </c>
      <c r="AC90" s="57">
        <f t="shared" ca="1" si="29"/>
        <v>45555</v>
      </c>
      <c r="AD90" s="57">
        <f t="shared" ca="1" si="30"/>
        <v>22.197168102428435</v>
      </c>
      <c r="AE90" s="57">
        <f t="shared" ca="1" si="31"/>
        <v>29.282796413444199</v>
      </c>
      <c r="AF90" s="57">
        <f t="shared" ca="1" si="32"/>
        <v>0</v>
      </c>
    </row>
    <row r="91" spans="18:32" x14ac:dyDescent="0.25">
      <c r="R91" s="85">
        <f ca="1"/>
        <v>45430</v>
      </c>
      <c r="S91" s="57">
        <f t="shared" ca="1" si="26"/>
        <v>45430</v>
      </c>
      <c r="T91" s="57">
        <f t="shared" ca="1" si="20"/>
        <v>148.11350162508452</v>
      </c>
      <c r="U91" s="57">
        <f t="shared" ca="1" si="21"/>
        <v>104.738867971085</v>
      </c>
      <c r="V91" s="57">
        <f t="shared" ca="1" si="22"/>
        <v>0</v>
      </c>
      <c r="W91" s="57">
        <f t="shared" ca="1" si="27"/>
        <v>104.54750292934047</v>
      </c>
      <c r="X91">
        <f t="shared" ca="1" si="23"/>
        <v>120</v>
      </c>
      <c r="Y91">
        <f t="shared" ca="1" si="28"/>
        <v>443.49936839510258</v>
      </c>
      <c r="Z91">
        <f t="shared" ca="1" si="24"/>
        <v>0</v>
      </c>
      <c r="AA91">
        <f t="shared" ca="1" si="25"/>
        <v>0.99999816641425499</v>
      </c>
      <c r="AB91" s="85">
        <f ca="1"/>
        <v>45556</v>
      </c>
      <c r="AC91" s="57">
        <f t="shared" ca="1" si="29"/>
        <v>45556</v>
      </c>
      <c r="AD91" s="57">
        <f t="shared" ca="1" si="30"/>
        <v>20.929511980945293</v>
      </c>
      <c r="AE91" s="57">
        <f t="shared" ca="1" si="31"/>
        <v>30.2825938378564</v>
      </c>
      <c r="AF91" s="57">
        <f t="shared" ca="1" si="32"/>
        <v>0</v>
      </c>
    </row>
    <row r="92" spans="18:32" x14ac:dyDescent="0.25">
      <c r="R92" s="85">
        <f ca="1"/>
        <v>45431</v>
      </c>
      <c r="S92" s="57">
        <f t="shared" ca="1" si="26"/>
        <v>45431</v>
      </c>
      <c r="T92" s="57">
        <f t="shared" ca="1" si="20"/>
        <v>145.63827887121872</v>
      </c>
      <c r="U92" s="57">
        <f t="shared" ca="1" si="21"/>
        <v>107.232213029199</v>
      </c>
      <c r="V92" s="57">
        <f t="shared" ca="1" si="22"/>
        <v>0</v>
      </c>
      <c r="W92" s="57">
        <f t="shared" ca="1" si="27"/>
        <v>104.54750292934047</v>
      </c>
      <c r="X92">
        <f t="shared" ca="1" si="23"/>
        <v>119.64918047210419</v>
      </c>
      <c r="Y92">
        <f t="shared" ca="1" si="28"/>
        <v>443.49936839510258</v>
      </c>
      <c r="Z92">
        <f t="shared" ca="1" si="24"/>
        <v>0</v>
      </c>
      <c r="AA92">
        <f t="shared" ca="1" si="25"/>
        <v>0.99999849493916804</v>
      </c>
      <c r="AB92" s="85">
        <f ca="1"/>
        <v>45557</v>
      </c>
      <c r="AC92" s="57">
        <f t="shared" ca="1" si="29"/>
        <v>45557</v>
      </c>
      <c r="AD92" s="57">
        <f t="shared" ca="1" si="30"/>
        <v>19.781735815865218</v>
      </c>
      <c r="AE92" s="57">
        <f t="shared" ca="1" si="31"/>
        <v>31.392358691242801</v>
      </c>
      <c r="AF92" s="57">
        <f t="shared" ca="1" si="32"/>
        <v>0</v>
      </c>
    </row>
    <row r="93" spans="18:32" x14ac:dyDescent="0.25">
      <c r="R93" s="85">
        <f ca="1"/>
        <v>45432</v>
      </c>
      <c r="S93" s="57">
        <f t="shared" ca="1" si="26"/>
        <v>45432</v>
      </c>
      <c r="T93" s="57">
        <f t="shared" ca="1" si="20"/>
        <v>141.20355552119537</v>
      </c>
      <c r="U93" s="57">
        <f t="shared" ca="1" si="21"/>
        <v>109.731401315114</v>
      </c>
      <c r="V93" s="57">
        <f t="shared" ca="1" si="22"/>
        <v>0</v>
      </c>
      <c r="W93" s="57">
        <f t="shared" ca="1" si="27"/>
        <v>106.50084249112311</v>
      </c>
      <c r="X93">
        <f t="shared" ca="1" si="23"/>
        <v>120</v>
      </c>
      <c r="Y93">
        <f t="shared" ca="1" si="28"/>
        <v>447.86784247399567</v>
      </c>
      <c r="Z93">
        <f t="shared" ca="1" si="24"/>
        <v>0</v>
      </c>
      <c r="AA93">
        <f t="shared" ca="1" si="25"/>
        <v>0.99999876148765399</v>
      </c>
      <c r="AB93" s="85">
        <f ca="1"/>
        <v>45558</v>
      </c>
      <c r="AC93" s="57">
        <f t="shared" ca="1" si="29"/>
        <v>45558</v>
      </c>
      <c r="AD93" s="57">
        <f t="shared" ca="1" si="30"/>
        <v>18.147616519028986</v>
      </c>
      <c r="AE93" s="57">
        <f t="shared" ca="1" si="31"/>
        <v>32.606753194100499</v>
      </c>
      <c r="AF93" s="57">
        <f t="shared" ca="1" si="32"/>
        <v>0</v>
      </c>
    </row>
    <row r="94" spans="18:32" x14ac:dyDescent="0.25">
      <c r="R94" s="85">
        <f ca="1"/>
        <v>45433</v>
      </c>
      <c r="S94" s="57">
        <f t="shared" ca="1" si="26"/>
        <v>45433</v>
      </c>
      <c r="T94" s="57">
        <f t="shared" ca="1" si="20"/>
        <v>135.82875758925417</v>
      </c>
      <c r="U94" s="57">
        <f t="shared" ca="1" si="21"/>
        <v>111.951654759261</v>
      </c>
      <c r="V94" s="57">
        <f t="shared" ca="1" si="22"/>
        <v>0</v>
      </c>
      <c r="W94" s="57">
        <f t="shared" ca="1" si="27"/>
        <v>109.67085409140385</v>
      </c>
      <c r="X94">
        <f t="shared" ca="1" si="23"/>
        <v>120</v>
      </c>
      <c r="Y94">
        <f t="shared" ca="1" si="28"/>
        <v>455.2378303366005</v>
      </c>
      <c r="Z94">
        <f t="shared" ca="1" si="24"/>
        <v>0</v>
      </c>
      <c r="AA94">
        <f t="shared" ca="1" si="25"/>
        <v>0.999998955939153</v>
      </c>
      <c r="AB94" s="85">
        <f ca="1"/>
        <v>45559</v>
      </c>
      <c r="AC94" s="57">
        <f t="shared" ca="1" si="29"/>
        <v>45559</v>
      </c>
      <c r="AD94" s="57">
        <f t="shared" ca="1" si="30"/>
        <v>16.841740105005741</v>
      </c>
      <c r="AE94" s="57">
        <f t="shared" ca="1" si="31"/>
        <v>33.908980318446403</v>
      </c>
      <c r="AF94" s="57">
        <f t="shared" ca="1" si="32"/>
        <v>0</v>
      </c>
    </row>
    <row r="95" spans="18:32" x14ac:dyDescent="0.25">
      <c r="R95" s="85">
        <f ca="1"/>
        <v>45434</v>
      </c>
      <c r="S95" s="57">
        <f t="shared" ca="1" si="26"/>
        <v>45434</v>
      </c>
      <c r="T95" s="57">
        <f t="shared" ca="1" si="20"/>
        <v>130.51844013357453</v>
      </c>
      <c r="U95" s="57">
        <f t="shared" ca="1" si="21"/>
        <v>114.32607344868801</v>
      </c>
      <c r="V95" s="57">
        <f t="shared" ca="1" si="22"/>
        <v>0</v>
      </c>
      <c r="W95" s="57">
        <f t="shared" ca="1" si="27"/>
        <v>112.62302881399584</v>
      </c>
      <c r="X95">
        <f t="shared" ca="1" si="23"/>
        <v>120</v>
      </c>
      <c r="Y95">
        <f t="shared" ca="1" si="28"/>
        <v>462.38061951579283</v>
      </c>
      <c r="Z95">
        <f t="shared" ca="1" si="24"/>
        <v>0</v>
      </c>
      <c r="AA95">
        <f t="shared" ca="1" si="25"/>
        <v>0.99999912819303804</v>
      </c>
      <c r="AB95" s="85">
        <f ca="1"/>
        <v>45560</v>
      </c>
      <c r="AC95" s="57">
        <f t="shared" ca="1" si="29"/>
        <v>45560</v>
      </c>
      <c r="AD95" s="57">
        <f t="shared" ca="1" si="30"/>
        <v>15.567979936114918</v>
      </c>
      <c r="AE95" s="57">
        <f t="shared" ca="1" si="31"/>
        <v>35.203734480692297</v>
      </c>
      <c r="AF95" s="57">
        <f t="shared" ca="1" si="32"/>
        <v>0</v>
      </c>
    </row>
    <row r="96" spans="18:32" x14ac:dyDescent="0.25">
      <c r="R96" s="85">
        <f ca="1"/>
        <v>45435</v>
      </c>
      <c r="S96" s="57">
        <f t="shared" ca="1" si="26"/>
        <v>45435</v>
      </c>
      <c r="T96" s="57">
        <f t="shared" ca="1" si="20"/>
        <v>122.16544386929247</v>
      </c>
      <c r="U96" s="57">
        <f t="shared" ca="1" si="21"/>
        <v>116.785935084147</v>
      </c>
      <c r="V96" s="57">
        <f t="shared" ca="1" si="22"/>
        <v>0</v>
      </c>
      <c r="W96" s="57">
        <f t="shared" ca="1" si="27"/>
        <v>118.53274879399797</v>
      </c>
      <c r="X96">
        <f t="shared" ca="1" si="23"/>
        <v>120</v>
      </c>
      <c r="Y96">
        <f t="shared" ca="1" si="28"/>
        <v>477.65684905335871</v>
      </c>
      <c r="Z96">
        <f t="shared" ca="1" si="24"/>
        <v>0</v>
      </c>
      <c r="AA96">
        <f t="shared" ca="1" si="25"/>
        <v>0.99999927497476704</v>
      </c>
      <c r="AB96" s="85">
        <f ca="1"/>
        <v>45561</v>
      </c>
      <c r="AC96" s="57">
        <f t="shared" ca="1" si="29"/>
        <v>45561</v>
      </c>
      <c r="AD96" s="57">
        <f t="shared" ca="1" si="30"/>
        <v>14.213825119520768</v>
      </c>
      <c r="AE96" s="57">
        <f t="shared" ca="1" si="31"/>
        <v>36.578736464567903</v>
      </c>
      <c r="AF96" s="57">
        <f t="shared" ca="1" si="32"/>
        <v>0</v>
      </c>
    </row>
    <row r="97" spans="18:32" x14ac:dyDescent="0.25">
      <c r="R97" s="85">
        <f ca="1"/>
        <v>45436</v>
      </c>
      <c r="S97" s="57">
        <f t="shared" ca="1" si="26"/>
        <v>45436</v>
      </c>
      <c r="T97" s="57">
        <f t="shared" ca="1" si="20"/>
        <v>116.72109900917397</v>
      </c>
      <c r="U97" s="57">
        <f t="shared" ca="1" si="21"/>
        <v>119.22827860038301</v>
      </c>
      <c r="V97" s="57">
        <f t="shared" ca="1" si="22"/>
        <v>0</v>
      </c>
      <c r="W97" s="57">
        <f t="shared" ca="1" si="27"/>
        <v>121.55092454324486</v>
      </c>
      <c r="X97">
        <f t="shared" ca="1" si="23"/>
        <v>120</v>
      </c>
      <c r="Y97">
        <f t="shared" ca="1" si="28"/>
        <v>485.8225375144159</v>
      </c>
      <c r="Z97">
        <f t="shared" ca="1" si="24"/>
        <v>0</v>
      </c>
      <c r="AA97">
        <f t="shared" ca="1" si="25"/>
        <v>0.99999939484674305</v>
      </c>
      <c r="AB97" s="85">
        <f ca="1"/>
        <v>45562</v>
      </c>
      <c r="AC97" s="57">
        <f t="shared" ca="1" si="29"/>
        <v>45562</v>
      </c>
      <c r="AD97" s="57">
        <f t="shared" ca="1" si="30"/>
        <v>12.58933765452525</v>
      </c>
      <c r="AE97" s="57">
        <f t="shared" ca="1" si="31"/>
        <v>38.026983103762703</v>
      </c>
      <c r="AF97" s="57">
        <f t="shared" ca="1" si="32"/>
        <v>0</v>
      </c>
    </row>
    <row r="98" spans="18:32" x14ac:dyDescent="0.25">
      <c r="R98" s="85">
        <f ca="1"/>
        <v>45437</v>
      </c>
      <c r="S98" s="57">
        <f t="shared" ca="1" si="26"/>
        <v>45437</v>
      </c>
      <c r="T98" s="57">
        <f t="shared" ca="1" si="20"/>
        <v>108.41887211314294</v>
      </c>
      <c r="U98" s="57">
        <f t="shared" ca="1" si="21"/>
        <v>121.797156764326</v>
      </c>
      <c r="V98" s="57">
        <f t="shared" ca="1" si="22"/>
        <v>0</v>
      </c>
      <c r="W98" s="57">
        <f t="shared" ca="1" si="27"/>
        <v>127.30102189930977</v>
      </c>
      <c r="X98">
        <f t="shared" ca="1" si="23"/>
        <v>120</v>
      </c>
      <c r="Y98">
        <f t="shared" ca="1" si="28"/>
        <v>502.57073072389483</v>
      </c>
      <c r="Z98">
        <f t="shared" ca="1" si="24"/>
        <v>0</v>
      </c>
      <c r="AA98">
        <f t="shared" ca="1" si="25"/>
        <v>0.99999949842004998</v>
      </c>
      <c r="AB98" s="85">
        <f ca="1"/>
        <v>45563</v>
      </c>
      <c r="AC98" s="57">
        <f t="shared" ca="1" si="29"/>
        <v>45563</v>
      </c>
      <c r="AD98" s="57">
        <f t="shared" ca="1" si="30"/>
        <v>11.300540875272494</v>
      </c>
      <c r="AE98" s="57">
        <f t="shared" ca="1" si="31"/>
        <v>39.5571110618191</v>
      </c>
      <c r="AF98" s="57">
        <f t="shared" ca="1" si="32"/>
        <v>0</v>
      </c>
    </row>
    <row r="99" spans="18:32" x14ac:dyDescent="0.25">
      <c r="R99" s="85">
        <f ca="1"/>
        <v>45438</v>
      </c>
      <c r="S99" s="57">
        <f t="shared" ca="1" si="26"/>
        <v>45438</v>
      </c>
      <c r="T99" s="57">
        <f t="shared" ca="1" si="20"/>
        <v>103.69873006568591</v>
      </c>
      <c r="U99" s="57">
        <f t="shared" ca="1" si="21"/>
        <v>124.253871576221</v>
      </c>
      <c r="V99" s="57">
        <f t="shared" ca="1" si="22"/>
        <v>0</v>
      </c>
      <c r="W99" s="57">
        <f t="shared" ca="1" si="27"/>
        <v>129.58016519012293</v>
      </c>
      <c r="X99">
        <f t="shared" ca="1" si="23"/>
        <v>120</v>
      </c>
      <c r="Y99">
        <f t="shared" ca="1" si="28"/>
        <v>509.51131196149419</v>
      </c>
      <c r="Z99">
        <f t="shared" ca="1" si="24"/>
        <v>0</v>
      </c>
      <c r="AA99">
        <f t="shared" ca="1" si="25"/>
        <v>0.99999957994091504</v>
      </c>
      <c r="AB99" s="85">
        <f ca="1"/>
        <v>45564</v>
      </c>
      <c r="AC99" s="57">
        <f t="shared" ca="1" si="29"/>
        <v>45564</v>
      </c>
      <c r="AD99" s="57">
        <f t="shared" ca="1" si="30"/>
        <v>9.9639951532801359</v>
      </c>
      <c r="AE99" s="57">
        <f t="shared" ca="1" si="31"/>
        <v>41.115777966666499</v>
      </c>
      <c r="AF99" s="57">
        <f t="shared" ca="1" si="32"/>
        <v>0</v>
      </c>
    </row>
    <row r="100" spans="18:32" x14ac:dyDescent="0.25">
      <c r="R100" s="85">
        <f ca="1"/>
        <v>45439</v>
      </c>
      <c r="S100" s="57">
        <f t="shared" ca="1" si="26"/>
        <v>45439</v>
      </c>
      <c r="T100" s="57">
        <f t="shared" ca="1" si="20"/>
        <v>99.118843232026563</v>
      </c>
      <c r="U100" s="57">
        <f t="shared" ca="1" si="21"/>
        <v>126.671741519848</v>
      </c>
      <c r="V100" s="57">
        <f t="shared" ca="1" si="22"/>
        <v>0</v>
      </c>
      <c r="W100" s="57">
        <f t="shared" ca="1" si="27"/>
        <v>131.75739912526947</v>
      </c>
      <c r="X100">
        <f t="shared" ca="1" si="23"/>
        <v>120</v>
      </c>
      <c r="Y100">
        <f t="shared" ca="1" si="28"/>
        <v>516.44790984791075</v>
      </c>
      <c r="Z100">
        <f t="shared" ca="1" si="24"/>
        <v>0</v>
      </c>
      <c r="AA100">
        <f t="shared" ca="1" si="25"/>
        <v>0.99999964653529205</v>
      </c>
      <c r="AB100" s="85">
        <f ca="1"/>
        <v>45565</v>
      </c>
      <c r="AC100" s="57">
        <f t="shared" ca="1" si="29"/>
        <v>45565</v>
      </c>
      <c r="AD100" s="57">
        <f t="shared" ca="1" si="30"/>
        <v>8.9401373939610789</v>
      </c>
      <c r="AE100" s="57">
        <f t="shared" ca="1" si="31"/>
        <v>42.605480885212003</v>
      </c>
      <c r="AF100" s="57">
        <f t="shared" ca="1" si="32"/>
        <v>0</v>
      </c>
    </row>
    <row r="101" spans="18:32" x14ac:dyDescent="0.25">
      <c r="R101" s="85">
        <f ca="1"/>
        <v>45440</v>
      </c>
      <c r="S101" s="57">
        <f t="shared" ca="1" si="26"/>
        <v>45440</v>
      </c>
      <c r="T101" s="57">
        <f t="shared" ca="1" si="20"/>
        <v>94.106862395225988</v>
      </c>
      <c r="U101" s="57">
        <f t="shared" ca="1" si="21"/>
        <v>129.23925724486401</v>
      </c>
      <c r="V101" s="57">
        <f t="shared" ca="1" si="22"/>
        <v>0</v>
      </c>
      <c r="W101" s="57">
        <f t="shared" ca="1" si="27"/>
        <v>134.21777811135237</v>
      </c>
      <c r="X101">
        <f t="shared" ca="1" si="23"/>
        <v>120</v>
      </c>
      <c r="Y101">
        <f t="shared" ca="1" si="28"/>
        <v>524.70407486397255</v>
      </c>
      <c r="Z101">
        <f t="shared" ca="1" si="24"/>
        <v>0</v>
      </c>
      <c r="AA101">
        <f t="shared" ca="1" si="25"/>
        <v>0.99999970514038905</v>
      </c>
      <c r="AB101" s="85">
        <f ca="1"/>
        <v>45566</v>
      </c>
      <c r="AC101" s="57">
        <f t="shared" ca="1" si="29"/>
        <v>45566</v>
      </c>
      <c r="AD101" s="57">
        <f t="shared" ca="1" si="30"/>
        <v>8.0173292477295135</v>
      </c>
      <c r="AE101" s="57">
        <f t="shared" ca="1" si="31"/>
        <v>44.181795615255403</v>
      </c>
      <c r="AF101" s="57">
        <f t="shared" ca="1" si="32"/>
        <v>0</v>
      </c>
    </row>
    <row r="102" spans="18:32" x14ac:dyDescent="0.25">
      <c r="R102" s="85">
        <f ca="1"/>
        <v>45441</v>
      </c>
      <c r="S102" s="57">
        <f t="shared" ca="1" si="26"/>
        <v>45441</v>
      </c>
      <c r="T102" s="57">
        <f t="shared" ca="1" si="20"/>
        <v>90.531642281901043</v>
      </c>
      <c r="U102" s="57">
        <f t="shared" ca="1" si="21"/>
        <v>131.56032312948599</v>
      </c>
      <c r="V102" s="57">
        <f t="shared" ca="1" si="22"/>
        <v>0</v>
      </c>
      <c r="W102" s="57">
        <f t="shared" ca="1" si="27"/>
        <v>135.48610313800697</v>
      </c>
      <c r="X102">
        <f t="shared" ca="1" si="23"/>
        <v>120</v>
      </c>
      <c r="Y102">
        <f t="shared" ca="1" si="28"/>
        <v>529.12820417978241</v>
      </c>
      <c r="Z102">
        <f t="shared" ca="1" si="24"/>
        <v>0</v>
      </c>
      <c r="AA102">
        <f t="shared" ca="1" si="25"/>
        <v>0.99999974928705404</v>
      </c>
      <c r="AB102" s="85">
        <f ca="1"/>
        <v>45567</v>
      </c>
      <c r="AC102" s="57">
        <f t="shared" ca="1" si="29"/>
        <v>45567</v>
      </c>
      <c r="AD102" s="57">
        <f t="shared" ca="1" si="30"/>
        <v>7.1280995907392519</v>
      </c>
      <c r="AE102" s="57">
        <f t="shared" ca="1" si="31"/>
        <v>45.924328395763801</v>
      </c>
      <c r="AF102" s="57">
        <f t="shared" ca="1" si="32"/>
        <v>0</v>
      </c>
    </row>
    <row r="103" spans="18:32" x14ac:dyDescent="0.25">
      <c r="R103" s="85">
        <f ca="1"/>
        <v>45442</v>
      </c>
      <c r="S103" s="57">
        <f t="shared" ca="1" si="26"/>
        <v>45442</v>
      </c>
      <c r="T103" s="57">
        <f t="shared" ca="1" si="20"/>
        <v>84.836381225599141</v>
      </c>
      <c r="U103" s="57">
        <f t="shared" ca="1" si="21"/>
        <v>133.916750700796</v>
      </c>
      <c r="V103" s="57">
        <f t="shared" ca="1" si="22"/>
        <v>0</v>
      </c>
      <c r="W103" s="57">
        <f t="shared" ca="1" si="27"/>
        <v>138.83911361398933</v>
      </c>
      <c r="X103">
        <f t="shared" ca="1" si="23"/>
        <v>120</v>
      </c>
      <c r="Y103">
        <f t="shared" ca="1" si="28"/>
        <v>541.60923411259398</v>
      </c>
      <c r="Z103">
        <f t="shared" ca="1" si="24"/>
        <v>0</v>
      </c>
      <c r="AA103">
        <f t="shared" ca="1" si="25"/>
        <v>0.99999978701777503</v>
      </c>
      <c r="AB103" s="85">
        <f ca="1"/>
        <v>45568</v>
      </c>
      <c r="AC103" s="57">
        <f t="shared" ca="1" si="29"/>
        <v>45568</v>
      </c>
      <c r="AD103" s="57">
        <f t="shared" ca="1" si="30"/>
        <v>6.4304380112187571</v>
      </c>
      <c r="AE103" s="57">
        <f t="shared" ca="1" si="31"/>
        <v>47.574336157748299</v>
      </c>
      <c r="AF103" s="57">
        <f t="shared" ca="1" si="32"/>
        <v>0</v>
      </c>
    </row>
    <row r="104" spans="18:32" x14ac:dyDescent="0.25">
      <c r="R104" s="85">
        <f ca="1"/>
        <v>45443</v>
      </c>
      <c r="S104" s="57">
        <f t="shared" ca="1" si="26"/>
        <v>45443</v>
      </c>
      <c r="T104" s="57">
        <f t="shared" ca="1" si="20"/>
        <v>80.851329296506179</v>
      </c>
      <c r="U104" s="57">
        <f t="shared" ca="1" si="21"/>
        <v>136.365802533238</v>
      </c>
      <c r="V104" s="57">
        <f t="shared" ca="1" si="22"/>
        <v>0</v>
      </c>
      <c r="W104" s="57">
        <f t="shared" ca="1" si="27"/>
        <v>140.3896240010142</v>
      </c>
      <c r="X104">
        <f t="shared" ca="1" si="23"/>
        <v>120</v>
      </c>
      <c r="Y104">
        <f t="shared" ca="1" si="28"/>
        <v>547.66522432723661</v>
      </c>
      <c r="Z104">
        <f t="shared" ca="1" si="24"/>
        <v>0</v>
      </c>
      <c r="AA104">
        <f t="shared" ca="1" si="25"/>
        <v>0.99999981994129805</v>
      </c>
      <c r="AB104" s="85">
        <f ca="1"/>
        <v>45569</v>
      </c>
      <c r="AC104" s="57">
        <f t="shared" ca="1" si="29"/>
        <v>45569</v>
      </c>
      <c r="AD104" s="57">
        <f t="shared" ca="1" si="30"/>
        <v>5.7838753506101801</v>
      </c>
      <c r="AE104" s="57">
        <f t="shared" ca="1" si="31"/>
        <v>49.255539367773501</v>
      </c>
      <c r="AF104" s="57">
        <f t="shared" ca="1" si="32"/>
        <v>0</v>
      </c>
    </row>
    <row r="105" spans="18:32" x14ac:dyDescent="0.25">
      <c r="R105" s="85">
        <f ca="1"/>
        <v>45444</v>
      </c>
      <c r="S105" s="57">
        <f t="shared" ca="1" si="26"/>
        <v>45444</v>
      </c>
      <c r="T105" s="57">
        <f t="shared" ca="1" si="20"/>
        <v>76.69225156614732</v>
      </c>
      <c r="U105" s="57">
        <f t="shared" ca="1" si="21"/>
        <v>138.83546578654301</v>
      </c>
      <c r="V105" s="57">
        <f t="shared" ca="1" si="22"/>
        <v>0</v>
      </c>
      <c r="W105" s="57">
        <f t="shared" ca="1" si="27"/>
        <v>142.09345908715065</v>
      </c>
      <c r="X105">
        <f t="shared" ca="1" si="23"/>
        <v>120</v>
      </c>
      <c r="Y105">
        <f t="shared" ca="1" si="28"/>
        <v>554.68096808371831</v>
      </c>
      <c r="Z105">
        <f t="shared" ca="1" si="24"/>
        <v>0</v>
      </c>
      <c r="AA105">
        <f t="shared" ca="1" si="25"/>
        <v>0.99999984775409601</v>
      </c>
      <c r="AB105" s="85">
        <f ca="1"/>
        <v>45570</v>
      </c>
      <c r="AC105" s="57">
        <f t="shared" ca="1" si="29"/>
        <v>45570</v>
      </c>
      <c r="AD105" s="57">
        <f t="shared" ca="1" si="30"/>
        <v>5.2199821968551632</v>
      </c>
      <c r="AE105" s="57">
        <f t="shared" ca="1" si="31"/>
        <v>50.965679913861401</v>
      </c>
      <c r="AF105" s="57">
        <f t="shared" ca="1" si="32"/>
        <v>0</v>
      </c>
    </row>
    <row r="106" spans="18:32" x14ac:dyDescent="0.25">
      <c r="R106" s="85">
        <f ca="1"/>
        <v>45445</v>
      </c>
      <c r="S106" s="57">
        <f t="shared" ca="1" si="26"/>
        <v>45445</v>
      </c>
      <c r="T106" s="57">
        <f t="shared" ca="1" si="20"/>
        <v>73.268270387821488</v>
      </c>
      <c r="U106" s="57">
        <f t="shared" ca="1" si="21"/>
        <v>141.303192765007</v>
      </c>
      <c r="V106" s="57">
        <f t="shared" ca="1" si="22"/>
        <v>0</v>
      </c>
      <c r="W106" s="57">
        <f t="shared" ca="1" si="27"/>
        <v>143.06392024815867</v>
      </c>
      <c r="X106">
        <f t="shared" ca="1" si="23"/>
        <v>120</v>
      </c>
      <c r="Y106">
        <f t="shared" ca="1" si="28"/>
        <v>558.86369844767444</v>
      </c>
      <c r="Z106">
        <f t="shared" ca="1" si="24"/>
        <v>0</v>
      </c>
      <c r="AA106">
        <f t="shared" ca="1" si="25"/>
        <v>0.99999987106354304</v>
      </c>
      <c r="AB106" s="85">
        <f ca="1"/>
        <v>45571</v>
      </c>
      <c r="AC106" s="57">
        <f t="shared" ca="1" si="29"/>
        <v>45571</v>
      </c>
      <c r="AD106" s="57">
        <f t="shared" ca="1" si="30"/>
        <v>4.7126741367344556</v>
      </c>
      <c r="AE106" s="57">
        <f t="shared" ca="1" si="31"/>
        <v>52.757645324426399</v>
      </c>
      <c r="AF106" s="57">
        <f t="shared" ca="1" si="32"/>
        <v>0</v>
      </c>
    </row>
    <row r="107" spans="18:32" x14ac:dyDescent="0.25">
      <c r="R107" s="85">
        <f ca="1"/>
        <v>45446</v>
      </c>
      <c r="S107" s="57">
        <f t="shared" ca="1" si="26"/>
        <v>45446</v>
      </c>
      <c r="T107" s="57">
        <f t="shared" ca="1" si="20"/>
        <v>69.189144528595634</v>
      </c>
      <c r="U107" s="57">
        <f t="shared" ca="1" si="21"/>
        <v>144.057127774111</v>
      </c>
      <c r="V107" s="57">
        <f t="shared" ca="1" si="22"/>
        <v>0</v>
      </c>
      <c r="W107" s="57">
        <f t="shared" ca="1" si="27"/>
        <v>144.40474652014638</v>
      </c>
      <c r="X107">
        <f t="shared" ca="1" si="23"/>
        <v>120</v>
      </c>
      <c r="Y107">
        <f t="shared" ca="1" si="28"/>
        <v>564.98342757018088</v>
      </c>
      <c r="Z107">
        <f t="shared" ca="1" si="24"/>
        <v>0</v>
      </c>
      <c r="AA107">
        <f t="shared" ca="1" si="25"/>
        <v>0.99999989271192202</v>
      </c>
      <c r="AB107" s="85">
        <f ca="1"/>
        <v>45572</v>
      </c>
      <c r="AC107" s="57">
        <f t="shared" ca="1" si="29"/>
        <v>45572</v>
      </c>
      <c r="AD107" s="57">
        <f t="shared" ca="1" si="30"/>
        <v>4.189364768534281</v>
      </c>
      <c r="AE107" s="57">
        <f t="shared" ca="1" si="31"/>
        <v>54.547792922576498</v>
      </c>
      <c r="AF107" s="57">
        <f t="shared" ca="1" si="32"/>
        <v>0</v>
      </c>
    </row>
    <row r="108" spans="18:32" x14ac:dyDescent="0.25">
      <c r="R108" s="85">
        <f ca="1"/>
        <v>45447</v>
      </c>
      <c r="S108" s="57">
        <f t="shared" ca="1" si="26"/>
        <v>45447</v>
      </c>
      <c r="T108" s="57">
        <f t="shared" ca="1" si="20"/>
        <v>64.234128587519251</v>
      </c>
      <c r="U108" s="57">
        <f t="shared" ca="1" si="21"/>
        <v>146.76905913053901</v>
      </c>
      <c r="V108" s="57">
        <f t="shared" ca="1" si="22"/>
        <v>0</v>
      </c>
      <c r="W108" s="57">
        <f t="shared" ca="1" si="27"/>
        <v>146.66298426433426</v>
      </c>
      <c r="X108">
        <f t="shared" ca="1" si="23"/>
        <v>120</v>
      </c>
      <c r="Y108">
        <f t="shared" ca="1" si="28"/>
        <v>576.08543400153258</v>
      </c>
      <c r="Z108">
        <f t="shared" ca="1" si="24"/>
        <v>0</v>
      </c>
      <c r="AA108">
        <f t="shared" ca="1" si="25"/>
        <v>0.99999991033131796</v>
      </c>
      <c r="AB108" s="85">
        <f ca="1"/>
        <v>45573</v>
      </c>
      <c r="AC108" s="57">
        <f t="shared" ca="1" si="29"/>
        <v>45573</v>
      </c>
      <c r="AD108" s="57">
        <f t="shared" ca="1" si="30"/>
        <v>3.7666860021672459</v>
      </c>
      <c r="AE108" s="57">
        <f t="shared" ca="1" si="31"/>
        <v>56.320594500079999</v>
      </c>
      <c r="AF108" s="57">
        <f t="shared" ca="1" si="32"/>
        <v>0</v>
      </c>
    </row>
    <row r="109" spans="18:32" x14ac:dyDescent="0.25">
      <c r="R109" s="85">
        <f ca="1"/>
        <v>45448</v>
      </c>
      <c r="S109" s="57">
        <f t="shared" ca="1" si="26"/>
        <v>45448</v>
      </c>
      <c r="T109" s="57">
        <f t="shared" ca="1" si="20"/>
        <v>58.864925131906375</v>
      </c>
      <c r="U109" s="57">
        <f t="shared" ca="1" si="21"/>
        <v>149.471776130954</v>
      </c>
      <c r="V109" s="57">
        <f t="shared" ca="1" si="22"/>
        <v>0</v>
      </c>
      <c r="W109" s="57">
        <f t="shared" ca="1" si="27"/>
        <v>149.34434905960322</v>
      </c>
      <c r="X109">
        <f t="shared" ca="1" si="23"/>
        <v>120</v>
      </c>
      <c r="Y109">
        <f t="shared" ca="1" si="28"/>
        <v>590.47000640277042</v>
      </c>
      <c r="Z109">
        <f t="shared" ca="1" si="24"/>
        <v>0</v>
      </c>
      <c r="AA109">
        <f t="shared" ca="1" si="25"/>
        <v>0.99999992489975598</v>
      </c>
      <c r="AB109" s="85">
        <f ca="1"/>
        <v>45574</v>
      </c>
      <c r="AC109" s="57">
        <f t="shared" ca="1" si="29"/>
        <v>45574</v>
      </c>
      <c r="AD109" s="57">
        <f t="shared" ca="1" si="30"/>
        <v>3.3764782537247524</v>
      </c>
      <c r="AE109" s="57">
        <f t="shared" ca="1" si="31"/>
        <v>58.092620198403097</v>
      </c>
      <c r="AF109" s="57">
        <f t="shared" ca="1" si="32"/>
        <v>0</v>
      </c>
    </row>
    <row r="110" spans="18:32" x14ac:dyDescent="0.25">
      <c r="R110" s="85">
        <f ca="1"/>
        <v>45449</v>
      </c>
      <c r="S110" s="57">
        <f t="shared" ca="1" si="26"/>
        <v>45449</v>
      </c>
      <c r="T110" s="57">
        <f t="shared" ca="1" si="20"/>
        <v>55.119713493578395</v>
      </c>
      <c r="U110" s="57">
        <f t="shared" ca="1" si="21"/>
        <v>152.170151845162</v>
      </c>
      <c r="V110" s="57">
        <f t="shared" ca="1" si="22"/>
        <v>0</v>
      </c>
      <c r="W110" s="57">
        <f t="shared" ca="1" si="27"/>
        <v>150.40582716379791</v>
      </c>
      <c r="X110">
        <f t="shared" ca="1" si="23"/>
        <v>120</v>
      </c>
      <c r="Y110">
        <f t="shared" ca="1" si="28"/>
        <v>596.55138075334662</v>
      </c>
      <c r="Z110">
        <f t="shared" ca="1" si="24"/>
        <v>0</v>
      </c>
      <c r="AA110">
        <f t="shared" ca="1" si="25"/>
        <v>0.99999993699559797</v>
      </c>
      <c r="AB110" s="85">
        <f ca="1"/>
        <v>45575</v>
      </c>
      <c r="AC110" s="57">
        <f t="shared" ca="1" si="29"/>
        <v>45575</v>
      </c>
      <c r="AD110" s="57">
        <f t="shared" ca="1" si="30"/>
        <v>3.0193238394067961</v>
      </c>
      <c r="AE110" s="57">
        <f t="shared" ca="1" si="31"/>
        <v>60.080188566826699</v>
      </c>
      <c r="AF110" s="57">
        <f t="shared" ca="1" si="32"/>
        <v>0</v>
      </c>
    </row>
    <row r="111" spans="18:32" x14ac:dyDescent="0.25">
      <c r="R111" s="85">
        <f ca="1"/>
        <v>45450</v>
      </c>
      <c r="S111" s="57">
        <f t="shared" ca="1" si="26"/>
        <v>45450</v>
      </c>
      <c r="T111" s="57">
        <f t="shared" ca="1" si="20"/>
        <v>51.996162474537769</v>
      </c>
      <c r="U111" s="57">
        <f t="shared" ca="1" si="21"/>
        <v>154.66071683075799</v>
      </c>
      <c r="V111" s="57">
        <f t="shared" ca="1" si="22"/>
        <v>0</v>
      </c>
      <c r="W111" s="57">
        <f t="shared" ca="1" si="27"/>
        <v>151.05216663471941</v>
      </c>
      <c r="X111">
        <f t="shared" ca="1" si="23"/>
        <v>120</v>
      </c>
      <c r="Y111">
        <f t="shared" ca="1" si="28"/>
        <v>600.47680893169695</v>
      </c>
      <c r="Z111">
        <f t="shared" ca="1" si="24"/>
        <v>0</v>
      </c>
      <c r="AA111">
        <f t="shared" ca="1" si="25"/>
        <v>0.99999994636119505</v>
      </c>
      <c r="AB111" s="85">
        <f ca="1"/>
        <v>45576</v>
      </c>
      <c r="AC111" s="57">
        <f t="shared" ca="1" si="29"/>
        <v>45576</v>
      </c>
      <c r="AD111" s="57">
        <f t="shared" ca="1" si="30"/>
        <v>2.7273406997854694</v>
      </c>
      <c r="AE111" s="57">
        <f t="shared" ca="1" si="31"/>
        <v>62.119986308253402</v>
      </c>
      <c r="AF111" s="57">
        <f t="shared" ca="1" si="32"/>
        <v>0</v>
      </c>
    </row>
    <row r="112" spans="18:32" x14ac:dyDescent="0.25">
      <c r="R112" s="85">
        <f ca="1"/>
        <v>45451</v>
      </c>
      <c r="S112" s="57">
        <f t="shared" ca="1" si="26"/>
        <v>45451</v>
      </c>
      <c r="T112" s="57">
        <f t="shared" ca="1" si="20"/>
        <v>48.980452897605261</v>
      </c>
      <c r="U112" s="57">
        <f t="shared" ca="1" si="21"/>
        <v>157.14145522368699</v>
      </c>
      <c r="V112" s="57">
        <f t="shared" ca="1" si="22"/>
        <v>0</v>
      </c>
      <c r="W112" s="57">
        <f t="shared" ca="1" si="27"/>
        <v>151.60027958994201</v>
      </c>
      <c r="X112">
        <f t="shared" ca="1" si="23"/>
        <v>120</v>
      </c>
      <c r="Y112">
        <f t="shared" ca="1" si="28"/>
        <v>604.01063296576797</v>
      </c>
      <c r="Z112">
        <f t="shared" ca="1" si="24"/>
        <v>0</v>
      </c>
      <c r="AA112">
        <f t="shared" ca="1" si="25"/>
        <v>0.99999995425788102</v>
      </c>
      <c r="AB112" s="85">
        <f ca="1"/>
        <v>45577</v>
      </c>
      <c r="AC112" s="57">
        <f t="shared" ca="1" si="29"/>
        <v>45577</v>
      </c>
      <c r="AD112" s="57">
        <f t="shared" ca="1" si="30"/>
        <v>2.4482658577867156</v>
      </c>
      <c r="AE112" s="57">
        <f t="shared" ca="1" si="31"/>
        <v>64.122575482557707</v>
      </c>
      <c r="AF112" s="57">
        <f t="shared" ca="1" si="32"/>
        <v>0</v>
      </c>
    </row>
    <row r="113" spans="18:32" x14ac:dyDescent="0.25">
      <c r="R113" s="85">
        <f ca="1"/>
        <v>45452</v>
      </c>
      <c r="S113" s="57">
        <f t="shared" ca="1" si="26"/>
        <v>45452</v>
      </c>
      <c r="T113" s="57">
        <f t="shared" ca="1" si="20"/>
        <v>44.274914520371745</v>
      </c>
      <c r="U113" s="57">
        <f t="shared" ca="1" si="21"/>
        <v>160.010505146203</v>
      </c>
      <c r="V113" s="57">
        <f t="shared" ca="1" si="22"/>
        <v>0</v>
      </c>
      <c r="W113" s="57">
        <f t="shared" ca="1" si="27"/>
        <v>153.4517559218709</v>
      </c>
      <c r="X113">
        <f t="shared" ca="1" si="23"/>
        <v>120</v>
      </c>
      <c r="Y113">
        <f t="shared" ca="1" si="28"/>
        <v>617.21623127651299</v>
      </c>
      <c r="Z113">
        <f t="shared" ca="1" si="24"/>
        <v>0</v>
      </c>
      <c r="AA113">
        <f t="shared" ca="1" si="25"/>
        <v>0.99999996190600704</v>
      </c>
      <c r="AB113" s="85">
        <f ca="1"/>
        <v>45578</v>
      </c>
      <c r="AC113" s="57">
        <f t="shared" ca="1" si="29"/>
        <v>45578</v>
      </c>
      <c r="AD113" s="57">
        <f t="shared" ca="1" si="30"/>
        <v>2.1905700563152095</v>
      </c>
      <c r="AE113" s="57">
        <f t="shared" ca="1" si="31"/>
        <v>66.262454887764093</v>
      </c>
      <c r="AF113" s="57">
        <f t="shared" ca="1" si="32"/>
        <v>0</v>
      </c>
    </row>
    <row r="114" spans="18:32" x14ac:dyDescent="0.25">
      <c r="R114" s="85">
        <f ca="1"/>
        <v>45453</v>
      </c>
      <c r="S114" s="57">
        <f t="shared" ca="1" si="26"/>
        <v>45453</v>
      </c>
      <c r="T114" s="57">
        <f t="shared" ca="1" si="20"/>
        <v>38.950394745450907</v>
      </c>
      <c r="U114" s="57">
        <f t="shared" ca="1" si="21"/>
        <v>162.89766020309301</v>
      </c>
      <c r="V114" s="57">
        <f t="shared" ca="1" si="22"/>
        <v>0</v>
      </c>
      <c r="W114" s="57">
        <f t="shared" ca="1" si="27"/>
        <v>155.90399654051345</v>
      </c>
      <c r="X114">
        <f t="shared" ca="1" si="23"/>
        <v>120</v>
      </c>
      <c r="Y114">
        <f t="shared" ca="1" si="28"/>
        <v>637.09771846987746</v>
      </c>
      <c r="Z114">
        <f t="shared" ca="1" si="24"/>
        <v>0</v>
      </c>
      <c r="AA114">
        <f t="shared" ca="1" si="25"/>
        <v>0.99999996827293802</v>
      </c>
      <c r="AB114" s="85">
        <f ca="1"/>
        <v>45579</v>
      </c>
      <c r="AC114" s="57">
        <f t="shared" ca="1" si="29"/>
        <v>45579</v>
      </c>
      <c r="AD114" s="57">
        <f t="shared" ca="1" si="30"/>
        <v>1.9562449262968535</v>
      </c>
      <c r="AE114" s="57">
        <f t="shared" ca="1" si="31"/>
        <v>68.419759804547397</v>
      </c>
      <c r="AF114" s="57">
        <f t="shared" ca="1" si="32"/>
        <v>0</v>
      </c>
    </row>
    <row r="115" spans="18:32" x14ac:dyDescent="0.25">
      <c r="R115" s="85">
        <f ca="1"/>
        <v>45454</v>
      </c>
      <c r="S115" s="57">
        <f t="shared" ca="1" si="26"/>
        <v>45454</v>
      </c>
      <c r="T115" s="57">
        <f t="shared" ca="1" si="20"/>
        <v>35.621138247572475</v>
      </c>
      <c r="U115" s="57">
        <f t="shared" ca="1" si="21"/>
        <v>166.05508910575799</v>
      </c>
      <c r="V115" s="57">
        <f t="shared" ca="1" si="22"/>
        <v>0</v>
      </c>
      <c r="W115" s="57">
        <f t="shared" ca="1" si="27"/>
        <v>156.091951128999</v>
      </c>
      <c r="X115">
        <f t="shared" ca="1" si="23"/>
        <v>120</v>
      </c>
      <c r="Y115">
        <f t="shared" ca="1" si="28"/>
        <v>638.76397854730294</v>
      </c>
      <c r="Z115">
        <f t="shared" ca="1" si="24"/>
        <v>0</v>
      </c>
      <c r="AA115">
        <f t="shared" ca="1" si="25"/>
        <v>0.99999997399027296</v>
      </c>
      <c r="AB115" s="85">
        <f ca="1"/>
        <v>45580</v>
      </c>
      <c r="AC115" s="57">
        <f t="shared" ca="1" si="29"/>
        <v>45580</v>
      </c>
      <c r="AD115" s="57">
        <f t="shared" ca="1" si="30"/>
        <v>1.7744614091155952</v>
      </c>
      <c r="AE115" s="57">
        <f t="shared" ca="1" si="31"/>
        <v>70.542651174005698</v>
      </c>
      <c r="AF115" s="57">
        <f t="shared" ca="1" si="32"/>
        <v>0</v>
      </c>
    </row>
    <row r="116" spans="18:32" x14ac:dyDescent="0.25">
      <c r="R116" s="85">
        <f ca="1"/>
        <v>45455</v>
      </c>
      <c r="S116" s="57">
        <f t="shared" ca="1" si="26"/>
        <v>45455</v>
      </c>
      <c r="T116" s="57">
        <f t="shared" ca="1" si="20"/>
        <v>31.368421605392424</v>
      </c>
      <c r="U116" s="57">
        <f t="shared" ca="1" si="21"/>
        <v>168.87042837382</v>
      </c>
      <c r="V116" s="57">
        <f t="shared" ca="1" si="22"/>
        <v>0</v>
      </c>
      <c r="W116" s="57">
        <f t="shared" ca="1" si="27"/>
        <v>157.54342575917855</v>
      </c>
      <c r="X116">
        <f t="shared" ca="1" si="23"/>
        <v>120</v>
      </c>
      <c r="Y116">
        <f t="shared" ca="1" si="28"/>
        <v>653.37613899631913</v>
      </c>
      <c r="Z116">
        <f t="shared" ca="1" si="24"/>
        <v>0</v>
      </c>
      <c r="AA116">
        <f t="shared" ca="1" si="25"/>
        <v>0.99999997819014796</v>
      </c>
      <c r="AB116" s="85">
        <f ca="1"/>
        <v>45581</v>
      </c>
      <c r="AC116" s="57">
        <f t="shared" ca="1" si="29"/>
        <v>45581</v>
      </c>
      <c r="AD116" s="57">
        <f t="shared" ca="1" si="30"/>
        <v>1.602841651314258</v>
      </c>
      <c r="AE116" s="57">
        <f t="shared" ca="1" si="31"/>
        <v>72.811947807344197</v>
      </c>
      <c r="AF116" s="57">
        <f t="shared" ca="1" si="32"/>
        <v>0</v>
      </c>
    </row>
    <row r="117" spans="18:32" x14ac:dyDescent="0.25">
      <c r="R117" s="85">
        <f ca="1"/>
        <v>45456</v>
      </c>
      <c r="S117" s="57">
        <f t="shared" ca="1" si="26"/>
        <v>45456</v>
      </c>
      <c r="T117" s="57">
        <f t="shared" ca="1" si="20"/>
        <v>28.434986787997314</v>
      </c>
      <c r="U117" s="57">
        <f t="shared" ca="1" si="21"/>
        <v>171.603706182396</v>
      </c>
      <c r="V117" s="57">
        <f t="shared" ca="1" si="22"/>
        <v>0</v>
      </c>
      <c r="W117" s="57">
        <f t="shared" ca="1" si="27"/>
        <v>157.75710212621138</v>
      </c>
      <c r="X117">
        <f t="shared" ca="1" si="23"/>
        <v>120</v>
      </c>
      <c r="Y117">
        <f t="shared" ca="1" si="28"/>
        <v>655.74915741855841</v>
      </c>
      <c r="Z117">
        <f t="shared" ca="1" si="24"/>
        <v>0</v>
      </c>
      <c r="AA117">
        <f t="shared" ca="1" si="25"/>
        <v>0.99999998160152404</v>
      </c>
      <c r="AB117" s="85">
        <f ca="1"/>
        <v>45582</v>
      </c>
      <c r="AC117" s="57">
        <f t="shared" ca="1" si="29"/>
        <v>45582</v>
      </c>
      <c r="AD117" s="57">
        <f t="shared" ca="1" si="30"/>
        <v>1.4432014225379188</v>
      </c>
      <c r="AE117" s="57">
        <f t="shared" ca="1" si="31"/>
        <v>75.064445692460495</v>
      </c>
      <c r="AF117" s="57">
        <f t="shared" ca="1" si="32"/>
        <v>0</v>
      </c>
    </row>
    <row r="118" spans="18:32" x14ac:dyDescent="0.25">
      <c r="R118" s="85">
        <f ca="1"/>
        <v>45457</v>
      </c>
      <c r="S118" s="57">
        <f t="shared" ca="1" si="26"/>
        <v>45457</v>
      </c>
      <c r="T118" s="57">
        <f t="shared" ca="1" si="20"/>
        <v>25.582559381987842</v>
      </c>
      <c r="U118" s="57">
        <f t="shared" ca="1" si="21"/>
        <v>174.05007290167799</v>
      </c>
      <c r="V118" s="57">
        <f t="shared" ca="1" si="22"/>
        <v>0</v>
      </c>
      <c r="W118" s="57">
        <f t="shared" ca="1" si="27"/>
        <v>158.17519139065882</v>
      </c>
      <c r="X118">
        <f t="shared" ca="1" si="23"/>
        <v>120</v>
      </c>
      <c r="Y118">
        <f t="shared" ca="1" si="28"/>
        <v>660.91002450779263</v>
      </c>
      <c r="Z118">
        <f t="shared" ca="1" si="24"/>
        <v>0</v>
      </c>
      <c r="AA118">
        <f t="shared" ca="1" si="25"/>
        <v>0.99999998418896696</v>
      </c>
      <c r="AB118" s="85">
        <f ca="1"/>
        <v>45583</v>
      </c>
      <c r="AC118" s="57">
        <f t="shared" ca="1" si="29"/>
        <v>45583</v>
      </c>
      <c r="AD118" s="57">
        <f t="shared" ca="1" si="30"/>
        <v>1.3123437181737518</v>
      </c>
      <c r="AE118" s="57">
        <f t="shared" ca="1" si="31"/>
        <v>77.235007179035307</v>
      </c>
      <c r="AF118" s="57">
        <f t="shared" ca="1" si="32"/>
        <v>0</v>
      </c>
    </row>
    <row r="119" spans="18:32" x14ac:dyDescent="0.25">
      <c r="R119" s="85">
        <f ca="1"/>
        <v>45458</v>
      </c>
      <c r="S119" s="57">
        <f t="shared" ca="1" si="26"/>
        <v>45458</v>
      </c>
      <c r="T119" s="57">
        <f t="shared" ca="1" si="20"/>
        <v>22.543126253138006</v>
      </c>
      <c r="U119" s="57">
        <f t="shared" ca="1" si="21"/>
        <v>176.80473511354199</v>
      </c>
      <c r="V119" s="57">
        <f t="shared" ca="1" si="22"/>
        <v>0</v>
      </c>
      <c r="W119" s="57">
        <f t="shared" ca="1" si="27"/>
        <v>158.66836520823566</v>
      </c>
      <c r="X119">
        <f t="shared" ca="1" si="23"/>
        <v>120</v>
      </c>
      <c r="Y119">
        <f t="shared" ca="1" si="28"/>
        <v>667.81852062934286</v>
      </c>
      <c r="Z119">
        <f t="shared" ca="1" si="24"/>
        <v>0</v>
      </c>
      <c r="AA119">
        <f t="shared" ca="1" si="25"/>
        <v>0.99999998666017498</v>
      </c>
      <c r="AB119" s="85">
        <f ca="1"/>
        <v>45584</v>
      </c>
      <c r="AC119" s="57">
        <f t="shared" ca="1" si="29"/>
        <v>45584</v>
      </c>
      <c r="AD119" s="57">
        <f t="shared" ca="1" si="30"/>
        <v>1.1951523652411853</v>
      </c>
      <c r="AE119" s="57">
        <f t="shared" ca="1" si="31"/>
        <v>79.5174834674376</v>
      </c>
      <c r="AF119" s="57">
        <f t="shared" ca="1" si="32"/>
        <v>0</v>
      </c>
    </row>
    <row r="120" spans="18:32" x14ac:dyDescent="0.25">
      <c r="R120" s="85">
        <f ca="1"/>
        <v>45459</v>
      </c>
      <c r="S120" s="57">
        <f t="shared" ca="1" si="26"/>
        <v>45459</v>
      </c>
      <c r="T120" s="57">
        <f t="shared" ca="1" si="20"/>
        <v>19.897266270459859</v>
      </c>
      <c r="U120" s="57">
        <f t="shared" ca="1" si="21"/>
        <v>179.59903669220799</v>
      </c>
      <c r="V120" s="57">
        <f t="shared" ca="1" si="22"/>
        <v>0</v>
      </c>
      <c r="W120" s="57">
        <f t="shared" ca="1" si="27"/>
        <v>159.07194508938923</v>
      </c>
      <c r="X120">
        <f t="shared" ca="1" si="23"/>
        <v>120</v>
      </c>
      <c r="Y120">
        <f t="shared" ca="1" si="28"/>
        <v>674.22373612611875</v>
      </c>
      <c r="Z120">
        <f t="shared" ca="1" si="24"/>
        <v>0</v>
      </c>
      <c r="AA120">
        <f t="shared" ca="1" si="25"/>
        <v>0.999999988764804</v>
      </c>
      <c r="AB120" s="85">
        <f ca="1"/>
        <v>45585</v>
      </c>
      <c r="AC120" s="57">
        <f t="shared" ca="1" si="29"/>
        <v>45585</v>
      </c>
      <c r="AD120" s="57">
        <f t="shared" ca="1" si="30"/>
        <v>1.0894056004073733</v>
      </c>
      <c r="AE120" s="57">
        <f t="shared" ca="1" si="31"/>
        <v>81.786342172988199</v>
      </c>
      <c r="AF120" s="57">
        <f t="shared" ca="1" si="32"/>
        <v>0</v>
      </c>
    </row>
    <row r="121" spans="18:32" x14ac:dyDescent="0.25">
      <c r="R121" s="85">
        <f ca="1"/>
        <v>45460</v>
      </c>
      <c r="S121" s="57">
        <f t="shared" ca="1" si="26"/>
        <v>45460</v>
      </c>
      <c r="T121" s="57">
        <f t="shared" ca="1" si="20"/>
        <v>17.099502721328445</v>
      </c>
      <c r="U121" s="57">
        <f t="shared" ca="1" si="21"/>
        <v>182.42774063308801</v>
      </c>
      <c r="V121" s="57">
        <f t="shared" ca="1" si="22"/>
        <v>0</v>
      </c>
      <c r="W121" s="57">
        <f t="shared" ca="1" si="27"/>
        <v>159.89202867352162</v>
      </c>
      <c r="X121">
        <f t="shared" ca="1" si="23"/>
        <v>120</v>
      </c>
      <c r="Y121">
        <f t="shared" ca="1" si="28"/>
        <v>689.36884108213656</v>
      </c>
      <c r="Z121">
        <f t="shared" ca="1" si="24"/>
        <v>0</v>
      </c>
      <c r="AA121">
        <f t="shared" ca="1" si="25"/>
        <v>0.99999999055127298</v>
      </c>
      <c r="AB121" s="85">
        <f ca="1"/>
        <v>45586</v>
      </c>
      <c r="AC121" s="57">
        <f t="shared" ca="1" si="29"/>
        <v>45586</v>
      </c>
      <c r="AD121" s="57">
        <f t="shared" ca="1" si="30"/>
        <v>0.99257345699342747</v>
      </c>
      <c r="AE121" s="57">
        <f t="shared" ca="1" si="31"/>
        <v>84.149918015944607</v>
      </c>
      <c r="AF121" s="57">
        <f t="shared" ca="1" si="32"/>
        <v>0</v>
      </c>
    </row>
    <row r="122" spans="18:32" x14ac:dyDescent="0.25">
      <c r="R122" s="85">
        <f ca="1"/>
        <v>45461</v>
      </c>
      <c r="S122" s="57">
        <f t="shared" ca="1" si="26"/>
        <v>45461</v>
      </c>
      <c r="T122" s="57">
        <f t="shared" ca="1" si="20"/>
        <v>13.919854213667401</v>
      </c>
      <c r="U122" s="57">
        <f t="shared" ca="1" si="21"/>
        <v>185.36240294128001</v>
      </c>
      <c r="V122" s="57">
        <f t="shared" ca="1" si="22"/>
        <v>0</v>
      </c>
      <c r="W122" s="57">
        <f t="shared" ca="1" si="27"/>
        <v>161.37409366120323</v>
      </c>
      <c r="X122">
        <f t="shared" ca="1" si="23"/>
        <v>120</v>
      </c>
      <c r="Y122">
        <f t="shared" ca="1" si="28"/>
        <v>722.99135718336402</v>
      </c>
      <c r="Z122">
        <f t="shared" ca="1" si="24"/>
        <v>0</v>
      </c>
      <c r="AA122">
        <f t="shared" ca="1" si="25"/>
        <v>0.99999999210022905</v>
      </c>
      <c r="AB122" s="85">
        <f ca="1"/>
        <v>45587</v>
      </c>
      <c r="AC122" s="57">
        <f t="shared" ca="1" si="29"/>
        <v>45587</v>
      </c>
      <c r="AD122" s="57">
        <f t="shared" ca="1" si="30"/>
        <v>0.90066211635065685</v>
      </c>
      <c r="AE122" s="57">
        <f t="shared" ca="1" si="31"/>
        <v>86.398654090818596</v>
      </c>
      <c r="AF122" s="57">
        <f t="shared" ca="1" si="32"/>
        <v>0</v>
      </c>
    </row>
    <row r="123" spans="18:32" x14ac:dyDescent="0.25">
      <c r="R123" s="85">
        <f ca="1"/>
        <v>45462</v>
      </c>
      <c r="S123" s="57">
        <f t="shared" ca="1" si="26"/>
        <v>45462</v>
      </c>
      <c r="T123" s="57">
        <f t="shared" ca="1" si="20"/>
        <v>11.612207508498328</v>
      </c>
      <c r="U123" s="57">
        <f t="shared" ca="1" si="21"/>
        <v>188.29268118058201</v>
      </c>
      <c r="V123" s="57">
        <f t="shared" ca="1" si="22"/>
        <v>0</v>
      </c>
      <c r="W123" s="57">
        <f t="shared" ca="1" si="27"/>
        <v>162.30196865578034</v>
      </c>
      <c r="X123">
        <f t="shared" ca="1" si="23"/>
        <v>120</v>
      </c>
      <c r="Y123">
        <f t="shared" ca="1" si="28"/>
        <v>748.22455732793628</v>
      </c>
      <c r="Z123">
        <f t="shared" ca="1" si="24"/>
        <v>0</v>
      </c>
      <c r="AA123">
        <f t="shared" ca="1" si="25"/>
        <v>0.99999999338988299</v>
      </c>
      <c r="AB123" s="85">
        <f ca="1"/>
        <v>45588</v>
      </c>
      <c r="AC123" s="57">
        <f t="shared" ca="1" si="29"/>
        <v>45588</v>
      </c>
      <c r="AD123" s="57">
        <f t="shared" ca="1" si="30"/>
        <v>0.82393606079914627</v>
      </c>
      <c r="AE123" s="57">
        <f t="shared" ca="1" si="31"/>
        <v>88.664607062957202</v>
      </c>
      <c r="AF123" s="57">
        <f t="shared" ca="1" si="32"/>
        <v>0</v>
      </c>
    </row>
    <row r="124" spans="18:32" x14ac:dyDescent="0.25">
      <c r="R124" s="85">
        <f ca="1"/>
        <v>45463</v>
      </c>
      <c r="S124" s="57">
        <f t="shared" ca="1" si="26"/>
        <v>45463</v>
      </c>
      <c r="T124" s="57">
        <f t="shared" ca="1" si="20"/>
        <v>10.311850219999641</v>
      </c>
      <c r="U124" s="57">
        <f t="shared" ca="1" si="21"/>
        <v>191.06830676995699</v>
      </c>
      <c r="V124" s="57">
        <f t="shared" ca="1" si="22"/>
        <v>0</v>
      </c>
      <c r="W124" s="57">
        <f t="shared" ca="1" si="27"/>
        <v>162.45255445544637</v>
      </c>
      <c r="X124">
        <f t="shared" ca="1" si="23"/>
        <v>120</v>
      </c>
      <c r="Y124">
        <f t="shared" ca="1" si="28"/>
        <v>752.83608769409898</v>
      </c>
      <c r="Z124">
        <f t="shared" ca="1" si="24"/>
        <v>0</v>
      </c>
      <c r="AA124">
        <f t="shared" ca="1" si="25"/>
        <v>0.99999999441429099</v>
      </c>
      <c r="AB124" s="85">
        <f ca="1"/>
        <v>45589</v>
      </c>
      <c r="AC124" s="57">
        <f t="shared" ca="1" si="29"/>
        <v>45589</v>
      </c>
      <c r="AD124" s="57">
        <f t="shared" ca="1" si="30"/>
        <v>0.75555137203757994</v>
      </c>
      <c r="AE124" s="57">
        <f t="shared" ca="1" si="31"/>
        <v>91.046512738510501</v>
      </c>
      <c r="AF124" s="57">
        <f t="shared" ca="1" si="32"/>
        <v>0</v>
      </c>
    </row>
    <row r="125" spans="18:32" x14ac:dyDescent="0.25">
      <c r="R125" s="85">
        <f ca="1"/>
        <v>45464</v>
      </c>
      <c r="S125" s="57">
        <f t="shared" ca="1" si="26"/>
        <v>45464</v>
      </c>
      <c r="T125" s="57">
        <f t="shared" ca="1" si="20"/>
        <v>9.1524717384340164</v>
      </c>
      <c r="U125" s="57">
        <f t="shared" ca="1" si="21"/>
        <v>193.55597774164301</v>
      </c>
      <c r="V125" s="57">
        <f t="shared" ca="1" si="22"/>
        <v>0</v>
      </c>
      <c r="W125" s="57">
        <f t="shared" ca="1" si="27"/>
        <v>162.59097239937731</v>
      </c>
      <c r="X125">
        <f t="shared" ca="1" si="23"/>
        <v>120</v>
      </c>
      <c r="Y125">
        <f t="shared" ca="1" si="28"/>
        <v>757.61194834809498</v>
      </c>
      <c r="Z125">
        <f t="shared" ca="1" si="24"/>
        <v>0</v>
      </c>
      <c r="AA125">
        <f t="shared" ca="1" si="25"/>
        <v>0.99999999519528004</v>
      </c>
      <c r="AB125" s="85">
        <f ca="1"/>
        <v>45590</v>
      </c>
      <c r="AC125" s="57">
        <f t="shared" ca="1" si="29"/>
        <v>45590</v>
      </c>
      <c r="AD125" s="57">
        <f t="shared" ca="1" si="30"/>
        <v>0.69372056150140138</v>
      </c>
      <c r="AE125" s="57">
        <f t="shared" ca="1" si="31"/>
        <v>93.602564648087196</v>
      </c>
      <c r="AF125" s="57">
        <f t="shared" ca="1" si="32"/>
        <v>0</v>
      </c>
    </row>
    <row r="126" spans="18:32" x14ac:dyDescent="0.25">
      <c r="R126" s="85">
        <f ca="1"/>
        <v>45465</v>
      </c>
      <c r="S126" s="57">
        <f t="shared" ca="1" si="26"/>
        <v>45465</v>
      </c>
      <c r="T126" s="57">
        <f t="shared" ca="1" si="20"/>
        <v>8.0463075430591715</v>
      </c>
      <c r="U126" s="57">
        <f t="shared" ca="1" si="21"/>
        <v>196.06159952845201</v>
      </c>
      <c r="V126" s="57">
        <f t="shared" ca="1" si="22"/>
        <v>0</v>
      </c>
      <c r="W126" s="57">
        <f t="shared" ca="1" si="27"/>
        <v>162.79209626230286</v>
      </c>
      <c r="X126">
        <f t="shared" ca="1" si="23"/>
        <v>120</v>
      </c>
      <c r="Y126">
        <f t="shared" ca="1" si="28"/>
        <v>765.50535765151903</v>
      </c>
      <c r="Z126">
        <f t="shared" ca="1" si="24"/>
        <v>0</v>
      </c>
      <c r="AA126">
        <f t="shared" ca="1" si="25"/>
        <v>0.99999999587053801</v>
      </c>
      <c r="AB126" s="85">
        <f ca="1"/>
        <v>45591</v>
      </c>
      <c r="AC126" s="57">
        <f t="shared" ca="1" si="29"/>
        <v>45591</v>
      </c>
      <c r="AD126" s="57">
        <f t="shared" ca="1" si="30"/>
        <v>0.62837638816775754</v>
      </c>
      <c r="AE126" s="57">
        <f t="shared" ca="1" si="31"/>
        <v>96.184255834750303</v>
      </c>
      <c r="AF126" s="57">
        <f t="shared" ca="1" si="32"/>
        <v>0</v>
      </c>
    </row>
    <row r="127" spans="18:32" x14ac:dyDescent="0.25">
      <c r="R127" s="85">
        <f ca="1"/>
        <v>45466</v>
      </c>
      <c r="S127" s="57">
        <f t="shared" ca="1" si="26"/>
        <v>45466</v>
      </c>
      <c r="T127" s="57">
        <f t="shared" ca="1" si="20"/>
        <v>7.0319741459871006</v>
      </c>
      <c r="U127" s="57">
        <f t="shared" ca="1" si="21"/>
        <v>198.94244706793199</v>
      </c>
      <c r="V127" s="57">
        <f t="shared" ca="1" si="22"/>
        <v>0</v>
      </c>
      <c r="W127" s="57">
        <f t="shared" ca="1" si="27"/>
        <v>163.01337036603681</v>
      </c>
      <c r="X127">
        <f t="shared" ca="1" si="23"/>
        <v>120</v>
      </c>
      <c r="Y127">
        <f t="shared" ca="1" si="28"/>
        <v>775.44225891244992</v>
      </c>
      <c r="Z127">
        <f t="shared" ca="1" si="24"/>
        <v>0</v>
      </c>
      <c r="AA127">
        <f t="shared" ca="1" si="25"/>
        <v>0.99999999652962202</v>
      </c>
      <c r="AB127" s="85">
        <f ca="1"/>
        <v>45592</v>
      </c>
      <c r="AC127" s="57">
        <f t="shared" ca="1" si="29"/>
        <v>45592</v>
      </c>
      <c r="AD127" s="57">
        <f t="shared" ca="1" si="30"/>
        <v>0.56749671343370889</v>
      </c>
      <c r="AE127" s="57">
        <f t="shared" ca="1" si="31"/>
        <v>98.675725523544699</v>
      </c>
      <c r="AF127" s="57">
        <f t="shared" ca="1" si="32"/>
        <v>0</v>
      </c>
    </row>
    <row r="128" spans="18:32" x14ac:dyDescent="0.25">
      <c r="R128" s="85">
        <f ca="1"/>
        <v>45467</v>
      </c>
      <c r="S128" s="57">
        <f t="shared" ca="1" si="26"/>
        <v>45467</v>
      </c>
      <c r="T128" s="57">
        <f t="shared" ca="1" si="20"/>
        <v>6.1825825811944277</v>
      </c>
      <c r="U128" s="57">
        <f t="shared" ca="1" si="21"/>
        <v>201.589878132243</v>
      </c>
      <c r="V128" s="57">
        <f t="shared" ca="1" si="22"/>
        <v>0</v>
      </c>
      <c r="W128" s="57">
        <f t="shared" ca="1" si="27"/>
        <v>163.17012513921441</v>
      </c>
      <c r="X128">
        <f t="shared" ca="1" si="23"/>
        <v>120</v>
      </c>
      <c r="Y128">
        <f t="shared" ca="1" si="28"/>
        <v>783.4488656450161</v>
      </c>
      <c r="Z128">
        <f t="shared" ca="1" si="24"/>
        <v>0</v>
      </c>
      <c r="AA128">
        <f t="shared" ca="1" si="25"/>
        <v>0.99999999704160203</v>
      </c>
      <c r="AB128" s="85">
        <f ca="1"/>
        <v>45593</v>
      </c>
      <c r="AC128" s="57">
        <f t="shared" ca="1" si="29"/>
        <v>45593</v>
      </c>
      <c r="AD128" s="57">
        <f t="shared" ca="1" si="30"/>
        <v>0.52009921544048998</v>
      </c>
      <c r="AE128" s="57">
        <f t="shared" ca="1" si="31"/>
        <v>101.261120919929</v>
      </c>
      <c r="AF128" s="57">
        <f t="shared" ca="1" si="32"/>
        <v>0</v>
      </c>
    </row>
    <row r="129" spans="18:32" x14ac:dyDescent="0.25">
      <c r="R129" s="85">
        <f ca="1"/>
        <v>45468</v>
      </c>
      <c r="S129" s="57">
        <f t="shared" ca="1" si="26"/>
        <v>45468</v>
      </c>
      <c r="T129" s="57">
        <f t="shared" ca="1" si="20"/>
        <v>5.5285171784710725</v>
      </c>
      <c r="U129" s="57">
        <f t="shared" ca="1" si="21"/>
        <v>204.13285644338899</v>
      </c>
      <c r="V129" s="57">
        <f t="shared" ca="1" si="22"/>
        <v>0</v>
      </c>
      <c r="W129" s="57">
        <f t="shared" ca="1" si="27"/>
        <v>163.21602105373537</v>
      </c>
      <c r="X129">
        <f t="shared" ca="1" si="23"/>
        <v>120</v>
      </c>
      <c r="Y129">
        <f t="shared" ca="1" si="28"/>
        <v>786.07044503474367</v>
      </c>
      <c r="Z129">
        <f t="shared" ca="1" si="24"/>
        <v>0</v>
      </c>
      <c r="AA129">
        <f t="shared" ca="1" si="25"/>
        <v>0.99999999746183499</v>
      </c>
      <c r="AB129" s="85">
        <f ca="1"/>
        <v>45594</v>
      </c>
      <c r="AC129" s="57">
        <f t="shared" ca="1" si="29"/>
        <v>45594</v>
      </c>
      <c r="AD129" s="57">
        <f t="shared" ca="1" si="30"/>
        <v>0.48200945621662233</v>
      </c>
      <c r="AE129" s="57">
        <f t="shared" ca="1" si="31"/>
        <v>103.668064316962</v>
      </c>
      <c r="AF129" s="57">
        <f t="shared" ca="1" si="32"/>
        <v>0</v>
      </c>
    </row>
    <row r="130" spans="18:32" x14ac:dyDescent="0.25">
      <c r="R130" s="85">
        <f ca="1"/>
        <v>45469</v>
      </c>
      <c r="S130" s="57">
        <f t="shared" ca="1" si="26"/>
        <v>45469</v>
      </c>
      <c r="T130" s="57">
        <f t="shared" ca="1" si="20"/>
        <v>4.8662572947836331</v>
      </c>
      <c r="U130" s="57">
        <f t="shared" ca="1" si="21"/>
        <v>206.57804154827301</v>
      </c>
      <c r="V130" s="57">
        <f t="shared" ca="1" si="22"/>
        <v>0</v>
      </c>
      <c r="W130" s="57">
        <f t="shared" ca="1" si="27"/>
        <v>163.33509114119613</v>
      </c>
      <c r="X130">
        <f t="shared" ca="1" si="23"/>
        <v>120</v>
      </c>
      <c r="Y130">
        <f t="shared" ca="1" si="28"/>
        <v>793.79734436887327</v>
      </c>
      <c r="Z130">
        <f t="shared" ca="1" si="24"/>
        <v>0</v>
      </c>
      <c r="AA130">
        <f t="shared" ca="1" si="25"/>
        <v>0.99999999780937698</v>
      </c>
      <c r="AB130" s="85">
        <f ca="1"/>
        <v>45595</v>
      </c>
      <c r="AC130" s="57">
        <f t="shared" ca="1" si="29"/>
        <v>45595</v>
      </c>
      <c r="AD130" s="57">
        <f t="shared" ca="1" si="30"/>
        <v>0.44685947027512218</v>
      </c>
      <c r="AE130" s="57">
        <f t="shared" ca="1" si="31"/>
        <v>105.984846076339</v>
      </c>
      <c r="AF130" s="57">
        <f t="shared" ca="1" si="32"/>
        <v>0</v>
      </c>
    </row>
    <row r="131" spans="18:32" x14ac:dyDescent="0.25">
      <c r="R131" s="85">
        <f ca="1"/>
        <v>45470</v>
      </c>
      <c r="S131" s="57">
        <f t="shared" ca="1" si="26"/>
        <v>45470</v>
      </c>
      <c r="T131" s="57">
        <f t="shared" ca="1" si="20"/>
        <v>4.3660901707994224</v>
      </c>
      <c r="U131" s="57">
        <f t="shared" ca="1" si="21"/>
        <v>209.04124592308401</v>
      </c>
      <c r="V131" s="57">
        <f t="shared" ca="1" si="22"/>
        <v>0</v>
      </c>
      <c r="W131" s="57">
        <f t="shared" ca="1" si="27"/>
        <v>163.35829021426414</v>
      </c>
      <c r="X131">
        <f t="shared" ca="1" si="23"/>
        <v>120</v>
      </c>
      <c r="Y131">
        <f t="shared" ca="1" si="28"/>
        <v>795.47528110117059</v>
      </c>
      <c r="Z131">
        <f t="shared" ca="1" si="24"/>
        <v>0</v>
      </c>
      <c r="AA131">
        <f t="shared" ca="1" si="25"/>
        <v>0.99999999811134999</v>
      </c>
      <c r="AB131" s="85">
        <f ca="1"/>
        <v>45596</v>
      </c>
      <c r="AC131" s="57">
        <f t="shared" ca="1" si="29"/>
        <v>45596</v>
      </c>
      <c r="AD131" s="57">
        <f t="shared" ca="1" si="30"/>
        <v>0.41336907202845091</v>
      </c>
      <c r="AE131" s="57">
        <f t="shared" ca="1" si="31"/>
        <v>108.26304343540799</v>
      </c>
      <c r="AF131" s="57">
        <f t="shared" ca="1" si="32"/>
        <v>0</v>
      </c>
    </row>
    <row r="132" spans="18:32" x14ac:dyDescent="0.25">
      <c r="R132" s="85">
        <f ca="1"/>
        <v>45471</v>
      </c>
      <c r="S132" s="57">
        <f t="shared" ca="1" si="26"/>
        <v>45471</v>
      </c>
      <c r="T132" s="57">
        <f t="shared" ca="1" si="20"/>
        <v>3.8869053516233656</v>
      </c>
      <c r="U132" s="57">
        <f t="shared" ca="1" si="21"/>
        <v>211.46984206158999</v>
      </c>
      <c r="V132" s="57">
        <f t="shared" ca="1" si="22"/>
        <v>0</v>
      </c>
      <c r="W132" s="57">
        <f t="shared" ca="1" si="27"/>
        <v>163.41033612990401</v>
      </c>
      <c r="X132">
        <f t="shared" ca="1" si="23"/>
        <v>120</v>
      </c>
      <c r="Y132">
        <f t="shared" ca="1" si="28"/>
        <v>799.70372270715575</v>
      </c>
      <c r="Z132">
        <f t="shared" ca="1" si="24"/>
        <v>0</v>
      </c>
      <c r="AA132">
        <f t="shared" ca="1" si="25"/>
        <v>0.99999999836833897</v>
      </c>
      <c r="AB132" s="85">
        <f ca="1"/>
        <v>45597</v>
      </c>
      <c r="AC132" s="57">
        <f t="shared" ca="1" si="29"/>
        <v>45597</v>
      </c>
      <c r="AD132" s="57">
        <f t="shared" ca="1" si="30"/>
        <v>0.38607611849355811</v>
      </c>
      <c r="AE132" s="57">
        <f t="shared" ca="1" si="31"/>
        <v>110.675829713098</v>
      </c>
      <c r="AF132" s="57">
        <f t="shared" ca="1" si="32"/>
        <v>0</v>
      </c>
    </row>
    <row r="133" spans="18:32" x14ac:dyDescent="0.25">
      <c r="R133" s="85">
        <f ca="1"/>
        <v>45472</v>
      </c>
      <c r="S133" s="57">
        <f t="shared" ca="1" si="26"/>
        <v>45472</v>
      </c>
      <c r="T133" s="57">
        <f t="shared" ca="1" si="20"/>
        <v>3.435215166359801</v>
      </c>
      <c r="U133" s="57">
        <f t="shared" ca="1" si="21"/>
        <v>213.84600026041699</v>
      </c>
      <c r="V133" s="57">
        <f t="shared" ca="1" si="22"/>
        <v>0</v>
      </c>
      <c r="W133" s="57">
        <f t="shared" ca="1" si="27"/>
        <v>163.48256283284286</v>
      </c>
      <c r="X133">
        <f t="shared" ca="1" si="23"/>
        <v>120</v>
      </c>
      <c r="Y133">
        <f t="shared" ca="1" si="28"/>
        <v>806.34331627042434</v>
      </c>
      <c r="Z133">
        <f t="shared" ca="1" si="24"/>
        <v>0</v>
      </c>
      <c r="AA133">
        <f t="shared" ca="1" si="25"/>
        <v>0.99999999858598698</v>
      </c>
      <c r="AB133" s="85">
        <f ca="1"/>
        <v>45598</v>
      </c>
      <c r="AC133" s="57">
        <f t="shared" ca="1" si="29"/>
        <v>45598</v>
      </c>
      <c r="AD133" s="57">
        <f t="shared" ca="1" si="30"/>
        <v>0.35656463587131043</v>
      </c>
      <c r="AE133" s="57">
        <f t="shared" ca="1" si="31"/>
        <v>113.252945109224</v>
      </c>
      <c r="AF133" s="57">
        <f t="shared" ca="1" si="32"/>
        <v>0</v>
      </c>
    </row>
    <row r="134" spans="18:32" x14ac:dyDescent="0.25">
      <c r="R134" s="85">
        <f ca="1"/>
        <v>45473</v>
      </c>
      <c r="S134" s="57">
        <f t="shared" ca="1" si="26"/>
        <v>45473</v>
      </c>
      <c r="T134" s="57">
        <f t="shared" ca="1" si="20"/>
        <v>3.0493927492188111</v>
      </c>
      <c r="U134" s="57">
        <f t="shared" ca="1" si="21"/>
        <v>216.30168221203601</v>
      </c>
      <c r="V134" s="57">
        <f t="shared" ca="1" si="22"/>
        <v>0</v>
      </c>
      <c r="W134" s="57">
        <f t="shared" ca="1" si="27"/>
        <v>163.53430605934929</v>
      </c>
      <c r="X134">
        <f t="shared" ca="1" si="23"/>
        <v>120</v>
      </c>
      <c r="Y134">
        <f t="shared" ca="1" si="28"/>
        <v>811.70174911557922</v>
      </c>
      <c r="Z134">
        <f t="shared" ca="1" si="24"/>
        <v>0</v>
      </c>
      <c r="AA134">
        <f t="shared" ca="1" si="25"/>
        <v>0.99999999878058798</v>
      </c>
      <c r="AB134" s="85">
        <f ca="1"/>
        <v>45599</v>
      </c>
      <c r="AC134" s="57">
        <f t="shared" ca="1" si="29"/>
        <v>45599</v>
      </c>
      <c r="AD134" s="57">
        <f t="shared" ca="1" si="30"/>
        <v>0.33502055831742644</v>
      </c>
      <c r="AE134" s="57">
        <f t="shared" ca="1" si="31"/>
        <v>115.717995766212</v>
      </c>
      <c r="AF134" s="57">
        <f t="shared" ca="1" si="32"/>
        <v>0</v>
      </c>
    </row>
    <row r="135" spans="18:32" x14ac:dyDescent="0.25">
      <c r="R135" s="85">
        <f ca="1"/>
        <v>45474</v>
      </c>
      <c r="S135" s="57">
        <f t="shared" ca="1" si="26"/>
        <v>45474</v>
      </c>
      <c r="T135" s="57">
        <f t="shared" ca="1" si="20"/>
        <v>2.7411730046975369</v>
      </c>
      <c r="U135" s="57">
        <f t="shared" ca="1" si="21"/>
        <v>218.58930217126999</v>
      </c>
      <c r="V135" s="57">
        <f t="shared" ca="1" si="22"/>
        <v>0</v>
      </c>
      <c r="W135" s="57">
        <f t="shared" ca="1" si="27"/>
        <v>163.54640142999574</v>
      </c>
      <c r="X135">
        <f t="shared" ca="1" si="23"/>
        <v>120</v>
      </c>
      <c r="Y135">
        <f t="shared" ca="1" si="28"/>
        <v>813.09516380480545</v>
      </c>
      <c r="Z135">
        <f t="shared" ca="1" si="24"/>
        <v>0</v>
      </c>
      <c r="AA135">
        <f t="shared" ca="1" si="25"/>
        <v>0.99999999893783698</v>
      </c>
      <c r="AB135" s="85">
        <f ca="1"/>
        <v>45600</v>
      </c>
      <c r="AC135" s="57">
        <f t="shared" ca="1" si="29"/>
        <v>45600</v>
      </c>
      <c r="AD135" s="57">
        <f t="shared" ca="1" si="30"/>
        <v>0.31531781001242831</v>
      </c>
      <c r="AE135" s="57">
        <f t="shared" ca="1" si="31"/>
        <v>118.056130794262</v>
      </c>
      <c r="AF135" s="57">
        <f t="shared" ca="1" si="32"/>
        <v>0</v>
      </c>
    </row>
    <row r="136" spans="18:32" x14ac:dyDescent="0.25">
      <c r="R136" s="85">
        <f ca="1"/>
        <v>45475</v>
      </c>
      <c r="S136" s="57">
        <f t="shared" ca="1" si="26"/>
        <v>45475</v>
      </c>
      <c r="T136" s="57">
        <f t="shared" ca="1" si="20"/>
        <v>2.4046749305400357</v>
      </c>
      <c r="U136" s="57">
        <f t="shared" ca="1" si="21"/>
        <v>221.04312264931301</v>
      </c>
      <c r="V136" s="57">
        <f t="shared" ca="1" si="22"/>
        <v>0</v>
      </c>
      <c r="W136" s="57">
        <f t="shared" ca="1" si="27"/>
        <v>163.61810556789445</v>
      </c>
      <c r="X136">
        <f t="shared" ca="1" si="23"/>
        <v>120</v>
      </c>
      <c r="Y136">
        <f t="shared" ca="1" si="28"/>
        <v>822.51157667643167</v>
      </c>
      <c r="Z136">
        <f t="shared" ca="1" si="24"/>
        <v>0</v>
      </c>
      <c r="AA136">
        <f t="shared" ca="1" si="25"/>
        <v>0.999999999084207</v>
      </c>
      <c r="AB136" s="85">
        <f ca="1"/>
        <v>45601</v>
      </c>
      <c r="AC136" s="57">
        <f t="shared" ca="1" si="29"/>
        <v>45601</v>
      </c>
      <c r="AD136" s="57">
        <f t="shared" ca="1" si="30"/>
        <v>0.29729678467394005</v>
      </c>
      <c r="AE136" s="57">
        <f t="shared" ca="1" si="31"/>
        <v>120.334933984779</v>
      </c>
      <c r="AF136" s="57">
        <f t="shared" ca="1" si="32"/>
        <v>0</v>
      </c>
    </row>
    <row r="137" spans="18:32" x14ac:dyDescent="0.25">
      <c r="R137" s="85">
        <f ca="1"/>
        <v>45476</v>
      </c>
      <c r="S137" s="57">
        <f t="shared" ca="1" si="26"/>
        <v>45476</v>
      </c>
      <c r="T137" s="57">
        <f t="shared" ca="1" si="20"/>
        <v>2.1646956376424802</v>
      </c>
      <c r="U137" s="57">
        <f t="shared" ca="1" si="21"/>
        <v>223.42850942770201</v>
      </c>
      <c r="V137" s="57">
        <f t="shared" ca="1" si="22"/>
        <v>0</v>
      </c>
      <c r="W137" s="57">
        <f t="shared" ca="1" si="27"/>
        <v>163.62665422402455</v>
      </c>
      <c r="X137">
        <f t="shared" ca="1" si="23"/>
        <v>120</v>
      </c>
      <c r="Y137">
        <f t="shared" ca="1" si="28"/>
        <v>823.75866914203721</v>
      </c>
      <c r="Z137">
        <f t="shared" ca="1" si="24"/>
        <v>0</v>
      </c>
      <c r="AA137">
        <f t="shared" ca="1" si="25"/>
        <v>0.99999999920730898</v>
      </c>
      <c r="AB137" s="85">
        <f ca="1"/>
        <v>45602</v>
      </c>
      <c r="AC137" s="57">
        <f t="shared" ca="1" si="29"/>
        <v>45602</v>
      </c>
      <c r="AD137" s="57">
        <f t="shared" ca="1" si="30"/>
        <v>0.28131613203108391</v>
      </c>
      <c r="AE137" s="57">
        <f t="shared" ca="1" si="31"/>
        <v>122.628241219739</v>
      </c>
      <c r="AF137" s="57">
        <f t="shared" ca="1" si="32"/>
        <v>0</v>
      </c>
    </row>
    <row r="138" spans="18:32" x14ac:dyDescent="0.25">
      <c r="R138" s="85">
        <f ca="1"/>
        <v>45477</v>
      </c>
      <c r="S138" s="57">
        <f t="shared" ca="1" si="26"/>
        <v>45477</v>
      </c>
      <c r="T138" s="57">
        <f t="shared" ca="1" si="20"/>
        <v>1.9579580623396491</v>
      </c>
      <c r="U138" s="57">
        <f t="shared" ca="1" si="21"/>
        <v>226.030966564295</v>
      </c>
      <c r="V138" s="57">
        <f t="shared" ca="1" si="22"/>
        <v>0</v>
      </c>
      <c r="W138" s="57">
        <f t="shared" ca="1" si="27"/>
        <v>163.62665422402455</v>
      </c>
      <c r="X138">
        <f t="shared" ca="1" si="23"/>
        <v>119.31960666466189</v>
      </c>
      <c r="Y138">
        <f t="shared" ca="1" si="28"/>
        <v>823.75866914203721</v>
      </c>
      <c r="Z138">
        <f t="shared" ca="1" si="24"/>
        <v>0</v>
      </c>
      <c r="AA138">
        <f t="shared" ca="1" si="25"/>
        <v>0.99999999932301498</v>
      </c>
      <c r="AB138" s="85">
        <f ca="1"/>
        <v>45603</v>
      </c>
      <c r="AC138" s="57">
        <f t="shared" ca="1" si="29"/>
        <v>45603</v>
      </c>
      <c r="AD138" s="57">
        <f t="shared" ca="1" si="30"/>
        <v>0.26738965236757883</v>
      </c>
      <c r="AE138" s="57">
        <f t="shared" ca="1" si="31"/>
        <v>124.96210226732801</v>
      </c>
      <c r="AF138" s="57">
        <f t="shared" ca="1" si="32"/>
        <v>0</v>
      </c>
    </row>
    <row r="139" spans="18:32" x14ac:dyDescent="0.25">
      <c r="R139" s="85">
        <f ca="1"/>
        <v>45478</v>
      </c>
      <c r="S139" s="57">
        <f t="shared" ca="1" si="26"/>
        <v>45478</v>
      </c>
      <c r="T139" s="57">
        <f t="shared" ca="1" si="20"/>
        <v>1.7451477242944842</v>
      </c>
      <c r="U139" s="57">
        <f t="shared" ca="1" si="21"/>
        <v>228.550569534403</v>
      </c>
      <c r="V139" s="57">
        <f t="shared" ca="1" si="22"/>
        <v>0</v>
      </c>
      <c r="W139" s="57">
        <f t="shared" ca="1" si="27"/>
        <v>163.65305784721093</v>
      </c>
      <c r="X139">
        <f t="shared" ca="1" si="23"/>
        <v>120</v>
      </c>
      <c r="Y139">
        <f t="shared" ca="1" si="28"/>
        <v>828.53648029997692</v>
      </c>
      <c r="Z139">
        <f t="shared" ca="1" si="24"/>
        <v>0</v>
      </c>
      <c r="AA139">
        <f t="shared" ca="1" si="25"/>
        <v>0.99999999941911599</v>
      </c>
      <c r="AB139" s="85">
        <f ca="1"/>
        <v>45604</v>
      </c>
      <c r="AC139" s="57">
        <f t="shared" ca="1" si="29"/>
        <v>45604</v>
      </c>
      <c r="AD139" s="57">
        <f t="shared" ca="1" si="30"/>
        <v>0.25468328943253182</v>
      </c>
      <c r="AE139" s="57">
        <f t="shared" ca="1" si="31"/>
        <v>127.30292187560001</v>
      </c>
      <c r="AF139" s="57">
        <f t="shared" ca="1" si="32"/>
        <v>0</v>
      </c>
    </row>
    <row r="140" spans="18:32" x14ac:dyDescent="0.25">
      <c r="R140" s="85">
        <f ca="1"/>
        <v>45479</v>
      </c>
      <c r="S140" s="57">
        <f t="shared" ca="1" si="26"/>
        <v>45479</v>
      </c>
      <c r="T140" s="57">
        <f t="shared" ca="1" si="20"/>
        <v>1.520801370525805</v>
      </c>
      <c r="U140" s="57">
        <f t="shared" ca="1" si="21"/>
        <v>231.21185469305499</v>
      </c>
      <c r="V140" s="57">
        <f t="shared" ca="1" si="22"/>
        <v>0</v>
      </c>
      <c r="W140" s="57">
        <f t="shared" ca="1" si="27"/>
        <v>163.7127223857656</v>
      </c>
      <c r="X140">
        <f t="shared" ca="1" si="23"/>
        <v>120</v>
      </c>
      <c r="Y140">
        <f t="shared" ca="1" si="28"/>
        <v>840.92562828008386</v>
      </c>
      <c r="Z140">
        <f t="shared" ca="1" si="24"/>
        <v>0</v>
      </c>
      <c r="AA140">
        <f t="shared" ca="1" si="25"/>
        <v>0.99999999950605201</v>
      </c>
      <c r="AB140" s="85">
        <f ca="1"/>
        <v>45605</v>
      </c>
      <c r="AC140" s="57">
        <f t="shared" ca="1" si="29"/>
        <v>45605</v>
      </c>
      <c r="AD140" s="57">
        <f t="shared" ca="1" si="30"/>
        <v>0.24233675672068947</v>
      </c>
      <c r="AE140" s="57">
        <f t="shared" ca="1" si="31"/>
        <v>129.52051545428299</v>
      </c>
      <c r="AF140" s="57">
        <f t="shared" ca="1" si="32"/>
        <v>0</v>
      </c>
    </row>
    <row r="141" spans="18:32" x14ac:dyDescent="0.25">
      <c r="R141" s="85">
        <f ca="1"/>
        <v>45480</v>
      </c>
      <c r="S141" s="57">
        <f t="shared" ca="1" si="26"/>
        <v>45480</v>
      </c>
      <c r="T141" s="57">
        <f t="shared" ca="1" si="20"/>
        <v>1.3358027496788267</v>
      </c>
      <c r="U141" s="57">
        <f t="shared" ca="1" si="21"/>
        <v>233.55551232424401</v>
      </c>
      <c r="V141" s="57">
        <f t="shared" ca="1" si="22"/>
        <v>0</v>
      </c>
      <c r="W141" s="57">
        <f t="shared" ca="1" si="27"/>
        <v>163.7543413278861</v>
      </c>
      <c r="X141">
        <f t="shared" ca="1" si="23"/>
        <v>120</v>
      </c>
      <c r="Y141">
        <f t="shared" ca="1" si="28"/>
        <v>850.76452390347254</v>
      </c>
      <c r="Z141">
        <f t="shared" ca="1" si="24"/>
        <v>0</v>
      </c>
      <c r="AA141">
        <f t="shared" ca="1" si="25"/>
        <v>0.99999999957193997</v>
      </c>
      <c r="AB141" s="85">
        <f ca="1"/>
        <v>45606</v>
      </c>
      <c r="AC141" s="57">
        <f t="shared" ca="1" si="29"/>
        <v>45606</v>
      </c>
      <c r="AD141" s="57">
        <f t="shared" ca="1" si="30"/>
        <v>0.22924225558720551</v>
      </c>
      <c r="AE141" s="57">
        <f t="shared" ca="1" si="31"/>
        <v>131.73099204748601</v>
      </c>
      <c r="AF141" s="57">
        <f t="shared" ca="1" si="32"/>
        <v>0</v>
      </c>
    </row>
    <row r="142" spans="18:32" x14ac:dyDescent="0.25">
      <c r="R142" s="85">
        <f ca="1"/>
        <v>45481</v>
      </c>
      <c r="S142" s="57">
        <f t="shared" ca="1" si="26"/>
        <v>45481</v>
      </c>
      <c r="T142" s="57">
        <f t="shared" ca="1" si="20"/>
        <v>1.169071707825696</v>
      </c>
      <c r="U142" s="57">
        <f t="shared" ca="1" si="21"/>
        <v>235.79100546600301</v>
      </c>
      <c r="V142" s="57">
        <f t="shared" ca="1" si="22"/>
        <v>0</v>
      </c>
      <c r="W142" s="57">
        <f t="shared" ca="1" si="27"/>
        <v>163.79580283452913</v>
      </c>
      <c r="X142">
        <f t="shared" ca="1" si="23"/>
        <v>120</v>
      </c>
      <c r="Y142">
        <f t="shared" ca="1" si="28"/>
        <v>861.96409983479862</v>
      </c>
      <c r="Z142">
        <f t="shared" ca="1" si="24"/>
        <v>0</v>
      </c>
      <c r="AA142">
        <f t="shared" ca="1" si="25"/>
        <v>0.99999999962672304</v>
      </c>
      <c r="AB142" s="85">
        <f ca="1"/>
        <v>45607</v>
      </c>
      <c r="AC142" s="57">
        <f t="shared" ca="1" si="29"/>
        <v>45607</v>
      </c>
      <c r="AD142" s="57">
        <f t="shared" ca="1" si="30"/>
        <v>0.21757453201971766</v>
      </c>
      <c r="AE142" s="57">
        <f t="shared" ca="1" si="31"/>
        <v>133.76651162015099</v>
      </c>
      <c r="AF142" s="57">
        <f t="shared" ca="1" si="32"/>
        <v>0</v>
      </c>
    </row>
    <row r="143" spans="18:32" x14ac:dyDescent="0.25">
      <c r="R143" s="85">
        <f ca="1"/>
        <v>45482</v>
      </c>
      <c r="S143" s="57">
        <f t="shared" ca="1" si="26"/>
        <v>45482</v>
      </c>
      <c r="T143" s="57">
        <f t="shared" ca="1" si="20"/>
        <v>6.1236850358190793</v>
      </c>
      <c r="U143" s="57">
        <f t="shared" ca="1" si="21"/>
        <v>238.04258515636499</v>
      </c>
      <c r="V143" s="57">
        <f t="shared" ca="1" si="22"/>
        <v>0</v>
      </c>
      <c r="W143" s="57">
        <f t="shared" ca="1" si="27"/>
        <v>163.90218545877727</v>
      </c>
      <c r="X143">
        <f t="shared" ca="1" si="23"/>
        <v>120</v>
      </c>
      <c r="Y143">
        <f t="shared" ca="1" si="28"/>
        <v>867.45009604850975</v>
      </c>
      <c r="Z143">
        <f t="shared" ca="1" si="24"/>
        <v>0</v>
      </c>
      <c r="AA143">
        <f t="shared" ca="1" si="25"/>
        <v>0.99999999967495001</v>
      </c>
      <c r="AB143" s="85">
        <f ca="1"/>
        <v>45608</v>
      </c>
      <c r="AC143" s="57">
        <f t="shared" ca="1" si="29"/>
        <v>45608</v>
      </c>
      <c r="AD143" s="57">
        <f t="shared" ca="1" si="30"/>
        <v>0.20800842937740113</v>
      </c>
      <c r="AE143" s="57">
        <f t="shared" ca="1" si="31"/>
        <v>135.68215589954801</v>
      </c>
      <c r="AF143" s="57">
        <f t="shared" ca="1" si="32"/>
        <v>0</v>
      </c>
    </row>
    <row r="144" spans="18:32" x14ac:dyDescent="0.25">
      <c r="R144" s="85" t="e">
        <f ca="1"/>
        <v>#N/A</v>
      </c>
      <c r="S144" s="57" t="e">
        <f t="shared" ca="1" si="26"/>
        <v>#N/A</v>
      </c>
      <c r="T144" s="57" t="e">
        <f t="shared" ca="1" si="20"/>
        <v>#N/A</v>
      </c>
      <c r="U144" s="57" t="e">
        <f t="shared" ca="1" si="21"/>
        <v>#N/A</v>
      </c>
      <c r="V144" s="57" t="e">
        <f t="shared" ca="1" si="22"/>
        <v>#N/A</v>
      </c>
      <c r="W144" s="57" t="e">
        <f t="shared" ca="1" si="27"/>
        <v>#N/A</v>
      </c>
      <c r="X144" t="e">
        <f t="shared" ca="1" si="23"/>
        <v>#N/A</v>
      </c>
      <c r="Y144" t="e">
        <f t="shared" ca="1" si="28"/>
        <v>#N/A</v>
      </c>
      <c r="Z144" t="e">
        <f t="shared" ca="1" si="24"/>
        <v>#N/A</v>
      </c>
      <c r="AA144" t="e">
        <f t="shared" ca="1" si="25"/>
        <v>#N/A</v>
      </c>
      <c r="AB144" s="85">
        <f ca="1"/>
        <v>45609</v>
      </c>
      <c r="AC144" s="57">
        <f t="shared" ca="1" si="29"/>
        <v>45609</v>
      </c>
      <c r="AD144" s="57">
        <f t="shared" ca="1" si="30"/>
        <v>0.19935636863330652</v>
      </c>
      <c r="AE144" s="57">
        <f t="shared" ca="1" si="31"/>
        <v>137.56365014497999</v>
      </c>
      <c r="AF144" s="57">
        <f t="shared" ca="1" si="32"/>
        <v>0</v>
      </c>
    </row>
    <row r="145" spans="18:32" x14ac:dyDescent="0.25">
      <c r="R145" s="85" t="e">
        <f ca="1"/>
        <v>#N/A</v>
      </c>
      <c r="S145" s="57" t="e">
        <f t="shared" ca="1" si="26"/>
        <v>#N/A</v>
      </c>
      <c r="T145" s="57" t="e">
        <f t="shared" ca="1" si="20"/>
        <v>#N/A</v>
      </c>
      <c r="U145" s="57" t="e">
        <f t="shared" ca="1" si="21"/>
        <v>#N/A</v>
      </c>
      <c r="V145" s="57" t="e">
        <f t="shared" ca="1" si="22"/>
        <v>#N/A</v>
      </c>
      <c r="W145" s="57" t="e">
        <f t="shared" ca="1" si="27"/>
        <v>#N/A</v>
      </c>
      <c r="X145" t="e">
        <f t="shared" ca="1" si="23"/>
        <v>#N/A</v>
      </c>
      <c r="Y145" t="e">
        <f t="shared" ca="1" si="28"/>
        <v>#N/A</v>
      </c>
      <c r="Z145" t="e">
        <f t="shared" ca="1" si="24"/>
        <v>#N/A</v>
      </c>
      <c r="AA145" t="e">
        <f t="shared" ca="1" si="25"/>
        <v>#N/A</v>
      </c>
      <c r="AB145" s="85">
        <f ca="1"/>
        <v>45610</v>
      </c>
      <c r="AC145" s="57">
        <f t="shared" ca="1" si="29"/>
        <v>45610</v>
      </c>
      <c r="AD145" s="57">
        <f t="shared" ca="1" si="30"/>
        <v>0.19244198698289244</v>
      </c>
      <c r="AE145" s="57">
        <f t="shared" ca="1" si="31"/>
        <v>139.529314642961</v>
      </c>
      <c r="AF145" s="57">
        <f t="shared" ca="1" si="32"/>
        <v>0</v>
      </c>
    </row>
    <row r="146" spans="18:32" x14ac:dyDescent="0.25">
      <c r="R146" s="85" t="e">
        <f ca="1"/>
        <v>#N/A</v>
      </c>
      <c r="S146" s="57" t="e">
        <f t="shared" ca="1" si="26"/>
        <v>#N/A</v>
      </c>
      <c r="T146" s="57" t="e">
        <f t="shared" ref="T146:T209" ca="1" si="33">VLOOKUP(S146,ModelOutputs,2,FALSE)</f>
        <v>#N/A</v>
      </c>
      <c r="U146" s="57" t="e">
        <f t="shared" ref="U146:U209" ca="1" si="34">VLOOKUP(S146,ModelOutputs,7,FALSE)</f>
        <v>#N/A</v>
      </c>
      <c r="V146" s="57" t="e">
        <f t="shared" ref="V146:V209" ca="1" si="35">VLOOKUP(S146,ModelOutputs,6,FALSE)</f>
        <v>#N/A</v>
      </c>
      <c r="W146" s="57" t="e">
        <f t="shared" ca="1" si="27"/>
        <v>#N/A</v>
      </c>
      <c r="X146" t="e">
        <f t="shared" ref="X146:X209" ca="1" si="36">VLOOKUP(S146,ModelOutputs,10,FALSE)*AWC</f>
        <v>#N/A</v>
      </c>
      <c r="Y146" t="e">
        <f t="shared" ca="1" si="28"/>
        <v>#N/A</v>
      </c>
      <c r="Z146" t="e">
        <f t="shared" ref="Z146:Z209" ca="1" si="37">VLOOKUP(S146,ModelOutputs,12,FALSE)</f>
        <v>#N/A</v>
      </c>
      <c r="AA146" t="e">
        <f t="shared" ref="AA146:AA209" ca="1" si="38">VLOOKUP(S146,ModelOutputs,13,FALSE)</f>
        <v>#N/A</v>
      </c>
      <c r="AB146" s="85">
        <f ca="1"/>
        <v>45611</v>
      </c>
      <c r="AC146" s="57">
        <f t="shared" ca="1" si="29"/>
        <v>45611</v>
      </c>
      <c r="AD146" s="57">
        <f t="shared" ca="1" si="30"/>
        <v>0.1856986493404256</v>
      </c>
      <c r="AE146" s="57">
        <f t="shared" ca="1" si="31"/>
        <v>141.62673422393499</v>
      </c>
      <c r="AF146" s="57">
        <f t="shared" ca="1" si="32"/>
        <v>0</v>
      </c>
    </row>
    <row r="147" spans="18:32" x14ac:dyDescent="0.25">
      <c r="R147" s="85" t="e">
        <f ca="1"/>
        <v>#N/A</v>
      </c>
      <c r="S147" s="57" t="e">
        <f t="shared" ref="S147:S210" ca="1" si="39">IF(R147&gt;1,R147,"")</f>
        <v>#N/A</v>
      </c>
      <c r="T147" s="57" t="e">
        <f t="shared" ca="1" si="33"/>
        <v>#N/A</v>
      </c>
      <c r="U147" s="57" t="e">
        <f t="shared" ca="1" si="34"/>
        <v>#N/A</v>
      </c>
      <c r="V147" s="57" t="e">
        <f t="shared" ca="1" si="35"/>
        <v>#N/A</v>
      </c>
      <c r="W147" s="57" t="e">
        <f t="shared" ref="W147:W210" ca="1" si="40">VLOOKUP(S147,ModelOutputs,9,FALSE)+W146</f>
        <v>#N/A</v>
      </c>
      <c r="X147" t="e">
        <f t="shared" ca="1" si="36"/>
        <v>#N/A</v>
      </c>
      <c r="Y147" t="e">
        <f t="shared" ref="Y147:Y210" ca="1" si="41">VLOOKUP(S147,ModelOutputs,11,FALSE)+Y146</f>
        <v>#N/A</v>
      </c>
      <c r="Z147" t="e">
        <f t="shared" ca="1" si="37"/>
        <v>#N/A</v>
      </c>
      <c r="AA147" t="e">
        <f t="shared" ca="1" si="38"/>
        <v>#N/A</v>
      </c>
      <c r="AB147" s="85">
        <f ca="1"/>
        <v>45612</v>
      </c>
      <c r="AC147" s="57">
        <f t="shared" ca="1" si="29"/>
        <v>45612</v>
      </c>
      <c r="AD147" s="57">
        <f t="shared" ca="1" si="30"/>
        <v>0.17813667537244071</v>
      </c>
      <c r="AE147" s="57">
        <f t="shared" ca="1" si="31"/>
        <v>143.69222489039001</v>
      </c>
      <c r="AF147" s="57">
        <f t="shared" ca="1" si="32"/>
        <v>0</v>
      </c>
    </row>
    <row r="148" spans="18:32" x14ac:dyDescent="0.25">
      <c r="R148" s="85" t="e">
        <f ca="1"/>
        <v>#N/A</v>
      </c>
      <c r="S148" s="57" t="e">
        <f t="shared" ca="1" si="39"/>
        <v>#N/A</v>
      </c>
      <c r="T148" s="57" t="e">
        <f t="shared" ca="1" si="33"/>
        <v>#N/A</v>
      </c>
      <c r="U148" s="57" t="e">
        <f t="shared" ca="1" si="34"/>
        <v>#N/A</v>
      </c>
      <c r="V148" s="57" t="e">
        <f t="shared" ca="1" si="35"/>
        <v>#N/A</v>
      </c>
      <c r="W148" s="57" t="e">
        <f t="shared" ca="1" si="40"/>
        <v>#N/A</v>
      </c>
      <c r="X148" t="e">
        <f t="shared" ca="1" si="36"/>
        <v>#N/A</v>
      </c>
      <c r="Y148" t="e">
        <f t="shared" ca="1" si="41"/>
        <v>#N/A</v>
      </c>
      <c r="Z148" t="e">
        <f t="shared" ca="1" si="37"/>
        <v>#N/A</v>
      </c>
      <c r="AA148" t="e">
        <f t="shared" ca="1" si="38"/>
        <v>#N/A</v>
      </c>
      <c r="AB148" s="85">
        <f ca="1"/>
        <v>45613</v>
      </c>
      <c r="AC148" s="57">
        <f t="shared" ca="1" si="29"/>
        <v>45613</v>
      </c>
      <c r="AD148" s="57">
        <f t="shared" ca="1" si="30"/>
        <v>0.17029268492855443</v>
      </c>
      <c r="AE148" s="57">
        <f t="shared" ca="1" si="31"/>
        <v>145.63062719680499</v>
      </c>
      <c r="AF148" s="57">
        <f t="shared" ca="1" si="32"/>
        <v>0</v>
      </c>
    </row>
    <row r="149" spans="18:32" x14ac:dyDescent="0.25">
      <c r="R149" s="85" t="e">
        <f ca="1"/>
        <v>#N/A</v>
      </c>
      <c r="S149" s="57" t="e">
        <f t="shared" ca="1" si="39"/>
        <v>#N/A</v>
      </c>
      <c r="T149" s="57" t="e">
        <f t="shared" ca="1" si="33"/>
        <v>#N/A</v>
      </c>
      <c r="U149" s="57" t="e">
        <f t="shared" ca="1" si="34"/>
        <v>#N/A</v>
      </c>
      <c r="V149" s="57" t="e">
        <f t="shared" ca="1" si="35"/>
        <v>#N/A</v>
      </c>
      <c r="W149" s="57" t="e">
        <f t="shared" ca="1" si="40"/>
        <v>#N/A</v>
      </c>
      <c r="X149" t="e">
        <f t="shared" ca="1" si="36"/>
        <v>#N/A</v>
      </c>
      <c r="Y149" t="e">
        <f t="shared" ca="1" si="41"/>
        <v>#N/A</v>
      </c>
      <c r="Z149" t="e">
        <f t="shared" ca="1" si="37"/>
        <v>#N/A</v>
      </c>
      <c r="AA149" t="e">
        <f t="shared" ca="1" si="38"/>
        <v>#N/A</v>
      </c>
      <c r="AB149" s="85">
        <f ca="1"/>
        <v>45614</v>
      </c>
      <c r="AC149" s="57">
        <f t="shared" ref="AC149:AC212" ca="1" si="42">IF(AB149&gt;1,AB149,"")</f>
        <v>45614</v>
      </c>
      <c r="AD149" s="57">
        <f t="shared" ref="AD149:AD212" ca="1" si="43">VLOOKUP(AC149,ModelOutputs,2,FALSE)</f>
        <v>0.16634252079625733</v>
      </c>
      <c r="AE149" s="57">
        <f t="shared" ref="AE149:AE212" ca="1" si="44">VLOOKUP(AC149,ModelOutputs,7,FALSE)</f>
        <v>147.445768266394</v>
      </c>
      <c r="AF149" s="57">
        <f t="shared" ref="AF149:AF212" ca="1" si="45">VLOOKUP(AC149,ModelOutputs,6,FALSE)</f>
        <v>0</v>
      </c>
    </row>
    <row r="150" spans="18:32" x14ac:dyDescent="0.25">
      <c r="R150" s="85" t="e">
        <f ca="1"/>
        <v>#N/A</v>
      </c>
      <c r="S150" s="57" t="e">
        <f t="shared" ca="1" si="39"/>
        <v>#N/A</v>
      </c>
      <c r="T150" s="57" t="e">
        <f t="shared" ca="1" si="33"/>
        <v>#N/A</v>
      </c>
      <c r="U150" s="57" t="e">
        <f t="shared" ca="1" si="34"/>
        <v>#N/A</v>
      </c>
      <c r="V150" s="57" t="e">
        <f t="shared" ca="1" si="35"/>
        <v>#N/A</v>
      </c>
      <c r="W150" s="57" t="e">
        <f t="shared" ca="1" si="40"/>
        <v>#N/A</v>
      </c>
      <c r="X150" t="e">
        <f t="shared" ca="1" si="36"/>
        <v>#N/A</v>
      </c>
      <c r="Y150" t="e">
        <f t="shared" ca="1" si="41"/>
        <v>#N/A</v>
      </c>
      <c r="Z150" t="e">
        <f t="shared" ca="1" si="37"/>
        <v>#N/A</v>
      </c>
      <c r="AA150" t="e">
        <f t="shared" ca="1" si="38"/>
        <v>#N/A</v>
      </c>
      <c r="AB150" s="85">
        <f ca="1"/>
        <v>45615</v>
      </c>
      <c r="AC150" s="57">
        <f t="shared" ca="1" si="42"/>
        <v>45615</v>
      </c>
      <c r="AD150" s="57">
        <f t="shared" ca="1" si="43"/>
        <v>0.16286517365611</v>
      </c>
      <c r="AE150" s="57">
        <f t="shared" ca="1" si="44"/>
        <v>149.228813058631</v>
      </c>
      <c r="AF150" s="57">
        <f t="shared" ca="1" si="45"/>
        <v>0</v>
      </c>
    </row>
    <row r="151" spans="18:32" x14ac:dyDescent="0.25">
      <c r="R151" s="85" t="e">
        <f ca="1"/>
        <v>#N/A</v>
      </c>
      <c r="S151" s="57" t="e">
        <f t="shared" ca="1" si="39"/>
        <v>#N/A</v>
      </c>
      <c r="T151" s="57" t="e">
        <f t="shared" ca="1" si="33"/>
        <v>#N/A</v>
      </c>
      <c r="U151" s="57" t="e">
        <f t="shared" ca="1" si="34"/>
        <v>#N/A</v>
      </c>
      <c r="V151" s="57" t="e">
        <f t="shared" ca="1" si="35"/>
        <v>#N/A</v>
      </c>
      <c r="W151" s="57" t="e">
        <f t="shared" ca="1" si="40"/>
        <v>#N/A</v>
      </c>
      <c r="X151" t="e">
        <f t="shared" ca="1" si="36"/>
        <v>#N/A</v>
      </c>
      <c r="Y151" t="e">
        <f t="shared" ca="1" si="41"/>
        <v>#N/A</v>
      </c>
      <c r="Z151" t="e">
        <f t="shared" ca="1" si="37"/>
        <v>#N/A</v>
      </c>
      <c r="AA151" t="e">
        <f t="shared" ca="1" si="38"/>
        <v>#N/A</v>
      </c>
      <c r="AB151" s="85">
        <f ca="1"/>
        <v>45616</v>
      </c>
      <c r="AC151" s="57">
        <f t="shared" ca="1" si="42"/>
        <v>45616</v>
      </c>
      <c r="AD151" s="57">
        <f t="shared" ca="1" si="43"/>
        <v>0.15969697245277337</v>
      </c>
      <c r="AE151" s="57">
        <f t="shared" ca="1" si="44"/>
        <v>150.96549861181299</v>
      </c>
      <c r="AF151" s="57">
        <f t="shared" ca="1" si="45"/>
        <v>0</v>
      </c>
    </row>
    <row r="152" spans="18:32" x14ac:dyDescent="0.25">
      <c r="R152" s="85" t="e">
        <f ca="1"/>
        <v>#N/A</v>
      </c>
      <c r="S152" s="57" t="e">
        <f t="shared" ca="1" si="39"/>
        <v>#N/A</v>
      </c>
      <c r="T152" s="57" t="e">
        <f t="shared" ca="1" si="33"/>
        <v>#N/A</v>
      </c>
      <c r="U152" s="57" t="e">
        <f t="shared" ca="1" si="34"/>
        <v>#N/A</v>
      </c>
      <c r="V152" s="57" t="e">
        <f t="shared" ca="1" si="35"/>
        <v>#N/A</v>
      </c>
      <c r="W152" s="57" t="e">
        <f t="shared" ca="1" si="40"/>
        <v>#N/A</v>
      </c>
      <c r="X152" t="e">
        <f t="shared" ca="1" si="36"/>
        <v>#N/A</v>
      </c>
      <c r="Y152" t="e">
        <f t="shared" ca="1" si="41"/>
        <v>#N/A</v>
      </c>
      <c r="Z152" t="e">
        <f t="shared" ca="1" si="37"/>
        <v>#N/A</v>
      </c>
      <c r="AA152" t="e">
        <f t="shared" ca="1" si="38"/>
        <v>#N/A</v>
      </c>
      <c r="AB152" s="85">
        <f ca="1"/>
        <v>45617</v>
      </c>
      <c r="AC152" s="57">
        <f t="shared" ca="1" si="42"/>
        <v>45617</v>
      </c>
      <c r="AD152" s="57">
        <f t="shared" ca="1" si="43"/>
        <v>0.15681753514243862</v>
      </c>
      <c r="AE152" s="57">
        <f t="shared" ca="1" si="44"/>
        <v>152.656399777216</v>
      </c>
      <c r="AF152" s="57">
        <f t="shared" ca="1" si="45"/>
        <v>0</v>
      </c>
    </row>
    <row r="153" spans="18:32" x14ac:dyDescent="0.25">
      <c r="R153" s="85" t="e">
        <f ca="1"/>
        <v>#N/A</v>
      </c>
      <c r="S153" s="57" t="e">
        <f t="shared" ca="1" si="39"/>
        <v>#N/A</v>
      </c>
      <c r="T153" s="57" t="e">
        <f t="shared" ca="1" si="33"/>
        <v>#N/A</v>
      </c>
      <c r="U153" s="57" t="e">
        <f t="shared" ca="1" si="34"/>
        <v>#N/A</v>
      </c>
      <c r="V153" s="57" t="e">
        <f t="shared" ca="1" si="35"/>
        <v>#N/A</v>
      </c>
      <c r="W153" s="57" t="e">
        <f t="shared" ca="1" si="40"/>
        <v>#N/A</v>
      </c>
      <c r="X153" t="e">
        <f t="shared" ca="1" si="36"/>
        <v>#N/A</v>
      </c>
      <c r="Y153" t="e">
        <f t="shared" ca="1" si="41"/>
        <v>#N/A</v>
      </c>
      <c r="Z153" t="e">
        <f t="shared" ca="1" si="37"/>
        <v>#N/A</v>
      </c>
      <c r="AA153" t="e">
        <f t="shared" ca="1" si="38"/>
        <v>#N/A</v>
      </c>
      <c r="AB153" s="85" t="e">
        <f ca="1"/>
        <v>#N/A</v>
      </c>
      <c r="AC153" s="57" t="e">
        <f t="shared" ca="1" si="42"/>
        <v>#N/A</v>
      </c>
      <c r="AD153" s="57" t="e">
        <f t="shared" ca="1" si="43"/>
        <v>#N/A</v>
      </c>
      <c r="AE153" s="57" t="e">
        <f t="shared" ca="1" si="44"/>
        <v>#N/A</v>
      </c>
      <c r="AF153" s="57" t="e">
        <f t="shared" ca="1" si="45"/>
        <v>#N/A</v>
      </c>
    </row>
    <row r="154" spans="18:32" x14ac:dyDescent="0.25">
      <c r="R154" s="85" t="e">
        <f ca="1"/>
        <v>#N/A</v>
      </c>
      <c r="S154" s="57" t="e">
        <f t="shared" ca="1" si="39"/>
        <v>#N/A</v>
      </c>
      <c r="T154" s="57" t="e">
        <f t="shared" ca="1" si="33"/>
        <v>#N/A</v>
      </c>
      <c r="U154" s="57" t="e">
        <f t="shared" ca="1" si="34"/>
        <v>#N/A</v>
      </c>
      <c r="V154" s="57" t="e">
        <f t="shared" ca="1" si="35"/>
        <v>#N/A</v>
      </c>
      <c r="W154" s="57" t="e">
        <f t="shared" ca="1" si="40"/>
        <v>#N/A</v>
      </c>
      <c r="X154" t="e">
        <f t="shared" ca="1" si="36"/>
        <v>#N/A</v>
      </c>
      <c r="Y154" t="e">
        <f t="shared" ca="1" si="41"/>
        <v>#N/A</v>
      </c>
      <c r="Z154" t="e">
        <f t="shared" ca="1" si="37"/>
        <v>#N/A</v>
      </c>
      <c r="AA154" t="e">
        <f t="shared" ca="1" si="38"/>
        <v>#N/A</v>
      </c>
      <c r="AB154" s="85" t="e">
        <f ca="1"/>
        <v>#N/A</v>
      </c>
      <c r="AC154" s="57" t="e">
        <f t="shared" ca="1" si="42"/>
        <v>#N/A</v>
      </c>
      <c r="AD154" s="57" t="e">
        <f t="shared" ca="1" si="43"/>
        <v>#N/A</v>
      </c>
      <c r="AE154" s="57" t="e">
        <f t="shared" ca="1" si="44"/>
        <v>#N/A</v>
      </c>
      <c r="AF154" s="57" t="e">
        <f t="shared" ca="1" si="45"/>
        <v>#N/A</v>
      </c>
    </row>
    <row r="155" spans="18:32" x14ac:dyDescent="0.25">
      <c r="R155" s="85" t="e">
        <f ca="1"/>
        <v>#N/A</v>
      </c>
      <c r="S155" s="57" t="e">
        <f t="shared" ca="1" si="39"/>
        <v>#N/A</v>
      </c>
      <c r="T155" s="57" t="e">
        <f t="shared" ca="1" si="33"/>
        <v>#N/A</v>
      </c>
      <c r="U155" s="57" t="e">
        <f t="shared" ca="1" si="34"/>
        <v>#N/A</v>
      </c>
      <c r="V155" s="57" t="e">
        <f t="shared" ca="1" si="35"/>
        <v>#N/A</v>
      </c>
      <c r="W155" s="57" t="e">
        <f t="shared" ca="1" si="40"/>
        <v>#N/A</v>
      </c>
      <c r="X155" t="e">
        <f t="shared" ca="1" si="36"/>
        <v>#N/A</v>
      </c>
      <c r="Y155" t="e">
        <f t="shared" ca="1" si="41"/>
        <v>#N/A</v>
      </c>
      <c r="Z155" t="e">
        <f t="shared" ca="1" si="37"/>
        <v>#N/A</v>
      </c>
      <c r="AA155" t="e">
        <f t="shared" ca="1" si="38"/>
        <v>#N/A</v>
      </c>
      <c r="AB155" s="85" t="e">
        <f ca="1"/>
        <v>#N/A</v>
      </c>
      <c r="AC155" s="57" t="e">
        <f t="shared" ca="1" si="42"/>
        <v>#N/A</v>
      </c>
      <c r="AD155" s="57" t="e">
        <f t="shared" ca="1" si="43"/>
        <v>#N/A</v>
      </c>
      <c r="AE155" s="57" t="e">
        <f t="shared" ca="1" si="44"/>
        <v>#N/A</v>
      </c>
      <c r="AF155" s="57" t="e">
        <f t="shared" ca="1" si="45"/>
        <v>#N/A</v>
      </c>
    </row>
    <row r="156" spans="18:32" x14ac:dyDescent="0.25">
      <c r="R156" s="85" t="e">
        <f ca="1"/>
        <v>#N/A</v>
      </c>
      <c r="S156" s="57" t="e">
        <f t="shared" ca="1" si="39"/>
        <v>#N/A</v>
      </c>
      <c r="T156" s="57" t="e">
        <f t="shared" ca="1" si="33"/>
        <v>#N/A</v>
      </c>
      <c r="U156" s="57" t="e">
        <f t="shared" ca="1" si="34"/>
        <v>#N/A</v>
      </c>
      <c r="V156" s="57" t="e">
        <f t="shared" ca="1" si="35"/>
        <v>#N/A</v>
      </c>
      <c r="W156" s="57" t="e">
        <f t="shared" ca="1" si="40"/>
        <v>#N/A</v>
      </c>
      <c r="X156" t="e">
        <f t="shared" ca="1" si="36"/>
        <v>#N/A</v>
      </c>
      <c r="Y156" t="e">
        <f t="shared" ca="1" si="41"/>
        <v>#N/A</v>
      </c>
      <c r="Z156" t="e">
        <f t="shared" ca="1" si="37"/>
        <v>#N/A</v>
      </c>
      <c r="AA156" t="e">
        <f t="shared" ca="1" si="38"/>
        <v>#N/A</v>
      </c>
      <c r="AB156" s="85" t="e">
        <f ca="1"/>
        <v>#N/A</v>
      </c>
      <c r="AC156" s="57" t="e">
        <f t="shared" ca="1" si="42"/>
        <v>#N/A</v>
      </c>
      <c r="AD156" s="57" t="e">
        <f t="shared" ca="1" si="43"/>
        <v>#N/A</v>
      </c>
      <c r="AE156" s="57" t="e">
        <f t="shared" ca="1" si="44"/>
        <v>#N/A</v>
      </c>
      <c r="AF156" s="57" t="e">
        <f t="shared" ca="1" si="45"/>
        <v>#N/A</v>
      </c>
    </row>
    <row r="157" spans="18:32" x14ac:dyDescent="0.25">
      <c r="R157" s="85" t="e">
        <f ca="1"/>
        <v>#N/A</v>
      </c>
      <c r="S157" s="57" t="e">
        <f t="shared" ca="1" si="39"/>
        <v>#N/A</v>
      </c>
      <c r="T157" s="57" t="e">
        <f t="shared" ca="1" si="33"/>
        <v>#N/A</v>
      </c>
      <c r="U157" s="57" t="e">
        <f t="shared" ca="1" si="34"/>
        <v>#N/A</v>
      </c>
      <c r="V157" s="57" t="e">
        <f t="shared" ca="1" si="35"/>
        <v>#N/A</v>
      </c>
      <c r="W157" s="57" t="e">
        <f t="shared" ca="1" si="40"/>
        <v>#N/A</v>
      </c>
      <c r="X157" t="e">
        <f t="shared" ca="1" si="36"/>
        <v>#N/A</v>
      </c>
      <c r="Y157" t="e">
        <f t="shared" ca="1" si="41"/>
        <v>#N/A</v>
      </c>
      <c r="Z157" t="e">
        <f t="shared" ca="1" si="37"/>
        <v>#N/A</v>
      </c>
      <c r="AA157" t="e">
        <f t="shared" ca="1" si="38"/>
        <v>#N/A</v>
      </c>
      <c r="AB157" s="85" t="e">
        <f ca="1"/>
        <v>#N/A</v>
      </c>
      <c r="AC157" s="57" t="e">
        <f t="shared" ca="1" si="42"/>
        <v>#N/A</v>
      </c>
      <c r="AD157" s="57" t="e">
        <f t="shared" ca="1" si="43"/>
        <v>#N/A</v>
      </c>
      <c r="AE157" s="57" t="e">
        <f t="shared" ca="1" si="44"/>
        <v>#N/A</v>
      </c>
      <c r="AF157" s="57" t="e">
        <f t="shared" ca="1" si="45"/>
        <v>#N/A</v>
      </c>
    </row>
    <row r="158" spans="18:32" x14ac:dyDescent="0.25">
      <c r="R158" s="85" t="e">
        <f ca="1"/>
        <v>#N/A</v>
      </c>
      <c r="S158" s="57" t="e">
        <f t="shared" ca="1" si="39"/>
        <v>#N/A</v>
      </c>
      <c r="T158" s="57" t="e">
        <f t="shared" ca="1" si="33"/>
        <v>#N/A</v>
      </c>
      <c r="U158" s="57" t="e">
        <f t="shared" ca="1" si="34"/>
        <v>#N/A</v>
      </c>
      <c r="V158" s="57" t="e">
        <f t="shared" ca="1" si="35"/>
        <v>#N/A</v>
      </c>
      <c r="W158" s="57" t="e">
        <f t="shared" ca="1" si="40"/>
        <v>#N/A</v>
      </c>
      <c r="X158" t="e">
        <f t="shared" ca="1" si="36"/>
        <v>#N/A</v>
      </c>
      <c r="Y158" t="e">
        <f t="shared" ca="1" si="41"/>
        <v>#N/A</v>
      </c>
      <c r="Z158" t="e">
        <f t="shared" ca="1" si="37"/>
        <v>#N/A</v>
      </c>
      <c r="AA158" t="e">
        <f t="shared" ca="1" si="38"/>
        <v>#N/A</v>
      </c>
      <c r="AB158" s="85" t="e">
        <f ca="1"/>
        <v>#N/A</v>
      </c>
      <c r="AC158" s="57" t="e">
        <f t="shared" ca="1" si="42"/>
        <v>#N/A</v>
      </c>
      <c r="AD158" s="57" t="e">
        <f t="shared" ca="1" si="43"/>
        <v>#N/A</v>
      </c>
      <c r="AE158" s="57" t="e">
        <f t="shared" ca="1" si="44"/>
        <v>#N/A</v>
      </c>
      <c r="AF158" s="57" t="e">
        <f t="shared" ca="1" si="45"/>
        <v>#N/A</v>
      </c>
    </row>
    <row r="159" spans="18:32" x14ac:dyDescent="0.25">
      <c r="R159" s="85" t="e">
        <f ca="1"/>
        <v>#N/A</v>
      </c>
      <c r="S159" s="57" t="e">
        <f t="shared" ca="1" si="39"/>
        <v>#N/A</v>
      </c>
      <c r="T159" s="57" t="e">
        <f t="shared" ca="1" si="33"/>
        <v>#N/A</v>
      </c>
      <c r="U159" s="57" t="e">
        <f t="shared" ca="1" si="34"/>
        <v>#N/A</v>
      </c>
      <c r="V159" s="57" t="e">
        <f t="shared" ca="1" si="35"/>
        <v>#N/A</v>
      </c>
      <c r="W159" s="57" t="e">
        <f t="shared" ca="1" si="40"/>
        <v>#N/A</v>
      </c>
      <c r="X159" t="e">
        <f t="shared" ca="1" si="36"/>
        <v>#N/A</v>
      </c>
      <c r="Y159" t="e">
        <f t="shared" ca="1" si="41"/>
        <v>#N/A</v>
      </c>
      <c r="Z159" t="e">
        <f t="shared" ca="1" si="37"/>
        <v>#N/A</v>
      </c>
      <c r="AA159" t="e">
        <f t="shared" ca="1" si="38"/>
        <v>#N/A</v>
      </c>
      <c r="AB159" s="85" t="e">
        <f ca="1"/>
        <v>#N/A</v>
      </c>
      <c r="AC159" s="57" t="e">
        <f t="shared" ca="1" si="42"/>
        <v>#N/A</v>
      </c>
      <c r="AD159" s="57" t="e">
        <f t="shared" ca="1" si="43"/>
        <v>#N/A</v>
      </c>
      <c r="AE159" s="57" t="e">
        <f t="shared" ca="1" si="44"/>
        <v>#N/A</v>
      </c>
      <c r="AF159" s="57" t="e">
        <f t="shared" ca="1" si="45"/>
        <v>#N/A</v>
      </c>
    </row>
    <row r="160" spans="18:32" x14ac:dyDescent="0.25">
      <c r="R160" s="85" t="e">
        <f ca="1"/>
        <v>#N/A</v>
      </c>
      <c r="S160" s="57" t="e">
        <f t="shared" ca="1" si="39"/>
        <v>#N/A</v>
      </c>
      <c r="T160" s="57" t="e">
        <f t="shared" ca="1" si="33"/>
        <v>#N/A</v>
      </c>
      <c r="U160" s="57" t="e">
        <f t="shared" ca="1" si="34"/>
        <v>#N/A</v>
      </c>
      <c r="V160" s="57" t="e">
        <f t="shared" ca="1" si="35"/>
        <v>#N/A</v>
      </c>
      <c r="W160" s="57" t="e">
        <f t="shared" ca="1" si="40"/>
        <v>#N/A</v>
      </c>
      <c r="X160" t="e">
        <f t="shared" ca="1" si="36"/>
        <v>#N/A</v>
      </c>
      <c r="Y160" t="e">
        <f t="shared" ca="1" si="41"/>
        <v>#N/A</v>
      </c>
      <c r="Z160" t="e">
        <f t="shared" ca="1" si="37"/>
        <v>#N/A</v>
      </c>
      <c r="AA160" t="e">
        <f t="shared" ca="1" si="38"/>
        <v>#N/A</v>
      </c>
      <c r="AB160" s="85" t="e">
        <f ca="1"/>
        <v>#N/A</v>
      </c>
      <c r="AC160" s="57" t="e">
        <f t="shared" ca="1" si="42"/>
        <v>#N/A</v>
      </c>
      <c r="AD160" s="57" t="e">
        <f t="shared" ca="1" si="43"/>
        <v>#N/A</v>
      </c>
      <c r="AE160" s="57" t="e">
        <f t="shared" ca="1" si="44"/>
        <v>#N/A</v>
      </c>
      <c r="AF160" s="57" t="e">
        <f t="shared" ca="1" si="45"/>
        <v>#N/A</v>
      </c>
    </row>
    <row r="161" spans="18:32" x14ac:dyDescent="0.25">
      <c r="R161" s="85" t="e">
        <f ca="1"/>
        <v>#N/A</v>
      </c>
      <c r="S161" s="57" t="e">
        <f t="shared" ca="1" si="39"/>
        <v>#N/A</v>
      </c>
      <c r="T161" s="57" t="e">
        <f t="shared" ca="1" si="33"/>
        <v>#N/A</v>
      </c>
      <c r="U161" s="57" t="e">
        <f t="shared" ca="1" si="34"/>
        <v>#N/A</v>
      </c>
      <c r="V161" s="57" t="e">
        <f t="shared" ca="1" si="35"/>
        <v>#N/A</v>
      </c>
      <c r="W161" s="57" t="e">
        <f t="shared" ca="1" si="40"/>
        <v>#N/A</v>
      </c>
      <c r="X161" t="e">
        <f t="shared" ca="1" si="36"/>
        <v>#N/A</v>
      </c>
      <c r="Y161" t="e">
        <f t="shared" ca="1" si="41"/>
        <v>#N/A</v>
      </c>
      <c r="Z161" t="e">
        <f t="shared" ca="1" si="37"/>
        <v>#N/A</v>
      </c>
      <c r="AA161" t="e">
        <f t="shared" ca="1" si="38"/>
        <v>#N/A</v>
      </c>
      <c r="AB161" s="85" t="e">
        <f ca="1"/>
        <v>#N/A</v>
      </c>
      <c r="AC161" s="57" t="e">
        <f t="shared" ca="1" si="42"/>
        <v>#N/A</v>
      </c>
      <c r="AD161" s="57" t="e">
        <f t="shared" ca="1" si="43"/>
        <v>#N/A</v>
      </c>
      <c r="AE161" s="57" t="e">
        <f t="shared" ca="1" si="44"/>
        <v>#N/A</v>
      </c>
      <c r="AF161" s="57" t="e">
        <f t="shared" ca="1" si="45"/>
        <v>#N/A</v>
      </c>
    </row>
    <row r="162" spans="18:32" x14ac:dyDescent="0.25">
      <c r="R162" s="85" t="e">
        <f ca="1"/>
        <v>#N/A</v>
      </c>
      <c r="S162" s="57" t="e">
        <f t="shared" ca="1" si="39"/>
        <v>#N/A</v>
      </c>
      <c r="T162" s="57" t="e">
        <f t="shared" ca="1" si="33"/>
        <v>#N/A</v>
      </c>
      <c r="U162" s="57" t="e">
        <f t="shared" ca="1" si="34"/>
        <v>#N/A</v>
      </c>
      <c r="V162" s="57" t="e">
        <f t="shared" ca="1" si="35"/>
        <v>#N/A</v>
      </c>
      <c r="W162" s="57" t="e">
        <f t="shared" ca="1" si="40"/>
        <v>#N/A</v>
      </c>
      <c r="X162" t="e">
        <f t="shared" ca="1" si="36"/>
        <v>#N/A</v>
      </c>
      <c r="Y162" t="e">
        <f t="shared" ca="1" si="41"/>
        <v>#N/A</v>
      </c>
      <c r="Z162" t="e">
        <f t="shared" ca="1" si="37"/>
        <v>#N/A</v>
      </c>
      <c r="AA162" t="e">
        <f t="shared" ca="1" si="38"/>
        <v>#N/A</v>
      </c>
      <c r="AB162" s="85" t="e">
        <f ca="1"/>
        <v>#N/A</v>
      </c>
      <c r="AC162" s="57" t="e">
        <f t="shared" ca="1" si="42"/>
        <v>#N/A</v>
      </c>
      <c r="AD162" s="57" t="e">
        <f t="shared" ca="1" si="43"/>
        <v>#N/A</v>
      </c>
      <c r="AE162" s="57" t="e">
        <f t="shared" ca="1" si="44"/>
        <v>#N/A</v>
      </c>
      <c r="AF162" s="57" t="e">
        <f t="shared" ca="1" si="45"/>
        <v>#N/A</v>
      </c>
    </row>
    <row r="163" spans="18:32" x14ac:dyDescent="0.25">
      <c r="R163" s="85" t="e">
        <f ca="1"/>
        <v>#N/A</v>
      </c>
      <c r="S163" s="57" t="e">
        <f t="shared" ca="1" si="39"/>
        <v>#N/A</v>
      </c>
      <c r="T163" s="57" t="e">
        <f t="shared" ca="1" si="33"/>
        <v>#N/A</v>
      </c>
      <c r="U163" s="57" t="e">
        <f t="shared" ca="1" si="34"/>
        <v>#N/A</v>
      </c>
      <c r="V163" s="57" t="e">
        <f t="shared" ca="1" si="35"/>
        <v>#N/A</v>
      </c>
      <c r="W163" s="57" t="e">
        <f t="shared" ca="1" si="40"/>
        <v>#N/A</v>
      </c>
      <c r="X163" t="e">
        <f t="shared" ca="1" si="36"/>
        <v>#N/A</v>
      </c>
      <c r="Y163" t="e">
        <f t="shared" ca="1" si="41"/>
        <v>#N/A</v>
      </c>
      <c r="Z163" t="e">
        <f t="shared" ca="1" si="37"/>
        <v>#N/A</v>
      </c>
      <c r="AA163" t="e">
        <f t="shared" ca="1" si="38"/>
        <v>#N/A</v>
      </c>
      <c r="AB163" s="85" t="e">
        <f ca="1"/>
        <v>#N/A</v>
      </c>
      <c r="AC163" s="57" t="e">
        <f t="shared" ca="1" si="42"/>
        <v>#N/A</v>
      </c>
      <c r="AD163" s="57" t="e">
        <f t="shared" ca="1" si="43"/>
        <v>#N/A</v>
      </c>
      <c r="AE163" s="57" t="e">
        <f t="shared" ca="1" si="44"/>
        <v>#N/A</v>
      </c>
      <c r="AF163" s="57" t="e">
        <f t="shared" ca="1" si="45"/>
        <v>#N/A</v>
      </c>
    </row>
    <row r="164" spans="18:32" x14ac:dyDescent="0.25">
      <c r="R164" s="85" t="e">
        <f ca="1"/>
        <v>#N/A</v>
      </c>
      <c r="S164" s="57" t="e">
        <f t="shared" ca="1" si="39"/>
        <v>#N/A</v>
      </c>
      <c r="T164" s="57" t="e">
        <f t="shared" ca="1" si="33"/>
        <v>#N/A</v>
      </c>
      <c r="U164" s="57" t="e">
        <f t="shared" ca="1" si="34"/>
        <v>#N/A</v>
      </c>
      <c r="V164" s="57" t="e">
        <f t="shared" ca="1" si="35"/>
        <v>#N/A</v>
      </c>
      <c r="W164" s="57" t="e">
        <f t="shared" ca="1" si="40"/>
        <v>#N/A</v>
      </c>
      <c r="X164" t="e">
        <f t="shared" ca="1" si="36"/>
        <v>#N/A</v>
      </c>
      <c r="Y164" t="e">
        <f t="shared" ca="1" si="41"/>
        <v>#N/A</v>
      </c>
      <c r="Z164" t="e">
        <f t="shared" ca="1" si="37"/>
        <v>#N/A</v>
      </c>
      <c r="AA164" t="e">
        <f t="shared" ca="1" si="38"/>
        <v>#N/A</v>
      </c>
      <c r="AB164" s="85" t="e">
        <f ca="1"/>
        <v>#N/A</v>
      </c>
      <c r="AC164" s="57" t="e">
        <f t="shared" ca="1" si="42"/>
        <v>#N/A</v>
      </c>
      <c r="AD164" s="57" t="e">
        <f t="shared" ca="1" si="43"/>
        <v>#N/A</v>
      </c>
      <c r="AE164" s="57" t="e">
        <f t="shared" ca="1" si="44"/>
        <v>#N/A</v>
      </c>
      <c r="AF164" s="57" t="e">
        <f t="shared" ca="1" si="45"/>
        <v>#N/A</v>
      </c>
    </row>
    <row r="165" spans="18:32" x14ac:dyDescent="0.25">
      <c r="R165" s="85" t="e">
        <f ca="1"/>
        <v>#N/A</v>
      </c>
      <c r="S165" s="57" t="e">
        <f t="shared" ca="1" si="39"/>
        <v>#N/A</v>
      </c>
      <c r="T165" s="57" t="e">
        <f t="shared" ca="1" si="33"/>
        <v>#N/A</v>
      </c>
      <c r="U165" s="57" t="e">
        <f t="shared" ca="1" si="34"/>
        <v>#N/A</v>
      </c>
      <c r="V165" s="57" t="e">
        <f t="shared" ca="1" si="35"/>
        <v>#N/A</v>
      </c>
      <c r="W165" s="57" t="e">
        <f t="shared" ca="1" si="40"/>
        <v>#N/A</v>
      </c>
      <c r="X165" t="e">
        <f t="shared" ca="1" si="36"/>
        <v>#N/A</v>
      </c>
      <c r="Y165" t="e">
        <f t="shared" ca="1" si="41"/>
        <v>#N/A</v>
      </c>
      <c r="Z165" t="e">
        <f t="shared" ca="1" si="37"/>
        <v>#N/A</v>
      </c>
      <c r="AA165" t="e">
        <f t="shared" ca="1" si="38"/>
        <v>#N/A</v>
      </c>
      <c r="AB165" s="85" t="e">
        <f ca="1"/>
        <v>#N/A</v>
      </c>
      <c r="AC165" s="57" t="e">
        <f t="shared" ca="1" si="42"/>
        <v>#N/A</v>
      </c>
      <c r="AD165" s="57" t="e">
        <f t="shared" ca="1" si="43"/>
        <v>#N/A</v>
      </c>
      <c r="AE165" s="57" t="e">
        <f t="shared" ca="1" si="44"/>
        <v>#N/A</v>
      </c>
      <c r="AF165" s="57" t="e">
        <f t="shared" ca="1" si="45"/>
        <v>#N/A</v>
      </c>
    </row>
    <row r="166" spans="18:32" x14ac:dyDescent="0.25">
      <c r="R166" s="85" t="e">
        <f ca="1"/>
        <v>#N/A</v>
      </c>
      <c r="S166" s="57" t="e">
        <f t="shared" ca="1" si="39"/>
        <v>#N/A</v>
      </c>
      <c r="T166" s="57" t="e">
        <f t="shared" ca="1" si="33"/>
        <v>#N/A</v>
      </c>
      <c r="U166" s="57" t="e">
        <f t="shared" ca="1" si="34"/>
        <v>#N/A</v>
      </c>
      <c r="V166" s="57" t="e">
        <f t="shared" ca="1" si="35"/>
        <v>#N/A</v>
      </c>
      <c r="W166" s="57" t="e">
        <f t="shared" ca="1" si="40"/>
        <v>#N/A</v>
      </c>
      <c r="X166" t="e">
        <f t="shared" ca="1" si="36"/>
        <v>#N/A</v>
      </c>
      <c r="Y166" t="e">
        <f t="shared" ca="1" si="41"/>
        <v>#N/A</v>
      </c>
      <c r="Z166" t="e">
        <f t="shared" ca="1" si="37"/>
        <v>#N/A</v>
      </c>
      <c r="AA166" t="e">
        <f t="shared" ca="1" si="38"/>
        <v>#N/A</v>
      </c>
      <c r="AB166" s="85" t="e">
        <f ca="1"/>
        <v>#N/A</v>
      </c>
      <c r="AC166" s="57" t="e">
        <f t="shared" ca="1" si="42"/>
        <v>#N/A</v>
      </c>
      <c r="AD166" s="57" t="e">
        <f t="shared" ca="1" si="43"/>
        <v>#N/A</v>
      </c>
      <c r="AE166" s="57" t="e">
        <f t="shared" ca="1" si="44"/>
        <v>#N/A</v>
      </c>
      <c r="AF166" s="57" t="e">
        <f t="shared" ca="1" si="45"/>
        <v>#N/A</v>
      </c>
    </row>
    <row r="167" spans="18:32" x14ac:dyDescent="0.25">
      <c r="R167" s="85" t="e">
        <f ca="1"/>
        <v>#N/A</v>
      </c>
      <c r="S167" s="57" t="e">
        <f t="shared" ca="1" si="39"/>
        <v>#N/A</v>
      </c>
      <c r="T167" s="57" t="e">
        <f t="shared" ca="1" si="33"/>
        <v>#N/A</v>
      </c>
      <c r="U167" s="57" t="e">
        <f t="shared" ca="1" si="34"/>
        <v>#N/A</v>
      </c>
      <c r="V167" s="57" t="e">
        <f t="shared" ca="1" si="35"/>
        <v>#N/A</v>
      </c>
      <c r="W167" s="57" t="e">
        <f t="shared" ca="1" si="40"/>
        <v>#N/A</v>
      </c>
      <c r="X167" t="e">
        <f t="shared" ca="1" si="36"/>
        <v>#N/A</v>
      </c>
      <c r="Y167" t="e">
        <f t="shared" ca="1" si="41"/>
        <v>#N/A</v>
      </c>
      <c r="Z167" t="e">
        <f t="shared" ca="1" si="37"/>
        <v>#N/A</v>
      </c>
      <c r="AA167" t="e">
        <f t="shared" ca="1" si="38"/>
        <v>#N/A</v>
      </c>
      <c r="AB167" s="85" t="e">
        <f ca="1"/>
        <v>#N/A</v>
      </c>
      <c r="AC167" s="57" t="e">
        <f t="shared" ca="1" si="42"/>
        <v>#N/A</v>
      </c>
      <c r="AD167" s="57" t="e">
        <f t="shared" ca="1" si="43"/>
        <v>#N/A</v>
      </c>
      <c r="AE167" s="57" t="e">
        <f t="shared" ca="1" si="44"/>
        <v>#N/A</v>
      </c>
      <c r="AF167" s="57" t="e">
        <f t="shared" ca="1" si="45"/>
        <v>#N/A</v>
      </c>
    </row>
    <row r="168" spans="18:32" x14ac:dyDescent="0.25">
      <c r="R168" s="85" t="e">
        <f ca="1"/>
        <v>#N/A</v>
      </c>
      <c r="S168" s="57" t="e">
        <f t="shared" ca="1" si="39"/>
        <v>#N/A</v>
      </c>
      <c r="T168" s="57" t="e">
        <f t="shared" ca="1" si="33"/>
        <v>#N/A</v>
      </c>
      <c r="U168" s="57" t="e">
        <f t="shared" ca="1" si="34"/>
        <v>#N/A</v>
      </c>
      <c r="V168" s="57" t="e">
        <f t="shared" ca="1" si="35"/>
        <v>#N/A</v>
      </c>
      <c r="W168" s="57" t="e">
        <f t="shared" ca="1" si="40"/>
        <v>#N/A</v>
      </c>
      <c r="X168" t="e">
        <f t="shared" ca="1" si="36"/>
        <v>#N/A</v>
      </c>
      <c r="Y168" t="e">
        <f t="shared" ca="1" si="41"/>
        <v>#N/A</v>
      </c>
      <c r="Z168" t="e">
        <f t="shared" ca="1" si="37"/>
        <v>#N/A</v>
      </c>
      <c r="AA168" t="e">
        <f t="shared" ca="1" si="38"/>
        <v>#N/A</v>
      </c>
      <c r="AB168" s="85" t="e">
        <f ca="1"/>
        <v>#N/A</v>
      </c>
      <c r="AC168" s="57" t="e">
        <f t="shared" ca="1" si="42"/>
        <v>#N/A</v>
      </c>
      <c r="AD168" s="57" t="e">
        <f t="shared" ca="1" si="43"/>
        <v>#N/A</v>
      </c>
      <c r="AE168" s="57" t="e">
        <f t="shared" ca="1" si="44"/>
        <v>#N/A</v>
      </c>
      <c r="AF168" s="57" t="e">
        <f t="shared" ca="1" si="45"/>
        <v>#N/A</v>
      </c>
    </row>
    <row r="169" spans="18:32" x14ac:dyDescent="0.25">
      <c r="R169" s="85" t="e">
        <f ca="1"/>
        <v>#N/A</v>
      </c>
      <c r="S169" s="57" t="e">
        <f t="shared" ca="1" si="39"/>
        <v>#N/A</v>
      </c>
      <c r="T169" s="57" t="e">
        <f t="shared" ca="1" si="33"/>
        <v>#N/A</v>
      </c>
      <c r="U169" s="57" t="e">
        <f t="shared" ca="1" si="34"/>
        <v>#N/A</v>
      </c>
      <c r="V169" s="57" t="e">
        <f t="shared" ca="1" si="35"/>
        <v>#N/A</v>
      </c>
      <c r="W169" s="57" t="e">
        <f t="shared" ca="1" si="40"/>
        <v>#N/A</v>
      </c>
      <c r="X169" t="e">
        <f t="shared" ca="1" si="36"/>
        <v>#N/A</v>
      </c>
      <c r="Y169" t="e">
        <f t="shared" ca="1" si="41"/>
        <v>#N/A</v>
      </c>
      <c r="Z169" t="e">
        <f t="shared" ca="1" si="37"/>
        <v>#N/A</v>
      </c>
      <c r="AA169" t="e">
        <f t="shared" ca="1" si="38"/>
        <v>#N/A</v>
      </c>
      <c r="AB169" s="85" t="e">
        <f ca="1"/>
        <v>#N/A</v>
      </c>
      <c r="AC169" s="57" t="e">
        <f t="shared" ca="1" si="42"/>
        <v>#N/A</v>
      </c>
      <c r="AD169" s="57" t="e">
        <f t="shared" ca="1" si="43"/>
        <v>#N/A</v>
      </c>
      <c r="AE169" s="57" t="e">
        <f t="shared" ca="1" si="44"/>
        <v>#N/A</v>
      </c>
      <c r="AF169" s="57" t="e">
        <f t="shared" ca="1" si="45"/>
        <v>#N/A</v>
      </c>
    </row>
    <row r="170" spans="18:32" x14ac:dyDescent="0.25">
      <c r="R170" s="85" t="e">
        <f ca="1"/>
        <v>#N/A</v>
      </c>
      <c r="S170" s="57" t="e">
        <f t="shared" ca="1" si="39"/>
        <v>#N/A</v>
      </c>
      <c r="T170" s="57" t="e">
        <f t="shared" ca="1" si="33"/>
        <v>#N/A</v>
      </c>
      <c r="U170" s="57" t="e">
        <f t="shared" ca="1" si="34"/>
        <v>#N/A</v>
      </c>
      <c r="V170" s="57" t="e">
        <f t="shared" ca="1" si="35"/>
        <v>#N/A</v>
      </c>
      <c r="W170" s="57" t="e">
        <f t="shared" ca="1" si="40"/>
        <v>#N/A</v>
      </c>
      <c r="X170" t="e">
        <f t="shared" ca="1" si="36"/>
        <v>#N/A</v>
      </c>
      <c r="Y170" t="e">
        <f t="shared" ca="1" si="41"/>
        <v>#N/A</v>
      </c>
      <c r="Z170" t="e">
        <f t="shared" ca="1" si="37"/>
        <v>#N/A</v>
      </c>
      <c r="AA170" t="e">
        <f t="shared" ca="1" si="38"/>
        <v>#N/A</v>
      </c>
      <c r="AB170" s="85" t="e">
        <f ca="1"/>
        <v>#N/A</v>
      </c>
      <c r="AC170" s="57" t="e">
        <f t="shared" ca="1" si="42"/>
        <v>#N/A</v>
      </c>
      <c r="AD170" s="57" t="e">
        <f t="shared" ca="1" si="43"/>
        <v>#N/A</v>
      </c>
      <c r="AE170" s="57" t="e">
        <f t="shared" ca="1" si="44"/>
        <v>#N/A</v>
      </c>
      <c r="AF170" s="57" t="e">
        <f t="shared" ca="1" si="45"/>
        <v>#N/A</v>
      </c>
    </row>
    <row r="171" spans="18:32" x14ac:dyDescent="0.25">
      <c r="R171" s="85" t="e">
        <f ca="1"/>
        <v>#N/A</v>
      </c>
      <c r="S171" s="57" t="e">
        <f t="shared" ca="1" si="39"/>
        <v>#N/A</v>
      </c>
      <c r="T171" s="57" t="e">
        <f t="shared" ca="1" si="33"/>
        <v>#N/A</v>
      </c>
      <c r="U171" s="57" t="e">
        <f t="shared" ca="1" si="34"/>
        <v>#N/A</v>
      </c>
      <c r="V171" s="57" t="e">
        <f t="shared" ca="1" si="35"/>
        <v>#N/A</v>
      </c>
      <c r="W171" s="57" t="e">
        <f t="shared" ca="1" si="40"/>
        <v>#N/A</v>
      </c>
      <c r="X171" t="e">
        <f t="shared" ca="1" si="36"/>
        <v>#N/A</v>
      </c>
      <c r="Y171" t="e">
        <f t="shared" ca="1" si="41"/>
        <v>#N/A</v>
      </c>
      <c r="Z171" t="e">
        <f t="shared" ca="1" si="37"/>
        <v>#N/A</v>
      </c>
      <c r="AA171" t="e">
        <f t="shared" ca="1" si="38"/>
        <v>#N/A</v>
      </c>
      <c r="AB171" s="85" t="e">
        <f ca="1"/>
        <v>#N/A</v>
      </c>
      <c r="AC171" s="57" t="e">
        <f t="shared" ca="1" si="42"/>
        <v>#N/A</v>
      </c>
      <c r="AD171" s="57" t="e">
        <f t="shared" ca="1" si="43"/>
        <v>#N/A</v>
      </c>
      <c r="AE171" s="57" t="e">
        <f t="shared" ca="1" si="44"/>
        <v>#N/A</v>
      </c>
      <c r="AF171" s="57" t="e">
        <f t="shared" ca="1" si="45"/>
        <v>#N/A</v>
      </c>
    </row>
    <row r="172" spans="18:32" x14ac:dyDescent="0.25">
      <c r="R172" s="85" t="e">
        <f ca="1"/>
        <v>#N/A</v>
      </c>
      <c r="S172" s="57" t="e">
        <f t="shared" ca="1" si="39"/>
        <v>#N/A</v>
      </c>
      <c r="T172" s="57" t="e">
        <f t="shared" ca="1" si="33"/>
        <v>#N/A</v>
      </c>
      <c r="U172" s="57" t="e">
        <f t="shared" ca="1" si="34"/>
        <v>#N/A</v>
      </c>
      <c r="V172" s="57" t="e">
        <f t="shared" ca="1" si="35"/>
        <v>#N/A</v>
      </c>
      <c r="W172" s="57" t="e">
        <f t="shared" ca="1" si="40"/>
        <v>#N/A</v>
      </c>
      <c r="X172" t="e">
        <f t="shared" ca="1" si="36"/>
        <v>#N/A</v>
      </c>
      <c r="Y172" t="e">
        <f t="shared" ca="1" si="41"/>
        <v>#N/A</v>
      </c>
      <c r="Z172" t="e">
        <f t="shared" ca="1" si="37"/>
        <v>#N/A</v>
      </c>
      <c r="AA172" t="e">
        <f t="shared" ca="1" si="38"/>
        <v>#N/A</v>
      </c>
      <c r="AB172" s="85" t="e">
        <f ca="1"/>
        <v>#N/A</v>
      </c>
      <c r="AC172" s="57" t="e">
        <f t="shared" ca="1" si="42"/>
        <v>#N/A</v>
      </c>
      <c r="AD172" s="57" t="e">
        <f t="shared" ca="1" si="43"/>
        <v>#N/A</v>
      </c>
      <c r="AE172" s="57" t="e">
        <f t="shared" ca="1" si="44"/>
        <v>#N/A</v>
      </c>
      <c r="AF172" s="57" t="e">
        <f t="shared" ca="1" si="45"/>
        <v>#N/A</v>
      </c>
    </row>
    <row r="173" spans="18:32" x14ac:dyDescent="0.25">
      <c r="R173" s="85" t="e">
        <f ca="1"/>
        <v>#N/A</v>
      </c>
      <c r="S173" s="57" t="e">
        <f t="shared" ca="1" si="39"/>
        <v>#N/A</v>
      </c>
      <c r="T173" s="57" t="e">
        <f t="shared" ca="1" si="33"/>
        <v>#N/A</v>
      </c>
      <c r="U173" s="57" t="e">
        <f t="shared" ca="1" si="34"/>
        <v>#N/A</v>
      </c>
      <c r="V173" s="57" t="e">
        <f t="shared" ca="1" si="35"/>
        <v>#N/A</v>
      </c>
      <c r="W173" s="57" t="e">
        <f t="shared" ca="1" si="40"/>
        <v>#N/A</v>
      </c>
      <c r="X173" t="e">
        <f t="shared" ca="1" si="36"/>
        <v>#N/A</v>
      </c>
      <c r="Y173" t="e">
        <f t="shared" ca="1" si="41"/>
        <v>#N/A</v>
      </c>
      <c r="Z173" t="e">
        <f t="shared" ca="1" si="37"/>
        <v>#N/A</v>
      </c>
      <c r="AA173" t="e">
        <f t="shared" ca="1" si="38"/>
        <v>#N/A</v>
      </c>
      <c r="AB173" s="85" t="e">
        <f ca="1"/>
        <v>#N/A</v>
      </c>
      <c r="AC173" s="57" t="e">
        <f t="shared" ca="1" si="42"/>
        <v>#N/A</v>
      </c>
      <c r="AD173" s="57" t="e">
        <f t="shared" ca="1" si="43"/>
        <v>#N/A</v>
      </c>
      <c r="AE173" s="57" t="e">
        <f t="shared" ca="1" si="44"/>
        <v>#N/A</v>
      </c>
      <c r="AF173" s="57" t="e">
        <f t="shared" ca="1" si="45"/>
        <v>#N/A</v>
      </c>
    </row>
    <row r="174" spans="18:32" x14ac:dyDescent="0.25">
      <c r="R174" s="85" t="e">
        <f ca="1"/>
        <v>#N/A</v>
      </c>
      <c r="S174" s="57" t="e">
        <f t="shared" ca="1" si="39"/>
        <v>#N/A</v>
      </c>
      <c r="T174" s="57" t="e">
        <f t="shared" ca="1" si="33"/>
        <v>#N/A</v>
      </c>
      <c r="U174" s="57" t="e">
        <f t="shared" ca="1" si="34"/>
        <v>#N/A</v>
      </c>
      <c r="V174" s="57" t="e">
        <f t="shared" ca="1" si="35"/>
        <v>#N/A</v>
      </c>
      <c r="W174" s="57" t="e">
        <f t="shared" ca="1" si="40"/>
        <v>#N/A</v>
      </c>
      <c r="X174" t="e">
        <f t="shared" ca="1" si="36"/>
        <v>#N/A</v>
      </c>
      <c r="Y174" t="e">
        <f t="shared" ca="1" si="41"/>
        <v>#N/A</v>
      </c>
      <c r="Z174" t="e">
        <f t="shared" ca="1" si="37"/>
        <v>#N/A</v>
      </c>
      <c r="AA174" t="e">
        <f t="shared" ca="1" si="38"/>
        <v>#N/A</v>
      </c>
      <c r="AB174" s="85" t="e">
        <f ca="1"/>
        <v>#N/A</v>
      </c>
      <c r="AC174" s="57" t="e">
        <f t="shared" ca="1" si="42"/>
        <v>#N/A</v>
      </c>
      <c r="AD174" s="57" t="e">
        <f t="shared" ca="1" si="43"/>
        <v>#N/A</v>
      </c>
      <c r="AE174" s="57" t="e">
        <f t="shared" ca="1" si="44"/>
        <v>#N/A</v>
      </c>
      <c r="AF174" s="57" t="e">
        <f t="shared" ca="1" si="45"/>
        <v>#N/A</v>
      </c>
    </row>
    <row r="175" spans="18:32" x14ac:dyDescent="0.25">
      <c r="R175" s="85" t="e">
        <f ca="1"/>
        <v>#N/A</v>
      </c>
      <c r="S175" s="57" t="e">
        <f t="shared" ca="1" si="39"/>
        <v>#N/A</v>
      </c>
      <c r="T175" s="57" t="e">
        <f t="shared" ca="1" si="33"/>
        <v>#N/A</v>
      </c>
      <c r="U175" s="57" t="e">
        <f t="shared" ca="1" si="34"/>
        <v>#N/A</v>
      </c>
      <c r="V175" s="57" t="e">
        <f t="shared" ca="1" si="35"/>
        <v>#N/A</v>
      </c>
      <c r="W175" s="57" t="e">
        <f t="shared" ca="1" si="40"/>
        <v>#N/A</v>
      </c>
      <c r="X175" t="e">
        <f t="shared" ca="1" si="36"/>
        <v>#N/A</v>
      </c>
      <c r="Y175" t="e">
        <f t="shared" ca="1" si="41"/>
        <v>#N/A</v>
      </c>
      <c r="Z175" t="e">
        <f t="shared" ca="1" si="37"/>
        <v>#N/A</v>
      </c>
      <c r="AA175" t="e">
        <f t="shared" ca="1" si="38"/>
        <v>#N/A</v>
      </c>
      <c r="AB175" s="85" t="e">
        <f ca="1"/>
        <v>#N/A</v>
      </c>
      <c r="AC175" s="57" t="e">
        <f t="shared" ca="1" si="42"/>
        <v>#N/A</v>
      </c>
      <c r="AD175" s="57" t="e">
        <f t="shared" ca="1" si="43"/>
        <v>#N/A</v>
      </c>
      <c r="AE175" s="57" t="e">
        <f t="shared" ca="1" si="44"/>
        <v>#N/A</v>
      </c>
      <c r="AF175" s="57" t="e">
        <f t="shared" ca="1" si="45"/>
        <v>#N/A</v>
      </c>
    </row>
    <row r="176" spans="18:32" x14ac:dyDescent="0.25">
      <c r="R176" s="85" t="e">
        <f ca="1"/>
        <v>#N/A</v>
      </c>
      <c r="S176" s="57" t="e">
        <f t="shared" ca="1" si="39"/>
        <v>#N/A</v>
      </c>
      <c r="T176" s="57" t="e">
        <f t="shared" ca="1" si="33"/>
        <v>#N/A</v>
      </c>
      <c r="U176" s="57" t="e">
        <f t="shared" ca="1" si="34"/>
        <v>#N/A</v>
      </c>
      <c r="V176" s="57" t="e">
        <f t="shared" ca="1" si="35"/>
        <v>#N/A</v>
      </c>
      <c r="W176" s="57" t="e">
        <f t="shared" ca="1" si="40"/>
        <v>#N/A</v>
      </c>
      <c r="X176" t="e">
        <f t="shared" ca="1" si="36"/>
        <v>#N/A</v>
      </c>
      <c r="Y176" t="e">
        <f t="shared" ca="1" si="41"/>
        <v>#N/A</v>
      </c>
      <c r="Z176" t="e">
        <f t="shared" ca="1" si="37"/>
        <v>#N/A</v>
      </c>
      <c r="AA176" t="e">
        <f t="shared" ca="1" si="38"/>
        <v>#N/A</v>
      </c>
      <c r="AB176" s="85" t="e">
        <f ca="1"/>
        <v>#N/A</v>
      </c>
      <c r="AC176" s="57" t="e">
        <f t="shared" ca="1" si="42"/>
        <v>#N/A</v>
      </c>
      <c r="AD176" s="57" t="e">
        <f t="shared" ca="1" si="43"/>
        <v>#N/A</v>
      </c>
      <c r="AE176" s="57" t="e">
        <f t="shared" ca="1" si="44"/>
        <v>#N/A</v>
      </c>
      <c r="AF176" s="57" t="e">
        <f t="shared" ca="1" si="45"/>
        <v>#N/A</v>
      </c>
    </row>
    <row r="177" spans="18:32" x14ac:dyDescent="0.25">
      <c r="R177" s="85" t="e">
        <f ca="1"/>
        <v>#N/A</v>
      </c>
      <c r="S177" s="57" t="e">
        <f t="shared" ca="1" si="39"/>
        <v>#N/A</v>
      </c>
      <c r="T177" s="57" t="e">
        <f t="shared" ca="1" si="33"/>
        <v>#N/A</v>
      </c>
      <c r="U177" s="57" t="e">
        <f t="shared" ca="1" si="34"/>
        <v>#N/A</v>
      </c>
      <c r="V177" s="57" t="e">
        <f t="shared" ca="1" si="35"/>
        <v>#N/A</v>
      </c>
      <c r="W177" s="57" t="e">
        <f t="shared" ca="1" si="40"/>
        <v>#N/A</v>
      </c>
      <c r="X177" t="e">
        <f t="shared" ca="1" si="36"/>
        <v>#N/A</v>
      </c>
      <c r="Y177" t="e">
        <f t="shared" ca="1" si="41"/>
        <v>#N/A</v>
      </c>
      <c r="Z177" t="e">
        <f t="shared" ca="1" si="37"/>
        <v>#N/A</v>
      </c>
      <c r="AA177" t="e">
        <f t="shared" ca="1" si="38"/>
        <v>#N/A</v>
      </c>
      <c r="AB177" s="85" t="e">
        <f ca="1"/>
        <v>#N/A</v>
      </c>
      <c r="AC177" s="57" t="e">
        <f t="shared" ca="1" si="42"/>
        <v>#N/A</v>
      </c>
      <c r="AD177" s="57" t="e">
        <f t="shared" ca="1" si="43"/>
        <v>#N/A</v>
      </c>
      <c r="AE177" s="57" t="e">
        <f t="shared" ca="1" si="44"/>
        <v>#N/A</v>
      </c>
      <c r="AF177" s="57" t="e">
        <f t="shared" ca="1" si="45"/>
        <v>#N/A</v>
      </c>
    </row>
    <row r="178" spans="18:32" x14ac:dyDescent="0.25">
      <c r="R178" s="85" t="e">
        <f ca="1"/>
        <v>#N/A</v>
      </c>
      <c r="S178" s="57" t="e">
        <f t="shared" ca="1" si="39"/>
        <v>#N/A</v>
      </c>
      <c r="T178" s="57" t="e">
        <f t="shared" ca="1" si="33"/>
        <v>#N/A</v>
      </c>
      <c r="U178" s="57" t="e">
        <f t="shared" ca="1" si="34"/>
        <v>#N/A</v>
      </c>
      <c r="V178" s="57" t="e">
        <f t="shared" ca="1" si="35"/>
        <v>#N/A</v>
      </c>
      <c r="W178" s="57" t="e">
        <f t="shared" ca="1" si="40"/>
        <v>#N/A</v>
      </c>
      <c r="X178" t="e">
        <f t="shared" ca="1" si="36"/>
        <v>#N/A</v>
      </c>
      <c r="Y178" t="e">
        <f t="shared" ca="1" si="41"/>
        <v>#N/A</v>
      </c>
      <c r="Z178" t="e">
        <f t="shared" ca="1" si="37"/>
        <v>#N/A</v>
      </c>
      <c r="AA178" t="e">
        <f t="shared" ca="1" si="38"/>
        <v>#N/A</v>
      </c>
      <c r="AB178" s="85" t="e">
        <f ca="1"/>
        <v>#N/A</v>
      </c>
      <c r="AC178" s="57" t="e">
        <f t="shared" ca="1" si="42"/>
        <v>#N/A</v>
      </c>
      <c r="AD178" s="57" t="e">
        <f t="shared" ca="1" si="43"/>
        <v>#N/A</v>
      </c>
      <c r="AE178" s="57" t="e">
        <f t="shared" ca="1" si="44"/>
        <v>#N/A</v>
      </c>
      <c r="AF178" s="57" t="e">
        <f t="shared" ca="1" si="45"/>
        <v>#N/A</v>
      </c>
    </row>
    <row r="179" spans="18:32" x14ac:dyDescent="0.25">
      <c r="R179" s="85" t="e">
        <f ca="1"/>
        <v>#N/A</v>
      </c>
      <c r="S179" s="57" t="e">
        <f t="shared" ca="1" si="39"/>
        <v>#N/A</v>
      </c>
      <c r="T179" s="57" t="e">
        <f t="shared" ca="1" si="33"/>
        <v>#N/A</v>
      </c>
      <c r="U179" s="57" t="e">
        <f t="shared" ca="1" si="34"/>
        <v>#N/A</v>
      </c>
      <c r="V179" s="57" t="e">
        <f t="shared" ca="1" si="35"/>
        <v>#N/A</v>
      </c>
      <c r="W179" s="57" t="e">
        <f t="shared" ca="1" si="40"/>
        <v>#N/A</v>
      </c>
      <c r="X179" t="e">
        <f t="shared" ca="1" si="36"/>
        <v>#N/A</v>
      </c>
      <c r="Y179" t="e">
        <f t="shared" ca="1" si="41"/>
        <v>#N/A</v>
      </c>
      <c r="Z179" t="e">
        <f t="shared" ca="1" si="37"/>
        <v>#N/A</v>
      </c>
      <c r="AA179" t="e">
        <f t="shared" ca="1" si="38"/>
        <v>#N/A</v>
      </c>
      <c r="AB179" s="85" t="e">
        <f ca="1"/>
        <v>#N/A</v>
      </c>
      <c r="AC179" s="57" t="e">
        <f t="shared" ca="1" si="42"/>
        <v>#N/A</v>
      </c>
      <c r="AD179" s="57" t="e">
        <f t="shared" ca="1" si="43"/>
        <v>#N/A</v>
      </c>
      <c r="AE179" s="57" t="e">
        <f t="shared" ca="1" si="44"/>
        <v>#N/A</v>
      </c>
      <c r="AF179" s="57" t="e">
        <f t="shared" ca="1" si="45"/>
        <v>#N/A</v>
      </c>
    </row>
    <row r="180" spans="18:32" x14ac:dyDescent="0.25">
      <c r="R180" s="85" t="e">
        <f ca="1"/>
        <v>#N/A</v>
      </c>
      <c r="S180" s="57" t="e">
        <f t="shared" ca="1" si="39"/>
        <v>#N/A</v>
      </c>
      <c r="T180" s="57" t="e">
        <f t="shared" ca="1" si="33"/>
        <v>#N/A</v>
      </c>
      <c r="U180" s="57" t="e">
        <f t="shared" ca="1" si="34"/>
        <v>#N/A</v>
      </c>
      <c r="V180" s="57" t="e">
        <f t="shared" ca="1" si="35"/>
        <v>#N/A</v>
      </c>
      <c r="W180" s="57" t="e">
        <f t="shared" ca="1" si="40"/>
        <v>#N/A</v>
      </c>
      <c r="X180" t="e">
        <f t="shared" ca="1" si="36"/>
        <v>#N/A</v>
      </c>
      <c r="Y180" t="e">
        <f t="shared" ca="1" si="41"/>
        <v>#N/A</v>
      </c>
      <c r="Z180" t="e">
        <f t="shared" ca="1" si="37"/>
        <v>#N/A</v>
      </c>
      <c r="AA180" t="e">
        <f t="shared" ca="1" si="38"/>
        <v>#N/A</v>
      </c>
      <c r="AB180" s="85" t="e">
        <f ca="1"/>
        <v>#N/A</v>
      </c>
      <c r="AC180" s="57" t="e">
        <f t="shared" ca="1" si="42"/>
        <v>#N/A</v>
      </c>
      <c r="AD180" s="57" t="e">
        <f t="shared" ca="1" si="43"/>
        <v>#N/A</v>
      </c>
      <c r="AE180" s="57" t="e">
        <f t="shared" ca="1" si="44"/>
        <v>#N/A</v>
      </c>
      <c r="AF180" s="57" t="e">
        <f t="shared" ca="1" si="45"/>
        <v>#N/A</v>
      </c>
    </row>
    <row r="181" spans="18:32" x14ac:dyDescent="0.25">
      <c r="R181" s="85" t="e">
        <f ca="1"/>
        <v>#N/A</v>
      </c>
      <c r="S181" s="57" t="e">
        <f t="shared" ca="1" si="39"/>
        <v>#N/A</v>
      </c>
      <c r="T181" s="57" t="e">
        <f t="shared" ca="1" si="33"/>
        <v>#N/A</v>
      </c>
      <c r="U181" s="57" t="e">
        <f t="shared" ca="1" si="34"/>
        <v>#N/A</v>
      </c>
      <c r="V181" s="57" t="e">
        <f t="shared" ca="1" si="35"/>
        <v>#N/A</v>
      </c>
      <c r="W181" s="57" t="e">
        <f t="shared" ca="1" si="40"/>
        <v>#N/A</v>
      </c>
      <c r="X181" t="e">
        <f t="shared" ca="1" si="36"/>
        <v>#N/A</v>
      </c>
      <c r="Y181" t="e">
        <f t="shared" ca="1" si="41"/>
        <v>#N/A</v>
      </c>
      <c r="Z181" t="e">
        <f t="shared" ca="1" si="37"/>
        <v>#N/A</v>
      </c>
      <c r="AA181" t="e">
        <f t="shared" ca="1" si="38"/>
        <v>#N/A</v>
      </c>
      <c r="AB181" s="85" t="e">
        <f ca="1"/>
        <v>#N/A</v>
      </c>
      <c r="AC181" s="57" t="e">
        <f t="shared" ca="1" si="42"/>
        <v>#N/A</v>
      </c>
      <c r="AD181" s="57" t="e">
        <f t="shared" ca="1" si="43"/>
        <v>#N/A</v>
      </c>
      <c r="AE181" s="57" t="e">
        <f t="shared" ca="1" si="44"/>
        <v>#N/A</v>
      </c>
      <c r="AF181" s="57" t="e">
        <f t="shared" ca="1" si="45"/>
        <v>#N/A</v>
      </c>
    </row>
    <row r="182" spans="18:32" x14ac:dyDescent="0.25">
      <c r="R182" s="85" t="e">
        <f ca="1"/>
        <v>#N/A</v>
      </c>
      <c r="S182" s="57" t="e">
        <f t="shared" ca="1" si="39"/>
        <v>#N/A</v>
      </c>
      <c r="T182" s="57" t="e">
        <f t="shared" ca="1" si="33"/>
        <v>#N/A</v>
      </c>
      <c r="U182" s="57" t="e">
        <f t="shared" ca="1" si="34"/>
        <v>#N/A</v>
      </c>
      <c r="V182" s="57" t="e">
        <f t="shared" ca="1" si="35"/>
        <v>#N/A</v>
      </c>
      <c r="W182" s="57" t="e">
        <f t="shared" ca="1" si="40"/>
        <v>#N/A</v>
      </c>
      <c r="X182" t="e">
        <f t="shared" ca="1" si="36"/>
        <v>#N/A</v>
      </c>
      <c r="Y182" t="e">
        <f t="shared" ca="1" si="41"/>
        <v>#N/A</v>
      </c>
      <c r="Z182" t="e">
        <f t="shared" ca="1" si="37"/>
        <v>#N/A</v>
      </c>
      <c r="AA182" t="e">
        <f t="shared" ca="1" si="38"/>
        <v>#N/A</v>
      </c>
      <c r="AB182" s="85" t="e">
        <f ca="1"/>
        <v>#N/A</v>
      </c>
      <c r="AC182" s="57" t="e">
        <f t="shared" ca="1" si="42"/>
        <v>#N/A</v>
      </c>
      <c r="AD182" s="57" t="e">
        <f t="shared" ca="1" si="43"/>
        <v>#N/A</v>
      </c>
      <c r="AE182" s="57" t="e">
        <f t="shared" ca="1" si="44"/>
        <v>#N/A</v>
      </c>
      <c r="AF182" s="57" t="e">
        <f t="shared" ca="1" si="45"/>
        <v>#N/A</v>
      </c>
    </row>
    <row r="183" spans="18:32" x14ac:dyDescent="0.25">
      <c r="R183" s="85" t="e">
        <f ca="1"/>
        <v>#N/A</v>
      </c>
      <c r="S183" s="57" t="e">
        <f t="shared" ca="1" si="39"/>
        <v>#N/A</v>
      </c>
      <c r="T183" s="57" t="e">
        <f t="shared" ca="1" si="33"/>
        <v>#N/A</v>
      </c>
      <c r="U183" s="57" t="e">
        <f t="shared" ca="1" si="34"/>
        <v>#N/A</v>
      </c>
      <c r="V183" s="57" t="e">
        <f t="shared" ca="1" si="35"/>
        <v>#N/A</v>
      </c>
      <c r="W183" s="57" t="e">
        <f t="shared" ca="1" si="40"/>
        <v>#N/A</v>
      </c>
      <c r="X183" t="e">
        <f t="shared" ca="1" si="36"/>
        <v>#N/A</v>
      </c>
      <c r="Y183" t="e">
        <f t="shared" ca="1" si="41"/>
        <v>#N/A</v>
      </c>
      <c r="Z183" t="e">
        <f t="shared" ca="1" si="37"/>
        <v>#N/A</v>
      </c>
      <c r="AA183" t="e">
        <f t="shared" ca="1" si="38"/>
        <v>#N/A</v>
      </c>
      <c r="AB183" s="85" t="e">
        <f ca="1"/>
        <v>#N/A</v>
      </c>
      <c r="AC183" s="57" t="e">
        <f t="shared" ca="1" si="42"/>
        <v>#N/A</v>
      </c>
      <c r="AD183" s="57" t="e">
        <f t="shared" ca="1" si="43"/>
        <v>#N/A</v>
      </c>
      <c r="AE183" s="57" t="e">
        <f t="shared" ca="1" si="44"/>
        <v>#N/A</v>
      </c>
      <c r="AF183" s="57" t="e">
        <f t="shared" ca="1" si="45"/>
        <v>#N/A</v>
      </c>
    </row>
    <row r="184" spans="18:32" x14ac:dyDescent="0.25">
      <c r="R184" s="85" t="e">
        <f ca="1"/>
        <v>#N/A</v>
      </c>
      <c r="S184" s="57" t="e">
        <f t="shared" ca="1" si="39"/>
        <v>#N/A</v>
      </c>
      <c r="T184" s="57" t="e">
        <f t="shared" ca="1" si="33"/>
        <v>#N/A</v>
      </c>
      <c r="U184" s="57" t="e">
        <f t="shared" ca="1" si="34"/>
        <v>#N/A</v>
      </c>
      <c r="V184" s="57" t="e">
        <f t="shared" ca="1" si="35"/>
        <v>#N/A</v>
      </c>
      <c r="W184" s="57" t="e">
        <f t="shared" ca="1" si="40"/>
        <v>#N/A</v>
      </c>
      <c r="X184" t="e">
        <f t="shared" ca="1" si="36"/>
        <v>#N/A</v>
      </c>
      <c r="Y184" t="e">
        <f t="shared" ca="1" si="41"/>
        <v>#N/A</v>
      </c>
      <c r="Z184" t="e">
        <f t="shared" ca="1" si="37"/>
        <v>#N/A</v>
      </c>
      <c r="AA184" t="e">
        <f t="shared" ca="1" si="38"/>
        <v>#N/A</v>
      </c>
      <c r="AB184" s="85" t="e">
        <f ca="1"/>
        <v>#N/A</v>
      </c>
      <c r="AC184" s="57" t="e">
        <f t="shared" ca="1" si="42"/>
        <v>#N/A</v>
      </c>
      <c r="AD184" s="57" t="e">
        <f t="shared" ca="1" si="43"/>
        <v>#N/A</v>
      </c>
      <c r="AE184" s="57" t="e">
        <f t="shared" ca="1" si="44"/>
        <v>#N/A</v>
      </c>
      <c r="AF184" s="57" t="e">
        <f t="shared" ca="1" si="45"/>
        <v>#N/A</v>
      </c>
    </row>
    <row r="185" spans="18:32" x14ac:dyDescent="0.25">
      <c r="R185" s="85" t="e">
        <f ca="1"/>
        <v>#N/A</v>
      </c>
      <c r="S185" s="57" t="e">
        <f t="shared" ca="1" si="39"/>
        <v>#N/A</v>
      </c>
      <c r="T185" s="57" t="e">
        <f t="shared" ca="1" si="33"/>
        <v>#N/A</v>
      </c>
      <c r="U185" s="57" t="e">
        <f t="shared" ca="1" si="34"/>
        <v>#N/A</v>
      </c>
      <c r="V185" s="57" t="e">
        <f t="shared" ca="1" si="35"/>
        <v>#N/A</v>
      </c>
      <c r="W185" s="57" t="e">
        <f t="shared" ca="1" si="40"/>
        <v>#N/A</v>
      </c>
      <c r="X185" t="e">
        <f t="shared" ca="1" si="36"/>
        <v>#N/A</v>
      </c>
      <c r="Y185" t="e">
        <f t="shared" ca="1" si="41"/>
        <v>#N/A</v>
      </c>
      <c r="Z185" t="e">
        <f t="shared" ca="1" si="37"/>
        <v>#N/A</v>
      </c>
      <c r="AA185" t="e">
        <f t="shared" ca="1" si="38"/>
        <v>#N/A</v>
      </c>
      <c r="AB185" s="85" t="e">
        <f ca="1"/>
        <v>#N/A</v>
      </c>
      <c r="AC185" s="57" t="e">
        <f t="shared" ca="1" si="42"/>
        <v>#N/A</v>
      </c>
      <c r="AD185" s="57" t="e">
        <f t="shared" ca="1" si="43"/>
        <v>#N/A</v>
      </c>
      <c r="AE185" s="57" t="e">
        <f t="shared" ca="1" si="44"/>
        <v>#N/A</v>
      </c>
      <c r="AF185" s="57" t="e">
        <f t="shared" ca="1" si="45"/>
        <v>#N/A</v>
      </c>
    </row>
    <row r="186" spans="18:32" x14ac:dyDescent="0.25">
      <c r="R186" s="85" t="e">
        <f ca="1"/>
        <v>#N/A</v>
      </c>
      <c r="S186" s="57" t="e">
        <f t="shared" ca="1" si="39"/>
        <v>#N/A</v>
      </c>
      <c r="T186" s="57" t="e">
        <f t="shared" ca="1" si="33"/>
        <v>#N/A</v>
      </c>
      <c r="U186" s="57" t="e">
        <f t="shared" ca="1" si="34"/>
        <v>#N/A</v>
      </c>
      <c r="V186" s="57" t="e">
        <f t="shared" ca="1" si="35"/>
        <v>#N/A</v>
      </c>
      <c r="W186" s="57" t="e">
        <f t="shared" ca="1" si="40"/>
        <v>#N/A</v>
      </c>
      <c r="X186" t="e">
        <f t="shared" ca="1" si="36"/>
        <v>#N/A</v>
      </c>
      <c r="Y186" t="e">
        <f t="shared" ca="1" si="41"/>
        <v>#N/A</v>
      </c>
      <c r="Z186" t="e">
        <f t="shared" ca="1" si="37"/>
        <v>#N/A</v>
      </c>
      <c r="AA186" t="e">
        <f t="shared" ca="1" si="38"/>
        <v>#N/A</v>
      </c>
      <c r="AB186" s="85" t="e">
        <f ca="1"/>
        <v>#N/A</v>
      </c>
      <c r="AC186" s="57" t="e">
        <f t="shared" ca="1" si="42"/>
        <v>#N/A</v>
      </c>
      <c r="AD186" s="57" t="e">
        <f t="shared" ca="1" si="43"/>
        <v>#N/A</v>
      </c>
      <c r="AE186" s="57" t="e">
        <f t="shared" ca="1" si="44"/>
        <v>#N/A</v>
      </c>
      <c r="AF186" s="57" t="e">
        <f t="shared" ca="1" si="45"/>
        <v>#N/A</v>
      </c>
    </row>
    <row r="187" spans="18:32" x14ac:dyDescent="0.25">
      <c r="R187" s="85" t="e">
        <f ca="1"/>
        <v>#N/A</v>
      </c>
      <c r="S187" s="57" t="e">
        <f t="shared" ca="1" si="39"/>
        <v>#N/A</v>
      </c>
      <c r="T187" s="57" t="e">
        <f t="shared" ca="1" si="33"/>
        <v>#N/A</v>
      </c>
      <c r="U187" s="57" t="e">
        <f t="shared" ca="1" si="34"/>
        <v>#N/A</v>
      </c>
      <c r="V187" s="57" t="e">
        <f t="shared" ca="1" si="35"/>
        <v>#N/A</v>
      </c>
      <c r="W187" s="57" t="e">
        <f t="shared" ca="1" si="40"/>
        <v>#N/A</v>
      </c>
      <c r="X187" t="e">
        <f t="shared" ca="1" si="36"/>
        <v>#N/A</v>
      </c>
      <c r="Y187" t="e">
        <f t="shared" ca="1" si="41"/>
        <v>#N/A</v>
      </c>
      <c r="Z187" t="e">
        <f t="shared" ca="1" si="37"/>
        <v>#N/A</v>
      </c>
      <c r="AA187" t="e">
        <f t="shared" ca="1" si="38"/>
        <v>#N/A</v>
      </c>
      <c r="AB187" s="85" t="e">
        <f ca="1"/>
        <v>#N/A</v>
      </c>
      <c r="AC187" s="57" t="e">
        <f t="shared" ca="1" si="42"/>
        <v>#N/A</v>
      </c>
      <c r="AD187" s="57" t="e">
        <f t="shared" ca="1" si="43"/>
        <v>#N/A</v>
      </c>
      <c r="AE187" s="57" t="e">
        <f t="shared" ca="1" si="44"/>
        <v>#N/A</v>
      </c>
      <c r="AF187" s="57" t="e">
        <f t="shared" ca="1" si="45"/>
        <v>#N/A</v>
      </c>
    </row>
    <row r="188" spans="18:32" x14ac:dyDescent="0.25">
      <c r="R188" s="85" t="e">
        <f ca="1"/>
        <v>#N/A</v>
      </c>
      <c r="S188" s="57" t="e">
        <f t="shared" ca="1" si="39"/>
        <v>#N/A</v>
      </c>
      <c r="T188" s="57" t="e">
        <f t="shared" ca="1" si="33"/>
        <v>#N/A</v>
      </c>
      <c r="U188" s="57" t="e">
        <f t="shared" ca="1" si="34"/>
        <v>#N/A</v>
      </c>
      <c r="V188" s="57" t="e">
        <f t="shared" ca="1" si="35"/>
        <v>#N/A</v>
      </c>
      <c r="W188" s="57" t="e">
        <f t="shared" ca="1" si="40"/>
        <v>#N/A</v>
      </c>
      <c r="X188" t="e">
        <f t="shared" ca="1" si="36"/>
        <v>#N/A</v>
      </c>
      <c r="Y188" t="e">
        <f t="shared" ca="1" si="41"/>
        <v>#N/A</v>
      </c>
      <c r="Z188" t="e">
        <f t="shared" ca="1" si="37"/>
        <v>#N/A</v>
      </c>
      <c r="AA188" t="e">
        <f t="shared" ca="1" si="38"/>
        <v>#N/A</v>
      </c>
      <c r="AB188" s="85" t="e">
        <f ca="1"/>
        <v>#N/A</v>
      </c>
      <c r="AC188" s="57" t="e">
        <f t="shared" ca="1" si="42"/>
        <v>#N/A</v>
      </c>
      <c r="AD188" s="57" t="e">
        <f t="shared" ca="1" si="43"/>
        <v>#N/A</v>
      </c>
      <c r="AE188" s="57" t="e">
        <f t="shared" ca="1" si="44"/>
        <v>#N/A</v>
      </c>
      <c r="AF188" s="57" t="e">
        <f t="shared" ca="1" si="45"/>
        <v>#N/A</v>
      </c>
    </row>
    <row r="189" spans="18:32" x14ac:dyDescent="0.25">
      <c r="R189" s="85" t="e">
        <f ca="1"/>
        <v>#N/A</v>
      </c>
      <c r="S189" s="57" t="e">
        <f t="shared" ca="1" si="39"/>
        <v>#N/A</v>
      </c>
      <c r="T189" s="57" t="e">
        <f t="shared" ca="1" si="33"/>
        <v>#N/A</v>
      </c>
      <c r="U189" s="57" t="e">
        <f t="shared" ca="1" si="34"/>
        <v>#N/A</v>
      </c>
      <c r="V189" s="57" t="e">
        <f t="shared" ca="1" si="35"/>
        <v>#N/A</v>
      </c>
      <c r="W189" s="57" t="e">
        <f t="shared" ca="1" si="40"/>
        <v>#N/A</v>
      </c>
      <c r="X189" t="e">
        <f t="shared" ca="1" si="36"/>
        <v>#N/A</v>
      </c>
      <c r="Y189" t="e">
        <f t="shared" ca="1" si="41"/>
        <v>#N/A</v>
      </c>
      <c r="Z189" t="e">
        <f t="shared" ca="1" si="37"/>
        <v>#N/A</v>
      </c>
      <c r="AA189" t="e">
        <f t="shared" ca="1" si="38"/>
        <v>#N/A</v>
      </c>
      <c r="AB189" s="85" t="e">
        <f ca="1"/>
        <v>#N/A</v>
      </c>
      <c r="AC189" s="57" t="e">
        <f t="shared" ca="1" si="42"/>
        <v>#N/A</v>
      </c>
      <c r="AD189" s="57" t="e">
        <f t="shared" ca="1" si="43"/>
        <v>#N/A</v>
      </c>
      <c r="AE189" s="57" t="e">
        <f t="shared" ca="1" si="44"/>
        <v>#N/A</v>
      </c>
      <c r="AF189" s="57" t="e">
        <f t="shared" ca="1" si="45"/>
        <v>#N/A</v>
      </c>
    </row>
    <row r="190" spans="18:32" x14ac:dyDescent="0.25">
      <c r="R190" s="85" t="e">
        <f ca="1"/>
        <v>#N/A</v>
      </c>
      <c r="S190" s="57" t="e">
        <f t="shared" ca="1" si="39"/>
        <v>#N/A</v>
      </c>
      <c r="T190" s="57" t="e">
        <f t="shared" ca="1" si="33"/>
        <v>#N/A</v>
      </c>
      <c r="U190" s="57" t="e">
        <f t="shared" ca="1" si="34"/>
        <v>#N/A</v>
      </c>
      <c r="V190" s="57" t="e">
        <f t="shared" ca="1" si="35"/>
        <v>#N/A</v>
      </c>
      <c r="W190" s="57" t="e">
        <f t="shared" ca="1" si="40"/>
        <v>#N/A</v>
      </c>
      <c r="X190" t="e">
        <f t="shared" ca="1" si="36"/>
        <v>#N/A</v>
      </c>
      <c r="Y190" t="e">
        <f t="shared" ca="1" si="41"/>
        <v>#N/A</v>
      </c>
      <c r="Z190" t="e">
        <f t="shared" ca="1" si="37"/>
        <v>#N/A</v>
      </c>
      <c r="AA190" t="e">
        <f t="shared" ca="1" si="38"/>
        <v>#N/A</v>
      </c>
      <c r="AB190" s="85" t="e">
        <f ca="1"/>
        <v>#N/A</v>
      </c>
      <c r="AC190" s="57" t="e">
        <f t="shared" ca="1" si="42"/>
        <v>#N/A</v>
      </c>
      <c r="AD190" s="57" t="e">
        <f t="shared" ca="1" si="43"/>
        <v>#N/A</v>
      </c>
      <c r="AE190" s="57" t="e">
        <f t="shared" ca="1" si="44"/>
        <v>#N/A</v>
      </c>
      <c r="AF190" s="57" t="e">
        <f t="shared" ca="1" si="45"/>
        <v>#N/A</v>
      </c>
    </row>
    <row r="191" spans="18:32" x14ac:dyDescent="0.25">
      <c r="R191" s="85" t="e">
        <f ca="1"/>
        <v>#N/A</v>
      </c>
      <c r="S191" s="57" t="e">
        <f t="shared" ca="1" si="39"/>
        <v>#N/A</v>
      </c>
      <c r="T191" s="57" t="e">
        <f t="shared" ca="1" si="33"/>
        <v>#N/A</v>
      </c>
      <c r="U191" s="57" t="e">
        <f t="shared" ca="1" si="34"/>
        <v>#N/A</v>
      </c>
      <c r="V191" s="57" t="e">
        <f t="shared" ca="1" si="35"/>
        <v>#N/A</v>
      </c>
      <c r="W191" s="57" t="e">
        <f t="shared" ca="1" si="40"/>
        <v>#N/A</v>
      </c>
      <c r="X191" t="e">
        <f t="shared" ca="1" si="36"/>
        <v>#N/A</v>
      </c>
      <c r="Y191" t="e">
        <f t="shared" ca="1" si="41"/>
        <v>#N/A</v>
      </c>
      <c r="Z191" t="e">
        <f t="shared" ca="1" si="37"/>
        <v>#N/A</v>
      </c>
      <c r="AA191" t="e">
        <f t="shared" ca="1" si="38"/>
        <v>#N/A</v>
      </c>
      <c r="AB191" s="85" t="e">
        <f ca="1"/>
        <v>#N/A</v>
      </c>
      <c r="AC191" s="57" t="e">
        <f t="shared" ca="1" si="42"/>
        <v>#N/A</v>
      </c>
      <c r="AD191" s="57" t="e">
        <f t="shared" ca="1" si="43"/>
        <v>#N/A</v>
      </c>
      <c r="AE191" s="57" t="e">
        <f t="shared" ca="1" si="44"/>
        <v>#N/A</v>
      </c>
      <c r="AF191" s="57" t="e">
        <f t="shared" ca="1" si="45"/>
        <v>#N/A</v>
      </c>
    </row>
    <row r="192" spans="18:32" x14ac:dyDescent="0.25">
      <c r="R192" s="85" t="e">
        <f ca="1"/>
        <v>#N/A</v>
      </c>
      <c r="S192" s="57" t="e">
        <f t="shared" ca="1" si="39"/>
        <v>#N/A</v>
      </c>
      <c r="T192" s="57" t="e">
        <f t="shared" ca="1" si="33"/>
        <v>#N/A</v>
      </c>
      <c r="U192" s="57" t="e">
        <f t="shared" ca="1" si="34"/>
        <v>#N/A</v>
      </c>
      <c r="V192" s="57" t="e">
        <f t="shared" ca="1" si="35"/>
        <v>#N/A</v>
      </c>
      <c r="W192" s="57" t="e">
        <f t="shared" ca="1" si="40"/>
        <v>#N/A</v>
      </c>
      <c r="X192" t="e">
        <f t="shared" ca="1" si="36"/>
        <v>#N/A</v>
      </c>
      <c r="Y192" t="e">
        <f t="shared" ca="1" si="41"/>
        <v>#N/A</v>
      </c>
      <c r="Z192" t="e">
        <f t="shared" ca="1" si="37"/>
        <v>#N/A</v>
      </c>
      <c r="AA192" t="e">
        <f t="shared" ca="1" si="38"/>
        <v>#N/A</v>
      </c>
      <c r="AB192" s="85" t="e">
        <f ca="1"/>
        <v>#N/A</v>
      </c>
      <c r="AC192" s="57" t="e">
        <f t="shared" ca="1" si="42"/>
        <v>#N/A</v>
      </c>
      <c r="AD192" s="57" t="e">
        <f t="shared" ca="1" si="43"/>
        <v>#N/A</v>
      </c>
      <c r="AE192" s="57" t="e">
        <f t="shared" ca="1" si="44"/>
        <v>#N/A</v>
      </c>
      <c r="AF192" s="57" t="e">
        <f t="shared" ca="1" si="45"/>
        <v>#N/A</v>
      </c>
    </row>
    <row r="193" spans="18:32" x14ac:dyDescent="0.25">
      <c r="R193" s="85" t="e">
        <f ca="1"/>
        <v>#N/A</v>
      </c>
      <c r="S193" s="57" t="e">
        <f t="shared" ca="1" si="39"/>
        <v>#N/A</v>
      </c>
      <c r="T193" s="57" t="e">
        <f t="shared" ca="1" si="33"/>
        <v>#N/A</v>
      </c>
      <c r="U193" s="57" t="e">
        <f t="shared" ca="1" si="34"/>
        <v>#N/A</v>
      </c>
      <c r="V193" s="57" t="e">
        <f t="shared" ca="1" si="35"/>
        <v>#N/A</v>
      </c>
      <c r="W193" s="57" t="e">
        <f t="shared" ca="1" si="40"/>
        <v>#N/A</v>
      </c>
      <c r="X193" t="e">
        <f t="shared" ca="1" si="36"/>
        <v>#N/A</v>
      </c>
      <c r="Y193" t="e">
        <f t="shared" ca="1" si="41"/>
        <v>#N/A</v>
      </c>
      <c r="Z193" t="e">
        <f t="shared" ca="1" si="37"/>
        <v>#N/A</v>
      </c>
      <c r="AA193" t="e">
        <f t="shared" ca="1" si="38"/>
        <v>#N/A</v>
      </c>
      <c r="AB193" s="85" t="e">
        <f ca="1"/>
        <v>#N/A</v>
      </c>
      <c r="AC193" s="57" t="e">
        <f t="shared" ca="1" si="42"/>
        <v>#N/A</v>
      </c>
      <c r="AD193" s="57" t="e">
        <f t="shared" ca="1" si="43"/>
        <v>#N/A</v>
      </c>
      <c r="AE193" s="57" t="e">
        <f t="shared" ca="1" si="44"/>
        <v>#N/A</v>
      </c>
      <c r="AF193" s="57" t="e">
        <f t="shared" ca="1" si="45"/>
        <v>#N/A</v>
      </c>
    </row>
    <row r="194" spans="18:32" x14ac:dyDescent="0.25">
      <c r="R194" s="85" t="e">
        <f ca="1"/>
        <v>#N/A</v>
      </c>
      <c r="S194" s="57" t="e">
        <f t="shared" ca="1" si="39"/>
        <v>#N/A</v>
      </c>
      <c r="T194" s="57" t="e">
        <f t="shared" ca="1" si="33"/>
        <v>#N/A</v>
      </c>
      <c r="U194" s="57" t="e">
        <f t="shared" ca="1" si="34"/>
        <v>#N/A</v>
      </c>
      <c r="V194" s="57" t="e">
        <f t="shared" ca="1" si="35"/>
        <v>#N/A</v>
      </c>
      <c r="W194" s="57" t="e">
        <f t="shared" ca="1" si="40"/>
        <v>#N/A</v>
      </c>
      <c r="X194" t="e">
        <f t="shared" ca="1" si="36"/>
        <v>#N/A</v>
      </c>
      <c r="Y194" t="e">
        <f t="shared" ca="1" si="41"/>
        <v>#N/A</v>
      </c>
      <c r="Z194" t="e">
        <f t="shared" ca="1" si="37"/>
        <v>#N/A</v>
      </c>
      <c r="AA194" t="e">
        <f t="shared" ca="1" si="38"/>
        <v>#N/A</v>
      </c>
      <c r="AB194" s="85" t="e">
        <f ca="1"/>
        <v>#N/A</v>
      </c>
      <c r="AC194" s="57" t="e">
        <f t="shared" ca="1" si="42"/>
        <v>#N/A</v>
      </c>
      <c r="AD194" s="57" t="e">
        <f t="shared" ca="1" si="43"/>
        <v>#N/A</v>
      </c>
      <c r="AE194" s="57" t="e">
        <f t="shared" ca="1" si="44"/>
        <v>#N/A</v>
      </c>
      <c r="AF194" s="57" t="e">
        <f t="shared" ca="1" si="45"/>
        <v>#N/A</v>
      </c>
    </row>
    <row r="195" spans="18:32" x14ac:dyDescent="0.25">
      <c r="R195" s="85" t="e">
        <f ca="1"/>
        <v>#N/A</v>
      </c>
      <c r="S195" s="57" t="e">
        <f t="shared" ca="1" si="39"/>
        <v>#N/A</v>
      </c>
      <c r="T195" s="57" t="e">
        <f t="shared" ca="1" si="33"/>
        <v>#N/A</v>
      </c>
      <c r="U195" s="57" t="e">
        <f t="shared" ca="1" si="34"/>
        <v>#N/A</v>
      </c>
      <c r="V195" s="57" t="e">
        <f t="shared" ca="1" si="35"/>
        <v>#N/A</v>
      </c>
      <c r="W195" s="57" t="e">
        <f t="shared" ca="1" si="40"/>
        <v>#N/A</v>
      </c>
      <c r="X195" t="e">
        <f t="shared" ca="1" si="36"/>
        <v>#N/A</v>
      </c>
      <c r="Y195" t="e">
        <f t="shared" ca="1" si="41"/>
        <v>#N/A</v>
      </c>
      <c r="Z195" t="e">
        <f t="shared" ca="1" si="37"/>
        <v>#N/A</v>
      </c>
      <c r="AA195" t="e">
        <f t="shared" ca="1" si="38"/>
        <v>#N/A</v>
      </c>
      <c r="AB195" s="85" t="e">
        <f ca="1"/>
        <v>#N/A</v>
      </c>
      <c r="AC195" s="57" t="e">
        <f t="shared" ca="1" si="42"/>
        <v>#N/A</v>
      </c>
      <c r="AD195" s="57" t="e">
        <f t="shared" ca="1" si="43"/>
        <v>#N/A</v>
      </c>
      <c r="AE195" s="57" t="e">
        <f t="shared" ca="1" si="44"/>
        <v>#N/A</v>
      </c>
      <c r="AF195" s="57" t="e">
        <f t="shared" ca="1" si="45"/>
        <v>#N/A</v>
      </c>
    </row>
    <row r="196" spans="18:32" x14ac:dyDescent="0.25">
      <c r="R196" s="85" t="e">
        <f ca="1"/>
        <v>#N/A</v>
      </c>
      <c r="S196" s="57" t="e">
        <f t="shared" ca="1" si="39"/>
        <v>#N/A</v>
      </c>
      <c r="T196" s="57" t="e">
        <f t="shared" ca="1" si="33"/>
        <v>#N/A</v>
      </c>
      <c r="U196" s="57" t="e">
        <f t="shared" ca="1" si="34"/>
        <v>#N/A</v>
      </c>
      <c r="V196" s="57" t="e">
        <f t="shared" ca="1" si="35"/>
        <v>#N/A</v>
      </c>
      <c r="W196" s="57" t="e">
        <f t="shared" ca="1" si="40"/>
        <v>#N/A</v>
      </c>
      <c r="X196" t="e">
        <f t="shared" ca="1" si="36"/>
        <v>#N/A</v>
      </c>
      <c r="Y196" t="e">
        <f t="shared" ca="1" si="41"/>
        <v>#N/A</v>
      </c>
      <c r="Z196" t="e">
        <f t="shared" ca="1" si="37"/>
        <v>#N/A</v>
      </c>
      <c r="AA196" t="e">
        <f t="shared" ca="1" si="38"/>
        <v>#N/A</v>
      </c>
      <c r="AB196" s="85" t="e">
        <f ca="1"/>
        <v>#N/A</v>
      </c>
      <c r="AC196" s="57" t="e">
        <f t="shared" ca="1" si="42"/>
        <v>#N/A</v>
      </c>
      <c r="AD196" s="57" t="e">
        <f t="shared" ca="1" si="43"/>
        <v>#N/A</v>
      </c>
      <c r="AE196" s="57" t="e">
        <f t="shared" ca="1" si="44"/>
        <v>#N/A</v>
      </c>
      <c r="AF196" s="57" t="e">
        <f t="shared" ca="1" si="45"/>
        <v>#N/A</v>
      </c>
    </row>
    <row r="197" spans="18:32" x14ac:dyDescent="0.25">
      <c r="R197" s="85" t="e">
        <f ca="1"/>
        <v>#N/A</v>
      </c>
      <c r="S197" s="57" t="e">
        <f t="shared" ca="1" si="39"/>
        <v>#N/A</v>
      </c>
      <c r="T197" s="57" t="e">
        <f t="shared" ca="1" si="33"/>
        <v>#N/A</v>
      </c>
      <c r="U197" s="57" t="e">
        <f t="shared" ca="1" si="34"/>
        <v>#N/A</v>
      </c>
      <c r="V197" s="57" t="e">
        <f t="shared" ca="1" si="35"/>
        <v>#N/A</v>
      </c>
      <c r="W197" s="57" t="e">
        <f t="shared" ca="1" si="40"/>
        <v>#N/A</v>
      </c>
      <c r="X197" t="e">
        <f t="shared" ca="1" si="36"/>
        <v>#N/A</v>
      </c>
      <c r="Y197" t="e">
        <f t="shared" ca="1" si="41"/>
        <v>#N/A</v>
      </c>
      <c r="Z197" t="e">
        <f t="shared" ca="1" si="37"/>
        <v>#N/A</v>
      </c>
      <c r="AA197" t="e">
        <f t="shared" ca="1" si="38"/>
        <v>#N/A</v>
      </c>
      <c r="AB197" s="85" t="e">
        <f ca="1"/>
        <v>#N/A</v>
      </c>
      <c r="AC197" s="57" t="e">
        <f t="shared" ca="1" si="42"/>
        <v>#N/A</v>
      </c>
      <c r="AD197" s="57" t="e">
        <f t="shared" ca="1" si="43"/>
        <v>#N/A</v>
      </c>
      <c r="AE197" s="57" t="e">
        <f t="shared" ca="1" si="44"/>
        <v>#N/A</v>
      </c>
      <c r="AF197" s="57" t="e">
        <f t="shared" ca="1" si="45"/>
        <v>#N/A</v>
      </c>
    </row>
    <row r="198" spans="18:32" x14ac:dyDescent="0.25">
      <c r="R198" s="85" t="e">
        <f ca="1"/>
        <v>#N/A</v>
      </c>
      <c r="S198" s="57" t="e">
        <f t="shared" ca="1" si="39"/>
        <v>#N/A</v>
      </c>
      <c r="T198" s="57" t="e">
        <f t="shared" ca="1" si="33"/>
        <v>#N/A</v>
      </c>
      <c r="U198" s="57" t="e">
        <f t="shared" ca="1" si="34"/>
        <v>#N/A</v>
      </c>
      <c r="V198" s="57" t="e">
        <f t="shared" ca="1" si="35"/>
        <v>#N/A</v>
      </c>
      <c r="W198" s="57" t="e">
        <f t="shared" ca="1" si="40"/>
        <v>#N/A</v>
      </c>
      <c r="X198" t="e">
        <f t="shared" ca="1" si="36"/>
        <v>#N/A</v>
      </c>
      <c r="Y198" t="e">
        <f t="shared" ca="1" si="41"/>
        <v>#N/A</v>
      </c>
      <c r="Z198" t="e">
        <f t="shared" ca="1" si="37"/>
        <v>#N/A</v>
      </c>
      <c r="AA198" t="e">
        <f t="shared" ca="1" si="38"/>
        <v>#N/A</v>
      </c>
      <c r="AB198" s="85" t="e">
        <f ca="1"/>
        <v>#N/A</v>
      </c>
      <c r="AC198" s="57" t="e">
        <f t="shared" ca="1" si="42"/>
        <v>#N/A</v>
      </c>
      <c r="AD198" s="57" t="e">
        <f t="shared" ca="1" si="43"/>
        <v>#N/A</v>
      </c>
      <c r="AE198" s="57" t="e">
        <f t="shared" ca="1" si="44"/>
        <v>#N/A</v>
      </c>
      <c r="AF198" s="57" t="e">
        <f t="shared" ca="1" si="45"/>
        <v>#N/A</v>
      </c>
    </row>
    <row r="199" spans="18:32" x14ac:dyDescent="0.25">
      <c r="R199" s="85" t="e">
        <f ca="1"/>
        <v>#N/A</v>
      </c>
      <c r="S199" s="57" t="e">
        <f t="shared" ca="1" si="39"/>
        <v>#N/A</v>
      </c>
      <c r="T199" s="57" t="e">
        <f t="shared" ca="1" si="33"/>
        <v>#N/A</v>
      </c>
      <c r="U199" s="57" t="e">
        <f t="shared" ca="1" si="34"/>
        <v>#N/A</v>
      </c>
      <c r="V199" s="57" t="e">
        <f t="shared" ca="1" si="35"/>
        <v>#N/A</v>
      </c>
      <c r="W199" s="57" t="e">
        <f t="shared" ca="1" si="40"/>
        <v>#N/A</v>
      </c>
      <c r="X199" t="e">
        <f t="shared" ca="1" si="36"/>
        <v>#N/A</v>
      </c>
      <c r="Y199" t="e">
        <f t="shared" ca="1" si="41"/>
        <v>#N/A</v>
      </c>
      <c r="Z199" t="e">
        <f t="shared" ca="1" si="37"/>
        <v>#N/A</v>
      </c>
      <c r="AA199" t="e">
        <f t="shared" ca="1" si="38"/>
        <v>#N/A</v>
      </c>
      <c r="AB199" s="85" t="e">
        <f ca="1"/>
        <v>#N/A</v>
      </c>
      <c r="AC199" s="57" t="e">
        <f t="shared" ca="1" si="42"/>
        <v>#N/A</v>
      </c>
      <c r="AD199" s="57" t="e">
        <f t="shared" ca="1" si="43"/>
        <v>#N/A</v>
      </c>
      <c r="AE199" s="57" t="e">
        <f t="shared" ca="1" si="44"/>
        <v>#N/A</v>
      </c>
      <c r="AF199" s="57" t="e">
        <f t="shared" ca="1" si="45"/>
        <v>#N/A</v>
      </c>
    </row>
    <row r="200" spans="18:32" x14ac:dyDescent="0.25">
      <c r="R200" s="85" t="e">
        <f ca="1"/>
        <v>#N/A</v>
      </c>
      <c r="S200" s="57" t="e">
        <f t="shared" ca="1" si="39"/>
        <v>#N/A</v>
      </c>
      <c r="T200" s="57" t="e">
        <f t="shared" ca="1" si="33"/>
        <v>#N/A</v>
      </c>
      <c r="U200" s="57" t="e">
        <f t="shared" ca="1" si="34"/>
        <v>#N/A</v>
      </c>
      <c r="V200" s="57" t="e">
        <f t="shared" ca="1" si="35"/>
        <v>#N/A</v>
      </c>
      <c r="W200" s="57" t="e">
        <f t="shared" ca="1" si="40"/>
        <v>#N/A</v>
      </c>
      <c r="X200" t="e">
        <f t="shared" ca="1" si="36"/>
        <v>#N/A</v>
      </c>
      <c r="Y200" t="e">
        <f t="shared" ca="1" si="41"/>
        <v>#N/A</v>
      </c>
      <c r="Z200" t="e">
        <f t="shared" ca="1" si="37"/>
        <v>#N/A</v>
      </c>
      <c r="AA200" t="e">
        <f t="shared" ca="1" si="38"/>
        <v>#N/A</v>
      </c>
      <c r="AB200" s="85" t="e">
        <f ca="1"/>
        <v>#N/A</v>
      </c>
      <c r="AC200" s="57" t="e">
        <f t="shared" ca="1" si="42"/>
        <v>#N/A</v>
      </c>
      <c r="AD200" s="57" t="e">
        <f t="shared" ca="1" si="43"/>
        <v>#N/A</v>
      </c>
      <c r="AE200" s="57" t="e">
        <f t="shared" ca="1" si="44"/>
        <v>#N/A</v>
      </c>
      <c r="AF200" s="57" t="e">
        <f t="shared" ca="1" si="45"/>
        <v>#N/A</v>
      </c>
    </row>
    <row r="201" spans="18:32" x14ac:dyDescent="0.25">
      <c r="R201" s="85" t="e">
        <f ca="1"/>
        <v>#N/A</v>
      </c>
      <c r="S201" s="57" t="e">
        <f t="shared" ca="1" si="39"/>
        <v>#N/A</v>
      </c>
      <c r="T201" s="57" t="e">
        <f t="shared" ca="1" si="33"/>
        <v>#N/A</v>
      </c>
      <c r="U201" s="57" t="e">
        <f t="shared" ca="1" si="34"/>
        <v>#N/A</v>
      </c>
      <c r="V201" s="57" t="e">
        <f t="shared" ca="1" si="35"/>
        <v>#N/A</v>
      </c>
      <c r="W201" s="57" t="e">
        <f t="shared" ca="1" si="40"/>
        <v>#N/A</v>
      </c>
      <c r="X201" t="e">
        <f t="shared" ca="1" si="36"/>
        <v>#N/A</v>
      </c>
      <c r="Y201" t="e">
        <f t="shared" ca="1" si="41"/>
        <v>#N/A</v>
      </c>
      <c r="Z201" t="e">
        <f t="shared" ca="1" si="37"/>
        <v>#N/A</v>
      </c>
      <c r="AA201" t="e">
        <f t="shared" ca="1" si="38"/>
        <v>#N/A</v>
      </c>
      <c r="AB201" s="85" t="e">
        <f ca="1"/>
        <v>#N/A</v>
      </c>
      <c r="AC201" s="57" t="e">
        <f t="shared" ca="1" si="42"/>
        <v>#N/A</v>
      </c>
      <c r="AD201" s="57" t="e">
        <f t="shared" ca="1" si="43"/>
        <v>#N/A</v>
      </c>
      <c r="AE201" s="57" t="e">
        <f t="shared" ca="1" si="44"/>
        <v>#N/A</v>
      </c>
      <c r="AF201" s="57" t="e">
        <f t="shared" ca="1" si="45"/>
        <v>#N/A</v>
      </c>
    </row>
    <row r="202" spans="18:32" x14ac:dyDescent="0.25">
      <c r="R202" s="85" t="e">
        <f ca="1"/>
        <v>#N/A</v>
      </c>
      <c r="S202" s="57" t="e">
        <f t="shared" ca="1" si="39"/>
        <v>#N/A</v>
      </c>
      <c r="T202" s="57" t="e">
        <f t="shared" ca="1" si="33"/>
        <v>#N/A</v>
      </c>
      <c r="U202" s="57" t="e">
        <f t="shared" ca="1" si="34"/>
        <v>#N/A</v>
      </c>
      <c r="V202" s="57" t="e">
        <f t="shared" ca="1" si="35"/>
        <v>#N/A</v>
      </c>
      <c r="W202" s="57" t="e">
        <f t="shared" ca="1" si="40"/>
        <v>#N/A</v>
      </c>
      <c r="X202" t="e">
        <f t="shared" ca="1" si="36"/>
        <v>#N/A</v>
      </c>
      <c r="Y202" t="e">
        <f t="shared" ca="1" si="41"/>
        <v>#N/A</v>
      </c>
      <c r="Z202" t="e">
        <f t="shared" ca="1" si="37"/>
        <v>#N/A</v>
      </c>
      <c r="AA202" t="e">
        <f t="shared" ca="1" si="38"/>
        <v>#N/A</v>
      </c>
      <c r="AB202" s="85" t="e">
        <f ca="1"/>
        <v>#N/A</v>
      </c>
      <c r="AC202" s="57" t="e">
        <f t="shared" ca="1" si="42"/>
        <v>#N/A</v>
      </c>
      <c r="AD202" s="57" t="e">
        <f t="shared" ca="1" si="43"/>
        <v>#N/A</v>
      </c>
      <c r="AE202" s="57" t="e">
        <f t="shared" ca="1" si="44"/>
        <v>#N/A</v>
      </c>
      <c r="AF202" s="57" t="e">
        <f t="shared" ca="1" si="45"/>
        <v>#N/A</v>
      </c>
    </row>
    <row r="203" spans="18:32" x14ac:dyDescent="0.25">
      <c r="R203" s="85" t="e">
        <f ca="1"/>
        <v>#N/A</v>
      </c>
      <c r="S203" s="57" t="e">
        <f t="shared" ca="1" si="39"/>
        <v>#N/A</v>
      </c>
      <c r="T203" s="57" t="e">
        <f t="shared" ca="1" si="33"/>
        <v>#N/A</v>
      </c>
      <c r="U203" s="57" t="e">
        <f t="shared" ca="1" si="34"/>
        <v>#N/A</v>
      </c>
      <c r="V203" s="57" t="e">
        <f t="shared" ca="1" si="35"/>
        <v>#N/A</v>
      </c>
      <c r="W203" s="57" t="e">
        <f t="shared" ca="1" si="40"/>
        <v>#N/A</v>
      </c>
      <c r="X203" t="e">
        <f t="shared" ca="1" si="36"/>
        <v>#N/A</v>
      </c>
      <c r="Y203" t="e">
        <f t="shared" ca="1" si="41"/>
        <v>#N/A</v>
      </c>
      <c r="Z203" t="e">
        <f t="shared" ca="1" si="37"/>
        <v>#N/A</v>
      </c>
      <c r="AA203" t="e">
        <f t="shared" ca="1" si="38"/>
        <v>#N/A</v>
      </c>
      <c r="AB203" s="85" t="e">
        <f ca="1"/>
        <v>#N/A</v>
      </c>
      <c r="AC203" s="57" t="e">
        <f t="shared" ca="1" si="42"/>
        <v>#N/A</v>
      </c>
      <c r="AD203" s="57" t="e">
        <f t="shared" ca="1" si="43"/>
        <v>#N/A</v>
      </c>
      <c r="AE203" s="57" t="e">
        <f t="shared" ca="1" si="44"/>
        <v>#N/A</v>
      </c>
      <c r="AF203" s="57" t="e">
        <f t="shared" ca="1" si="45"/>
        <v>#N/A</v>
      </c>
    </row>
    <row r="204" spans="18:32" x14ac:dyDescent="0.25">
      <c r="R204" s="85" t="e">
        <f ca="1"/>
        <v>#N/A</v>
      </c>
      <c r="S204" s="57" t="e">
        <f t="shared" ca="1" si="39"/>
        <v>#N/A</v>
      </c>
      <c r="T204" s="57" t="e">
        <f t="shared" ca="1" si="33"/>
        <v>#N/A</v>
      </c>
      <c r="U204" s="57" t="e">
        <f t="shared" ca="1" si="34"/>
        <v>#N/A</v>
      </c>
      <c r="V204" s="57" t="e">
        <f t="shared" ca="1" si="35"/>
        <v>#N/A</v>
      </c>
      <c r="W204" s="57" t="e">
        <f t="shared" ca="1" si="40"/>
        <v>#N/A</v>
      </c>
      <c r="X204" t="e">
        <f t="shared" ca="1" si="36"/>
        <v>#N/A</v>
      </c>
      <c r="Y204" t="e">
        <f t="shared" ca="1" si="41"/>
        <v>#N/A</v>
      </c>
      <c r="Z204" t="e">
        <f t="shared" ca="1" si="37"/>
        <v>#N/A</v>
      </c>
      <c r="AA204" t="e">
        <f t="shared" ca="1" si="38"/>
        <v>#N/A</v>
      </c>
      <c r="AB204" s="85" t="e">
        <f ca="1"/>
        <v>#N/A</v>
      </c>
      <c r="AC204" s="57" t="e">
        <f t="shared" ca="1" si="42"/>
        <v>#N/A</v>
      </c>
      <c r="AD204" s="57" t="e">
        <f t="shared" ca="1" si="43"/>
        <v>#N/A</v>
      </c>
      <c r="AE204" s="57" t="e">
        <f t="shared" ca="1" si="44"/>
        <v>#N/A</v>
      </c>
      <c r="AF204" s="57" t="e">
        <f t="shared" ca="1" si="45"/>
        <v>#N/A</v>
      </c>
    </row>
    <row r="205" spans="18:32" x14ac:dyDescent="0.25">
      <c r="R205" s="85" t="e">
        <f ca="1"/>
        <v>#N/A</v>
      </c>
      <c r="S205" s="57" t="e">
        <f t="shared" ca="1" si="39"/>
        <v>#N/A</v>
      </c>
      <c r="T205" s="57" t="e">
        <f t="shared" ca="1" si="33"/>
        <v>#N/A</v>
      </c>
      <c r="U205" s="57" t="e">
        <f t="shared" ca="1" si="34"/>
        <v>#N/A</v>
      </c>
      <c r="V205" s="57" t="e">
        <f t="shared" ca="1" si="35"/>
        <v>#N/A</v>
      </c>
      <c r="W205" s="57" t="e">
        <f t="shared" ca="1" si="40"/>
        <v>#N/A</v>
      </c>
      <c r="X205" t="e">
        <f t="shared" ca="1" si="36"/>
        <v>#N/A</v>
      </c>
      <c r="Y205" t="e">
        <f t="shared" ca="1" si="41"/>
        <v>#N/A</v>
      </c>
      <c r="Z205" t="e">
        <f t="shared" ca="1" si="37"/>
        <v>#N/A</v>
      </c>
      <c r="AA205" t="e">
        <f t="shared" ca="1" si="38"/>
        <v>#N/A</v>
      </c>
      <c r="AB205" s="85" t="e">
        <f ca="1"/>
        <v>#N/A</v>
      </c>
      <c r="AC205" s="57" t="e">
        <f t="shared" ca="1" si="42"/>
        <v>#N/A</v>
      </c>
      <c r="AD205" s="57" t="e">
        <f t="shared" ca="1" si="43"/>
        <v>#N/A</v>
      </c>
      <c r="AE205" s="57" t="e">
        <f t="shared" ca="1" si="44"/>
        <v>#N/A</v>
      </c>
      <c r="AF205" s="57" t="e">
        <f t="shared" ca="1" si="45"/>
        <v>#N/A</v>
      </c>
    </row>
    <row r="206" spans="18:32" x14ac:dyDescent="0.25">
      <c r="R206" s="85" t="e">
        <f ca="1"/>
        <v>#N/A</v>
      </c>
      <c r="S206" s="57" t="e">
        <f t="shared" ca="1" si="39"/>
        <v>#N/A</v>
      </c>
      <c r="T206" s="57" t="e">
        <f t="shared" ca="1" si="33"/>
        <v>#N/A</v>
      </c>
      <c r="U206" s="57" t="e">
        <f t="shared" ca="1" si="34"/>
        <v>#N/A</v>
      </c>
      <c r="V206" s="57" t="e">
        <f t="shared" ca="1" si="35"/>
        <v>#N/A</v>
      </c>
      <c r="W206" s="57" t="e">
        <f t="shared" ca="1" si="40"/>
        <v>#N/A</v>
      </c>
      <c r="X206" t="e">
        <f t="shared" ca="1" si="36"/>
        <v>#N/A</v>
      </c>
      <c r="Y206" t="e">
        <f t="shared" ca="1" si="41"/>
        <v>#N/A</v>
      </c>
      <c r="Z206" t="e">
        <f t="shared" ca="1" si="37"/>
        <v>#N/A</v>
      </c>
      <c r="AA206" t="e">
        <f t="shared" ca="1" si="38"/>
        <v>#N/A</v>
      </c>
      <c r="AB206" s="85" t="e">
        <f ca="1"/>
        <v>#N/A</v>
      </c>
      <c r="AC206" s="57" t="e">
        <f t="shared" ca="1" si="42"/>
        <v>#N/A</v>
      </c>
      <c r="AD206" s="57" t="e">
        <f t="shared" ca="1" si="43"/>
        <v>#N/A</v>
      </c>
      <c r="AE206" s="57" t="e">
        <f t="shared" ca="1" si="44"/>
        <v>#N/A</v>
      </c>
      <c r="AF206" s="57" t="e">
        <f t="shared" ca="1" si="45"/>
        <v>#N/A</v>
      </c>
    </row>
    <row r="207" spans="18:32" x14ac:dyDescent="0.25">
      <c r="R207" s="85" t="e">
        <f ca="1"/>
        <v>#N/A</v>
      </c>
      <c r="S207" s="57" t="e">
        <f t="shared" ca="1" si="39"/>
        <v>#N/A</v>
      </c>
      <c r="T207" s="57" t="e">
        <f t="shared" ca="1" si="33"/>
        <v>#N/A</v>
      </c>
      <c r="U207" s="57" t="e">
        <f t="shared" ca="1" si="34"/>
        <v>#N/A</v>
      </c>
      <c r="V207" s="57" t="e">
        <f t="shared" ca="1" si="35"/>
        <v>#N/A</v>
      </c>
      <c r="W207" s="57" t="e">
        <f t="shared" ca="1" si="40"/>
        <v>#N/A</v>
      </c>
      <c r="X207" t="e">
        <f t="shared" ca="1" si="36"/>
        <v>#N/A</v>
      </c>
      <c r="Y207" t="e">
        <f t="shared" ca="1" si="41"/>
        <v>#N/A</v>
      </c>
      <c r="Z207" t="e">
        <f t="shared" ca="1" si="37"/>
        <v>#N/A</v>
      </c>
      <c r="AA207" t="e">
        <f t="shared" ca="1" si="38"/>
        <v>#N/A</v>
      </c>
      <c r="AB207" s="85" t="e">
        <f ca="1"/>
        <v>#N/A</v>
      </c>
      <c r="AC207" s="57" t="e">
        <f t="shared" ca="1" si="42"/>
        <v>#N/A</v>
      </c>
      <c r="AD207" s="57" t="e">
        <f t="shared" ca="1" si="43"/>
        <v>#N/A</v>
      </c>
      <c r="AE207" s="57" t="e">
        <f t="shared" ca="1" si="44"/>
        <v>#N/A</v>
      </c>
      <c r="AF207" s="57" t="e">
        <f t="shared" ca="1" si="45"/>
        <v>#N/A</v>
      </c>
    </row>
    <row r="208" spans="18:32" x14ac:dyDescent="0.25">
      <c r="R208" s="85" t="e">
        <f ca="1"/>
        <v>#N/A</v>
      </c>
      <c r="S208" s="57" t="e">
        <f t="shared" ca="1" si="39"/>
        <v>#N/A</v>
      </c>
      <c r="T208" s="57" t="e">
        <f t="shared" ca="1" si="33"/>
        <v>#N/A</v>
      </c>
      <c r="U208" s="57" t="e">
        <f t="shared" ca="1" si="34"/>
        <v>#N/A</v>
      </c>
      <c r="V208" s="57" t="e">
        <f t="shared" ca="1" si="35"/>
        <v>#N/A</v>
      </c>
      <c r="W208" s="57" t="e">
        <f t="shared" ca="1" si="40"/>
        <v>#N/A</v>
      </c>
      <c r="X208" t="e">
        <f t="shared" ca="1" si="36"/>
        <v>#N/A</v>
      </c>
      <c r="Y208" t="e">
        <f t="shared" ca="1" si="41"/>
        <v>#N/A</v>
      </c>
      <c r="Z208" t="e">
        <f t="shared" ca="1" si="37"/>
        <v>#N/A</v>
      </c>
      <c r="AA208" t="e">
        <f t="shared" ca="1" si="38"/>
        <v>#N/A</v>
      </c>
      <c r="AB208" s="85" t="e">
        <f ca="1"/>
        <v>#N/A</v>
      </c>
      <c r="AC208" s="57" t="e">
        <f t="shared" ca="1" si="42"/>
        <v>#N/A</v>
      </c>
      <c r="AD208" s="57" t="e">
        <f t="shared" ca="1" si="43"/>
        <v>#N/A</v>
      </c>
      <c r="AE208" s="57" t="e">
        <f t="shared" ca="1" si="44"/>
        <v>#N/A</v>
      </c>
      <c r="AF208" s="57" t="e">
        <f t="shared" ca="1" si="45"/>
        <v>#N/A</v>
      </c>
    </row>
    <row r="209" spans="18:32" x14ac:dyDescent="0.25">
      <c r="R209" s="85" t="e">
        <f ca="1"/>
        <v>#N/A</v>
      </c>
      <c r="S209" s="57" t="e">
        <f t="shared" ca="1" si="39"/>
        <v>#N/A</v>
      </c>
      <c r="T209" s="57" t="e">
        <f t="shared" ca="1" si="33"/>
        <v>#N/A</v>
      </c>
      <c r="U209" s="57" t="e">
        <f t="shared" ca="1" si="34"/>
        <v>#N/A</v>
      </c>
      <c r="V209" s="57" t="e">
        <f t="shared" ca="1" si="35"/>
        <v>#N/A</v>
      </c>
      <c r="W209" s="57" t="e">
        <f t="shared" ca="1" si="40"/>
        <v>#N/A</v>
      </c>
      <c r="X209" t="e">
        <f t="shared" ca="1" si="36"/>
        <v>#N/A</v>
      </c>
      <c r="Y209" t="e">
        <f t="shared" ca="1" si="41"/>
        <v>#N/A</v>
      </c>
      <c r="Z209" t="e">
        <f t="shared" ca="1" si="37"/>
        <v>#N/A</v>
      </c>
      <c r="AA209" t="e">
        <f t="shared" ca="1" si="38"/>
        <v>#N/A</v>
      </c>
      <c r="AB209" s="85" t="e">
        <f ca="1"/>
        <v>#N/A</v>
      </c>
      <c r="AC209" s="57" t="e">
        <f t="shared" ca="1" si="42"/>
        <v>#N/A</v>
      </c>
      <c r="AD209" s="57" t="e">
        <f t="shared" ca="1" si="43"/>
        <v>#N/A</v>
      </c>
      <c r="AE209" s="57" t="e">
        <f t="shared" ca="1" si="44"/>
        <v>#N/A</v>
      </c>
      <c r="AF209" s="57" t="e">
        <f t="shared" ca="1" si="45"/>
        <v>#N/A</v>
      </c>
    </row>
    <row r="210" spans="18:32" x14ac:dyDescent="0.25">
      <c r="R210" s="85" t="e">
        <f ca="1"/>
        <v>#N/A</v>
      </c>
      <c r="S210" s="57" t="e">
        <f t="shared" ca="1" si="39"/>
        <v>#N/A</v>
      </c>
      <c r="T210" s="57" t="e">
        <f t="shared" ref="T210:T273" ca="1" si="46">VLOOKUP(S210,ModelOutputs,2,FALSE)</f>
        <v>#N/A</v>
      </c>
      <c r="U210" s="57" t="e">
        <f t="shared" ref="U210:U273" ca="1" si="47">VLOOKUP(S210,ModelOutputs,7,FALSE)</f>
        <v>#N/A</v>
      </c>
      <c r="V210" s="57" t="e">
        <f t="shared" ref="V210:V273" ca="1" si="48">VLOOKUP(S210,ModelOutputs,6,FALSE)</f>
        <v>#N/A</v>
      </c>
      <c r="W210" s="57" t="e">
        <f t="shared" ca="1" si="40"/>
        <v>#N/A</v>
      </c>
      <c r="X210" t="e">
        <f t="shared" ref="X210:X273" ca="1" si="49">VLOOKUP(S210,ModelOutputs,10,FALSE)*AWC</f>
        <v>#N/A</v>
      </c>
      <c r="Y210" t="e">
        <f t="shared" ca="1" si="41"/>
        <v>#N/A</v>
      </c>
      <c r="Z210" t="e">
        <f t="shared" ref="Z210:Z273" ca="1" si="50">VLOOKUP(S210,ModelOutputs,12,FALSE)</f>
        <v>#N/A</v>
      </c>
      <c r="AA210" t="e">
        <f t="shared" ref="AA210:AA273" ca="1" si="51">VLOOKUP(S210,ModelOutputs,13,FALSE)</f>
        <v>#N/A</v>
      </c>
      <c r="AB210" s="85" t="e">
        <f ca="1"/>
        <v>#N/A</v>
      </c>
      <c r="AC210" s="57" t="e">
        <f t="shared" ca="1" si="42"/>
        <v>#N/A</v>
      </c>
      <c r="AD210" s="57" t="e">
        <f t="shared" ca="1" si="43"/>
        <v>#N/A</v>
      </c>
      <c r="AE210" s="57" t="e">
        <f t="shared" ca="1" si="44"/>
        <v>#N/A</v>
      </c>
      <c r="AF210" s="57" t="e">
        <f t="shared" ca="1" si="45"/>
        <v>#N/A</v>
      </c>
    </row>
    <row r="211" spans="18:32" x14ac:dyDescent="0.25">
      <c r="R211" s="85" t="e">
        <f ca="1"/>
        <v>#N/A</v>
      </c>
      <c r="S211" s="57" t="e">
        <f t="shared" ref="S211:S274" ca="1" si="52">IF(R211&gt;1,R211,"")</f>
        <v>#N/A</v>
      </c>
      <c r="T211" s="57" t="e">
        <f t="shared" ca="1" si="46"/>
        <v>#N/A</v>
      </c>
      <c r="U211" s="57" t="e">
        <f t="shared" ca="1" si="47"/>
        <v>#N/A</v>
      </c>
      <c r="V211" s="57" t="e">
        <f t="shared" ca="1" si="48"/>
        <v>#N/A</v>
      </c>
      <c r="W211" s="57" t="e">
        <f t="shared" ref="W211:W274" ca="1" si="53">VLOOKUP(S211,ModelOutputs,9,FALSE)+W210</f>
        <v>#N/A</v>
      </c>
      <c r="X211" t="e">
        <f t="shared" ca="1" si="49"/>
        <v>#N/A</v>
      </c>
      <c r="Y211" t="e">
        <f t="shared" ref="Y211:Y274" ca="1" si="54">VLOOKUP(S211,ModelOutputs,11,FALSE)+Y210</f>
        <v>#N/A</v>
      </c>
      <c r="Z211" t="e">
        <f t="shared" ca="1" si="50"/>
        <v>#N/A</v>
      </c>
      <c r="AA211" t="e">
        <f t="shared" ca="1" si="51"/>
        <v>#N/A</v>
      </c>
      <c r="AB211" s="85" t="e">
        <f ca="1"/>
        <v>#N/A</v>
      </c>
      <c r="AC211" s="57" t="e">
        <f t="shared" ca="1" si="42"/>
        <v>#N/A</v>
      </c>
      <c r="AD211" s="57" t="e">
        <f t="shared" ca="1" si="43"/>
        <v>#N/A</v>
      </c>
      <c r="AE211" s="57" t="e">
        <f t="shared" ca="1" si="44"/>
        <v>#N/A</v>
      </c>
      <c r="AF211" s="57" t="e">
        <f t="shared" ca="1" si="45"/>
        <v>#N/A</v>
      </c>
    </row>
    <row r="212" spans="18:32" x14ac:dyDescent="0.25">
      <c r="R212" s="85" t="e">
        <f ca="1"/>
        <v>#N/A</v>
      </c>
      <c r="S212" s="57" t="e">
        <f t="shared" ca="1" si="52"/>
        <v>#N/A</v>
      </c>
      <c r="T212" s="57" t="e">
        <f t="shared" ca="1" si="46"/>
        <v>#N/A</v>
      </c>
      <c r="U212" s="57" t="e">
        <f t="shared" ca="1" si="47"/>
        <v>#N/A</v>
      </c>
      <c r="V212" s="57" t="e">
        <f t="shared" ca="1" si="48"/>
        <v>#N/A</v>
      </c>
      <c r="W212" s="57" t="e">
        <f t="shared" ca="1" si="53"/>
        <v>#N/A</v>
      </c>
      <c r="X212" t="e">
        <f t="shared" ca="1" si="49"/>
        <v>#N/A</v>
      </c>
      <c r="Y212" t="e">
        <f t="shared" ca="1" si="54"/>
        <v>#N/A</v>
      </c>
      <c r="Z212" t="e">
        <f t="shared" ca="1" si="50"/>
        <v>#N/A</v>
      </c>
      <c r="AA212" t="e">
        <f t="shared" ca="1" si="51"/>
        <v>#N/A</v>
      </c>
      <c r="AB212" s="85" t="e">
        <f ca="1"/>
        <v>#N/A</v>
      </c>
      <c r="AC212" s="57" t="e">
        <f t="shared" ca="1" si="42"/>
        <v>#N/A</v>
      </c>
      <c r="AD212" s="57" t="e">
        <f t="shared" ca="1" si="43"/>
        <v>#N/A</v>
      </c>
      <c r="AE212" s="57" t="e">
        <f t="shared" ca="1" si="44"/>
        <v>#N/A</v>
      </c>
      <c r="AF212" s="57" t="e">
        <f t="shared" ca="1" si="45"/>
        <v>#N/A</v>
      </c>
    </row>
    <row r="213" spans="18:32" x14ac:dyDescent="0.25">
      <c r="R213" s="85" t="e">
        <f ca="1"/>
        <v>#N/A</v>
      </c>
      <c r="S213" s="57" t="e">
        <f t="shared" ca="1" si="52"/>
        <v>#N/A</v>
      </c>
      <c r="T213" s="57" t="e">
        <f t="shared" ca="1" si="46"/>
        <v>#N/A</v>
      </c>
      <c r="U213" s="57" t="e">
        <f t="shared" ca="1" si="47"/>
        <v>#N/A</v>
      </c>
      <c r="V213" s="57" t="e">
        <f t="shared" ca="1" si="48"/>
        <v>#N/A</v>
      </c>
      <c r="W213" s="57" t="e">
        <f t="shared" ca="1" si="53"/>
        <v>#N/A</v>
      </c>
      <c r="X213" t="e">
        <f t="shared" ca="1" si="49"/>
        <v>#N/A</v>
      </c>
      <c r="Y213" t="e">
        <f t="shared" ca="1" si="54"/>
        <v>#N/A</v>
      </c>
      <c r="Z213" t="e">
        <f t="shared" ca="1" si="50"/>
        <v>#N/A</v>
      </c>
      <c r="AA213" t="e">
        <f t="shared" ca="1" si="51"/>
        <v>#N/A</v>
      </c>
      <c r="AB213" s="85" t="e">
        <f ca="1"/>
        <v>#N/A</v>
      </c>
      <c r="AC213" s="57" t="e">
        <f t="shared" ref="AC213:AC276" ca="1" si="55">IF(AB213&gt;1,AB213,"")</f>
        <v>#N/A</v>
      </c>
      <c r="AD213" s="57" t="e">
        <f t="shared" ref="AD213:AD276" ca="1" si="56">VLOOKUP(AC213,ModelOutputs,2,FALSE)</f>
        <v>#N/A</v>
      </c>
      <c r="AE213" s="57" t="e">
        <f t="shared" ref="AE213:AE276" ca="1" si="57">VLOOKUP(AC213,ModelOutputs,7,FALSE)</f>
        <v>#N/A</v>
      </c>
      <c r="AF213" s="57" t="e">
        <f t="shared" ref="AF213:AF276" ca="1" si="58">VLOOKUP(AC213,ModelOutputs,6,FALSE)</f>
        <v>#N/A</v>
      </c>
    </row>
    <row r="214" spans="18:32" x14ac:dyDescent="0.25">
      <c r="R214" s="85" t="e">
        <f ca="1"/>
        <v>#N/A</v>
      </c>
      <c r="S214" s="57" t="e">
        <f t="shared" ca="1" si="52"/>
        <v>#N/A</v>
      </c>
      <c r="T214" s="57" t="e">
        <f t="shared" ca="1" si="46"/>
        <v>#N/A</v>
      </c>
      <c r="U214" s="57" t="e">
        <f t="shared" ca="1" si="47"/>
        <v>#N/A</v>
      </c>
      <c r="V214" s="57" t="e">
        <f t="shared" ca="1" si="48"/>
        <v>#N/A</v>
      </c>
      <c r="W214" s="57" t="e">
        <f t="shared" ca="1" si="53"/>
        <v>#N/A</v>
      </c>
      <c r="X214" t="e">
        <f t="shared" ca="1" si="49"/>
        <v>#N/A</v>
      </c>
      <c r="Y214" t="e">
        <f t="shared" ca="1" si="54"/>
        <v>#N/A</v>
      </c>
      <c r="Z214" t="e">
        <f t="shared" ca="1" si="50"/>
        <v>#N/A</v>
      </c>
      <c r="AA214" t="e">
        <f t="shared" ca="1" si="51"/>
        <v>#N/A</v>
      </c>
      <c r="AB214" s="85" t="e">
        <f ca="1"/>
        <v>#N/A</v>
      </c>
      <c r="AC214" s="57" t="e">
        <f t="shared" ca="1" si="55"/>
        <v>#N/A</v>
      </c>
      <c r="AD214" s="57" t="e">
        <f t="shared" ca="1" si="56"/>
        <v>#N/A</v>
      </c>
      <c r="AE214" s="57" t="e">
        <f t="shared" ca="1" si="57"/>
        <v>#N/A</v>
      </c>
      <c r="AF214" s="57" t="e">
        <f t="shared" ca="1" si="58"/>
        <v>#N/A</v>
      </c>
    </row>
    <row r="215" spans="18:32" x14ac:dyDescent="0.25">
      <c r="R215" s="85" t="e">
        <f ca="1"/>
        <v>#N/A</v>
      </c>
      <c r="S215" s="57" t="e">
        <f t="shared" ca="1" si="52"/>
        <v>#N/A</v>
      </c>
      <c r="T215" s="57" t="e">
        <f t="shared" ca="1" si="46"/>
        <v>#N/A</v>
      </c>
      <c r="U215" s="57" t="e">
        <f t="shared" ca="1" si="47"/>
        <v>#N/A</v>
      </c>
      <c r="V215" s="57" t="e">
        <f t="shared" ca="1" si="48"/>
        <v>#N/A</v>
      </c>
      <c r="W215" s="57" t="e">
        <f t="shared" ca="1" si="53"/>
        <v>#N/A</v>
      </c>
      <c r="X215" t="e">
        <f t="shared" ca="1" si="49"/>
        <v>#N/A</v>
      </c>
      <c r="Y215" t="e">
        <f t="shared" ca="1" si="54"/>
        <v>#N/A</v>
      </c>
      <c r="Z215" t="e">
        <f t="shared" ca="1" si="50"/>
        <v>#N/A</v>
      </c>
      <c r="AA215" t="e">
        <f t="shared" ca="1" si="51"/>
        <v>#N/A</v>
      </c>
      <c r="AB215" s="85" t="e">
        <f ca="1"/>
        <v>#N/A</v>
      </c>
      <c r="AC215" s="57" t="e">
        <f t="shared" ca="1" si="55"/>
        <v>#N/A</v>
      </c>
      <c r="AD215" s="57" t="e">
        <f t="shared" ca="1" si="56"/>
        <v>#N/A</v>
      </c>
      <c r="AE215" s="57" t="e">
        <f t="shared" ca="1" si="57"/>
        <v>#N/A</v>
      </c>
      <c r="AF215" s="57" t="e">
        <f t="shared" ca="1" si="58"/>
        <v>#N/A</v>
      </c>
    </row>
    <row r="216" spans="18:32" x14ac:dyDescent="0.25">
      <c r="R216" s="85" t="e">
        <f ca="1"/>
        <v>#N/A</v>
      </c>
      <c r="S216" s="57" t="e">
        <f t="shared" ca="1" si="52"/>
        <v>#N/A</v>
      </c>
      <c r="T216" s="57" t="e">
        <f t="shared" ca="1" si="46"/>
        <v>#N/A</v>
      </c>
      <c r="U216" s="57" t="e">
        <f t="shared" ca="1" si="47"/>
        <v>#N/A</v>
      </c>
      <c r="V216" s="57" t="e">
        <f t="shared" ca="1" si="48"/>
        <v>#N/A</v>
      </c>
      <c r="W216" s="57" t="e">
        <f t="shared" ca="1" si="53"/>
        <v>#N/A</v>
      </c>
      <c r="X216" t="e">
        <f t="shared" ca="1" si="49"/>
        <v>#N/A</v>
      </c>
      <c r="Y216" t="e">
        <f t="shared" ca="1" si="54"/>
        <v>#N/A</v>
      </c>
      <c r="Z216" t="e">
        <f t="shared" ca="1" si="50"/>
        <v>#N/A</v>
      </c>
      <c r="AA216" t="e">
        <f t="shared" ca="1" si="51"/>
        <v>#N/A</v>
      </c>
      <c r="AB216" s="85" t="e">
        <f ca="1"/>
        <v>#N/A</v>
      </c>
      <c r="AC216" s="57" t="e">
        <f t="shared" ca="1" si="55"/>
        <v>#N/A</v>
      </c>
      <c r="AD216" s="57" t="e">
        <f t="shared" ca="1" si="56"/>
        <v>#N/A</v>
      </c>
      <c r="AE216" s="57" t="e">
        <f t="shared" ca="1" si="57"/>
        <v>#N/A</v>
      </c>
      <c r="AF216" s="57" t="e">
        <f t="shared" ca="1" si="58"/>
        <v>#N/A</v>
      </c>
    </row>
    <row r="217" spans="18:32" x14ac:dyDescent="0.25">
      <c r="R217" s="85" t="e">
        <f ca="1"/>
        <v>#N/A</v>
      </c>
      <c r="S217" s="57" t="e">
        <f t="shared" ca="1" si="52"/>
        <v>#N/A</v>
      </c>
      <c r="T217" s="57" t="e">
        <f t="shared" ca="1" si="46"/>
        <v>#N/A</v>
      </c>
      <c r="U217" s="57" t="e">
        <f t="shared" ca="1" si="47"/>
        <v>#N/A</v>
      </c>
      <c r="V217" s="57" t="e">
        <f t="shared" ca="1" si="48"/>
        <v>#N/A</v>
      </c>
      <c r="W217" s="57" t="e">
        <f t="shared" ca="1" si="53"/>
        <v>#N/A</v>
      </c>
      <c r="X217" t="e">
        <f t="shared" ca="1" si="49"/>
        <v>#N/A</v>
      </c>
      <c r="Y217" t="e">
        <f t="shared" ca="1" si="54"/>
        <v>#N/A</v>
      </c>
      <c r="Z217" t="e">
        <f t="shared" ca="1" si="50"/>
        <v>#N/A</v>
      </c>
      <c r="AA217" t="e">
        <f t="shared" ca="1" si="51"/>
        <v>#N/A</v>
      </c>
      <c r="AB217" s="85" t="e">
        <f ca="1"/>
        <v>#N/A</v>
      </c>
      <c r="AC217" s="57" t="e">
        <f t="shared" ca="1" si="55"/>
        <v>#N/A</v>
      </c>
      <c r="AD217" s="57" t="e">
        <f t="shared" ca="1" si="56"/>
        <v>#N/A</v>
      </c>
      <c r="AE217" s="57" t="e">
        <f t="shared" ca="1" si="57"/>
        <v>#N/A</v>
      </c>
      <c r="AF217" s="57" t="e">
        <f t="shared" ca="1" si="58"/>
        <v>#N/A</v>
      </c>
    </row>
    <row r="218" spans="18:32" x14ac:dyDescent="0.25">
      <c r="R218" s="85" t="e">
        <f ca="1"/>
        <v>#N/A</v>
      </c>
      <c r="S218" s="57" t="e">
        <f t="shared" ca="1" si="52"/>
        <v>#N/A</v>
      </c>
      <c r="T218" s="57" t="e">
        <f t="shared" ca="1" si="46"/>
        <v>#N/A</v>
      </c>
      <c r="U218" s="57" t="e">
        <f t="shared" ca="1" si="47"/>
        <v>#N/A</v>
      </c>
      <c r="V218" s="57" t="e">
        <f t="shared" ca="1" si="48"/>
        <v>#N/A</v>
      </c>
      <c r="W218" s="57" t="e">
        <f t="shared" ca="1" si="53"/>
        <v>#N/A</v>
      </c>
      <c r="X218" t="e">
        <f t="shared" ca="1" si="49"/>
        <v>#N/A</v>
      </c>
      <c r="Y218" t="e">
        <f t="shared" ca="1" si="54"/>
        <v>#N/A</v>
      </c>
      <c r="Z218" t="e">
        <f t="shared" ca="1" si="50"/>
        <v>#N/A</v>
      </c>
      <c r="AA218" t="e">
        <f t="shared" ca="1" si="51"/>
        <v>#N/A</v>
      </c>
      <c r="AB218" s="85" t="e">
        <f ca="1"/>
        <v>#N/A</v>
      </c>
      <c r="AC218" s="57" t="e">
        <f t="shared" ca="1" si="55"/>
        <v>#N/A</v>
      </c>
      <c r="AD218" s="57" t="e">
        <f t="shared" ca="1" si="56"/>
        <v>#N/A</v>
      </c>
      <c r="AE218" s="57" t="e">
        <f t="shared" ca="1" si="57"/>
        <v>#N/A</v>
      </c>
      <c r="AF218" s="57" t="e">
        <f t="shared" ca="1" si="58"/>
        <v>#N/A</v>
      </c>
    </row>
    <row r="219" spans="18:32" x14ac:dyDescent="0.25">
      <c r="R219" s="85" t="e">
        <f ca="1"/>
        <v>#N/A</v>
      </c>
      <c r="S219" s="57" t="e">
        <f t="shared" ca="1" si="52"/>
        <v>#N/A</v>
      </c>
      <c r="T219" s="57" t="e">
        <f t="shared" ca="1" si="46"/>
        <v>#N/A</v>
      </c>
      <c r="U219" s="57" t="e">
        <f t="shared" ca="1" si="47"/>
        <v>#N/A</v>
      </c>
      <c r="V219" s="57" t="e">
        <f t="shared" ca="1" si="48"/>
        <v>#N/A</v>
      </c>
      <c r="W219" s="57" t="e">
        <f t="shared" ca="1" si="53"/>
        <v>#N/A</v>
      </c>
      <c r="X219" t="e">
        <f t="shared" ca="1" si="49"/>
        <v>#N/A</v>
      </c>
      <c r="Y219" t="e">
        <f t="shared" ca="1" si="54"/>
        <v>#N/A</v>
      </c>
      <c r="Z219" t="e">
        <f t="shared" ca="1" si="50"/>
        <v>#N/A</v>
      </c>
      <c r="AA219" t="e">
        <f t="shared" ca="1" si="51"/>
        <v>#N/A</v>
      </c>
      <c r="AB219" s="85" t="e">
        <f ca="1"/>
        <v>#N/A</v>
      </c>
      <c r="AC219" s="57" t="e">
        <f t="shared" ca="1" si="55"/>
        <v>#N/A</v>
      </c>
      <c r="AD219" s="57" t="e">
        <f t="shared" ca="1" si="56"/>
        <v>#N/A</v>
      </c>
      <c r="AE219" s="57" t="e">
        <f t="shared" ca="1" si="57"/>
        <v>#N/A</v>
      </c>
      <c r="AF219" s="57" t="e">
        <f t="shared" ca="1" si="58"/>
        <v>#N/A</v>
      </c>
    </row>
    <row r="220" spans="18:32" x14ac:dyDescent="0.25">
      <c r="R220" s="85" t="e">
        <f ca="1"/>
        <v>#N/A</v>
      </c>
      <c r="S220" s="57" t="e">
        <f t="shared" ca="1" si="52"/>
        <v>#N/A</v>
      </c>
      <c r="T220" s="57" t="e">
        <f t="shared" ca="1" si="46"/>
        <v>#N/A</v>
      </c>
      <c r="U220" s="57" t="e">
        <f t="shared" ca="1" si="47"/>
        <v>#N/A</v>
      </c>
      <c r="V220" s="57" t="e">
        <f t="shared" ca="1" si="48"/>
        <v>#N/A</v>
      </c>
      <c r="W220" s="57" t="e">
        <f t="shared" ca="1" si="53"/>
        <v>#N/A</v>
      </c>
      <c r="X220" t="e">
        <f t="shared" ca="1" si="49"/>
        <v>#N/A</v>
      </c>
      <c r="Y220" t="e">
        <f t="shared" ca="1" si="54"/>
        <v>#N/A</v>
      </c>
      <c r="Z220" t="e">
        <f t="shared" ca="1" si="50"/>
        <v>#N/A</v>
      </c>
      <c r="AA220" t="e">
        <f t="shared" ca="1" si="51"/>
        <v>#N/A</v>
      </c>
      <c r="AB220" s="85" t="e">
        <f ca="1"/>
        <v>#N/A</v>
      </c>
      <c r="AC220" s="57" t="e">
        <f t="shared" ca="1" si="55"/>
        <v>#N/A</v>
      </c>
      <c r="AD220" s="57" t="e">
        <f t="shared" ca="1" si="56"/>
        <v>#N/A</v>
      </c>
      <c r="AE220" s="57" t="e">
        <f t="shared" ca="1" si="57"/>
        <v>#N/A</v>
      </c>
      <c r="AF220" s="57" t="e">
        <f t="shared" ca="1" si="58"/>
        <v>#N/A</v>
      </c>
    </row>
    <row r="221" spans="18:32" x14ac:dyDescent="0.25">
      <c r="R221" s="85" t="e">
        <f ca="1"/>
        <v>#N/A</v>
      </c>
      <c r="S221" s="57" t="e">
        <f t="shared" ca="1" si="52"/>
        <v>#N/A</v>
      </c>
      <c r="T221" s="57" t="e">
        <f t="shared" ca="1" si="46"/>
        <v>#N/A</v>
      </c>
      <c r="U221" s="57" t="e">
        <f t="shared" ca="1" si="47"/>
        <v>#N/A</v>
      </c>
      <c r="V221" s="57" t="e">
        <f t="shared" ca="1" si="48"/>
        <v>#N/A</v>
      </c>
      <c r="W221" s="57" t="e">
        <f t="shared" ca="1" si="53"/>
        <v>#N/A</v>
      </c>
      <c r="X221" t="e">
        <f t="shared" ca="1" si="49"/>
        <v>#N/A</v>
      </c>
      <c r="Y221" t="e">
        <f t="shared" ca="1" si="54"/>
        <v>#N/A</v>
      </c>
      <c r="Z221" t="e">
        <f t="shared" ca="1" si="50"/>
        <v>#N/A</v>
      </c>
      <c r="AA221" t="e">
        <f t="shared" ca="1" si="51"/>
        <v>#N/A</v>
      </c>
      <c r="AB221" s="85" t="e">
        <f ca="1"/>
        <v>#N/A</v>
      </c>
      <c r="AC221" s="57" t="e">
        <f t="shared" ca="1" si="55"/>
        <v>#N/A</v>
      </c>
      <c r="AD221" s="57" t="e">
        <f t="shared" ca="1" si="56"/>
        <v>#N/A</v>
      </c>
      <c r="AE221" s="57" t="e">
        <f t="shared" ca="1" si="57"/>
        <v>#N/A</v>
      </c>
      <c r="AF221" s="57" t="e">
        <f t="shared" ca="1" si="58"/>
        <v>#N/A</v>
      </c>
    </row>
    <row r="222" spans="18:32" x14ac:dyDescent="0.25">
      <c r="R222" s="85" t="e">
        <f ca="1"/>
        <v>#N/A</v>
      </c>
      <c r="S222" s="57" t="e">
        <f t="shared" ca="1" si="52"/>
        <v>#N/A</v>
      </c>
      <c r="T222" s="57" t="e">
        <f t="shared" ca="1" si="46"/>
        <v>#N/A</v>
      </c>
      <c r="U222" s="57" t="e">
        <f t="shared" ca="1" si="47"/>
        <v>#N/A</v>
      </c>
      <c r="V222" s="57" t="e">
        <f t="shared" ca="1" si="48"/>
        <v>#N/A</v>
      </c>
      <c r="W222" s="57" t="e">
        <f t="shared" ca="1" si="53"/>
        <v>#N/A</v>
      </c>
      <c r="X222" t="e">
        <f t="shared" ca="1" si="49"/>
        <v>#N/A</v>
      </c>
      <c r="Y222" t="e">
        <f t="shared" ca="1" si="54"/>
        <v>#N/A</v>
      </c>
      <c r="Z222" t="e">
        <f t="shared" ca="1" si="50"/>
        <v>#N/A</v>
      </c>
      <c r="AA222" t="e">
        <f t="shared" ca="1" si="51"/>
        <v>#N/A</v>
      </c>
      <c r="AB222" s="85" t="e">
        <f ca="1"/>
        <v>#N/A</v>
      </c>
      <c r="AC222" s="57" t="e">
        <f t="shared" ca="1" si="55"/>
        <v>#N/A</v>
      </c>
      <c r="AD222" s="57" t="e">
        <f t="shared" ca="1" si="56"/>
        <v>#N/A</v>
      </c>
      <c r="AE222" s="57" t="e">
        <f t="shared" ca="1" si="57"/>
        <v>#N/A</v>
      </c>
      <c r="AF222" s="57" t="e">
        <f t="shared" ca="1" si="58"/>
        <v>#N/A</v>
      </c>
    </row>
    <row r="223" spans="18:32" x14ac:dyDescent="0.25">
      <c r="R223" s="85" t="e">
        <f ca="1"/>
        <v>#N/A</v>
      </c>
      <c r="S223" s="57" t="e">
        <f t="shared" ca="1" si="52"/>
        <v>#N/A</v>
      </c>
      <c r="T223" s="57" t="e">
        <f t="shared" ca="1" si="46"/>
        <v>#N/A</v>
      </c>
      <c r="U223" s="57" t="e">
        <f t="shared" ca="1" si="47"/>
        <v>#N/A</v>
      </c>
      <c r="V223" s="57" t="e">
        <f t="shared" ca="1" si="48"/>
        <v>#N/A</v>
      </c>
      <c r="W223" s="57" t="e">
        <f t="shared" ca="1" si="53"/>
        <v>#N/A</v>
      </c>
      <c r="X223" t="e">
        <f t="shared" ca="1" si="49"/>
        <v>#N/A</v>
      </c>
      <c r="Y223" t="e">
        <f t="shared" ca="1" si="54"/>
        <v>#N/A</v>
      </c>
      <c r="Z223" t="e">
        <f t="shared" ca="1" si="50"/>
        <v>#N/A</v>
      </c>
      <c r="AA223" t="e">
        <f t="shared" ca="1" si="51"/>
        <v>#N/A</v>
      </c>
      <c r="AB223" s="85" t="e">
        <f ca="1"/>
        <v>#N/A</v>
      </c>
      <c r="AC223" s="57" t="e">
        <f t="shared" ca="1" si="55"/>
        <v>#N/A</v>
      </c>
      <c r="AD223" s="57" t="e">
        <f t="shared" ca="1" si="56"/>
        <v>#N/A</v>
      </c>
      <c r="AE223" s="57" t="e">
        <f t="shared" ca="1" si="57"/>
        <v>#N/A</v>
      </c>
      <c r="AF223" s="57" t="e">
        <f t="shared" ca="1" si="58"/>
        <v>#N/A</v>
      </c>
    </row>
    <row r="224" spans="18:32" x14ac:dyDescent="0.25">
      <c r="R224" s="85" t="e">
        <f ca="1"/>
        <v>#N/A</v>
      </c>
      <c r="S224" s="57" t="e">
        <f t="shared" ca="1" si="52"/>
        <v>#N/A</v>
      </c>
      <c r="T224" s="57" t="e">
        <f t="shared" ca="1" si="46"/>
        <v>#N/A</v>
      </c>
      <c r="U224" s="57" t="e">
        <f t="shared" ca="1" si="47"/>
        <v>#N/A</v>
      </c>
      <c r="V224" s="57" t="e">
        <f t="shared" ca="1" si="48"/>
        <v>#N/A</v>
      </c>
      <c r="W224" s="57" t="e">
        <f t="shared" ca="1" si="53"/>
        <v>#N/A</v>
      </c>
      <c r="X224" t="e">
        <f t="shared" ca="1" si="49"/>
        <v>#N/A</v>
      </c>
      <c r="Y224" t="e">
        <f t="shared" ca="1" si="54"/>
        <v>#N/A</v>
      </c>
      <c r="Z224" t="e">
        <f t="shared" ca="1" si="50"/>
        <v>#N/A</v>
      </c>
      <c r="AA224" t="e">
        <f t="shared" ca="1" si="51"/>
        <v>#N/A</v>
      </c>
      <c r="AB224" s="85" t="e">
        <f ca="1"/>
        <v>#N/A</v>
      </c>
      <c r="AC224" s="57" t="e">
        <f t="shared" ca="1" si="55"/>
        <v>#N/A</v>
      </c>
      <c r="AD224" s="57" t="e">
        <f t="shared" ca="1" si="56"/>
        <v>#N/A</v>
      </c>
      <c r="AE224" s="57" t="e">
        <f t="shared" ca="1" si="57"/>
        <v>#N/A</v>
      </c>
      <c r="AF224" s="57" t="e">
        <f t="shared" ca="1" si="58"/>
        <v>#N/A</v>
      </c>
    </row>
    <row r="225" spans="18:32" x14ac:dyDescent="0.25">
      <c r="R225" s="85" t="e">
        <f ca="1"/>
        <v>#N/A</v>
      </c>
      <c r="S225" s="57" t="e">
        <f t="shared" ca="1" si="52"/>
        <v>#N/A</v>
      </c>
      <c r="T225" s="57" t="e">
        <f t="shared" ca="1" si="46"/>
        <v>#N/A</v>
      </c>
      <c r="U225" s="57" t="e">
        <f t="shared" ca="1" si="47"/>
        <v>#N/A</v>
      </c>
      <c r="V225" s="57" t="e">
        <f t="shared" ca="1" si="48"/>
        <v>#N/A</v>
      </c>
      <c r="W225" s="57" t="e">
        <f t="shared" ca="1" si="53"/>
        <v>#N/A</v>
      </c>
      <c r="X225" t="e">
        <f t="shared" ca="1" si="49"/>
        <v>#N/A</v>
      </c>
      <c r="Y225" t="e">
        <f t="shared" ca="1" si="54"/>
        <v>#N/A</v>
      </c>
      <c r="Z225" t="e">
        <f t="shared" ca="1" si="50"/>
        <v>#N/A</v>
      </c>
      <c r="AA225" t="e">
        <f t="shared" ca="1" si="51"/>
        <v>#N/A</v>
      </c>
      <c r="AB225" s="85" t="e">
        <f ca="1"/>
        <v>#N/A</v>
      </c>
      <c r="AC225" s="57" t="e">
        <f t="shared" ca="1" si="55"/>
        <v>#N/A</v>
      </c>
      <c r="AD225" s="57" t="e">
        <f t="shared" ca="1" si="56"/>
        <v>#N/A</v>
      </c>
      <c r="AE225" s="57" t="e">
        <f t="shared" ca="1" si="57"/>
        <v>#N/A</v>
      </c>
      <c r="AF225" s="57" t="e">
        <f t="shared" ca="1" si="58"/>
        <v>#N/A</v>
      </c>
    </row>
    <row r="226" spans="18:32" x14ac:dyDescent="0.25">
      <c r="R226" s="85" t="e">
        <f ca="1"/>
        <v>#N/A</v>
      </c>
      <c r="S226" s="57" t="e">
        <f t="shared" ca="1" si="52"/>
        <v>#N/A</v>
      </c>
      <c r="T226" s="57" t="e">
        <f t="shared" ca="1" si="46"/>
        <v>#N/A</v>
      </c>
      <c r="U226" s="57" t="e">
        <f t="shared" ca="1" si="47"/>
        <v>#N/A</v>
      </c>
      <c r="V226" s="57" t="e">
        <f t="shared" ca="1" si="48"/>
        <v>#N/A</v>
      </c>
      <c r="W226" s="57" t="e">
        <f t="shared" ca="1" si="53"/>
        <v>#N/A</v>
      </c>
      <c r="X226" t="e">
        <f t="shared" ca="1" si="49"/>
        <v>#N/A</v>
      </c>
      <c r="Y226" t="e">
        <f t="shared" ca="1" si="54"/>
        <v>#N/A</v>
      </c>
      <c r="Z226" t="e">
        <f t="shared" ca="1" si="50"/>
        <v>#N/A</v>
      </c>
      <c r="AA226" t="e">
        <f t="shared" ca="1" si="51"/>
        <v>#N/A</v>
      </c>
      <c r="AB226" s="85" t="e">
        <f ca="1"/>
        <v>#N/A</v>
      </c>
      <c r="AC226" s="57" t="e">
        <f t="shared" ca="1" si="55"/>
        <v>#N/A</v>
      </c>
      <c r="AD226" s="57" t="e">
        <f t="shared" ca="1" si="56"/>
        <v>#N/A</v>
      </c>
      <c r="AE226" s="57" t="e">
        <f t="shared" ca="1" si="57"/>
        <v>#N/A</v>
      </c>
      <c r="AF226" s="57" t="e">
        <f t="shared" ca="1" si="58"/>
        <v>#N/A</v>
      </c>
    </row>
    <row r="227" spans="18:32" x14ac:dyDescent="0.25">
      <c r="R227" s="85" t="e">
        <f ca="1"/>
        <v>#N/A</v>
      </c>
      <c r="S227" s="57" t="e">
        <f t="shared" ca="1" si="52"/>
        <v>#N/A</v>
      </c>
      <c r="T227" s="57" t="e">
        <f t="shared" ca="1" si="46"/>
        <v>#N/A</v>
      </c>
      <c r="U227" s="57" t="e">
        <f t="shared" ca="1" si="47"/>
        <v>#N/A</v>
      </c>
      <c r="V227" s="57" t="e">
        <f t="shared" ca="1" si="48"/>
        <v>#N/A</v>
      </c>
      <c r="W227" s="57" t="e">
        <f t="shared" ca="1" si="53"/>
        <v>#N/A</v>
      </c>
      <c r="X227" t="e">
        <f t="shared" ca="1" si="49"/>
        <v>#N/A</v>
      </c>
      <c r="Y227" t="e">
        <f t="shared" ca="1" si="54"/>
        <v>#N/A</v>
      </c>
      <c r="Z227" t="e">
        <f t="shared" ca="1" si="50"/>
        <v>#N/A</v>
      </c>
      <c r="AA227" t="e">
        <f t="shared" ca="1" si="51"/>
        <v>#N/A</v>
      </c>
      <c r="AB227" s="85" t="e">
        <f ca="1"/>
        <v>#N/A</v>
      </c>
      <c r="AC227" s="57" t="e">
        <f t="shared" ca="1" si="55"/>
        <v>#N/A</v>
      </c>
      <c r="AD227" s="57" t="e">
        <f t="shared" ca="1" si="56"/>
        <v>#N/A</v>
      </c>
      <c r="AE227" s="57" t="e">
        <f t="shared" ca="1" si="57"/>
        <v>#N/A</v>
      </c>
      <c r="AF227" s="57" t="e">
        <f t="shared" ca="1" si="58"/>
        <v>#N/A</v>
      </c>
    </row>
    <row r="228" spans="18:32" x14ac:dyDescent="0.25">
      <c r="R228" s="85" t="e">
        <f ca="1"/>
        <v>#N/A</v>
      </c>
      <c r="S228" s="57" t="e">
        <f t="shared" ca="1" si="52"/>
        <v>#N/A</v>
      </c>
      <c r="T228" s="57" t="e">
        <f t="shared" ca="1" si="46"/>
        <v>#N/A</v>
      </c>
      <c r="U228" s="57" t="e">
        <f t="shared" ca="1" si="47"/>
        <v>#N/A</v>
      </c>
      <c r="V228" s="57" t="e">
        <f t="shared" ca="1" si="48"/>
        <v>#N/A</v>
      </c>
      <c r="W228" s="57" t="e">
        <f t="shared" ca="1" si="53"/>
        <v>#N/A</v>
      </c>
      <c r="X228" t="e">
        <f t="shared" ca="1" si="49"/>
        <v>#N/A</v>
      </c>
      <c r="Y228" t="e">
        <f t="shared" ca="1" si="54"/>
        <v>#N/A</v>
      </c>
      <c r="Z228" t="e">
        <f t="shared" ca="1" si="50"/>
        <v>#N/A</v>
      </c>
      <c r="AA228" t="e">
        <f t="shared" ca="1" si="51"/>
        <v>#N/A</v>
      </c>
      <c r="AB228" s="85" t="e">
        <f ca="1"/>
        <v>#N/A</v>
      </c>
      <c r="AC228" s="57" t="e">
        <f t="shared" ca="1" si="55"/>
        <v>#N/A</v>
      </c>
      <c r="AD228" s="57" t="e">
        <f t="shared" ca="1" si="56"/>
        <v>#N/A</v>
      </c>
      <c r="AE228" s="57" t="e">
        <f t="shared" ca="1" si="57"/>
        <v>#N/A</v>
      </c>
      <c r="AF228" s="57" t="e">
        <f t="shared" ca="1" si="58"/>
        <v>#N/A</v>
      </c>
    </row>
    <row r="229" spans="18:32" x14ac:dyDescent="0.25">
      <c r="R229" s="85" t="e">
        <f ca="1"/>
        <v>#N/A</v>
      </c>
      <c r="S229" s="57" t="e">
        <f t="shared" ca="1" si="52"/>
        <v>#N/A</v>
      </c>
      <c r="T229" s="57" t="e">
        <f t="shared" ca="1" si="46"/>
        <v>#N/A</v>
      </c>
      <c r="U229" s="57" t="e">
        <f t="shared" ca="1" si="47"/>
        <v>#N/A</v>
      </c>
      <c r="V229" s="57" t="e">
        <f t="shared" ca="1" si="48"/>
        <v>#N/A</v>
      </c>
      <c r="W229" s="57" t="e">
        <f t="shared" ca="1" si="53"/>
        <v>#N/A</v>
      </c>
      <c r="X229" t="e">
        <f t="shared" ca="1" si="49"/>
        <v>#N/A</v>
      </c>
      <c r="Y229" t="e">
        <f t="shared" ca="1" si="54"/>
        <v>#N/A</v>
      </c>
      <c r="Z229" t="e">
        <f t="shared" ca="1" si="50"/>
        <v>#N/A</v>
      </c>
      <c r="AA229" t="e">
        <f t="shared" ca="1" si="51"/>
        <v>#N/A</v>
      </c>
      <c r="AB229" s="85" t="e">
        <f ca="1"/>
        <v>#N/A</v>
      </c>
      <c r="AC229" s="57" t="e">
        <f t="shared" ca="1" si="55"/>
        <v>#N/A</v>
      </c>
      <c r="AD229" s="57" t="e">
        <f t="shared" ca="1" si="56"/>
        <v>#N/A</v>
      </c>
      <c r="AE229" s="57" t="e">
        <f t="shared" ca="1" si="57"/>
        <v>#N/A</v>
      </c>
      <c r="AF229" s="57" t="e">
        <f t="shared" ca="1" si="58"/>
        <v>#N/A</v>
      </c>
    </row>
    <row r="230" spans="18:32" x14ac:dyDescent="0.25">
      <c r="R230" s="85" t="e">
        <f ca="1"/>
        <v>#N/A</v>
      </c>
      <c r="S230" s="57" t="e">
        <f t="shared" ca="1" si="52"/>
        <v>#N/A</v>
      </c>
      <c r="T230" s="57" t="e">
        <f t="shared" ca="1" si="46"/>
        <v>#N/A</v>
      </c>
      <c r="U230" s="57" t="e">
        <f t="shared" ca="1" si="47"/>
        <v>#N/A</v>
      </c>
      <c r="V230" s="57" t="e">
        <f t="shared" ca="1" si="48"/>
        <v>#N/A</v>
      </c>
      <c r="W230" s="57" t="e">
        <f t="shared" ca="1" si="53"/>
        <v>#N/A</v>
      </c>
      <c r="X230" t="e">
        <f t="shared" ca="1" si="49"/>
        <v>#N/A</v>
      </c>
      <c r="Y230" t="e">
        <f t="shared" ca="1" si="54"/>
        <v>#N/A</v>
      </c>
      <c r="Z230" t="e">
        <f t="shared" ca="1" si="50"/>
        <v>#N/A</v>
      </c>
      <c r="AA230" t="e">
        <f t="shared" ca="1" si="51"/>
        <v>#N/A</v>
      </c>
      <c r="AB230" s="85" t="e">
        <f ca="1"/>
        <v>#N/A</v>
      </c>
      <c r="AC230" s="57" t="e">
        <f t="shared" ca="1" si="55"/>
        <v>#N/A</v>
      </c>
      <c r="AD230" s="57" t="e">
        <f t="shared" ca="1" si="56"/>
        <v>#N/A</v>
      </c>
      <c r="AE230" s="57" t="e">
        <f t="shared" ca="1" si="57"/>
        <v>#N/A</v>
      </c>
      <c r="AF230" s="57" t="e">
        <f t="shared" ca="1" si="58"/>
        <v>#N/A</v>
      </c>
    </row>
    <row r="231" spans="18:32" x14ac:dyDescent="0.25">
      <c r="R231" s="85" t="e">
        <f ca="1"/>
        <v>#N/A</v>
      </c>
      <c r="S231" s="57" t="e">
        <f t="shared" ca="1" si="52"/>
        <v>#N/A</v>
      </c>
      <c r="T231" s="57" t="e">
        <f t="shared" ca="1" si="46"/>
        <v>#N/A</v>
      </c>
      <c r="U231" s="57" t="e">
        <f t="shared" ca="1" si="47"/>
        <v>#N/A</v>
      </c>
      <c r="V231" s="57" t="e">
        <f t="shared" ca="1" si="48"/>
        <v>#N/A</v>
      </c>
      <c r="W231" s="57" t="e">
        <f t="shared" ca="1" si="53"/>
        <v>#N/A</v>
      </c>
      <c r="X231" t="e">
        <f t="shared" ca="1" si="49"/>
        <v>#N/A</v>
      </c>
      <c r="Y231" t="e">
        <f t="shared" ca="1" si="54"/>
        <v>#N/A</v>
      </c>
      <c r="Z231" t="e">
        <f t="shared" ca="1" si="50"/>
        <v>#N/A</v>
      </c>
      <c r="AA231" t="e">
        <f t="shared" ca="1" si="51"/>
        <v>#N/A</v>
      </c>
      <c r="AB231" s="85" t="e">
        <f ca="1"/>
        <v>#N/A</v>
      </c>
      <c r="AC231" s="57" t="e">
        <f t="shared" ca="1" si="55"/>
        <v>#N/A</v>
      </c>
      <c r="AD231" s="57" t="e">
        <f t="shared" ca="1" si="56"/>
        <v>#N/A</v>
      </c>
      <c r="AE231" s="57" t="e">
        <f t="shared" ca="1" si="57"/>
        <v>#N/A</v>
      </c>
      <c r="AF231" s="57" t="e">
        <f t="shared" ca="1" si="58"/>
        <v>#N/A</v>
      </c>
    </row>
    <row r="232" spans="18:32" x14ac:dyDescent="0.25">
      <c r="R232" s="85" t="e">
        <f ca="1"/>
        <v>#N/A</v>
      </c>
      <c r="S232" s="57" t="e">
        <f t="shared" ca="1" si="52"/>
        <v>#N/A</v>
      </c>
      <c r="T232" s="57" t="e">
        <f t="shared" ca="1" si="46"/>
        <v>#N/A</v>
      </c>
      <c r="U232" s="57" t="e">
        <f t="shared" ca="1" si="47"/>
        <v>#N/A</v>
      </c>
      <c r="V232" s="57" t="e">
        <f t="shared" ca="1" si="48"/>
        <v>#N/A</v>
      </c>
      <c r="W232" s="57" t="e">
        <f t="shared" ca="1" si="53"/>
        <v>#N/A</v>
      </c>
      <c r="X232" t="e">
        <f t="shared" ca="1" si="49"/>
        <v>#N/A</v>
      </c>
      <c r="Y232" t="e">
        <f t="shared" ca="1" si="54"/>
        <v>#N/A</v>
      </c>
      <c r="Z232" t="e">
        <f t="shared" ca="1" si="50"/>
        <v>#N/A</v>
      </c>
      <c r="AA232" t="e">
        <f t="shared" ca="1" si="51"/>
        <v>#N/A</v>
      </c>
      <c r="AB232" s="85" t="e">
        <f ca="1"/>
        <v>#N/A</v>
      </c>
      <c r="AC232" s="57" t="e">
        <f t="shared" ca="1" si="55"/>
        <v>#N/A</v>
      </c>
      <c r="AD232" s="57" t="e">
        <f t="shared" ca="1" si="56"/>
        <v>#N/A</v>
      </c>
      <c r="AE232" s="57" t="e">
        <f t="shared" ca="1" si="57"/>
        <v>#N/A</v>
      </c>
      <c r="AF232" s="57" t="e">
        <f t="shared" ca="1" si="58"/>
        <v>#N/A</v>
      </c>
    </row>
    <row r="233" spans="18:32" x14ac:dyDescent="0.25">
      <c r="R233" s="85" t="e">
        <f ca="1"/>
        <v>#N/A</v>
      </c>
      <c r="S233" s="57" t="e">
        <f t="shared" ca="1" si="52"/>
        <v>#N/A</v>
      </c>
      <c r="T233" s="57" t="e">
        <f t="shared" ca="1" si="46"/>
        <v>#N/A</v>
      </c>
      <c r="U233" s="57" t="e">
        <f t="shared" ca="1" si="47"/>
        <v>#N/A</v>
      </c>
      <c r="V233" s="57" t="e">
        <f t="shared" ca="1" si="48"/>
        <v>#N/A</v>
      </c>
      <c r="W233" s="57" t="e">
        <f t="shared" ca="1" si="53"/>
        <v>#N/A</v>
      </c>
      <c r="X233" t="e">
        <f t="shared" ca="1" si="49"/>
        <v>#N/A</v>
      </c>
      <c r="Y233" t="e">
        <f t="shared" ca="1" si="54"/>
        <v>#N/A</v>
      </c>
      <c r="Z233" t="e">
        <f t="shared" ca="1" si="50"/>
        <v>#N/A</v>
      </c>
      <c r="AA233" t="e">
        <f t="shared" ca="1" si="51"/>
        <v>#N/A</v>
      </c>
      <c r="AB233" s="85" t="e">
        <f ca="1"/>
        <v>#N/A</v>
      </c>
      <c r="AC233" s="57" t="e">
        <f t="shared" ca="1" si="55"/>
        <v>#N/A</v>
      </c>
      <c r="AD233" s="57" t="e">
        <f t="shared" ca="1" si="56"/>
        <v>#N/A</v>
      </c>
      <c r="AE233" s="57" t="e">
        <f t="shared" ca="1" si="57"/>
        <v>#N/A</v>
      </c>
      <c r="AF233" s="57" t="e">
        <f t="shared" ca="1" si="58"/>
        <v>#N/A</v>
      </c>
    </row>
    <row r="234" spans="18:32" x14ac:dyDescent="0.25">
      <c r="R234" s="85" t="e">
        <f ca="1"/>
        <v>#N/A</v>
      </c>
      <c r="S234" s="57" t="e">
        <f t="shared" ca="1" si="52"/>
        <v>#N/A</v>
      </c>
      <c r="T234" s="57" t="e">
        <f t="shared" ca="1" si="46"/>
        <v>#N/A</v>
      </c>
      <c r="U234" s="57" t="e">
        <f t="shared" ca="1" si="47"/>
        <v>#N/A</v>
      </c>
      <c r="V234" s="57" t="e">
        <f t="shared" ca="1" si="48"/>
        <v>#N/A</v>
      </c>
      <c r="W234" s="57" t="e">
        <f t="shared" ca="1" si="53"/>
        <v>#N/A</v>
      </c>
      <c r="X234" t="e">
        <f t="shared" ca="1" si="49"/>
        <v>#N/A</v>
      </c>
      <c r="Y234" t="e">
        <f t="shared" ca="1" si="54"/>
        <v>#N/A</v>
      </c>
      <c r="Z234" t="e">
        <f t="shared" ca="1" si="50"/>
        <v>#N/A</v>
      </c>
      <c r="AA234" t="e">
        <f t="shared" ca="1" si="51"/>
        <v>#N/A</v>
      </c>
      <c r="AB234" s="85" t="e">
        <f ca="1"/>
        <v>#N/A</v>
      </c>
      <c r="AC234" s="57" t="e">
        <f t="shared" ca="1" si="55"/>
        <v>#N/A</v>
      </c>
      <c r="AD234" s="57" t="e">
        <f t="shared" ca="1" si="56"/>
        <v>#N/A</v>
      </c>
      <c r="AE234" s="57" t="e">
        <f t="shared" ca="1" si="57"/>
        <v>#N/A</v>
      </c>
      <c r="AF234" s="57" t="e">
        <f t="shared" ca="1" si="58"/>
        <v>#N/A</v>
      </c>
    </row>
    <row r="235" spans="18:32" x14ac:dyDescent="0.25">
      <c r="R235" s="85" t="e">
        <f ca="1"/>
        <v>#N/A</v>
      </c>
      <c r="S235" s="57" t="e">
        <f t="shared" ca="1" si="52"/>
        <v>#N/A</v>
      </c>
      <c r="T235" s="57" t="e">
        <f t="shared" ca="1" si="46"/>
        <v>#N/A</v>
      </c>
      <c r="U235" s="57" t="e">
        <f t="shared" ca="1" si="47"/>
        <v>#N/A</v>
      </c>
      <c r="V235" s="57" t="e">
        <f t="shared" ca="1" si="48"/>
        <v>#N/A</v>
      </c>
      <c r="W235" s="57" t="e">
        <f t="shared" ca="1" si="53"/>
        <v>#N/A</v>
      </c>
      <c r="X235" t="e">
        <f t="shared" ca="1" si="49"/>
        <v>#N/A</v>
      </c>
      <c r="Y235" t="e">
        <f t="shared" ca="1" si="54"/>
        <v>#N/A</v>
      </c>
      <c r="Z235" t="e">
        <f t="shared" ca="1" si="50"/>
        <v>#N/A</v>
      </c>
      <c r="AA235" t="e">
        <f t="shared" ca="1" si="51"/>
        <v>#N/A</v>
      </c>
      <c r="AB235" s="85" t="e">
        <f ca="1"/>
        <v>#N/A</v>
      </c>
      <c r="AC235" s="57" t="e">
        <f t="shared" ca="1" si="55"/>
        <v>#N/A</v>
      </c>
      <c r="AD235" s="57" t="e">
        <f t="shared" ca="1" si="56"/>
        <v>#N/A</v>
      </c>
      <c r="AE235" s="57" t="e">
        <f t="shared" ca="1" si="57"/>
        <v>#N/A</v>
      </c>
      <c r="AF235" s="57" t="e">
        <f t="shared" ca="1" si="58"/>
        <v>#N/A</v>
      </c>
    </row>
    <row r="236" spans="18:32" x14ac:dyDescent="0.25">
      <c r="R236" s="85" t="e">
        <f ca="1"/>
        <v>#N/A</v>
      </c>
      <c r="S236" s="57" t="e">
        <f t="shared" ca="1" si="52"/>
        <v>#N/A</v>
      </c>
      <c r="T236" s="57" t="e">
        <f t="shared" ca="1" si="46"/>
        <v>#N/A</v>
      </c>
      <c r="U236" s="57" t="e">
        <f t="shared" ca="1" si="47"/>
        <v>#N/A</v>
      </c>
      <c r="V236" s="57" t="e">
        <f t="shared" ca="1" si="48"/>
        <v>#N/A</v>
      </c>
      <c r="W236" s="57" t="e">
        <f t="shared" ca="1" si="53"/>
        <v>#N/A</v>
      </c>
      <c r="X236" t="e">
        <f t="shared" ca="1" si="49"/>
        <v>#N/A</v>
      </c>
      <c r="Y236" t="e">
        <f t="shared" ca="1" si="54"/>
        <v>#N/A</v>
      </c>
      <c r="Z236" t="e">
        <f t="shared" ca="1" si="50"/>
        <v>#N/A</v>
      </c>
      <c r="AA236" t="e">
        <f t="shared" ca="1" si="51"/>
        <v>#N/A</v>
      </c>
      <c r="AB236" s="85" t="e">
        <f ca="1"/>
        <v>#N/A</v>
      </c>
      <c r="AC236" s="57" t="e">
        <f t="shared" ca="1" si="55"/>
        <v>#N/A</v>
      </c>
      <c r="AD236" s="57" t="e">
        <f t="shared" ca="1" si="56"/>
        <v>#N/A</v>
      </c>
      <c r="AE236" s="57" t="e">
        <f t="shared" ca="1" si="57"/>
        <v>#N/A</v>
      </c>
      <c r="AF236" s="57" t="e">
        <f t="shared" ca="1" si="58"/>
        <v>#N/A</v>
      </c>
    </row>
    <row r="237" spans="18:32" x14ac:dyDescent="0.25">
      <c r="R237" s="85" t="e">
        <f ca="1"/>
        <v>#N/A</v>
      </c>
      <c r="S237" s="57" t="e">
        <f t="shared" ca="1" si="52"/>
        <v>#N/A</v>
      </c>
      <c r="T237" s="57" t="e">
        <f t="shared" ca="1" si="46"/>
        <v>#N/A</v>
      </c>
      <c r="U237" s="57" t="e">
        <f t="shared" ca="1" si="47"/>
        <v>#N/A</v>
      </c>
      <c r="V237" s="57" t="e">
        <f t="shared" ca="1" si="48"/>
        <v>#N/A</v>
      </c>
      <c r="W237" s="57" t="e">
        <f t="shared" ca="1" si="53"/>
        <v>#N/A</v>
      </c>
      <c r="X237" t="e">
        <f t="shared" ca="1" si="49"/>
        <v>#N/A</v>
      </c>
      <c r="Y237" t="e">
        <f t="shared" ca="1" si="54"/>
        <v>#N/A</v>
      </c>
      <c r="Z237" t="e">
        <f t="shared" ca="1" si="50"/>
        <v>#N/A</v>
      </c>
      <c r="AA237" t="e">
        <f t="shared" ca="1" si="51"/>
        <v>#N/A</v>
      </c>
      <c r="AB237" s="85" t="e">
        <f ca="1"/>
        <v>#N/A</v>
      </c>
      <c r="AC237" s="57" t="e">
        <f t="shared" ca="1" si="55"/>
        <v>#N/A</v>
      </c>
      <c r="AD237" s="57" t="e">
        <f t="shared" ca="1" si="56"/>
        <v>#N/A</v>
      </c>
      <c r="AE237" s="57" t="e">
        <f t="shared" ca="1" si="57"/>
        <v>#N/A</v>
      </c>
      <c r="AF237" s="57" t="e">
        <f t="shared" ca="1" si="58"/>
        <v>#N/A</v>
      </c>
    </row>
    <row r="238" spans="18:32" x14ac:dyDescent="0.25">
      <c r="R238" s="85" t="e">
        <f ca="1"/>
        <v>#N/A</v>
      </c>
      <c r="S238" s="57" t="e">
        <f t="shared" ca="1" si="52"/>
        <v>#N/A</v>
      </c>
      <c r="T238" s="57" t="e">
        <f t="shared" ca="1" si="46"/>
        <v>#N/A</v>
      </c>
      <c r="U238" s="57" t="e">
        <f t="shared" ca="1" si="47"/>
        <v>#N/A</v>
      </c>
      <c r="V238" s="57" t="e">
        <f t="shared" ca="1" si="48"/>
        <v>#N/A</v>
      </c>
      <c r="W238" s="57" t="e">
        <f t="shared" ca="1" si="53"/>
        <v>#N/A</v>
      </c>
      <c r="X238" t="e">
        <f t="shared" ca="1" si="49"/>
        <v>#N/A</v>
      </c>
      <c r="Y238" t="e">
        <f t="shared" ca="1" si="54"/>
        <v>#N/A</v>
      </c>
      <c r="Z238" t="e">
        <f t="shared" ca="1" si="50"/>
        <v>#N/A</v>
      </c>
      <c r="AA238" t="e">
        <f t="shared" ca="1" si="51"/>
        <v>#N/A</v>
      </c>
      <c r="AB238" s="85" t="e">
        <f ca="1"/>
        <v>#N/A</v>
      </c>
      <c r="AC238" s="57" t="e">
        <f t="shared" ca="1" si="55"/>
        <v>#N/A</v>
      </c>
      <c r="AD238" s="57" t="e">
        <f t="shared" ca="1" si="56"/>
        <v>#N/A</v>
      </c>
      <c r="AE238" s="57" t="e">
        <f t="shared" ca="1" si="57"/>
        <v>#N/A</v>
      </c>
      <c r="AF238" s="57" t="e">
        <f t="shared" ca="1" si="58"/>
        <v>#N/A</v>
      </c>
    </row>
    <row r="239" spans="18:32" x14ac:dyDescent="0.25">
      <c r="R239" s="85" t="e">
        <f ca="1"/>
        <v>#N/A</v>
      </c>
      <c r="S239" s="57" t="e">
        <f t="shared" ca="1" si="52"/>
        <v>#N/A</v>
      </c>
      <c r="T239" s="57" t="e">
        <f t="shared" ca="1" si="46"/>
        <v>#N/A</v>
      </c>
      <c r="U239" s="57" t="e">
        <f t="shared" ca="1" si="47"/>
        <v>#N/A</v>
      </c>
      <c r="V239" s="57" t="e">
        <f t="shared" ca="1" si="48"/>
        <v>#N/A</v>
      </c>
      <c r="W239" s="57" t="e">
        <f t="shared" ca="1" si="53"/>
        <v>#N/A</v>
      </c>
      <c r="X239" t="e">
        <f t="shared" ca="1" si="49"/>
        <v>#N/A</v>
      </c>
      <c r="Y239" t="e">
        <f t="shared" ca="1" si="54"/>
        <v>#N/A</v>
      </c>
      <c r="Z239" t="e">
        <f t="shared" ca="1" si="50"/>
        <v>#N/A</v>
      </c>
      <c r="AA239" t="e">
        <f t="shared" ca="1" si="51"/>
        <v>#N/A</v>
      </c>
      <c r="AB239" s="85" t="e">
        <f ca="1"/>
        <v>#N/A</v>
      </c>
      <c r="AC239" s="57" t="e">
        <f t="shared" ca="1" si="55"/>
        <v>#N/A</v>
      </c>
      <c r="AD239" s="57" t="e">
        <f t="shared" ca="1" si="56"/>
        <v>#N/A</v>
      </c>
      <c r="AE239" s="57" t="e">
        <f t="shared" ca="1" si="57"/>
        <v>#N/A</v>
      </c>
      <c r="AF239" s="57" t="e">
        <f t="shared" ca="1" si="58"/>
        <v>#N/A</v>
      </c>
    </row>
    <row r="240" spans="18:32" x14ac:dyDescent="0.25">
      <c r="R240" s="85" t="e">
        <f ca="1"/>
        <v>#N/A</v>
      </c>
      <c r="S240" s="57" t="e">
        <f t="shared" ca="1" si="52"/>
        <v>#N/A</v>
      </c>
      <c r="T240" s="57" t="e">
        <f t="shared" ca="1" si="46"/>
        <v>#N/A</v>
      </c>
      <c r="U240" s="57" t="e">
        <f t="shared" ca="1" si="47"/>
        <v>#N/A</v>
      </c>
      <c r="V240" s="57" t="e">
        <f t="shared" ca="1" si="48"/>
        <v>#N/A</v>
      </c>
      <c r="W240" s="57" t="e">
        <f t="shared" ca="1" si="53"/>
        <v>#N/A</v>
      </c>
      <c r="X240" t="e">
        <f t="shared" ca="1" si="49"/>
        <v>#N/A</v>
      </c>
      <c r="Y240" t="e">
        <f t="shared" ca="1" si="54"/>
        <v>#N/A</v>
      </c>
      <c r="Z240" t="e">
        <f t="shared" ca="1" si="50"/>
        <v>#N/A</v>
      </c>
      <c r="AA240" t="e">
        <f t="shared" ca="1" si="51"/>
        <v>#N/A</v>
      </c>
      <c r="AB240" s="85" t="e">
        <f ca="1"/>
        <v>#N/A</v>
      </c>
      <c r="AC240" s="57" t="e">
        <f t="shared" ca="1" si="55"/>
        <v>#N/A</v>
      </c>
      <c r="AD240" s="57" t="e">
        <f t="shared" ca="1" si="56"/>
        <v>#N/A</v>
      </c>
      <c r="AE240" s="57" t="e">
        <f t="shared" ca="1" si="57"/>
        <v>#N/A</v>
      </c>
      <c r="AF240" s="57" t="e">
        <f t="shared" ca="1" si="58"/>
        <v>#N/A</v>
      </c>
    </row>
    <row r="241" spans="18:32" x14ac:dyDescent="0.25">
      <c r="R241" s="85" t="e">
        <f ca="1"/>
        <v>#N/A</v>
      </c>
      <c r="S241" s="57" t="e">
        <f t="shared" ca="1" si="52"/>
        <v>#N/A</v>
      </c>
      <c r="T241" s="57" t="e">
        <f t="shared" ca="1" si="46"/>
        <v>#N/A</v>
      </c>
      <c r="U241" s="57" t="e">
        <f t="shared" ca="1" si="47"/>
        <v>#N/A</v>
      </c>
      <c r="V241" s="57" t="e">
        <f t="shared" ca="1" si="48"/>
        <v>#N/A</v>
      </c>
      <c r="W241" s="57" t="e">
        <f t="shared" ca="1" si="53"/>
        <v>#N/A</v>
      </c>
      <c r="X241" t="e">
        <f t="shared" ca="1" si="49"/>
        <v>#N/A</v>
      </c>
      <c r="Y241" t="e">
        <f t="shared" ca="1" si="54"/>
        <v>#N/A</v>
      </c>
      <c r="Z241" t="e">
        <f t="shared" ca="1" si="50"/>
        <v>#N/A</v>
      </c>
      <c r="AA241" t="e">
        <f t="shared" ca="1" si="51"/>
        <v>#N/A</v>
      </c>
      <c r="AB241" s="85" t="e">
        <f ca="1"/>
        <v>#N/A</v>
      </c>
      <c r="AC241" s="57" t="e">
        <f t="shared" ca="1" si="55"/>
        <v>#N/A</v>
      </c>
      <c r="AD241" s="57" t="e">
        <f t="shared" ca="1" si="56"/>
        <v>#N/A</v>
      </c>
      <c r="AE241" s="57" t="e">
        <f t="shared" ca="1" si="57"/>
        <v>#N/A</v>
      </c>
      <c r="AF241" s="57" t="e">
        <f t="shared" ca="1" si="58"/>
        <v>#N/A</v>
      </c>
    </row>
    <row r="242" spans="18:32" x14ac:dyDescent="0.25">
      <c r="R242" s="85" t="e">
        <f ca="1"/>
        <v>#N/A</v>
      </c>
      <c r="S242" s="57" t="e">
        <f t="shared" ca="1" si="52"/>
        <v>#N/A</v>
      </c>
      <c r="T242" s="57" t="e">
        <f t="shared" ca="1" si="46"/>
        <v>#N/A</v>
      </c>
      <c r="U242" s="57" t="e">
        <f t="shared" ca="1" si="47"/>
        <v>#N/A</v>
      </c>
      <c r="V242" s="57" t="e">
        <f t="shared" ca="1" si="48"/>
        <v>#N/A</v>
      </c>
      <c r="W242" s="57" t="e">
        <f t="shared" ca="1" si="53"/>
        <v>#N/A</v>
      </c>
      <c r="X242" t="e">
        <f t="shared" ca="1" si="49"/>
        <v>#N/A</v>
      </c>
      <c r="Y242" t="e">
        <f t="shared" ca="1" si="54"/>
        <v>#N/A</v>
      </c>
      <c r="Z242" t="e">
        <f t="shared" ca="1" si="50"/>
        <v>#N/A</v>
      </c>
      <c r="AA242" t="e">
        <f t="shared" ca="1" si="51"/>
        <v>#N/A</v>
      </c>
      <c r="AB242" s="85" t="e">
        <f ca="1"/>
        <v>#N/A</v>
      </c>
      <c r="AC242" s="57" t="e">
        <f t="shared" ca="1" si="55"/>
        <v>#N/A</v>
      </c>
      <c r="AD242" s="57" t="e">
        <f t="shared" ca="1" si="56"/>
        <v>#N/A</v>
      </c>
      <c r="AE242" s="57" t="e">
        <f t="shared" ca="1" si="57"/>
        <v>#N/A</v>
      </c>
      <c r="AF242" s="57" t="e">
        <f t="shared" ca="1" si="58"/>
        <v>#N/A</v>
      </c>
    </row>
    <row r="243" spans="18:32" x14ac:dyDescent="0.25">
      <c r="R243" s="85" t="e">
        <f ca="1"/>
        <v>#N/A</v>
      </c>
      <c r="S243" s="57" t="e">
        <f t="shared" ca="1" si="52"/>
        <v>#N/A</v>
      </c>
      <c r="T243" s="57" t="e">
        <f t="shared" ca="1" si="46"/>
        <v>#N/A</v>
      </c>
      <c r="U243" s="57" t="e">
        <f t="shared" ca="1" si="47"/>
        <v>#N/A</v>
      </c>
      <c r="V243" s="57" t="e">
        <f t="shared" ca="1" si="48"/>
        <v>#N/A</v>
      </c>
      <c r="W243" s="57" t="e">
        <f t="shared" ca="1" si="53"/>
        <v>#N/A</v>
      </c>
      <c r="X243" t="e">
        <f t="shared" ca="1" si="49"/>
        <v>#N/A</v>
      </c>
      <c r="Y243" t="e">
        <f t="shared" ca="1" si="54"/>
        <v>#N/A</v>
      </c>
      <c r="Z243" t="e">
        <f t="shared" ca="1" si="50"/>
        <v>#N/A</v>
      </c>
      <c r="AA243" t="e">
        <f t="shared" ca="1" si="51"/>
        <v>#N/A</v>
      </c>
      <c r="AB243" s="85" t="e">
        <f ca="1"/>
        <v>#N/A</v>
      </c>
      <c r="AC243" s="57" t="e">
        <f t="shared" ca="1" si="55"/>
        <v>#N/A</v>
      </c>
      <c r="AD243" s="57" t="e">
        <f t="shared" ca="1" si="56"/>
        <v>#N/A</v>
      </c>
      <c r="AE243" s="57" t="e">
        <f t="shared" ca="1" si="57"/>
        <v>#N/A</v>
      </c>
      <c r="AF243" s="57" t="e">
        <f t="shared" ca="1" si="58"/>
        <v>#N/A</v>
      </c>
    </row>
    <row r="244" spans="18:32" x14ac:dyDescent="0.25">
      <c r="R244" s="85" t="e">
        <f ca="1"/>
        <v>#N/A</v>
      </c>
      <c r="S244" s="57" t="e">
        <f t="shared" ca="1" si="52"/>
        <v>#N/A</v>
      </c>
      <c r="T244" s="57" t="e">
        <f t="shared" ca="1" si="46"/>
        <v>#N/A</v>
      </c>
      <c r="U244" s="57" t="e">
        <f t="shared" ca="1" si="47"/>
        <v>#N/A</v>
      </c>
      <c r="V244" s="57" t="e">
        <f t="shared" ca="1" si="48"/>
        <v>#N/A</v>
      </c>
      <c r="W244" s="57" t="e">
        <f t="shared" ca="1" si="53"/>
        <v>#N/A</v>
      </c>
      <c r="X244" t="e">
        <f t="shared" ca="1" si="49"/>
        <v>#N/A</v>
      </c>
      <c r="Y244" t="e">
        <f t="shared" ca="1" si="54"/>
        <v>#N/A</v>
      </c>
      <c r="Z244" t="e">
        <f t="shared" ca="1" si="50"/>
        <v>#N/A</v>
      </c>
      <c r="AA244" t="e">
        <f t="shared" ca="1" si="51"/>
        <v>#N/A</v>
      </c>
      <c r="AB244" s="85" t="e">
        <f ca="1"/>
        <v>#N/A</v>
      </c>
      <c r="AC244" s="57" t="e">
        <f t="shared" ca="1" si="55"/>
        <v>#N/A</v>
      </c>
      <c r="AD244" s="57" t="e">
        <f t="shared" ca="1" si="56"/>
        <v>#N/A</v>
      </c>
      <c r="AE244" s="57" t="e">
        <f t="shared" ca="1" si="57"/>
        <v>#N/A</v>
      </c>
      <c r="AF244" s="57" t="e">
        <f t="shared" ca="1" si="58"/>
        <v>#N/A</v>
      </c>
    </row>
    <row r="245" spans="18:32" x14ac:dyDescent="0.25">
      <c r="R245" s="85" t="e">
        <f ca="1"/>
        <v>#N/A</v>
      </c>
      <c r="S245" s="57" t="e">
        <f t="shared" ca="1" si="52"/>
        <v>#N/A</v>
      </c>
      <c r="T245" s="57" t="e">
        <f t="shared" ca="1" si="46"/>
        <v>#N/A</v>
      </c>
      <c r="U245" s="57" t="e">
        <f t="shared" ca="1" si="47"/>
        <v>#N/A</v>
      </c>
      <c r="V245" s="57" t="e">
        <f t="shared" ca="1" si="48"/>
        <v>#N/A</v>
      </c>
      <c r="W245" s="57" t="e">
        <f t="shared" ca="1" si="53"/>
        <v>#N/A</v>
      </c>
      <c r="X245" t="e">
        <f t="shared" ca="1" si="49"/>
        <v>#N/A</v>
      </c>
      <c r="Y245" t="e">
        <f t="shared" ca="1" si="54"/>
        <v>#N/A</v>
      </c>
      <c r="Z245" t="e">
        <f t="shared" ca="1" si="50"/>
        <v>#N/A</v>
      </c>
      <c r="AA245" t="e">
        <f t="shared" ca="1" si="51"/>
        <v>#N/A</v>
      </c>
      <c r="AB245" s="85" t="e">
        <f ca="1"/>
        <v>#N/A</v>
      </c>
      <c r="AC245" s="57" t="e">
        <f t="shared" ca="1" si="55"/>
        <v>#N/A</v>
      </c>
      <c r="AD245" s="57" t="e">
        <f t="shared" ca="1" si="56"/>
        <v>#N/A</v>
      </c>
      <c r="AE245" s="57" t="e">
        <f t="shared" ca="1" si="57"/>
        <v>#N/A</v>
      </c>
      <c r="AF245" s="57" t="e">
        <f t="shared" ca="1" si="58"/>
        <v>#N/A</v>
      </c>
    </row>
    <row r="246" spans="18:32" x14ac:dyDescent="0.25">
      <c r="R246" s="85" t="e">
        <f ca="1"/>
        <v>#N/A</v>
      </c>
      <c r="S246" s="57" t="e">
        <f t="shared" ca="1" si="52"/>
        <v>#N/A</v>
      </c>
      <c r="T246" s="57" t="e">
        <f t="shared" ca="1" si="46"/>
        <v>#N/A</v>
      </c>
      <c r="U246" s="57" t="e">
        <f t="shared" ca="1" si="47"/>
        <v>#N/A</v>
      </c>
      <c r="V246" s="57" t="e">
        <f t="shared" ca="1" si="48"/>
        <v>#N/A</v>
      </c>
      <c r="W246" s="57" t="e">
        <f t="shared" ca="1" si="53"/>
        <v>#N/A</v>
      </c>
      <c r="X246" t="e">
        <f t="shared" ca="1" si="49"/>
        <v>#N/A</v>
      </c>
      <c r="Y246" t="e">
        <f t="shared" ca="1" si="54"/>
        <v>#N/A</v>
      </c>
      <c r="Z246" t="e">
        <f t="shared" ca="1" si="50"/>
        <v>#N/A</v>
      </c>
      <c r="AA246" t="e">
        <f t="shared" ca="1" si="51"/>
        <v>#N/A</v>
      </c>
      <c r="AB246" s="85" t="e">
        <f ca="1"/>
        <v>#N/A</v>
      </c>
      <c r="AC246" s="57" t="e">
        <f t="shared" ca="1" si="55"/>
        <v>#N/A</v>
      </c>
      <c r="AD246" s="57" t="e">
        <f t="shared" ca="1" si="56"/>
        <v>#N/A</v>
      </c>
      <c r="AE246" s="57" t="e">
        <f t="shared" ca="1" si="57"/>
        <v>#N/A</v>
      </c>
      <c r="AF246" s="57" t="e">
        <f t="shared" ca="1" si="58"/>
        <v>#N/A</v>
      </c>
    </row>
    <row r="247" spans="18:32" x14ac:dyDescent="0.25">
      <c r="R247" s="85" t="e">
        <f ca="1"/>
        <v>#N/A</v>
      </c>
      <c r="S247" s="57" t="e">
        <f t="shared" ca="1" si="52"/>
        <v>#N/A</v>
      </c>
      <c r="T247" s="57" t="e">
        <f t="shared" ca="1" si="46"/>
        <v>#N/A</v>
      </c>
      <c r="U247" s="57" t="e">
        <f t="shared" ca="1" si="47"/>
        <v>#N/A</v>
      </c>
      <c r="V247" s="57" t="e">
        <f t="shared" ca="1" si="48"/>
        <v>#N/A</v>
      </c>
      <c r="W247" s="57" t="e">
        <f t="shared" ca="1" si="53"/>
        <v>#N/A</v>
      </c>
      <c r="X247" t="e">
        <f t="shared" ca="1" si="49"/>
        <v>#N/A</v>
      </c>
      <c r="Y247" t="e">
        <f t="shared" ca="1" si="54"/>
        <v>#N/A</v>
      </c>
      <c r="Z247" t="e">
        <f t="shared" ca="1" si="50"/>
        <v>#N/A</v>
      </c>
      <c r="AA247" t="e">
        <f t="shared" ca="1" si="51"/>
        <v>#N/A</v>
      </c>
      <c r="AB247" s="85" t="e">
        <f ca="1"/>
        <v>#N/A</v>
      </c>
      <c r="AC247" s="57" t="e">
        <f t="shared" ca="1" si="55"/>
        <v>#N/A</v>
      </c>
      <c r="AD247" s="57" t="e">
        <f t="shared" ca="1" si="56"/>
        <v>#N/A</v>
      </c>
      <c r="AE247" s="57" t="e">
        <f t="shared" ca="1" si="57"/>
        <v>#N/A</v>
      </c>
      <c r="AF247" s="57" t="e">
        <f t="shared" ca="1" si="58"/>
        <v>#N/A</v>
      </c>
    </row>
    <row r="248" spans="18:32" x14ac:dyDescent="0.25">
      <c r="R248" s="85" t="e">
        <f ca="1"/>
        <v>#N/A</v>
      </c>
      <c r="S248" s="57" t="e">
        <f t="shared" ca="1" si="52"/>
        <v>#N/A</v>
      </c>
      <c r="T248" s="57" t="e">
        <f t="shared" ca="1" si="46"/>
        <v>#N/A</v>
      </c>
      <c r="U248" s="57" t="e">
        <f t="shared" ca="1" si="47"/>
        <v>#N/A</v>
      </c>
      <c r="V248" s="57" t="e">
        <f t="shared" ca="1" si="48"/>
        <v>#N/A</v>
      </c>
      <c r="W248" s="57" t="e">
        <f t="shared" ca="1" si="53"/>
        <v>#N/A</v>
      </c>
      <c r="X248" t="e">
        <f t="shared" ca="1" si="49"/>
        <v>#N/A</v>
      </c>
      <c r="Y248" t="e">
        <f t="shared" ca="1" si="54"/>
        <v>#N/A</v>
      </c>
      <c r="Z248" t="e">
        <f t="shared" ca="1" si="50"/>
        <v>#N/A</v>
      </c>
      <c r="AA248" t="e">
        <f t="shared" ca="1" si="51"/>
        <v>#N/A</v>
      </c>
      <c r="AB248" s="85" t="e">
        <f ca="1"/>
        <v>#N/A</v>
      </c>
      <c r="AC248" s="57" t="e">
        <f t="shared" ca="1" si="55"/>
        <v>#N/A</v>
      </c>
      <c r="AD248" s="57" t="e">
        <f t="shared" ca="1" si="56"/>
        <v>#N/A</v>
      </c>
      <c r="AE248" s="57" t="e">
        <f t="shared" ca="1" si="57"/>
        <v>#N/A</v>
      </c>
      <c r="AF248" s="57" t="e">
        <f t="shared" ca="1" si="58"/>
        <v>#N/A</v>
      </c>
    </row>
    <row r="249" spans="18:32" x14ac:dyDescent="0.25">
      <c r="R249" s="85" t="e">
        <f ca="1"/>
        <v>#N/A</v>
      </c>
      <c r="S249" s="57" t="e">
        <f t="shared" ca="1" si="52"/>
        <v>#N/A</v>
      </c>
      <c r="T249" s="57" t="e">
        <f t="shared" ca="1" si="46"/>
        <v>#N/A</v>
      </c>
      <c r="U249" s="57" t="e">
        <f t="shared" ca="1" si="47"/>
        <v>#N/A</v>
      </c>
      <c r="V249" s="57" t="e">
        <f t="shared" ca="1" si="48"/>
        <v>#N/A</v>
      </c>
      <c r="W249" s="57" t="e">
        <f t="shared" ca="1" si="53"/>
        <v>#N/A</v>
      </c>
      <c r="X249" t="e">
        <f t="shared" ca="1" si="49"/>
        <v>#N/A</v>
      </c>
      <c r="Y249" t="e">
        <f t="shared" ca="1" si="54"/>
        <v>#N/A</v>
      </c>
      <c r="Z249" t="e">
        <f t="shared" ca="1" si="50"/>
        <v>#N/A</v>
      </c>
      <c r="AA249" t="e">
        <f t="shared" ca="1" si="51"/>
        <v>#N/A</v>
      </c>
      <c r="AB249" s="85" t="e">
        <f ca="1"/>
        <v>#N/A</v>
      </c>
      <c r="AC249" s="57" t="e">
        <f t="shared" ca="1" si="55"/>
        <v>#N/A</v>
      </c>
      <c r="AD249" s="57" t="e">
        <f t="shared" ca="1" si="56"/>
        <v>#N/A</v>
      </c>
      <c r="AE249" s="57" t="e">
        <f t="shared" ca="1" si="57"/>
        <v>#N/A</v>
      </c>
      <c r="AF249" s="57" t="e">
        <f t="shared" ca="1" si="58"/>
        <v>#N/A</v>
      </c>
    </row>
    <row r="250" spans="18:32" x14ac:dyDescent="0.25">
      <c r="R250" s="85" t="e">
        <f ca="1"/>
        <v>#N/A</v>
      </c>
      <c r="S250" s="57" t="e">
        <f t="shared" ca="1" si="52"/>
        <v>#N/A</v>
      </c>
      <c r="T250" s="57" t="e">
        <f t="shared" ca="1" si="46"/>
        <v>#N/A</v>
      </c>
      <c r="U250" s="57" t="e">
        <f t="shared" ca="1" si="47"/>
        <v>#N/A</v>
      </c>
      <c r="V250" s="57" t="e">
        <f t="shared" ca="1" si="48"/>
        <v>#N/A</v>
      </c>
      <c r="W250" s="57" t="e">
        <f t="shared" ca="1" si="53"/>
        <v>#N/A</v>
      </c>
      <c r="X250" t="e">
        <f t="shared" ca="1" si="49"/>
        <v>#N/A</v>
      </c>
      <c r="Y250" t="e">
        <f t="shared" ca="1" si="54"/>
        <v>#N/A</v>
      </c>
      <c r="Z250" t="e">
        <f t="shared" ca="1" si="50"/>
        <v>#N/A</v>
      </c>
      <c r="AA250" t="e">
        <f t="shared" ca="1" si="51"/>
        <v>#N/A</v>
      </c>
      <c r="AB250" s="85" t="e">
        <f ca="1"/>
        <v>#N/A</v>
      </c>
      <c r="AC250" s="57" t="e">
        <f t="shared" ca="1" si="55"/>
        <v>#N/A</v>
      </c>
      <c r="AD250" s="57" t="e">
        <f t="shared" ca="1" si="56"/>
        <v>#N/A</v>
      </c>
      <c r="AE250" s="57" t="e">
        <f t="shared" ca="1" si="57"/>
        <v>#N/A</v>
      </c>
      <c r="AF250" s="57" t="e">
        <f t="shared" ca="1" si="58"/>
        <v>#N/A</v>
      </c>
    </row>
    <row r="251" spans="18:32" x14ac:dyDescent="0.25">
      <c r="R251" s="85" t="e">
        <f ca="1"/>
        <v>#N/A</v>
      </c>
      <c r="S251" s="57" t="e">
        <f t="shared" ca="1" si="52"/>
        <v>#N/A</v>
      </c>
      <c r="T251" s="57" t="e">
        <f t="shared" ca="1" si="46"/>
        <v>#N/A</v>
      </c>
      <c r="U251" s="57" t="e">
        <f t="shared" ca="1" si="47"/>
        <v>#N/A</v>
      </c>
      <c r="V251" s="57" t="e">
        <f t="shared" ca="1" si="48"/>
        <v>#N/A</v>
      </c>
      <c r="W251" s="57" t="e">
        <f t="shared" ca="1" si="53"/>
        <v>#N/A</v>
      </c>
      <c r="X251" t="e">
        <f t="shared" ca="1" si="49"/>
        <v>#N/A</v>
      </c>
      <c r="Y251" t="e">
        <f t="shared" ca="1" si="54"/>
        <v>#N/A</v>
      </c>
      <c r="Z251" t="e">
        <f t="shared" ca="1" si="50"/>
        <v>#N/A</v>
      </c>
      <c r="AA251" t="e">
        <f t="shared" ca="1" si="51"/>
        <v>#N/A</v>
      </c>
      <c r="AB251" s="85" t="e">
        <f ca="1"/>
        <v>#N/A</v>
      </c>
      <c r="AC251" s="57" t="e">
        <f t="shared" ca="1" si="55"/>
        <v>#N/A</v>
      </c>
      <c r="AD251" s="57" t="e">
        <f t="shared" ca="1" si="56"/>
        <v>#N/A</v>
      </c>
      <c r="AE251" s="57" t="e">
        <f t="shared" ca="1" si="57"/>
        <v>#N/A</v>
      </c>
      <c r="AF251" s="57" t="e">
        <f t="shared" ca="1" si="58"/>
        <v>#N/A</v>
      </c>
    </row>
    <row r="252" spans="18:32" x14ac:dyDescent="0.25">
      <c r="R252" s="85" t="e">
        <f ca="1"/>
        <v>#N/A</v>
      </c>
      <c r="S252" s="57" t="e">
        <f t="shared" ca="1" si="52"/>
        <v>#N/A</v>
      </c>
      <c r="T252" s="57" t="e">
        <f t="shared" ca="1" si="46"/>
        <v>#N/A</v>
      </c>
      <c r="U252" s="57" t="e">
        <f t="shared" ca="1" si="47"/>
        <v>#N/A</v>
      </c>
      <c r="V252" s="57" t="e">
        <f t="shared" ca="1" si="48"/>
        <v>#N/A</v>
      </c>
      <c r="W252" s="57" t="e">
        <f t="shared" ca="1" si="53"/>
        <v>#N/A</v>
      </c>
      <c r="X252" t="e">
        <f t="shared" ca="1" si="49"/>
        <v>#N/A</v>
      </c>
      <c r="Y252" t="e">
        <f t="shared" ca="1" si="54"/>
        <v>#N/A</v>
      </c>
      <c r="Z252" t="e">
        <f t="shared" ca="1" si="50"/>
        <v>#N/A</v>
      </c>
      <c r="AA252" t="e">
        <f t="shared" ca="1" si="51"/>
        <v>#N/A</v>
      </c>
      <c r="AB252" s="85" t="e">
        <f ca="1"/>
        <v>#N/A</v>
      </c>
      <c r="AC252" s="57" t="e">
        <f t="shared" ca="1" si="55"/>
        <v>#N/A</v>
      </c>
      <c r="AD252" s="57" t="e">
        <f t="shared" ca="1" si="56"/>
        <v>#N/A</v>
      </c>
      <c r="AE252" s="57" t="e">
        <f t="shared" ca="1" si="57"/>
        <v>#N/A</v>
      </c>
      <c r="AF252" s="57" t="e">
        <f t="shared" ca="1" si="58"/>
        <v>#N/A</v>
      </c>
    </row>
    <row r="253" spans="18:32" x14ac:dyDescent="0.25">
      <c r="R253" s="85" t="e">
        <f ca="1"/>
        <v>#N/A</v>
      </c>
      <c r="S253" s="57" t="e">
        <f t="shared" ca="1" si="52"/>
        <v>#N/A</v>
      </c>
      <c r="T253" s="57" t="e">
        <f t="shared" ca="1" si="46"/>
        <v>#N/A</v>
      </c>
      <c r="U253" s="57" t="e">
        <f t="shared" ca="1" si="47"/>
        <v>#N/A</v>
      </c>
      <c r="V253" s="57" t="e">
        <f t="shared" ca="1" si="48"/>
        <v>#N/A</v>
      </c>
      <c r="W253" s="57" t="e">
        <f t="shared" ca="1" si="53"/>
        <v>#N/A</v>
      </c>
      <c r="X253" t="e">
        <f t="shared" ca="1" si="49"/>
        <v>#N/A</v>
      </c>
      <c r="Y253" t="e">
        <f t="shared" ca="1" si="54"/>
        <v>#N/A</v>
      </c>
      <c r="Z253" t="e">
        <f t="shared" ca="1" si="50"/>
        <v>#N/A</v>
      </c>
      <c r="AA253" t="e">
        <f t="shared" ca="1" si="51"/>
        <v>#N/A</v>
      </c>
      <c r="AB253" s="85" t="e">
        <f ca="1"/>
        <v>#N/A</v>
      </c>
      <c r="AC253" s="57" t="e">
        <f t="shared" ca="1" si="55"/>
        <v>#N/A</v>
      </c>
      <c r="AD253" s="57" t="e">
        <f t="shared" ca="1" si="56"/>
        <v>#N/A</v>
      </c>
      <c r="AE253" s="57" t="e">
        <f t="shared" ca="1" si="57"/>
        <v>#N/A</v>
      </c>
      <c r="AF253" s="57" t="e">
        <f t="shared" ca="1" si="58"/>
        <v>#N/A</v>
      </c>
    </row>
    <row r="254" spans="18:32" x14ac:dyDescent="0.25">
      <c r="R254" s="85" t="e">
        <f ca="1"/>
        <v>#N/A</v>
      </c>
      <c r="S254" s="57" t="e">
        <f t="shared" ca="1" si="52"/>
        <v>#N/A</v>
      </c>
      <c r="T254" s="57" t="e">
        <f t="shared" ca="1" si="46"/>
        <v>#N/A</v>
      </c>
      <c r="U254" s="57" t="e">
        <f t="shared" ca="1" si="47"/>
        <v>#N/A</v>
      </c>
      <c r="V254" s="57" t="e">
        <f t="shared" ca="1" si="48"/>
        <v>#N/A</v>
      </c>
      <c r="W254" s="57" t="e">
        <f t="shared" ca="1" si="53"/>
        <v>#N/A</v>
      </c>
      <c r="X254" t="e">
        <f t="shared" ca="1" si="49"/>
        <v>#N/A</v>
      </c>
      <c r="Y254" t="e">
        <f t="shared" ca="1" si="54"/>
        <v>#N/A</v>
      </c>
      <c r="Z254" t="e">
        <f t="shared" ca="1" si="50"/>
        <v>#N/A</v>
      </c>
      <c r="AA254" t="e">
        <f t="shared" ca="1" si="51"/>
        <v>#N/A</v>
      </c>
      <c r="AB254" s="85" t="e">
        <f ca="1"/>
        <v>#N/A</v>
      </c>
      <c r="AC254" s="57" t="e">
        <f t="shared" ca="1" si="55"/>
        <v>#N/A</v>
      </c>
      <c r="AD254" s="57" t="e">
        <f t="shared" ca="1" si="56"/>
        <v>#N/A</v>
      </c>
      <c r="AE254" s="57" t="e">
        <f t="shared" ca="1" si="57"/>
        <v>#N/A</v>
      </c>
      <c r="AF254" s="57" t="e">
        <f t="shared" ca="1" si="58"/>
        <v>#N/A</v>
      </c>
    </row>
    <row r="255" spans="18:32" x14ac:dyDescent="0.25">
      <c r="R255" s="85" t="e">
        <f ca="1"/>
        <v>#N/A</v>
      </c>
      <c r="S255" s="57" t="e">
        <f t="shared" ca="1" si="52"/>
        <v>#N/A</v>
      </c>
      <c r="T255" s="57" t="e">
        <f t="shared" ca="1" si="46"/>
        <v>#N/A</v>
      </c>
      <c r="U255" s="57" t="e">
        <f t="shared" ca="1" si="47"/>
        <v>#N/A</v>
      </c>
      <c r="V255" s="57" t="e">
        <f t="shared" ca="1" si="48"/>
        <v>#N/A</v>
      </c>
      <c r="W255" s="57" t="e">
        <f t="shared" ca="1" si="53"/>
        <v>#N/A</v>
      </c>
      <c r="X255" t="e">
        <f t="shared" ca="1" si="49"/>
        <v>#N/A</v>
      </c>
      <c r="Y255" t="e">
        <f t="shared" ca="1" si="54"/>
        <v>#N/A</v>
      </c>
      <c r="Z255" t="e">
        <f t="shared" ca="1" si="50"/>
        <v>#N/A</v>
      </c>
      <c r="AA255" t="e">
        <f t="shared" ca="1" si="51"/>
        <v>#N/A</v>
      </c>
      <c r="AB255" s="85" t="e">
        <f ca="1"/>
        <v>#N/A</v>
      </c>
      <c r="AC255" s="57" t="e">
        <f t="shared" ca="1" si="55"/>
        <v>#N/A</v>
      </c>
      <c r="AD255" s="57" t="e">
        <f t="shared" ca="1" si="56"/>
        <v>#N/A</v>
      </c>
      <c r="AE255" s="57" t="e">
        <f t="shared" ca="1" si="57"/>
        <v>#N/A</v>
      </c>
      <c r="AF255" s="57" t="e">
        <f t="shared" ca="1" si="58"/>
        <v>#N/A</v>
      </c>
    </row>
    <row r="256" spans="18:32" x14ac:dyDescent="0.25">
      <c r="R256" s="85" t="e">
        <f ca="1"/>
        <v>#N/A</v>
      </c>
      <c r="S256" s="57" t="e">
        <f t="shared" ca="1" si="52"/>
        <v>#N/A</v>
      </c>
      <c r="T256" s="57" t="e">
        <f t="shared" ca="1" si="46"/>
        <v>#N/A</v>
      </c>
      <c r="U256" s="57" t="e">
        <f t="shared" ca="1" si="47"/>
        <v>#N/A</v>
      </c>
      <c r="V256" s="57" t="e">
        <f t="shared" ca="1" si="48"/>
        <v>#N/A</v>
      </c>
      <c r="W256" s="57" t="e">
        <f t="shared" ca="1" si="53"/>
        <v>#N/A</v>
      </c>
      <c r="X256" t="e">
        <f t="shared" ca="1" si="49"/>
        <v>#N/A</v>
      </c>
      <c r="Y256" t="e">
        <f t="shared" ca="1" si="54"/>
        <v>#N/A</v>
      </c>
      <c r="Z256" t="e">
        <f t="shared" ca="1" si="50"/>
        <v>#N/A</v>
      </c>
      <c r="AA256" t="e">
        <f t="shared" ca="1" si="51"/>
        <v>#N/A</v>
      </c>
      <c r="AB256" s="85" t="e">
        <f ca="1"/>
        <v>#N/A</v>
      </c>
      <c r="AC256" s="57" t="e">
        <f t="shared" ca="1" si="55"/>
        <v>#N/A</v>
      </c>
      <c r="AD256" s="57" t="e">
        <f t="shared" ca="1" si="56"/>
        <v>#N/A</v>
      </c>
      <c r="AE256" s="57" t="e">
        <f t="shared" ca="1" si="57"/>
        <v>#N/A</v>
      </c>
      <c r="AF256" s="57" t="e">
        <f t="shared" ca="1" si="58"/>
        <v>#N/A</v>
      </c>
    </row>
    <row r="257" spans="18:32" x14ac:dyDescent="0.25">
      <c r="R257" s="85" t="e">
        <f ca="1"/>
        <v>#N/A</v>
      </c>
      <c r="S257" s="57" t="e">
        <f t="shared" ca="1" si="52"/>
        <v>#N/A</v>
      </c>
      <c r="T257" s="57" t="e">
        <f t="shared" ca="1" si="46"/>
        <v>#N/A</v>
      </c>
      <c r="U257" s="57" t="e">
        <f t="shared" ca="1" si="47"/>
        <v>#N/A</v>
      </c>
      <c r="V257" s="57" t="e">
        <f t="shared" ca="1" si="48"/>
        <v>#N/A</v>
      </c>
      <c r="W257" s="57" t="e">
        <f t="shared" ca="1" si="53"/>
        <v>#N/A</v>
      </c>
      <c r="X257" t="e">
        <f t="shared" ca="1" si="49"/>
        <v>#N/A</v>
      </c>
      <c r="Y257" t="e">
        <f t="shared" ca="1" si="54"/>
        <v>#N/A</v>
      </c>
      <c r="Z257" t="e">
        <f t="shared" ca="1" si="50"/>
        <v>#N/A</v>
      </c>
      <c r="AA257" t="e">
        <f t="shared" ca="1" si="51"/>
        <v>#N/A</v>
      </c>
      <c r="AB257" s="85" t="e">
        <f ca="1"/>
        <v>#N/A</v>
      </c>
      <c r="AC257" s="57" t="e">
        <f t="shared" ca="1" si="55"/>
        <v>#N/A</v>
      </c>
      <c r="AD257" s="57" t="e">
        <f t="shared" ca="1" si="56"/>
        <v>#N/A</v>
      </c>
      <c r="AE257" s="57" t="e">
        <f t="shared" ca="1" si="57"/>
        <v>#N/A</v>
      </c>
      <c r="AF257" s="57" t="e">
        <f t="shared" ca="1" si="58"/>
        <v>#N/A</v>
      </c>
    </row>
    <row r="258" spans="18:32" x14ac:dyDescent="0.25">
      <c r="R258" s="85" t="e">
        <f ca="1"/>
        <v>#N/A</v>
      </c>
      <c r="S258" s="57" t="e">
        <f t="shared" ca="1" si="52"/>
        <v>#N/A</v>
      </c>
      <c r="T258" s="57" t="e">
        <f t="shared" ca="1" si="46"/>
        <v>#N/A</v>
      </c>
      <c r="U258" s="57" t="e">
        <f t="shared" ca="1" si="47"/>
        <v>#N/A</v>
      </c>
      <c r="V258" s="57" t="e">
        <f t="shared" ca="1" si="48"/>
        <v>#N/A</v>
      </c>
      <c r="W258" s="57" t="e">
        <f t="shared" ca="1" si="53"/>
        <v>#N/A</v>
      </c>
      <c r="X258" t="e">
        <f t="shared" ca="1" si="49"/>
        <v>#N/A</v>
      </c>
      <c r="Y258" t="e">
        <f t="shared" ca="1" si="54"/>
        <v>#N/A</v>
      </c>
      <c r="Z258" t="e">
        <f t="shared" ca="1" si="50"/>
        <v>#N/A</v>
      </c>
      <c r="AA258" t="e">
        <f t="shared" ca="1" si="51"/>
        <v>#N/A</v>
      </c>
      <c r="AB258" s="85" t="e">
        <f ca="1"/>
        <v>#N/A</v>
      </c>
      <c r="AC258" s="57" t="e">
        <f t="shared" ca="1" si="55"/>
        <v>#N/A</v>
      </c>
      <c r="AD258" s="57" t="e">
        <f t="shared" ca="1" si="56"/>
        <v>#N/A</v>
      </c>
      <c r="AE258" s="57" t="e">
        <f t="shared" ca="1" si="57"/>
        <v>#N/A</v>
      </c>
      <c r="AF258" s="57" t="e">
        <f t="shared" ca="1" si="58"/>
        <v>#N/A</v>
      </c>
    </row>
    <row r="259" spans="18:32" x14ac:dyDescent="0.25">
      <c r="R259" s="85" t="e">
        <f ca="1"/>
        <v>#N/A</v>
      </c>
      <c r="S259" s="57" t="e">
        <f t="shared" ca="1" si="52"/>
        <v>#N/A</v>
      </c>
      <c r="T259" s="57" t="e">
        <f t="shared" ca="1" si="46"/>
        <v>#N/A</v>
      </c>
      <c r="U259" s="57" t="e">
        <f t="shared" ca="1" si="47"/>
        <v>#N/A</v>
      </c>
      <c r="V259" s="57" t="e">
        <f t="shared" ca="1" si="48"/>
        <v>#N/A</v>
      </c>
      <c r="W259" s="57" t="e">
        <f t="shared" ca="1" si="53"/>
        <v>#N/A</v>
      </c>
      <c r="X259" t="e">
        <f t="shared" ca="1" si="49"/>
        <v>#N/A</v>
      </c>
      <c r="Y259" t="e">
        <f t="shared" ca="1" si="54"/>
        <v>#N/A</v>
      </c>
      <c r="Z259" t="e">
        <f t="shared" ca="1" si="50"/>
        <v>#N/A</v>
      </c>
      <c r="AA259" t="e">
        <f t="shared" ca="1" si="51"/>
        <v>#N/A</v>
      </c>
      <c r="AB259" s="85" t="e">
        <f ca="1"/>
        <v>#N/A</v>
      </c>
      <c r="AC259" s="57" t="e">
        <f t="shared" ca="1" si="55"/>
        <v>#N/A</v>
      </c>
      <c r="AD259" s="57" t="e">
        <f t="shared" ca="1" si="56"/>
        <v>#N/A</v>
      </c>
      <c r="AE259" s="57" t="e">
        <f t="shared" ca="1" si="57"/>
        <v>#N/A</v>
      </c>
      <c r="AF259" s="57" t="e">
        <f t="shared" ca="1" si="58"/>
        <v>#N/A</v>
      </c>
    </row>
    <row r="260" spans="18:32" x14ac:dyDescent="0.25">
      <c r="R260" s="85" t="e">
        <f ca="1"/>
        <v>#N/A</v>
      </c>
      <c r="S260" s="57" t="e">
        <f t="shared" ca="1" si="52"/>
        <v>#N/A</v>
      </c>
      <c r="T260" s="57" t="e">
        <f t="shared" ca="1" si="46"/>
        <v>#N/A</v>
      </c>
      <c r="U260" s="57" t="e">
        <f t="shared" ca="1" si="47"/>
        <v>#N/A</v>
      </c>
      <c r="V260" s="57" t="e">
        <f t="shared" ca="1" si="48"/>
        <v>#N/A</v>
      </c>
      <c r="W260" s="57" t="e">
        <f t="shared" ca="1" si="53"/>
        <v>#N/A</v>
      </c>
      <c r="X260" t="e">
        <f t="shared" ca="1" si="49"/>
        <v>#N/A</v>
      </c>
      <c r="Y260" t="e">
        <f t="shared" ca="1" si="54"/>
        <v>#N/A</v>
      </c>
      <c r="Z260" t="e">
        <f t="shared" ca="1" si="50"/>
        <v>#N/A</v>
      </c>
      <c r="AA260" t="e">
        <f t="shared" ca="1" si="51"/>
        <v>#N/A</v>
      </c>
      <c r="AB260" s="85" t="e">
        <f ca="1"/>
        <v>#N/A</v>
      </c>
      <c r="AC260" s="57" t="e">
        <f t="shared" ca="1" si="55"/>
        <v>#N/A</v>
      </c>
      <c r="AD260" s="57" t="e">
        <f t="shared" ca="1" si="56"/>
        <v>#N/A</v>
      </c>
      <c r="AE260" s="57" t="e">
        <f t="shared" ca="1" si="57"/>
        <v>#N/A</v>
      </c>
      <c r="AF260" s="57" t="e">
        <f t="shared" ca="1" si="58"/>
        <v>#N/A</v>
      </c>
    </row>
    <row r="261" spans="18:32" x14ac:dyDescent="0.25">
      <c r="R261" s="85" t="e">
        <f ca="1"/>
        <v>#N/A</v>
      </c>
      <c r="S261" s="57" t="e">
        <f t="shared" ca="1" si="52"/>
        <v>#N/A</v>
      </c>
      <c r="T261" s="57" t="e">
        <f t="shared" ca="1" si="46"/>
        <v>#N/A</v>
      </c>
      <c r="U261" s="57" t="e">
        <f t="shared" ca="1" si="47"/>
        <v>#N/A</v>
      </c>
      <c r="V261" s="57" t="e">
        <f t="shared" ca="1" si="48"/>
        <v>#N/A</v>
      </c>
      <c r="W261" s="57" t="e">
        <f t="shared" ca="1" si="53"/>
        <v>#N/A</v>
      </c>
      <c r="X261" t="e">
        <f t="shared" ca="1" si="49"/>
        <v>#N/A</v>
      </c>
      <c r="Y261" t="e">
        <f t="shared" ca="1" si="54"/>
        <v>#N/A</v>
      </c>
      <c r="Z261" t="e">
        <f t="shared" ca="1" si="50"/>
        <v>#N/A</v>
      </c>
      <c r="AA261" t="e">
        <f t="shared" ca="1" si="51"/>
        <v>#N/A</v>
      </c>
      <c r="AB261" s="85" t="e">
        <f ca="1"/>
        <v>#N/A</v>
      </c>
      <c r="AC261" s="57" t="e">
        <f t="shared" ca="1" si="55"/>
        <v>#N/A</v>
      </c>
      <c r="AD261" s="57" t="e">
        <f t="shared" ca="1" si="56"/>
        <v>#N/A</v>
      </c>
      <c r="AE261" s="57" t="e">
        <f t="shared" ca="1" si="57"/>
        <v>#N/A</v>
      </c>
      <c r="AF261" s="57" t="e">
        <f t="shared" ca="1" si="58"/>
        <v>#N/A</v>
      </c>
    </row>
    <row r="262" spans="18:32" x14ac:dyDescent="0.25">
      <c r="R262" s="85" t="e">
        <f ca="1"/>
        <v>#N/A</v>
      </c>
      <c r="S262" s="57" t="e">
        <f t="shared" ca="1" si="52"/>
        <v>#N/A</v>
      </c>
      <c r="T262" s="57" t="e">
        <f t="shared" ca="1" si="46"/>
        <v>#N/A</v>
      </c>
      <c r="U262" s="57" t="e">
        <f t="shared" ca="1" si="47"/>
        <v>#N/A</v>
      </c>
      <c r="V262" s="57" t="e">
        <f t="shared" ca="1" si="48"/>
        <v>#N/A</v>
      </c>
      <c r="W262" s="57" t="e">
        <f t="shared" ca="1" si="53"/>
        <v>#N/A</v>
      </c>
      <c r="X262" t="e">
        <f t="shared" ca="1" si="49"/>
        <v>#N/A</v>
      </c>
      <c r="Y262" t="e">
        <f t="shared" ca="1" si="54"/>
        <v>#N/A</v>
      </c>
      <c r="Z262" t="e">
        <f t="shared" ca="1" si="50"/>
        <v>#N/A</v>
      </c>
      <c r="AA262" t="e">
        <f t="shared" ca="1" si="51"/>
        <v>#N/A</v>
      </c>
      <c r="AB262" s="85" t="e">
        <f ca="1"/>
        <v>#N/A</v>
      </c>
      <c r="AC262" s="57" t="e">
        <f t="shared" ca="1" si="55"/>
        <v>#N/A</v>
      </c>
      <c r="AD262" s="57" t="e">
        <f t="shared" ca="1" si="56"/>
        <v>#N/A</v>
      </c>
      <c r="AE262" s="57" t="e">
        <f t="shared" ca="1" si="57"/>
        <v>#N/A</v>
      </c>
      <c r="AF262" s="57" t="e">
        <f t="shared" ca="1" si="58"/>
        <v>#N/A</v>
      </c>
    </row>
    <row r="263" spans="18:32" x14ac:dyDescent="0.25">
      <c r="R263" s="85" t="e">
        <f ca="1"/>
        <v>#N/A</v>
      </c>
      <c r="S263" s="57" t="e">
        <f t="shared" ca="1" si="52"/>
        <v>#N/A</v>
      </c>
      <c r="T263" s="57" t="e">
        <f t="shared" ca="1" si="46"/>
        <v>#N/A</v>
      </c>
      <c r="U263" s="57" t="e">
        <f t="shared" ca="1" si="47"/>
        <v>#N/A</v>
      </c>
      <c r="V263" s="57" t="e">
        <f t="shared" ca="1" si="48"/>
        <v>#N/A</v>
      </c>
      <c r="W263" s="57" t="e">
        <f t="shared" ca="1" si="53"/>
        <v>#N/A</v>
      </c>
      <c r="X263" t="e">
        <f t="shared" ca="1" si="49"/>
        <v>#N/A</v>
      </c>
      <c r="Y263" t="e">
        <f t="shared" ca="1" si="54"/>
        <v>#N/A</v>
      </c>
      <c r="Z263" t="e">
        <f t="shared" ca="1" si="50"/>
        <v>#N/A</v>
      </c>
      <c r="AA263" t="e">
        <f t="shared" ca="1" si="51"/>
        <v>#N/A</v>
      </c>
      <c r="AB263" s="85" t="e">
        <f ca="1"/>
        <v>#N/A</v>
      </c>
      <c r="AC263" s="57" t="e">
        <f t="shared" ca="1" si="55"/>
        <v>#N/A</v>
      </c>
      <c r="AD263" s="57" t="e">
        <f t="shared" ca="1" si="56"/>
        <v>#N/A</v>
      </c>
      <c r="AE263" s="57" t="e">
        <f t="shared" ca="1" si="57"/>
        <v>#N/A</v>
      </c>
      <c r="AF263" s="57" t="e">
        <f t="shared" ca="1" si="58"/>
        <v>#N/A</v>
      </c>
    </row>
    <row r="264" spans="18:32" x14ac:dyDescent="0.25">
      <c r="R264" s="85" t="e">
        <f ca="1"/>
        <v>#N/A</v>
      </c>
      <c r="S264" s="57" t="e">
        <f t="shared" ca="1" si="52"/>
        <v>#N/A</v>
      </c>
      <c r="T264" s="57" t="e">
        <f t="shared" ca="1" si="46"/>
        <v>#N/A</v>
      </c>
      <c r="U264" s="57" t="e">
        <f t="shared" ca="1" si="47"/>
        <v>#N/A</v>
      </c>
      <c r="V264" s="57" t="e">
        <f t="shared" ca="1" si="48"/>
        <v>#N/A</v>
      </c>
      <c r="W264" s="57" t="e">
        <f t="shared" ca="1" si="53"/>
        <v>#N/A</v>
      </c>
      <c r="X264" t="e">
        <f t="shared" ca="1" si="49"/>
        <v>#N/A</v>
      </c>
      <c r="Y264" t="e">
        <f t="shared" ca="1" si="54"/>
        <v>#N/A</v>
      </c>
      <c r="Z264" t="e">
        <f t="shared" ca="1" si="50"/>
        <v>#N/A</v>
      </c>
      <c r="AA264" t="e">
        <f t="shared" ca="1" si="51"/>
        <v>#N/A</v>
      </c>
      <c r="AB264" s="85" t="e">
        <f ca="1"/>
        <v>#N/A</v>
      </c>
      <c r="AC264" s="57" t="e">
        <f t="shared" ca="1" si="55"/>
        <v>#N/A</v>
      </c>
      <c r="AD264" s="57" t="e">
        <f t="shared" ca="1" si="56"/>
        <v>#N/A</v>
      </c>
      <c r="AE264" s="57" t="e">
        <f t="shared" ca="1" si="57"/>
        <v>#N/A</v>
      </c>
      <c r="AF264" s="57" t="e">
        <f t="shared" ca="1" si="58"/>
        <v>#N/A</v>
      </c>
    </row>
    <row r="265" spans="18:32" x14ac:dyDescent="0.25">
      <c r="R265" s="85" t="e">
        <f ca="1"/>
        <v>#N/A</v>
      </c>
      <c r="S265" s="57" t="e">
        <f t="shared" ca="1" si="52"/>
        <v>#N/A</v>
      </c>
      <c r="T265" s="57" t="e">
        <f t="shared" ca="1" si="46"/>
        <v>#N/A</v>
      </c>
      <c r="U265" s="57" t="e">
        <f t="shared" ca="1" si="47"/>
        <v>#N/A</v>
      </c>
      <c r="V265" s="57" t="e">
        <f t="shared" ca="1" si="48"/>
        <v>#N/A</v>
      </c>
      <c r="W265" s="57" t="e">
        <f t="shared" ca="1" si="53"/>
        <v>#N/A</v>
      </c>
      <c r="X265" t="e">
        <f t="shared" ca="1" si="49"/>
        <v>#N/A</v>
      </c>
      <c r="Y265" t="e">
        <f t="shared" ca="1" si="54"/>
        <v>#N/A</v>
      </c>
      <c r="Z265" t="e">
        <f t="shared" ca="1" si="50"/>
        <v>#N/A</v>
      </c>
      <c r="AA265" t="e">
        <f t="shared" ca="1" si="51"/>
        <v>#N/A</v>
      </c>
      <c r="AB265" s="85" t="e">
        <f ca="1"/>
        <v>#N/A</v>
      </c>
      <c r="AC265" s="57" t="e">
        <f t="shared" ca="1" si="55"/>
        <v>#N/A</v>
      </c>
      <c r="AD265" s="57" t="e">
        <f t="shared" ca="1" si="56"/>
        <v>#N/A</v>
      </c>
      <c r="AE265" s="57" t="e">
        <f t="shared" ca="1" si="57"/>
        <v>#N/A</v>
      </c>
      <c r="AF265" s="57" t="e">
        <f t="shared" ca="1" si="58"/>
        <v>#N/A</v>
      </c>
    </row>
    <row r="266" spans="18:32" x14ac:dyDescent="0.25">
      <c r="R266" s="85" t="e">
        <f ca="1"/>
        <v>#N/A</v>
      </c>
      <c r="S266" s="57" t="e">
        <f t="shared" ca="1" si="52"/>
        <v>#N/A</v>
      </c>
      <c r="T266" s="57" t="e">
        <f t="shared" ca="1" si="46"/>
        <v>#N/A</v>
      </c>
      <c r="U266" s="57" t="e">
        <f t="shared" ca="1" si="47"/>
        <v>#N/A</v>
      </c>
      <c r="V266" s="57" t="e">
        <f t="shared" ca="1" si="48"/>
        <v>#N/A</v>
      </c>
      <c r="W266" s="57" t="e">
        <f t="shared" ca="1" si="53"/>
        <v>#N/A</v>
      </c>
      <c r="X266" t="e">
        <f t="shared" ca="1" si="49"/>
        <v>#N/A</v>
      </c>
      <c r="Y266" t="e">
        <f t="shared" ca="1" si="54"/>
        <v>#N/A</v>
      </c>
      <c r="Z266" t="e">
        <f t="shared" ca="1" si="50"/>
        <v>#N/A</v>
      </c>
      <c r="AA266" t="e">
        <f t="shared" ca="1" si="51"/>
        <v>#N/A</v>
      </c>
      <c r="AB266" s="85" t="e">
        <f ca="1"/>
        <v>#N/A</v>
      </c>
      <c r="AC266" s="57" t="e">
        <f t="shared" ca="1" si="55"/>
        <v>#N/A</v>
      </c>
      <c r="AD266" s="57" t="e">
        <f t="shared" ca="1" si="56"/>
        <v>#N/A</v>
      </c>
      <c r="AE266" s="57" t="e">
        <f t="shared" ca="1" si="57"/>
        <v>#N/A</v>
      </c>
      <c r="AF266" s="57" t="e">
        <f t="shared" ca="1" si="58"/>
        <v>#N/A</v>
      </c>
    </row>
    <row r="267" spans="18:32" x14ac:dyDescent="0.25">
      <c r="R267" s="85" t="e">
        <f ca="1"/>
        <v>#N/A</v>
      </c>
      <c r="S267" s="57" t="e">
        <f t="shared" ca="1" si="52"/>
        <v>#N/A</v>
      </c>
      <c r="T267" s="57" t="e">
        <f t="shared" ca="1" si="46"/>
        <v>#N/A</v>
      </c>
      <c r="U267" s="57" t="e">
        <f t="shared" ca="1" si="47"/>
        <v>#N/A</v>
      </c>
      <c r="V267" s="57" t="e">
        <f t="shared" ca="1" si="48"/>
        <v>#N/A</v>
      </c>
      <c r="W267" s="57" t="e">
        <f t="shared" ca="1" si="53"/>
        <v>#N/A</v>
      </c>
      <c r="X267" t="e">
        <f t="shared" ca="1" si="49"/>
        <v>#N/A</v>
      </c>
      <c r="Y267" t="e">
        <f t="shared" ca="1" si="54"/>
        <v>#N/A</v>
      </c>
      <c r="Z267" t="e">
        <f t="shared" ca="1" si="50"/>
        <v>#N/A</v>
      </c>
      <c r="AA267" t="e">
        <f t="shared" ca="1" si="51"/>
        <v>#N/A</v>
      </c>
      <c r="AB267" s="85" t="e">
        <f ca="1"/>
        <v>#N/A</v>
      </c>
      <c r="AC267" s="57" t="e">
        <f t="shared" ca="1" si="55"/>
        <v>#N/A</v>
      </c>
      <c r="AD267" s="57" t="e">
        <f t="shared" ca="1" si="56"/>
        <v>#N/A</v>
      </c>
      <c r="AE267" s="57" t="e">
        <f t="shared" ca="1" si="57"/>
        <v>#N/A</v>
      </c>
      <c r="AF267" s="57" t="e">
        <f t="shared" ca="1" si="58"/>
        <v>#N/A</v>
      </c>
    </row>
    <row r="268" spans="18:32" x14ac:dyDescent="0.25">
      <c r="R268" s="85" t="e">
        <f ca="1"/>
        <v>#N/A</v>
      </c>
      <c r="S268" s="57" t="e">
        <f t="shared" ca="1" si="52"/>
        <v>#N/A</v>
      </c>
      <c r="T268" s="57" t="e">
        <f t="shared" ca="1" si="46"/>
        <v>#N/A</v>
      </c>
      <c r="U268" s="57" t="e">
        <f t="shared" ca="1" si="47"/>
        <v>#N/A</v>
      </c>
      <c r="V268" s="57" t="e">
        <f t="shared" ca="1" si="48"/>
        <v>#N/A</v>
      </c>
      <c r="W268" s="57" t="e">
        <f t="shared" ca="1" si="53"/>
        <v>#N/A</v>
      </c>
      <c r="X268" t="e">
        <f t="shared" ca="1" si="49"/>
        <v>#N/A</v>
      </c>
      <c r="Y268" t="e">
        <f t="shared" ca="1" si="54"/>
        <v>#N/A</v>
      </c>
      <c r="Z268" t="e">
        <f t="shared" ca="1" si="50"/>
        <v>#N/A</v>
      </c>
      <c r="AA268" t="e">
        <f t="shared" ca="1" si="51"/>
        <v>#N/A</v>
      </c>
      <c r="AB268" s="85" t="e">
        <f ca="1"/>
        <v>#N/A</v>
      </c>
      <c r="AC268" s="57" t="e">
        <f t="shared" ca="1" si="55"/>
        <v>#N/A</v>
      </c>
      <c r="AD268" s="57" t="e">
        <f t="shared" ca="1" si="56"/>
        <v>#N/A</v>
      </c>
      <c r="AE268" s="57" t="e">
        <f t="shared" ca="1" si="57"/>
        <v>#N/A</v>
      </c>
      <c r="AF268" s="57" t="e">
        <f t="shared" ca="1" si="58"/>
        <v>#N/A</v>
      </c>
    </row>
    <row r="269" spans="18:32" x14ac:dyDescent="0.25">
      <c r="R269" s="85" t="e">
        <f ca="1"/>
        <v>#N/A</v>
      </c>
      <c r="S269" s="57" t="e">
        <f t="shared" ca="1" si="52"/>
        <v>#N/A</v>
      </c>
      <c r="T269" s="57" t="e">
        <f t="shared" ca="1" si="46"/>
        <v>#N/A</v>
      </c>
      <c r="U269" s="57" t="e">
        <f t="shared" ca="1" si="47"/>
        <v>#N/A</v>
      </c>
      <c r="V269" s="57" t="e">
        <f t="shared" ca="1" si="48"/>
        <v>#N/A</v>
      </c>
      <c r="W269" s="57" t="e">
        <f t="shared" ca="1" si="53"/>
        <v>#N/A</v>
      </c>
      <c r="X269" t="e">
        <f t="shared" ca="1" si="49"/>
        <v>#N/A</v>
      </c>
      <c r="Y269" t="e">
        <f t="shared" ca="1" si="54"/>
        <v>#N/A</v>
      </c>
      <c r="Z269" t="e">
        <f t="shared" ca="1" si="50"/>
        <v>#N/A</v>
      </c>
      <c r="AA269" t="e">
        <f t="shared" ca="1" si="51"/>
        <v>#N/A</v>
      </c>
      <c r="AB269" s="85" t="e">
        <f ca="1"/>
        <v>#N/A</v>
      </c>
      <c r="AC269" s="57" t="e">
        <f t="shared" ca="1" si="55"/>
        <v>#N/A</v>
      </c>
      <c r="AD269" s="57" t="e">
        <f t="shared" ca="1" si="56"/>
        <v>#N/A</v>
      </c>
      <c r="AE269" s="57" t="e">
        <f t="shared" ca="1" si="57"/>
        <v>#N/A</v>
      </c>
      <c r="AF269" s="57" t="e">
        <f t="shared" ca="1" si="58"/>
        <v>#N/A</v>
      </c>
    </row>
    <row r="270" spans="18:32" x14ac:dyDescent="0.25">
      <c r="R270" s="85" t="e">
        <f ca="1"/>
        <v>#N/A</v>
      </c>
      <c r="S270" s="57" t="e">
        <f t="shared" ca="1" si="52"/>
        <v>#N/A</v>
      </c>
      <c r="T270" s="57" t="e">
        <f t="shared" ca="1" si="46"/>
        <v>#N/A</v>
      </c>
      <c r="U270" s="57" t="e">
        <f t="shared" ca="1" si="47"/>
        <v>#N/A</v>
      </c>
      <c r="V270" s="57" t="e">
        <f t="shared" ca="1" si="48"/>
        <v>#N/A</v>
      </c>
      <c r="W270" s="57" t="e">
        <f t="shared" ca="1" si="53"/>
        <v>#N/A</v>
      </c>
      <c r="X270" t="e">
        <f t="shared" ca="1" si="49"/>
        <v>#N/A</v>
      </c>
      <c r="Y270" t="e">
        <f t="shared" ca="1" si="54"/>
        <v>#N/A</v>
      </c>
      <c r="Z270" t="e">
        <f t="shared" ca="1" si="50"/>
        <v>#N/A</v>
      </c>
      <c r="AA270" t="e">
        <f t="shared" ca="1" si="51"/>
        <v>#N/A</v>
      </c>
      <c r="AB270" s="85" t="e">
        <f ca="1"/>
        <v>#N/A</v>
      </c>
      <c r="AC270" s="57" t="e">
        <f t="shared" ca="1" si="55"/>
        <v>#N/A</v>
      </c>
      <c r="AD270" s="57" t="e">
        <f t="shared" ca="1" si="56"/>
        <v>#N/A</v>
      </c>
      <c r="AE270" s="57" t="e">
        <f t="shared" ca="1" si="57"/>
        <v>#N/A</v>
      </c>
      <c r="AF270" s="57" t="e">
        <f t="shared" ca="1" si="58"/>
        <v>#N/A</v>
      </c>
    </row>
    <row r="271" spans="18:32" x14ac:dyDescent="0.25">
      <c r="R271" s="85" t="e">
        <f ca="1"/>
        <v>#N/A</v>
      </c>
      <c r="S271" s="57" t="e">
        <f t="shared" ca="1" si="52"/>
        <v>#N/A</v>
      </c>
      <c r="T271" s="57" t="e">
        <f t="shared" ca="1" si="46"/>
        <v>#N/A</v>
      </c>
      <c r="U271" s="57" t="e">
        <f t="shared" ca="1" si="47"/>
        <v>#N/A</v>
      </c>
      <c r="V271" s="57" t="e">
        <f t="shared" ca="1" si="48"/>
        <v>#N/A</v>
      </c>
      <c r="W271" s="57" t="e">
        <f t="shared" ca="1" si="53"/>
        <v>#N/A</v>
      </c>
      <c r="X271" t="e">
        <f t="shared" ca="1" si="49"/>
        <v>#N/A</v>
      </c>
      <c r="Y271" t="e">
        <f t="shared" ca="1" si="54"/>
        <v>#N/A</v>
      </c>
      <c r="Z271" t="e">
        <f t="shared" ca="1" si="50"/>
        <v>#N/A</v>
      </c>
      <c r="AA271" t="e">
        <f t="shared" ca="1" si="51"/>
        <v>#N/A</v>
      </c>
      <c r="AB271" s="85" t="e">
        <f ca="1"/>
        <v>#N/A</v>
      </c>
      <c r="AC271" s="57" t="e">
        <f t="shared" ca="1" si="55"/>
        <v>#N/A</v>
      </c>
      <c r="AD271" s="57" t="e">
        <f t="shared" ca="1" si="56"/>
        <v>#N/A</v>
      </c>
      <c r="AE271" s="57" t="e">
        <f t="shared" ca="1" si="57"/>
        <v>#N/A</v>
      </c>
      <c r="AF271" s="57" t="e">
        <f t="shared" ca="1" si="58"/>
        <v>#N/A</v>
      </c>
    </row>
    <row r="272" spans="18:32" x14ac:dyDescent="0.25">
      <c r="R272" s="85" t="e">
        <f ca="1"/>
        <v>#N/A</v>
      </c>
      <c r="S272" s="57" t="e">
        <f t="shared" ca="1" si="52"/>
        <v>#N/A</v>
      </c>
      <c r="T272" s="57" t="e">
        <f t="shared" ca="1" si="46"/>
        <v>#N/A</v>
      </c>
      <c r="U272" s="57" t="e">
        <f t="shared" ca="1" si="47"/>
        <v>#N/A</v>
      </c>
      <c r="V272" s="57" t="e">
        <f t="shared" ca="1" si="48"/>
        <v>#N/A</v>
      </c>
      <c r="W272" s="57" t="e">
        <f t="shared" ca="1" si="53"/>
        <v>#N/A</v>
      </c>
      <c r="X272" t="e">
        <f t="shared" ca="1" si="49"/>
        <v>#N/A</v>
      </c>
      <c r="Y272" t="e">
        <f t="shared" ca="1" si="54"/>
        <v>#N/A</v>
      </c>
      <c r="Z272" t="e">
        <f t="shared" ca="1" si="50"/>
        <v>#N/A</v>
      </c>
      <c r="AA272" t="e">
        <f t="shared" ca="1" si="51"/>
        <v>#N/A</v>
      </c>
      <c r="AB272" s="85" t="e">
        <f ca="1"/>
        <v>#N/A</v>
      </c>
      <c r="AC272" s="57" t="e">
        <f t="shared" ca="1" si="55"/>
        <v>#N/A</v>
      </c>
      <c r="AD272" s="57" t="e">
        <f t="shared" ca="1" si="56"/>
        <v>#N/A</v>
      </c>
      <c r="AE272" s="57" t="e">
        <f t="shared" ca="1" si="57"/>
        <v>#N/A</v>
      </c>
      <c r="AF272" s="57" t="e">
        <f t="shared" ca="1" si="58"/>
        <v>#N/A</v>
      </c>
    </row>
    <row r="273" spans="18:32" x14ac:dyDescent="0.25">
      <c r="R273" s="85" t="e">
        <f ca="1"/>
        <v>#N/A</v>
      </c>
      <c r="S273" s="57" t="e">
        <f t="shared" ca="1" si="52"/>
        <v>#N/A</v>
      </c>
      <c r="T273" s="57" t="e">
        <f t="shared" ca="1" si="46"/>
        <v>#N/A</v>
      </c>
      <c r="U273" s="57" t="e">
        <f t="shared" ca="1" si="47"/>
        <v>#N/A</v>
      </c>
      <c r="V273" s="57" t="e">
        <f t="shared" ca="1" si="48"/>
        <v>#N/A</v>
      </c>
      <c r="W273" s="57" t="e">
        <f t="shared" ca="1" si="53"/>
        <v>#N/A</v>
      </c>
      <c r="X273" t="e">
        <f t="shared" ca="1" si="49"/>
        <v>#N/A</v>
      </c>
      <c r="Y273" t="e">
        <f t="shared" ca="1" si="54"/>
        <v>#N/A</v>
      </c>
      <c r="Z273" t="e">
        <f t="shared" ca="1" si="50"/>
        <v>#N/A</v>
      </c>
      <c r="AA273" t="e">
        <f t="shared" ca="1" si="51"/>
        <v>#N/A</v>
      </c>
      <c r="AB273" s="85" t="e">
        <f ca="1"/>
        <v>#N/A</v>
      </c>
      <c r="AC273" s="57" t="e">
        <f t="shared" ca="1" si="55"/>
        <v>#N/A</v>
      </c>
      <c r="AD273" s="57" t="e">
        <f t="shared" ca="1" si="56"/>
        <v>#N/A</v>
      </c>
      <c r="AE273" s="57" t="e">
        <f t="shared" ca="1" si="57"/>
        <v>#N/A</v>
      </c>
      <c r="AF273" s="57" t="e">
        <f t="shared" ca="1" si="58"/>
        <v>#N/A</v>
      </c>
    </row>
    <row r="274" spans="18:32" x14ac:dyDescent="0.25">
      <c r="R274" s="85" t="e">
        <f ca="1"/>
        <v>#N/A</v>
      </c>
      <c r="S274" s="57" t="e">
        <f t="shared" ca="1" si="52"/>
        <v>#N/A</v>
      </c>
      <c r="T274" s="57" t="e">
        <f t="shared" ref="T274:T337" ca="1" si="59">VLOOKUP(S274,ModelOutputs,2,FALSE)</f>
        <v>#N/A</v>
      </c>
      <c r="U274" s="57" t="e">
        <f t="shared" ref="U274:U337" ca="1" si="60">VLOOKUP(S274,ModelOutputs,7,FALSE)</f>
        <v>#N/A</v>
      </c>
      <c r="V274" s="57" t="e">
        <f t="shared" ref="V274:V337" ca="1" si="61">VLOOKUP(S274,ModelOutputs,6,FALSE)</f>
        <v>#N/A</v>
      </c>
      <c r="W274" s="57" t="e">
        <f t="shared" ca="1" si="53"/>
        <v>#N/A</v>
      </c>
      <c r="X274" t="e">
        <f t="shared" ref="X274:X337" ca="1" si="62">VLOOKUP(S274,ModelOutputs,10,FALSE)*AWC</f>
        <v>#N/A</v>
      </c>
      <c r="Y274" t="e">
        <f t="shared" ca="1" si="54"/>
        <v>#N/A</v>
      </c>
      <c r="Z274" t="e">
        <f t="shared" ref="Z274:Z337" ca="1" si="63">VLOOKUP(S274,ModelOutputs,12,FALSE)</f>
        <v>#N/A</v>
      </c>
      <c r="AA274" t="e">
        <f t="shared" ref="AA274:AA337" ca="1" si="64">VLOOKUP(S274,ModelOutputs,13,FALSE)</f>
        <v>#N/A</v>
      </c>
      <c r="AB274" s="85" t="e">
        <f ca="1"/>
        <v>#N/A</v>
      </c>
      <c r="AC274" s="57" t="e">
        <f t="shared" ca="1" si="55"/>
        <v>#N/A</v>
      </c>
      <c r="AD274" s="57" t="e">
        <f t="shared" ca="1" si="56"/>
        <v>#N/A</v>
      </c>
      <c r="AE274" s="57" t="e">
        <f t="shared" ca="1" si="57"/>
        <v>#N/A</v>
      </c>
      <c r="AF274" s="57" t="e">
        <f t="shared" ca="1" si="58"/>
        <v>#N/A</v>
      </c>
    </row>
    <row r="275" spans="18:32" x14ac:dyDescent="0.25">
      <c r="R275" s="85" t="e">
        <f ca="1"/>
        <v>#N/A</v>
      </c>
      <c r="S275" s="57" t="e">
        <f t="shared" ref="S275:S338" ca="1" si="65">IF(R275&gt;1,R275,"")</f>
        <v>#N/A</v>
      </c>
      <c r="T275" s="57" t="e">
        <f t="shared" ca="1" si="59"/>
        <v>#N/A</v>
      </c>
      <c r="U275" s="57" t="e">
        <f t="shared" ca="1" si="60"/>
        <v>#N/A</v>
      </c>
      <c r="V275" s="57" t="e">
        <f t="shared" ca="1" si="61"/>
        <v>#N/A</v>
      </c>
      <c r="W275" s="57" t="e">
        <f t="shared" ref="W275:W338" ca="1" si="66">VLOOKUP(S275,ModelOutputs,9,FALSE)+W274</f>
        <v>#N/A</v>
      </c>
      <c r="X275" t="e">
        <f t="shared" ca="1" si="62"/>
        <v>#N/A</v>
      </c>
      <c r="Y275" t="e">
        <f t="shared" ref="Y275:Y338" ca="1" si="67">VLOOKUP(S275,ModelOutputs,11,FALSE)+Y274</f>
        <v>#N/A</v>
      </c>
      <c r="Z275" t="e">
        <f t="shared" ca="1" si="63"/>
        <v>#N/A</v>
      </c>
      <c r="AA275" t="e">
        <f t="shared" ca="1" si="64"/>
        <v>#N/A</v>
      </c>
      <c r="AB275" s="85" t="e">
        <f ca="1"/>
        <v>#N/A</v>
      </c>
      <c r="AC275" s="57" t="e">
        <f t="shared" ca="1" si="55"/>
        <v>#N/A</v>
      </c>
      <c r="AD275" s="57" t="e">
        <f t="shared" ca="1" si="56"/>
        <v>#N/A</v>
      </c>
      <c r="AE275" s="57" t="e">
        <f t="shared" ca="1" si="57"/>
        <v>#N/A</v>
      </c>
      <c r="AF275" s="57" t="e">
        <f t="shared" ca="1" si="58"/>
        <v>#N/A</v>
      </c>
    </row>
    <row r="276" spans="18:32" x14ac:dyDescent="0.25">
      <c r="R276" s="85" t="e">
        <f ca="1"/>
        <v>#N/A</v>
      </c>
      <c r="S276" s="57" t="e">
        <f t="shared" ca="1" si="65"/>
        <v>#N/A</v>
      </c>
      <c r="T276" s="57" t="e">
        <f t="shared" ca="1" si="59"/>
        <v>#N/A</v>
      </c>
      <c r="U276" s="57" t="e">
        <f t="shared" ca="1" si="60"/>
        <v>#N/A</v>
      </c>
      <c r="V276" s="57" t="e">
        <f t="shared" ca="1" si="61"/>
        <v>#N/A</v>
      </c>
      <c r="W276" s="57" t="e">
        <f t="shared" ca="1" si="66"/>
        <v>#N/A</v>
      </c>
      <c r="X276" t="e">
        <f t="shared" ca="1" si="62"/>
        <v>#N/A</v>
      </c>
      <c r="Y276" t="e">
        <f t="shared" ca="1" si="67"/>
        <v>#N/A</v>
      </c>
      <c r="Z276" t="e">
        <f t="shared" ca="1" si="63"/>
        <v>#N/A</v>
      </c>
      <c r="AA276" t="e">
        <f t="shared" ca="1" si="64"/>
        <v>#N/A</v>
      </c>
      <c r="AB276" s="85" t="e">
        <f ca="1"/>
        <v>#N/A</v>
      </c>
      <c r="AC276" s="57" t="e">
        <f t="shared" ca="1" si="55"/>
        <v>#N/A</v>
      </c>
      <c r="AD276" s="57" t="e">
        <f t="shared" ca="1" si="56"/>
        <v>#N/A</v>
      </c>
      <c r="AE276" s="57" t="e">
        <f t="shared" ca="1" si="57"/>
        <v>#N/A</v>
      </c>
      <c r="AF276" s="57" t="e">
        <f t="shared" ca="1" si="58"/>
        <v>#N/A</v>
      </c>
    </row>
    <row r="277" spans="18:32" x14ac:dyDescent="0.25">
      <c r="R277" s="85" t="e">
        <f ca="1"/>
        <v>#N/A</v>
      </c>
      <c r="S277" s="57" t="e">
        <f t="shared" ca="1" si="65"/>
        <v>#N/A</v>
      </c>
      <c r="T277" s="57" t="e">
        <f t="shared" ca="1" si="59"/>
        <v>#N/A</v>
      </c>
      <c r="U277" s="57" t="e">
        <f t="shared" ca="1" si="60"/>
        <v>#N/A</v>
      </c>
      <c r="V277" s="57" t="e">
        <f t="shared" ca="1" si="61"/>
        <v>#N/A</v>
      </c>
      <c r="W277" s="57" t="e">
        <f t="shared" ca="1" si="66"/>
        <v>#N/A</v>
      </c>
      <c r="X277" t="e">
        <f t="shared" ca="1" si="62"/>
        <v>#N/A</v>
      </c>
      <c r="Y277" t="e">
        <f t="shared" ca="1" si="67"/>
        <v>#N/A</v>
      </c>
      <c r="Z277" t="e">
        <f t="shared" ca="1" si="63"/>
        <v>#N/A</v>
      </c>
      <c r="AA277" t="e">
        <f t="shared" ca="1" si="64"/>
        <v>#N/A</v>
      </c>
      <c r="AB277" s="85" t="e">
        <f ca="1"/>
        <v>#N/A</v>
      </c>
      <c r="AC277" s="57" t="e">
        <f t="shared" ref="AC277:AC340" ca="1" si="68">IF(AB277&gt;1,AB277,"")</f>
        <v>#N/A</v>
      </c>
      <c r="AD277" s="57" t="e">
        <f t="shared" ref="AD277:AD340" ca="1" si="69">VLOOKUP(AC277,ModelOutputs,2,FALSE)</f>
        <v>#N/A</v>
      </c>
      <c r="AE277" s="57" t="e">
        <f t="shared" ref="AE277:AE340" ca="1" si="70">VLOOKUP(AC277,ModelOutputs,7,FALSE)</f>
        <v>#N/A</v>
      </c>
      <c r="AF277" s="57" t="e">
        <f t="shared" ref="AF277:AF340" ca="1" si="71">VLOOKUP(AC277,ModelOutputs,6,FALSE)</f>
        <v>#N/A</v>
      </c>
    </row>
    <row r="278" spans="18:32" x14ac:dyDescent="0.25">
      <c r="R278" s="85" t="e">
        <f ca="1"/>
        <v>#N/A</v>
      </c>
      <c r="S278" s="57" t="e">
        <f t="shared" ca="1" si="65"/>
        <v>#N/A</v>
      </c>
      <c r="T278" s="57" t="e">
        <f t="shared" ca="1" si="59"/>
        <v>#N/A</v>
      </c>
      <c r="U278" s="57" t="e">
        <f t="shared" ca="1" si="60"/>
        <v>#N/A</v>
      </c>
      <c r="V278" s="57" t="e">
        <f t="shared" ca="1" si="61"/>
        <v>#N/A</v>
      </c>
      <c r="W278" s="57" t="e">
        <f t="shared" ca="1" si="66"/>
        <v>#N/A</v>
      </c>
      <c r="X278" t="e">
        <f t="shared" ca="1" si="62"/>
        <v>#N/A</v>
      </c>
      <c r="Y278" t="e">
        <f t="shared" ca="1" si="67"/>
        <v>#N/A</v>
      </c>
      <c r="Z278" t="e">
        <f t="shared" ca="1" si="63"/>
        <v>#N/A</v>
      </c>
      <c r="AA278" t="e">
        <f t="shared" ca="1" si="64"/>
        <v>#N/A</v>
      </c>
      <c r="AB278" s="85" t="e">
        <f ca="1"/>
        <v>#N/A</v>
      </c>
      <c r="AC278" s="57" t="e">
        <f t="shared" ca="1" si="68"/>
        <v>#N/A</v>
      </c>
      <c r="AD278" s="57" t="e">
        <f t="shared" ca="1" si="69"/>
        <v>#N/A</v>
      </c>
      <c r="AE278" s="57" t="e">
        <f t="shared" ca="1" si="70"/>
        <v>#N/A</v>
      </c>
      <c r="AF278" s="57" t="e">
        <f t="shared" ca="1" si="71"/>
        <v>#N/A</v>
      </c>
    </row>
    <row r="279" spans="18:32" x14ac:dyDescent="0.25">
      <c r="R279" s="85" t="e">
        <f ca="1"/>
        <v>#N/A</v>
      </c>
      <c r="S279" s="57" t="e">
        <f t="shared" ca="1" si="65"/>
        <v>#N/A</v>
      </c>
      <c r="T279" s="57" t="e">
        <f t="shared" ca="1" si="59"/>
        <v>#N/A</v>
      </c>
      <c r="U279" s="57" t="e">
        <f t="shared" ca="1" si="60"/>
        <v>#N/A</v>
      </c>
      <c r="V279" s="57" t="e">
        <f t="shared" ca="1" si="61"/>
        <v>#N/A</v>
      </c>
      <c r="W279" s="57" t="e">
        <f t="shared" ca="1" si="66"/>
        <v>#N/A</v>
      </c>
      <c r="X279" t="e">
        <f t="shared" ca="1" si="62"/>
        <v>#N/A</v>
      </c>
      <c r="Y279" t="e">
        <f t="shared" ca="1" si="67"/>
        <v>#N/A</v>
      </c>
      <c r="Z279" t="e">
        <f t="shared" ca="1" si="63"/>
        <v>#N/A</v>
      </c>
      <c r="AA279" t="e">
        <f t="shared" ca="1" si="64"/>
        <v>#N/A</v>
      </c>
      <c r="AB279" s="85" t="e">
        <f ca="1"/>
        <v>#N/A</v>
      </c>
      <c r="AC279" s="57" t="e">
        <f t="shared" ca="1" si="68"/>
        <v>#N/A</v>
      </c>
      <c r="AD279" s="57" t="e">
        <f t="shared" ca="1" si="69"/>
        <v>#N/A</v>
      </c>
      <c r="AE279" s="57" t="e">
        <f t="shared" ca="1" si="70"/>
        <v>#N/A</v>
      </c>
      <c r="AF279" s="57" t="e">
        <f t="shared" ca="1" si="71"/>
        <v>#N/A</v>
      </c>
    </row>
    <row r="280" spans="18:32" x14ac:dyDescent="0.25">
      <c r="R280" s="85" t="e">
        <f ca="1"/>
        <v>#N/A</v>
      </c>
      <c r="S280" s="57" t="e">
        <f t="shared" ca="1" si="65"/>
        <v>#N/A</v>
      </c>
      <c r="T280" s="57" t="e">
        <f t="shared" ca="1" si="59"/>
        <v>#N/A</v>
      </c>
      <c r="U280" s="57" t="e">
        <f t="shared" ca="1" si="60"/>
        <v>#N/A</v>
      </c>
      <c r="V280" s="57" t="e">
        <f t="shared" ca="1" si="61"/>
        <v>#N/A</v>
      </c>
      <c r="W280" s="57" t="e">
        <f t="shared" ca="1" si="66"/>
        <v>#N/A</v>
      </c>
      <c r="X280" t="e">
        <f t="shared" ca="1" si="62"/>
        <v>#N/A</v>
      </c>
      <c r="Y280" t="e">
        <f t="shared" ca="1" si="67"/>
        <v>#N/A</v>
      </c>
      <c r="Z280" t="e">
        <f t="shared" ca="1" si="63"/>
        <v>#N/A</v>
      </c>
      <c r="AA280" t="e">
        <f t="shared" ca="1" si="64"/>
        <v>#N/A</v>
      </c>
      <c r="AB280" s="85" t="e">
        <f ca="1"/>
        <v>#N/A</v>
      </c>
      <c r="AC280" s="57" t="e">
        <f t="shared" ca="1" si="68"/>
        <v>#N/A</v>
      </c>
      <c r="AD280" s="57" t="e">
        <f t="shared" ca="1" si="69"/>
        <v>#N/A</v>
      </c>
      <c r="AE280" s="57" t="e">
        <f t="shared" ca="1" si="70"/>
        <v>#N/A</v>
      </c>
      <c r="AF280" s="57" t="e">
        <f t="shared" ca="1" si="71"/>
        <v>#N/A</v>
      </c>
    </row>
    <row r="281" spans="18:32" x14ac:dyDescent="0.25">
      <c r="R281" s="85" t="e">
        <f ca="1"/>
        <v>#N/A</v>
      </c>
      <c r="S281" s="57" t="e">
        <f t="shared" ca="1" si="65"/>
        <v>#N/A</v>
      </c>
      <c r="T281" s="57" t="e">
        <f t="shared" ca="1" si="59"/>
        <v>#N/A</v>
      </c>
      <c r="U281" s="57" t="e">
        <f t="shared" ca="1" si="60"/>
        <v>#N/A</v>
      </c>
      <c r="V281" s="57" t="e">
        <f t="shared" ca="1" si="61"/>
        <v>#N/A</v>
      </c>
      <c r="W281" s="57" t="e">
        <f t="shared" ca="1" si="66"/>
        <v>#N/A</v>
      </c>
      <c r="X281" t="e">
        <f t="shared" ca="1" si="62"/>
        <v>#N/A</v>
      </c>
      <c r="Y281" t="e">
        <f t="shared" ca="1" si="67"/>
        <v>#N/A</v>
      </c>
      <c r="Z281" t="e">
        <f t="shared" ca="1" si="63"/>
        <v>#N/A</v>
      </c>
      <c r="AA281" t="e">
        <f t="shared" ca="1" si="64"/>
        <v>#N/A</v>
      </c>
      <c r="AB281" s="85" t="e">
        <f ca="1"/>
        <v>#N/A</v>
      </c>
      <c r="AC281" s="57" t="e">
        <f t="shared" ca="1" si="68"/>
        <v>#N/A</v>
      </c>
      <c r="AD281" s="57" t="e">
        <f t="shared" ca="1" si="69"/>
        <v>#N/A</v>
      </c>
      <c r="AE281" s="57" t="e">
        <f t="shared" ca="1" si="70"/>
        <v>#N/A</v>
      </c>
      <c r="AF281" s="57" t="e">
        <f t="shared" ca="1" si="71"/>
        <v>#N/A</v>
      </c>
    </row>
    <row r="282" spans="18:32" x14ac:dyDescent="0.25">
      <c r="R282" s="85" t="e">
        <f ca="1"/>
        <v>#N/A</v>
      </c>
      <c r="S282" s="57" t="e">
        <f t="shared" ca="1" si="65"/>
        <v>#N/A</v>
      </c>
      <c r="T282" s="57" t="e">
        <f t="shared" ca="1" si="59"/>
        <v>#N/A</v>
      </c>
      <c r="U282" s="57" t="e">
        <f t="shared" ca="1" si="60"/>
        <v>#N/A</v>
      </c>
      <c r="V282" s="57" t="e">
        <f t="shared" ca="1" si="61"/>
        <v>#N/A</v>
      </c>
      <c r="W282" s="57" t="e">
        <f t="shared" ca="1" si="66"/>
        <v>#N/A</v>
      </c>
      <c r="X282" t="e">
        <f t="shared" ca="1" si="62"/>
        <v>#N/A</v>
      </c>
      <c r="Y282" t="e">
        <f t="shared" ca="1" si="67"/>
        <v>#N/A</v>
      </c>
      <c r="Z282" t="e">
        <f t="shared" ca="1" si="63"/>
        <v>#N/A</v>
      </c>
      <c r="AA282" t="e">
        <f t="shared" ca="1" si="64"/>
        <v>#N/A</v>
      </c>
      <c r="AB282" s="85" t="e">
        <f ca="1"/>
        <v>#N/A</v>
      </c>
      <c r="AC282" s="57" t="e">
        <f t="shared" ca="1" si="68"/>
        <v>#N/A</v>
      </c>
      <c r="AD282" s="57" t="e">
        <f t="shared" ca="1" si="69"/>
        <v>#N/A</v>
      </c>
      <c r="AE282" s="57" t="e">
        <f t="shared" ca="1" si="70"/>
        <v>#N/A</v>
      </c>
      <c r="AF282" s="57" t="e">
        <f t="shared" ca="1" si="71"/>
        <v>#N/A</v>
      </c>
    </row>
    <row r="283" spans="18:32" x14ac:dyDescent="0.25">
      <c r="R283" s="85" t="e">
        <f ca="1"/>
        <v>#N/A</v>
      </c>
      <c r="S283" s="57" t="e">
        <f t="shared" ca="1" si="65"/>
        <v>#N/A</v>
      </c>
      <c r="T283" s="57" t="e">
        <f t="shared" ca="1" si="59"/>
        <v>#N/A</v>
      </c>
      <c r="U283" s="57" t="e">
        <f t="shared" ca="1" si="60"/>
        <v>#N/A</v>
      </c>
      <c r="V283" s="57" t="e">
        <f t="shared" ca="1" si="61"/>
        <v>#N/A</v>
      </c>
      <c r="W283" s="57" t="e">
        <f t="shared" ca="1" si="66"/>
        <v>#N/A</v>
      </c>
      <c r="X283" t="e">
        <f t="shared" ca="1" si="62"/>
        <v>#N/A</v>
      </c>
      <c r="Y283" t="e">
        <f t="shared" ca="1" si="67"/>
        <v>#N/A</v>
      </c>
      <c r="Z283" t="e">
        <f t="shared" ca="1" si="63"/>
        <v>#N/A</v>
      </c>
      <c r="AA283" t="e">
        <f t="shared" ca="1" si="64"/>
        <v>#N/A</v>
      </c>
      <c r="AB283" s="85" t="e">
        <f ca="1"/>
        <v>#N/A</v>
      </c>
      <c r="AC283" s="57" t="e">
        <f t="shared" ca="1" si="68"/>
        <v>#N/A</v>
      </c>
      <c r="AD283" s="57" t="e">
        <f t="shared" ca="1" si="69"/>
        <v>#N/A</v>
      </c>
      <c r="AE283" s="57" t="e">
        <f t="shared" ca="1" si="70"/>
        <v>#N/A</v>
      </c>
      <c r="AF283" s="57" t="e">
        <f t="shared" ca="1" si="71"/>
        <v>#N/A</v>
      </c>
    </row>
    <row r="284" spans="18:32" x14ac:dyDescent="0.25">
      <c r="R284" s="85" t="e">
        <f ca="1"/>
        <v>#N/A</v>
      </c>
      <c r="S284" s="57" t="e">
        <f t="shared" ca="1" si="65"/>
        <v>#N/A</v>
      </c>
      <c r="T284" s="57" t="e">
        <f t="shared" ca="1" si="59"/>
        <v>#N/A</v>
      </c>
      <c r="U284" s="57" t="e">
        <f t="shared" ca="1" si="60"/>
        <v>#N/A</v>
      </c>
      <c r="V284" s="57" t="e">
        <f t="shared" ca="1" si="61"/>
        <v>#N/A</v>
      </c>
      <c r="W284" s="57" t="e">
        <f t="shared" ca="1" si="66"/>
        <v>#N/A</v>
      </c>
      <c r="X284" t="e">
        <f t="shared" ca="1" si="62"/>
        <v>#N/A</v>
      </c>
      <c r="Y284" t="e">
        <f t="shared" ca="1" si="67"/>
        <v>#N/A</v>
      </c>
      <c r="Z284" t="e">
        <f t="shared" ca="1" si="63"/>
        <v>#N/A</v>
      </c>
      <c r="AA284" t="e">
        <f t="shared" ca="1" si="64"/>
        <v>#N/A</v>
      </c>
      <c r="AB284" s="85" t="e">
        <f ca="1"/>
        <v>#N/A</v>
      </c>
      <c r="AC284" s="57" t="e">
        <f t="shared" ca="1" si="68"/>
        <v>#N/A</v>
      </c>
      <c r="AD284" s="57" t="e">
        <f t="shared" ca="1" si="69"/>
        <v>#N/A</v>
      </c>
      <c r="AE284" s="57" t="e">
        <f t="shared" ca="1" si="70"/>
        <v>#N/A</v>
      </c>
      <c r="AF284" s="57" t="e">
        <f t="shared" ca="1" si="71"/>
        <v>#N/A</v>
      </c>
    </row>
    <row r="285" spans="18:32" x14ac:dyDescent="0.25">
      <c r="R285" s="85" t="e">
        <f ca="1"/>
        <v>#N/A</v>
      </c>
      <c r="S285" s="57" t="e">
        <f t="shared" ca="1" si="65"/>
        <v>#N/A</v>
      </c>
      <c r="T285" s="57" t="e">
        <f t="shared" ca="1" si="59"/>
        <v>#N/A</v>
      </c>
      <c r="U285" s="57" t="e">
        <f t="shared" ca="1" si="60"/>
        <v>#N/A</v>
      </c>
      <c r="V285" s="57" t="e">
        <f t="shared" ca="1" si="61"/>
        <v>#N/A</v>
      </c>
      <c r="W285" s="57" t="e">
        <f t="shared" ca="1" si="66"/>
        <v>#N/A</v>
      </c>
      <c r="X285" t="e">
        <f t="shared" ca="1" si="62"/>
        <v>#N/A</v>
      </c>
      <c r="Y285" t="e">
        <f t="shared" ca="1" si="67"/>
        <v>#N/A</v>
      </c>
      <c r="Z285" t="e">
        <f t="shared" ca="1" si="63"/>
        <v>#N/A</v>
      </c>
      <c r="AA285" t="e">
        <f t="shared" ca="1" si="64"/>
        <v>#N/A</v>
      </c>
      <c r="AB285" s="85" t="e">
        <f ca="1"/>
        <v>#N/A</v>
      </c>
      <c r="AC285" s="57" t="e">
        <f t="shared" ca="1" si="68"/>
        <v>#N/A</v>
      </c>
      <c r="AD285" s="57" t="e">
        <f t="shared" ca="1" si="69"/>
        <v>#N/A</v>
      </c>
      <c r="AE285" s="57" t="e">
        <f t="shared" ca="1" si="70"/>
        <v>#N/A</v>
      </c>
      <c r="AF285" s="57" t="e">
        <f t="shared" ca="1" si="71"/>
        <v>#N/A</v>
      </c>
    </row>
    <row r="286" spans="18:32" x14ac:dyDescent="0.25">
      <c r="R286" s="85" t="e">
        <f ca="1"/>
        <v>#N/A</v>
      </c>
      <c r="S286" s="57" t="e">
        <f t="shared" ca="1" si="65"/>
        <v>#N/A</v>
      </c>
      <c r="T286" s="57" t="e">
        <f t="shared" ca="1" si="59"/>
        <v>#N/A</v>
      </c>
      <c r="U286" s="57" t="e">
        <f t="shared" ca="1" si="60"/>
        <v>#N/A</v>
      </c>
      <c r="V286" s="57" t="e">
        <f t="shared" ca="1" si="61"/>
        <v>#N/A</v>
      </c>
      <c r="W286" s="57" t="e">
        <f t="shared" ca="1" si="66"/>
        <v>#N/A</v>
      </c>
      <c r="X286" t="e">
        <f t="shared" ca="1" si="62"/>
        <v>#N/A</v>
      </c>
      <c r="Y286" t="e">
        <f t="shared" ca="1" si="67"/>
        <v>#N/A</v>
      </c>
      <c r="Z286" t="e">
        <f t="shared" ca="1" si="63"/>
        <v>#N/A</v>
      </c>
      <c r="AA286" t="e">
        <f t="shared" ca="1" si="64"/>
        <v>#N/A</v>
      </c>
      <c r="AB286" s="85" t="e">
        <f ca="1"/>
        <v>#N/A</v>
      </c>
      <c r="AC286" s="57" t="e">
        <f t="shared" ca="1" si="68"/>
        <v>#N/A</v>
      </c>
      <c r="AD286" s="57" t="e">
        <f t="shared" ca="1" si="69"/>
        <v>#N/A</v>
      </c>
      <c r="AE286" s="57" t="e">
        <f t="shared" ca="1" si="70"/>
        <v>#N/A</v>
      </c>
      <c r="AF286" s="57" t="e">
        <f t="shared" ca="1" si="71"/>
        <v>#N/A</v>
      </c>
    </row>
    <row r="287" spans="18:32" x14ac:dyDescent="0.25">
      <c r="R287" s="85" t="e">
        <f ca="1"/>
        <v>#N/A</v>
      </c>
      <c r="S287" s="57" t="e">
        <f t="shared" ca="1" si="65"/>
        <v>#N/A</v>
      </c>
      <c r="T287" s="57" t="e">
        <f t="shared" ca="1" si="59"/>
        <v>#N/A</v>
      </c>
      <c r="U287" s="57" t="e">
        <f t="shared" ca="1" si="60"/>
        <v>#N/A</v>
      </c>
      <c r="V287" s="57" t="e">
        <f t="shared" ca="1" si="61"/>
        <v>#N/A</v>
      </c>
      <c r="W287" s="57" t="e">
        <f t="shared" ca="1" si="66"/>
        <v>#N/A</v>
      </c>
      <c r="X287" t="e">
        <f t="shared" ca="1" si="62"/>
        <v>#N/A</v>
      </c>
      <c r="Y287" t="e">
        <f t="shared" ca="1" si="67"/>
        <v>#N/A</v>
      </c>
      <c r="Z287" t="e">
        <f t="shared" ca="1" si="63"/>
        <v>#N/A</v>
      </c>
      <c r="AA287" t="e">
        <f t="shared" ca="1" si="64"/>
        <v>#N/A</v>
      </c>
      <c r="AB287" s="85" t="e">
        <f ca="1"/>
        <v>#N/A</v>
      </c>
      <c r="AC287" s="57" t="e">
        <f t="shared" ca="1" si="68"/>
        <v>#N/A</v>
      </c>
      <c r="AD287" s="57" t="e">
        <f t="shared" ca="1" si="69"/>
        <v>#N/A</v>
      </c>
      <c r="AE287" s="57" t="e">
        <f t="shared" ca="1" si="70"/>
        <v>#N/A</v>
      </c>
      <c r="AF287" s="57" t="e">
        <f t="shared" ca="1" si="71"/>
        <v>#N/A</v>
      </c>
    </row>
    <row r="288" spans="18:32" x14ac:dyDescent="0.25">
      <c r="R288" s="85" t="e">
        <f ca="1"/>
        <v>#N/A</v>
      </c>
      <c r="S288" s="57" t="e">
        <f t="shared" ca="1" si="65"/>
        <v>#N/A</v>
      </c>
      <c r="T288" s="57" t="e">
        <f t="shared" ca="1" si="59"/>
        <v>#N/A</v>
      </c>
      <c r="U288" s="57" t="e">
        <f t="shared" ca="1" si="60"/>
        <v>#N/A</v>
      </c>
      <c r="V288" s="57" t="e">
        <f t="shared" ca="1" si="61"/>
        <v>#N/A</v>
      </c>
      <c r="W288" s="57" t="e">
        <f t="shared" ca="1" si="66"/>
        <v>#N/A</v>
      </c>
      <c r="X288" t="e">
        <f t="shared" ca="1" si="62"/>
        <v>#N/A</v>
      </c>
      <c r="Y288" t="e">
        <f t="shared" ca="1" si="67"/>
        <v>#N/A</v>
      </c>
      <c r="Z288" t="e">
        <f t="shared" ca="1" si="63"/>
        <v>#N/A</v>
      </c>
      <c r="AA288" t="e">
        <f t="shared" ca="1" si="64"/>
        <v>#N/A</v>
      </c>
      <c r="AB288" s="85" t="e">
        <f ca="1"/>
        <v>#N/A</v>
      </c>
      <c r="AC288" s="57" t="e">
        <f t="shared" ca="1" si="68"/>
        <v>#N/A</v>
      </c>
      <c r="AD288" s="57" t="e">
        <f t="shared" ca="1" si="69"/>
        <v>#N/A</v>
      </c>
      <c r="AE288" s="57" t="e">
        <f t="shared" ca="1" si="70"/>
        <v>#N/A</v>
      </c>
      <c r="AF288" s="57" t="e">
        <f t="shared" ca="1" si="71"/>
        <v>#N/A</v>
      </c>
    </row>
    <row r="289" spans="18:32" x14ac:dyDescent="0.25">
      <c r="R289" s="85" t="e">
        <f ca="1"/>
        <v>#N/A</v>
      </c>
      <c r="S289" s="57" t="e">
        <f t="shared" ca="1" si="65"/>
        <v>#N/A</v>
      </c>
      <c r="T289" s="57" t="e">
        <f t="shared" ca="1" si="59"/>
        <v>#N/A</v>
      </c>
      <c r="U289" s="57" t="e">
        <f t="shared" ca="1" si="60"/>
        <v>#N/A</v>
      </c>
      <c r="V289" s="57" t="e">
        <f t="shared" ca="1" si="61"/>
        <v>#N/A</v>
      </c>
      <c r="W289" s="57" t="e">
        <f t="shared" ca="1" si="66"/>
        <v>#N/A</v>
      </c>
      <c r="X289" t="e">
        <f t="shared" ca="1" si="62"/>
        <v>#N/A</v>
      </c>
      <c r="Y289" t="e">
        <f t="shared" ca="1" si="67"/>
        <v>#N/A</v>
      </c>
      <c r="Z289" t="e">
        <f t="shared" ca="1" si="63"/>
        <v>#N/A</v>
      </c>
      <c r="AA289" t="e">
        <f t="shared" ca="1" si="64"/>
        <v>#N/A</v>
      </c>
      <c r="AB289" s="85" t="e">
        <f ca="1"/>
        <v>#N/A</v>
      </c>
      <c r="AC289" s="57" t="e">
        <f t="shared" ca="1" si="68"/>
        <v>#N/A</v>
      </c>
      <c r="AD289" s="57" t="e">
        <f t="shared" ca="1" si="69"/>
        <v>#N/A</v>
      </c>
      <c r="AE289" s="57" t="e">
        <f t="shared" ca="1" si="70"/>
        <v>#N/A</v>
      </c>
      <c r="AF289" s="57" t="e">
        <f t="shared" ca="1" si="71"/>
        <v>#N/A</v>
      </c>
    </row>
    <row r="290" spans="18:32" x14ac:dyDescent="0.25">
      <c r="R290" s="85" t="e">
        <f ca="1"/>
        <v>#N/A</v>
      </c>
      <c r="S290" s="57" t="e">
        <f t="shared" ca="1" si="65"/>
        <v>#N/A</v>
      </c>
      <c r="T290" s="57" t="e">
        <f t="shared" ca="1" si="59"/>
        <v>#N/A</v>
      </c>
      <c r="U290" s="57" t="e">
        <f t="shared" ca="1" si="60"/>
        <v>#N/A</v>
      </c>
      <c r="V290" s="57" t="e">
        <f t="shared" ca="1" si="61"/>
        <v>#N/A</v>
      </c>
      <c r="W290" s="57" t="e">
        <f t="shared" ca="1" si="66"/>
        <v>#N/A</v>
      </c>
      <c r="X290" t="e">
        <f t="shared" ca="1" si="62"/>
        <v>#N/A</v>
      </c>
      <c r="Y290" t="e">
        <f t="shared" ca="1" si="67"/>
        <v>#N/A</v>
      </c>
      <c r="Z290" t="e">
        <f t="shared" ca="1" si="63"/>
        <v>#N/A</v>
      </c>
      <c r="AA290" t="e">
        <f t="shared" ca="1" si="64"/>
        <v>#N/A</v>
      </c>
      <c r="AB290" s="85" t="e">
        <f ca="1"/>
        <v>#N/A</v>
      </c>
      <c r="AC290" s="57" t="e">
        <f t="shared" ca="1" si="68"/>
        <v>#N/A</v>
      </c>
      <c r="AD290" s="57" t="e">
        <f t="shared" ca="1" si="69"/>
        <v>#N/A</v>
      </c>
      <c r="AE290" s="57" t="e">
        <f t="shared" ca="1" si="70"/>
        <v>#N/A</v>
      </c>
      <c r="AF290" s="57" t="e">
        <f t="shared" ca="1" si="71"/>
        <v>#N/A</v>
      </c>
    </row>
    <row r="291" spans="18:32" x14ac:dyDescent="0.25">
      <c r="R291" s="85" t="e">
        <f ca="1"/>
        <v>#N/A</v>
      </c>
      <c r="S291" s="57" t="e">
        <f t="shared" ca="1" si="65"/>
        <v>#N/A</v>
      </c>
      <c r="T291" s="57" t="e">
        <f t="shared" ca="1" si="59"/>
        <v>#N/A</v>
      </c>
      <c r="U291" s="57" t="e">
        <f t="shared" ca="1" si="60"/>
        <v>#N/A</v>
      </c>
      <c r="V291" s="57" t="e">
        <f t="shared" ca="1" si="61"/>
        <v>#N/A</v>
      </c>
      <c r="W291" s="57" t="e">
        <f t="shared" ca="1" si="66"/>
        <v>#N/A</v>
      </c>
      <c r="X291" t="e">
        <f t="shared" ca="1" si="62"/>
        <v>#N/A</v>
      </c>
      <c r="Y291" t="e">
        <f t="shared" ca="1" si="67"/>
        <v>#N/A</v>
      </c>
      <c r="Z291" t="e">
        <f t="shared" ca="1" si="63"/>
        <v>#N/A</v>
      </c>
      <c r="AA291" t="e">
        <f t="shared" ca="1" si="64"/>
        <v>#N/A</v>
      </c>
      <c r="AB291" s="85" t="e">
        <f ca="1"/>
        <v>#N/A</v>
      </c>
      <c r="AC291" s="57" t="e">
        <f t="shared" ca="1" si="68"/>
        <v>#N/A</v>
      </c>
      <c r="AD291" s="57" t="e">
        <f t="shared" ca="1" si="69"/>
        <v>#N/A</v>
      </c>
      <c r="AE291" s="57" t="e">
        <f t="shared" ca="1" si="70"/>
        <v>#N/A</v>
      </c>
      <c r="AF291" s="57" t="e">
        <f t="shared" ca="1" si="71"/>
        <v>#N/A</v>
      </c>
    </row>
    <row r="292" spans="18:32" x14ac:dyDescent="0.25">
      <c r="R292" s="85" t="e">
        <f ca="1"/>
        <v>#N/A</v>
      </c>
      <c r="S292" s="57" t="e">
        <f t="shared" ca="1" si="65"/>
        <v>#N/A</v>
      </c>
      <c r="T292" s="57" t="e">
        <f t="shared" ca="1" si="59"/>
        <v>#N/A</v>
      </c>
      <c r="U292" s="57" t="e">
        <f t="shared" ca="1" si="60"/>
        <v>#N/A</v>
      </c>
      <c r="V292" s="57" t="e">
        <f t="shared" ca="1" si="61"/>
        <v>#N/A</v>
      </c>
      <c r="W292" s="57" t="e">
        <f t="shared" ca="1" si="66"/>
        <v>#N/A</v>
      </c>
      <c r="X292" t="e">
        <f t="shared" ca="1" si="62"/>
        <v>#N/A</v>
      </c>
      <c r="Y292" t="e">
        <f t="shared" ca="1" si="67"/>
        <v>#N/A</v>
      </c>
      <c r="Z292" t="e">
        <f t="shared" ca="1" si="63"/>
        <v>#N/A</v>
      </c>
      <c r="AA292" t="e">
        <f t="shared" ca="1" si="64"/>
        <v>#N/A</v>
      </c>
      <c r="AB292" s="85" t="e">
        <f ca="1"/>
        <v>#N/A</v>
      </c>
      <c r="AC292" s="57" t="e">
        <f t="shared" ca="1" si="68"/>
        <v>#N/A</v>
      </c>
      <c r="AD292" s="57" t="e">
        <f t="shared" ca="1" si="69"/>
        <v>#N/A</v>
      </c>
      <c r="AE292" s="57" t="e">
        <f t="shared" ca="1" si="70"/>
        <v>#N/A</v>
      </c>
      <c r="AF292" s="57" t="e">
        <f t="shared" ca="1" si="71"/>
        <v>#N/A</v>
      </c>
    </row>
    <row r="293" spans="18:32" x14ac:dyDescent="0.25">
      <c r="R293" s="85" t="e">
        <f ca="1"/>
        <v>#N/A</v>
      </c>
      <c r="S293" s="57" t="e">
        <f t="shared" ca="1" si="65"/>
        <v>#N/A</v>
      </c>
      <c r="T293" s="57" t="e">
        <f t="shared" ca="1" si="59"/>
        <v>#N/A</v>
      </c>
      <c r="U293" s="57" t="e">
        <f t="shared" ca="1" si="60"/>
        <v>#N/A</v>
      </c>
      <c r="V293" s="57" t="e">
        <f t="shared" ca="1" si="61"/>
        <v>#N/A</v>
      </c>
      <c r="W293" s="57" t="e">
        <f t="shared" ca="1" si="66"/>
        <v>#N/A</v>
      </c>
      <c r="X293" t="e">
        <f t="shared" ca="1" si="62"/>
        <v>#N/A</v>
      </c>
      <c r="Y293" t="e">
        <f t="shared" ca="1" si="67"/>
        <v>#N/A</v>
      </c>
      <c r="Z293" t="e">
        <f t="shared" ca="1" si="63"/>
        <v>#N/A</v>
      </c>
      <c r="AA293" t="e">
        <f t="shared" ca="1" si="64"/>
        <v>#N/A</v>
      </c>
      <c r="AB293" s="85" t="e">
        <f ca="1"/>
        <v>#N/A</v>
      </c>
      <c r="AC293" s="57" t="e">
        <f t="shared" ca="1" si="68"/>
        <v>#N/A</v>
      </c>
      <c r="AD293" s="57" t="e">
        <f t="shared" ca="1" si="69"/>
        <v>#N/A</v>
      </c>
      <c r="AE293" s="57" t="e">
        <f t="shared" ca="1" si="70"/>
        <v>#N/A</v>
      </c>
      <c r="AF293" s="57" t="e">
        <f t="shared" ca="1" si="71"/>
        <v>#N/A</v>
      </c>
    </row>
    <row r="294" spans="18:32" x14ac:dyDescent="0.25">
      <c r="R294" s="85" t="e">
        <f ca="1"/>
        <v>#N/A</v>
      </c>
      <c r="S294" s="57" t="e">
        <f t="shared" ca="1" si="65"/>
        <v>#N/A</v>
      </c>
      <c r="T294" s="57" t="e">
        <f t="shared" ca="1" si="59"/>
        <v>#N/A</v>
      </c>
      <c r="U294" s="57" t="e">
        <f t="shared" ca="1" si="60"/>
        <v>#N/A</v>
      </c>
      <c r="V294" s="57" t="e">
        <f t="shared" ca="1" si="61"/>
        <v>#N/A</v>
      </c>
      <c r="W294" s="57" t="e">
        <f t="shared" ca="1" si="66"/>
        <v>#N/A</v>
      </c>
      <c r="X294" t="e">
        <f t="shared" ca="1" si="62"/>
        <v>#N/A</v>
      </c>
      <c r="Y294" t="e">
        <f t="shared" ca="1" si="67"/>
        <v>#N/A</v>
      </c>
      <c r="Z294" t="e">
        <f t="shared" ca="1" si="63"/>
        <v>#N/A</v>
      </c>
      <c r="AA294" t="e">
        <f t="shared" ca="1" si="64"/>
        <v>#N/A</v>
      </c>
      <c r="AB294" s="85" t="e">
        <f ca="1"/>
        <v>#N/A</v>
      </c>
      <c r="AC294" s="57" t="e">
        <f t="shared" ca="1" si="68"/>
        <v>#N/A</v>
      </c>
      <c r="AD294" s="57" t="e">
        <f t="shared" ca="1" si="69"/>
        <v>#N/A</v>
      </c>
      <c r="AE294" s="57" t="e">
        <f t="shared" ca="1" si="70"/>
        <v>#N/A</v>
      </c>
      <c r="AF294" s="57" t="e">
        <f t="shared" ca="1" si="71"/>
        <v>#N/A</v>
      </c>
    </row>
    <row r="295" spans="18:32" x14ac:dyDescent="0.25">
      <c r="R295" s="85" t="e">
        <f ca="1"/>
        <v>#N/A</v>
      </c>
      <c r="S295" s="57" t="e">
        <f t="shared" ca="1" si="65"/>
        <v>#N/A</v>
      </c>
      <c r="T295" s="57" t="e">
        <f t="shared" ca="1" si="59"/>
        <v>#N/A</v>
      </c>
      <c r="U295" s="57" t="e">
        <f t="shared" ca="1" si="60"/>
        <v>#N/A</v>
      </c>
      <c r="V295" s="57" t="e">
        <f t="shared" ca="1" si="61"/>
        <v>#N/A</v>
      </c>
      <c r="W295" s="57" t="e">
        <f t="shared" ca="1" si="66"/>
        <v>#N/A</v>
      </c>
      <c r="X295" t="e">
        <f t="shared" ca="1" si="62"/>
        <v>#N/A</v>
      </c>
      <c r="Y295" t="e">
        <f t="shared" ca="1" si="67"/>
        <v>#N/A</v>
      </c>
      <c r="Z295" t="e">
        <f t="shared" ca="1" si="63"/>
        <v>#N/A</v>
      </c>
      <c r="AA295" t="e">
        <f t="shared" ca="1" si="64"/>
        <v>#N/A</v>
      </c>
      <c r="AB295" s="85" t="e">
        <f ca="1"/>
        <v>#N/A</v>
      </c>
      <c r="AC295" s="57" t="e">
        <f t="shared" ca="1" si="68"/>
        <v>#N/A</v>
      </c>
      <c r="AD295" s="57" t="e">
        <f t="shared" ca="1" si="69"/>
        <v>#N/A</v>
      </c>
      <c r="AE295" s="57" t="e">
        <f t="shared" ca="1" si="70"/>
        <v>#N/A</v>
      </c>
      <c r="AF295" s="57" t="e">
        <f t="shared" ca="1" si="71"/>
        <v>#N/A</v>
      </c>
    </row>
    <row r="296" spans="18:32" x14ac:dyDescent="0.25">
      <c r="R296" s="85" t="e">
        <f ca="1"/>
        <v>#N/A</v>
      </c>
      <c r="S296" s="57" t="e">
        <f t="shared" ca="1" si="65"/>
        <v>#N/A</v>
      </c>
      <c r="T296" s="57" t="e">
        <f t="shared" ca="1" si="59"/>
        <v>#N/A</v>
      </c>
      <c r="U296" s="57" t="e">
        <f t="shared" ca="1" si="60"/>
        <v>#N/A</v>
      </c>
      <c r="V296" s="57" t="e">
        <f t="shared" ca="1" si="61"/>
        <v>#N/A</v>
      </c>
      <c r="W296" s="57" t="e">
        <f t="shared" ca="1" si="66"/>
        <v>#N/A</v>
      </c>
      <c r="X296" t="e">
        <f t="shared" ca="1" si="62"/>
        <v>#N/A</v>
      </c>
      <c r="Y296" t="e">
        <f t="shared" ca="1" si="67"/>
        <v>#N/A</v>
      </c>
      <c r="Z296" t="e">
        <f t="shared" ca="1" si="63"/>
        <v>#N/A</v>
      </c>
      <c r="AA296" t="e">
        <f t="shared" ca="1" si="64"/>
        <v>#N/A</v>
      </c>
      <c r="AB296" s="85" t="e">
        <f ca="1"/>
        <v>#N/A</v>
      </c>
      <c r="AC296" s="57" t="e">
        <f t="shared" ca="1" si="68"/>
        <v>#N/A</v>
      </c>
      <c r="AD296" s="57" t="e">
        <f t="shared" ca="1" si="69"/>
        <v>#N/A</v>
      </c>
      <c r="AE296" s="57" t="e">
        <f t="shared" ca="1" si="70"/>
        <v>#N/A</v>
      </c>
      <c r="AF296" s="57" t="e">
        <f t="shared" ca="1" si="71"/>
        <v>#N/A</v>
      </c>
    </row>
    <row r="297" spans="18:32" x14ac:dyDescent="0.25">
      <c r="R297" s="85" t="e">
        <f ca="1"/>
        <v>#N/A</v>
      </c>
      <c r="S297" s="57" t="e">
        <f t="shared" ca="1" si="65"/>
        <v>#N/A</v>
      </c>
      <c r="T297" s="57" t="e">
        <f t="shared" ca="1" si="59"/>
        <v>#N/A</v>
      </c>
      <c r="U297" s="57" t="e">
        <f t="shared" ca="1" si="60"/>
        <v>#N/A</v>
      </c>
      <c r="V297" s="57" t="e">
        <f t="shared" ca="1" si="61"/>
        <v>#N/A</v>
      </c>
      <c r="W297" s="57" t="e">
        <f t="shared" ca="1" si="66"/>
        <v>#N/A</v>
      </c>
      <c r="X297" t="e">
        <f t="shared" ca="1" si="62"/>
        <v>#N/A</v>
      </c>
      <c r="Y297" t="e">
        <f t="shared" ca="1" si="67"/>
        <v>#N/A</v>
      </c>
      <c r="Z297" t="e">
        <f t="shared" ca="1" si="63"/>
        <v>#N/A</v>
      </c>
      <c r="AA297" t="e">
        <f t="shared" ca="1" si="64"/>
        <v>#N/A</v>
      </c>
      <c r="AB297" s="85" t="e">
        <f ca="1"/>
        <v>#N/A</v>
      </c>
      <c r="AC297" s="57" t="e">
        <f t="shared" ca="1" si="68"/>
        <v>#N/A</v>
      </c>
      <c r="AD297" s="57" t="e">
        <f t="shared" ca="1" si="69"/>
        <v>#N/A</v>
      </c>
      <c r="AE297" s="57" t="e">
        <f t="shared" ca="1" si="70"/>
        <v>#N/A</v>
      </c>
      <c r="AF297" s="57" t="e">
        <f t="shared" ca="1" si="71"/>
        <v>#N/A</v>
      </c>
    </row>
    <row r="298" spans="18:32" x14ac:dyDescent="0.25">
      <c r="R298" s="85" t="e">
        <f ca="1"/>
        <v>#N/A</v>
      </c>
      <c r="S298" s="57" t="e">
        <f t="shared" ca="1" si="65"/>
        <v>#N/A</v>
      </c>
      <c r="T298" s="57" t="e">
        <f t="shared" ca="1" si="59"/>
        <v>#N/A</v>
      </c>
      <c r="U298" s="57" t="e">
        <f t="shared" ca="1" si="60"/>
        <v>#N/A</v>
      </c>
      <c r="V298" s="57" t="e">
        <f t="shared" ca="1" si="61"/>
        <v>#N/A</v>
      </c>
      <c r="W298" s="57" t="e">
        <f t="shared" ca="1" si="66"/>
        <v>#N/A</v>
      </c>
      <c r="X298" t="e">
        <f t="shared" ca="1" si="62"/>
        <v>#N/A</v>
      </c>
      <c r="Y298" t="e">
        <f t="shared" ca="1" si="67"/>
        <v>#N/A</v>
      </c>
      <c r="Z298" t="e">
        <f t="shared" ca="1" si="63"/>
        <v>#N/A</v>
      </c>
      <c r="AA298" t="e">
        <f t="shared" ca="1" si="64"/>
        <v>#N/A</v>
      </c>
      <c r="AB298" s="85" t="e">
        <f ca="1"/>
        <v>#N/A</v>
      </c>
      <c r="AC298" s="57" t="e">
        <f t="shared" ca="1" si="68"/>
        <v>#N/A</v>
      </c>
      <c r="AD298" s="57" t="e">
        <f t="shared" ca="1" si="69"/>
        <v>#N/A</v>
      </c>
      <c r="AE298" s="57" t="e">
        <f t="shared" ca="1" si="70"/>
        <v>#N/A</v>
      </c>
      <c r="AF298" s="57" t="e">
        <f t="shared" ca="1" si="71"/>
        <v>#N/A</v>
      </c>
    </row>
    <row r="299" spans="18:32" x14ac:dyDescent="0.25">
      <c r="R299" s="85" t="e">
        <f ca="1"/>
        <v>#N/A</v>
      </c>
      <c r="S299" s="57" t="e">
        <f t="shared" ca="1" si="65"/>
        <v>#N/A</v>
      </c>
      <c r="T299" s="57" t="e">
        <f t="shared" ca="1" si="59"/>
        <v>#N/A</v>
      </c>
      <c r="U299" s="57" t="e">
        <f t="shared" ca="1" si="60"/>
        <v>#N/A</v>
      </c>
      <c r="V299" s="57" t="e">
        <f t="shared" ca="1" si="61"/>
        <v>#N/A</v>
      </c>
      <c r="W299" s="57" t="e">
        <f t="shared" ca="1" si="66"/>
        <v>#N/A</v>
      </c>
      <c r="X299" t="e">
        <f t="shared" ca="1" si="62"/>
        <v>#N/A</v>
      </c>
      <c r="Y299" t="e">
        <f t="shared" ca="1" si="67"/>
        <v>#N/A</v>
      </c>
      <c r="Z299" t="e">
        <f t="shared" ca="1" si="63"/>
        <v>#N/A</v>
      </c>
      <c r="AA299" t="e">
        <f t="shared" ca="1" si="64"/>
        <v>#N/A</v>
      </c>
      <c r="AB299" s="85" t="e">
        <f ca="1"/>
        <v>#N/A</v>
      </c>
      <c r="AC299" s="57" t="e">
        <f t="shared" ca="1" si="68"/>
        <v>#N/A</v>
      </c>
      <c r="AD299" s="57" t="e">
        <f t="shared" ca="1" si="69"/>
        <v>#N/A</v>
      </c>
      <c r="AE299" s="57" t="e">
        <f t="shared" ca="1" si="70"/>
        <v>#N/A</v>
      </c>
      <c r="AF299" s="57" t="e">
        <f t="shared" ca="1" si="71"/>
        <v>#N/A</v>
      </c>
    </row>
    <row r="300" spans="18:32" x14ac:dyDescent="0.25">
      <c r="R300" s="85" t="e">
        <f ca="1"/>
        <v>#N/A</v>
      </c>
      <c r="S300" s="57" t="e">
        <f t="shared" ca="1" si="65"/>
        <v>#N/A</v>
      </c>
      <c r="T300" s="57" t="e">
        <f t="shared" ca="1" si="59"/>
        <v>#N/A</v>
      </c>
      <c r="U300" s="57" t="e">
        <f t="shared" ca="1" si="60"/>
        <v>#N/A</v>
      </c>
      <c r="V300" s="57" t="e">
        <f t="shared" ca="1" si="61"/>
        <v>#N/A</v>
      </c>
      <c r="W300" s="57" t="e">
        <f t="shared" ca="1" si="66"/>
        <v>#N/A</v>
      </c>
      <c r="X300" t="e">
        <f t="shared" ca="1" si="62"/>
        <v>#N/A</v>
      </c>
      <c r="Y300" t="e">
        <f t="shared" ca="1" si="67"/>
        <v>#N/A</v>
      </c>
      <c r="Z300" t="e">
        <f t="shared" ca="1" si="63"/>
        <v>#N/A</v>
      </c>
      <c r="AA300" t="e">
        <f t="shared" ca="1" si="64"/>
        <v>#N/A</v>
      </c>
      <c r="AB300" s="85" t="e">
        <f ca="1"/>
        <v>#N/A</v>
      </c>
      <c r="AC300" s="57" t="e">
        <f t="shared" ca="1" si="68"/>
        <v>#N/A</v>
      </c>
      <c r="AD300" s="57" t="e">
        <f t="shared" ca="1" si="69"/>
        <v>#N/A</v>
      </c>
      <c r="AE300" s="57" t="e">
        <f t="shared" ca="1" si="70"/>
        <v>#N/A</v>
      </c>
      <c r="AF300" s="57" t="e">
        <f t="shared" ca="1" si="71"/>
        <v>#N/A</v>
      </c>
    </row>
    <row r="301" spans="18:32" x14ac:dyDescent="0.25">
      <c r="R301" s="85" t="e">
        <f ca="1"/>
        <v>#N/A</v>
      </c>
      <c r="S301" s="57" t="e">
        <f t="shared" ca="1" si="65"/>
        <v>#N/A</v>
      </c>
      <c r="T301" s="57" t="e">
        <f t="shared" ca="1" si="59"/>
        <v>#N/A</v>
      </c>
      <c r="U301" s="57" t="e">
        <f t="shared" ca="1" si="60"/>
        <v>#N/A</v>
      </c>
      <c r="V301" s="57" t="e">
        <f t="shared" ca="1" si="61"/>
        <v>#N/A</v>
      </c>
      <c r="W301" s="57" t="e">
        <f t="shared" ca="1" si="66"/>
        <v>#N/A</v>
      </c>
      <c r="X301" t="e">
        <f t="shared" ca="1" si="62"/>
        <v>#N/A</v>
      </c>
      <c r="Y301" t="e">
        <f t="shared" ca="1" si="67"/>
        <v>#N/A</v>
      </c>
      <c r="Z301" t="e">
        <f t="shared" ca="1" si="63"/>
        <v>#N/A</v>
      </c>
      <c r="AA301" t="e">
        <f t="shared" ca="1" si="64"/>
        <v>#N/A</v>
      </c>
      <c r="AB301" s="85" t="e">
        <f ca="1"/>
        <v>#N/A</v>
      </c>
      <c r="AC301" s="57" t="e">
        <f t="shared" ca="1" si="68"/>
        <v>#N/A</v>
      </c>
      <c r="AD301" s="57" t="e">
        <f t="shared" ca="1" si="69"/>
        <v>#N/A</v>
      </c>
      <c r="AE301" s="57" t="e">
        <f t="shared" ca="1" si="70"/>
        <v>#N/A</v>
      </c>
      <c r="AF301" s="57" t="e">
        <f t="shared" ca="1" si="71"/>
        <v>#N/A</v>
      </c>
    </row>
    <row r="302" spans="18:32" x14ac:dyDescent="0.25">
      <c r="R302" s="85" t="e">
        <f ca="1"/>
        <v>#N/A</v>
      </c>
      <c r="S302" s="57" t="e">
        <f t="shared" ca="1" si="65"/>
        <v>#N/A</v>
      </c>
      <c r="T302" s="57" t="e">
        <f t="shared" ca="1" si="59"/>
        <v>#N/A</v>
      </c>
      <c r="U302" s="57" t="e">
        <f t="shared" ca="1" si="60"/>
        <v>#N/A</v>
      </c>
      <c r="V302" s="57" t="e">
        <f t="shared" ca="1" si="61"/>
        <v>#N/A</v>
      </c>
      <c r="W302" s="57" t="e">
        <f t="shared" ca="1" si="66"/>
        <v>#N/A</v>
      </c>
      <c r="X302" t="e">
        <f t="shared" ca="1" si="62"/>
        <v>#N/A</v>
      </c>
      <c r="Y302" t="e">
        <f t="shared" ca="1" si="67"/>
        <v>#N/A</v>
      </c>
      <c r="Z302" t="e">
        <f t="shared" ca="1" si="63"/>
        <v>#N/A</v>
      </c>
      <c r="AA302" t="e">
        <f t="shared" ca="1" si="64"/>
        <v>#N/A</v>
      </c>
      <c r="AB302" s="85" t="e">
        <f ca="1"/>
        <v>#N/A</v>
      </c>
      <c r="AC302" s="57" t="e">
        <f t="shared" ca="1" si="68"/>
        <v>#N/A</v>
      </c>
      <c r="AD302" s="57" t="e">
        <f t="shared" ca="1" si="69"/>
        <v>#N/A</v>
      </c>
      <c r="AE302" s="57" t="e">
        <f t="shared" ca="1" si="70"/>
        <v>#N/A</v>
      </c>
      <c r="AF302" s="57" t="e">
        <f t="shared" ca="1" si="71"/>
        <v>#N/A</v>
      </c>
    </row>
    <row r="303" spans="18:32" x14ac:dyDescent="0.25">
      <c r="R303" s="85" t="e">
        <f ca="1"/>
        <v>#N/A</v>
      </c>
      <c r="S303" s="57" t="e">
        <f t="shared" ca="1" si="65"/>
        <v>#N/A</v>
      </c>
      <c r="T303" s="57" t="e">
        <f t="shared" ca="1" si="59"/>
        <v>#N/A</v>
      </c>
      <c r="U303" s="57" t="e">
        <f t="shared" ca="1" si="60"/>
        <v>#N/A</v>
      </c>
      <c r="V303" s="57" t="e">
        <f t="shared" ca="1" si="61"/>
        <v>#N/A</v>
      </c>
      <c r="W303" s="57" t="e">
        <f t="shared" ca="1" si="66"/>
        <v>#N/A</v>
      </c>
      <c r="X303" t="e">
        <f t="shared" ca="1" si="62"/>
        <v>#N/A</v>
      </c>
      <c r="Y303" t="e">
        <f t="shared" ca="1" si="67"/>
        <v>#N/A</v>
      </c>
      <c r="Z303" t="e">
        <f t="shared" ca="1" si="63"/>
        <v>#N/A</v>
      </c>
      <c r="AA303" t="e">
        <f t="shared" ca="1" si="64"/>
        <v>#N/A</v>
      </c>
      <c r="AB303" s="85" t="e">
        <f ca="1"/>
        <v>#N/A</v>
      </c>
      <c r="AC303" s="57" t="e">
        <f t="shared" ca="1" si="68"/>
        <v>#N/A</v>
      </c>
      <c r="AD303" s="57" t="e">
        <f t="shared" ca="1" si="69"/>
        <v>#N/A</v>
      </c>
      <c r="AE303" s="57" t="e">
        <f t="shared" ca="1" si="70"/>
        <v>#N/A</v>
      </c>
      <c r="AF303" s="57" t="e">
        <f t="shared" ca="1" si="71"/>
        <v>#N/A</v>
      </c>
    </row>
    <row r="304" spans="18:32" x14ac:dyDescent="0.25">
      <c r="R304" s="85" t="e">
        <f ca="1"/>
        <v>#N/A</v>
      </c>
      <c r="S304" s="57" t="e">
        <f t="shared" ca="1" si="65"/>
        <v>#N/A</v>
      </c>
      <c r="T304" s="57" t="e">
        <f t="shared" ca="1" si="59"/>
        <v>#N/A</v>
      </c>
      <c r="U304" s="57" t="e">
        <f t="shared" ca="1" si="60"/>
        <v>#N/A</v>
      </c>
      <c r="V304" s="57" t="e">
        <f t="shared" ca="1" si="61"/>
        <v>#N/A</v>
      </c>
      <c r="W304" s="57" t="e">
        <f t="shared" ca="1" si="66"/>
        <v>#N/A</v>
      </c>
      <c r="X304" t="e">
        <f t="shared" ca="1" si="62"/>
        <v>#N/A</v>
      </c>
      <c r="Y304" t="e">
        <f t="shared" ca="1" si="67"/>
        <v>#N/A</v>
      </c>
      <c r="Z304" t="e">
        <f t="shared" ca="1" si="63"/>
        <v>#N/A</v>
      </c>
      <c r="AA304" t="e">
        <f t="shared" ca="1" si="64"/>
        <v>#N/A</v>
      </c>
      <c r="AB304" s="85" t="e">
        <f ca="1"/>
        <v>#N/A</v>
      </c>
      <c r="AC304" s="57" t="e">
        <f t="shared" ca="1" si="68"/>
        <v>#N/A</v>
      </c>
      <c r="AD304" s="57" t="e">
        <f t="shared" ca="1" si="69"/>
        <v>#N/A</v>
      </c>
      <c r="AE304" s="57" t="e">
        <f t="shared" ca="1" si="70"/>
        <v>#N/A</v>
      </c>
      <c r="AF304" s="57" t="e">
        <f t="shared" ca="1" si="71"/>
        <v>#N/A</v>
      </c>
    </row>
    <row r="305" spans="18:32" x14ac:dyDescent="0.25">
      <c r="R305" s="85" t="e">
        <f ca="1"/>
        <v>#N/A</v>
      </c>
      <c r="S305" s="57" t="e">
        <f t="shared" ca="1" si="65"/>
        <v>#N/A</v>
      </c>
      <c r="T305" s="57" t="e">
        <f t="shared" ca="1" si="59"/>
        <v>#N/A</v>
      </c>
      <c r="U305" s="57" t="e">
        <f t="shared" ca="1" si="60"/>
        <v>#N/A</v>
      </c>
      <c r="V305" s="57" t="e">
        <f t="shared" ca="1" si="61"/>
        <v>#N/A</v>
      </c>
      <c r="W305" s="57" t="e">
        <f t="shared" ca="1" si="66"/>
        <v>#N/A</v>
      </c>
      <c r="X305" t="e">
        <f t="shared" ca="1" si="62"/>
        <v>#N/A</v>
      </c>
      <c r="Y305" t="e">
        <f t="shared" ca="1" si="67"/>
        <v>#N/A</v>
      </c>
      <c r="Z305" t="e">
        <f t="shared" ca="1" si="63"/>
        <v>#N/A</v>
      </c>
      <c r="AA305" t="e">
        <f t="shared" ca="1" si="64"/>
        <v>#N/A</v>
      </c>
      <c r="AB305" s="85" t="e">
        <f ca="1"/>
        <v>#N/A</v>
      </c>
      <c r="AC305" s="57" t="e">
        <f t="shared" ca="1" si="68"/>
        <v>#N/A</v>
      </c>
      <c r="AD305" s="57" t="e">
        <f t="shared" ca="1" si="69"/>
        <v>#N/A</v>
      </c>
      <c r="AE305" s="57" t="e">
        <f t="shared" ca="1" si="70"/>
        <v>#N/A</v>
      </c>
      <c r="AF305" s="57" t="e">
        <f t="shared" ca="1" si="71"/>
        <v>#N/A</v>
      </c>
    </row>
    <row r="306" spans="18:32" x14ac:dyDescent="0.25">
      <c r="R306" s="85" t="e">
        <f ca="1"/>
        <v>#N/A</v>
      </c>
      <c r="S306" s="57" t="e">
        <f t="shared" ca="1" si="65"/>
        <v>#N/A</v>
      </c>
      <c r="T306" s="57" t="e">
        <f t="shared" ca="1" si="59"/>
        <v>#N/A</v>
      </c>
      <c r="U306" s="57" t="e">
        <f t="shared" ca="1" si="60"/>
        <v>#N/A</v>
      </c>
      <c r="V306" s="57" t="e">
        <f t="shared" ca="1" si="61"/>
        <v>#N/A</v>
      </c>
      <c r="W306" s="57" t="e">
        <f t="shared" ca="1" si="66"/>
        <v>#N/A</v>
      </c>
      <c r="X306" t="e">
        <f t="shared" ca="1" si="62"/>
        <v>#N/A</v>
      </c>
      <c r="Y306" t="e">
        <f t="shared" ca="1" si="67"/>
        <v>#N/A</v>
      </c>
      <c r="Z306" t="e">
        <f t="shared" ca="1" si="63"/>
        <v>#N/A</v>
      </c>
      <c r="AA306" t="e">
        <f t="shared" ca="1" si="64"/>
        <v>#N/A</v>
      </c>
      <c r="AB306" s="85" t="e">
        <f ca="1"/>
        <v>#N/A</v>
      </c>
      <c r="AC306" s="57" t="e">
        <f t="shared" ca="1" si="68"/>
        <v>#N/A</v>
      </c>
      <c r="AD306" s="57" t="e">
        <f t="shared" ca="1" si="69"/>
        <v>#N/A</v>
      </c>
      <c r="AE306" s="57" t="e">
        <f t="shared" ca="1" si="70"/>
        <v>#N/A</v>
      </c>
      <c r="AF306" s="57" t="e">
        <f t="shared" ca="1" si="71"/>
        <v>#N/A</v>
      </c>
    </row>
    <row r="307" spans="18:32" x14ac:dyDescent="0.25">
      <c r="R307" s="85" t="e">
        <f ca="1"/>
        <v>#N/A</v>
      </c>
      <c r="S307" s="57" t="e">
        <f t="shared" ca="1" si="65"/>
        <v>#N/A</v>
      </c>
      <c r="T307" s="57" t="e">
        <f t="shared" ca="1" si="59"/>
        <v>#N/A</v>
      </c>
      <c r="U307" s="57" t="e">
        <f t="shared" ca="1" si="60"/>
        <v>#N/A</v>
      </c>
      <c r="V307" s="57" t="e">
        <f t="shared" ca="1" si="61"/>
        <v>#N/A</v>
      </c>
      <c r="W307" s="57" t="e">
        <f t="shared" ca="1" si="66"/>
        <v>#N/A</v>
      </c>
      <c r="X307" t="e">
        <f t="shared" ca="1" si="62"/>
        <v>#N/A</v>
      </c>
      <c r="Y307" t="e">
        <f t="shared" ca="1" si="67"/>
        <v>#N/A</v>
      </c>
      <c r="Z307" t="e">
        <f t="shared" ca="1" si="63"/>
        <v>#N/A</v>
      </c>
      <c r="AA307" t="e">
        <f t="shared" ca="1" si="64"/>
        <v>#N/A</v>
      </c>
      <c r="AB307" s="85" t="e">
        <f ca="1"/>
        <v>#N/A</v>
      </c>
      <c r="AC307" s="57" t="e">
        <f t="shared" ca="1" si="68"/>
        <v>#N/A</v>
      </c>
      <c r="AD307" s="57" t="e">
        <f t="shared" ca="1" si="69"/>
        <v>#N/A</v>
      </c>
      <c r="AE307" s="57" t="e">
        <f t="shared" ca="1" si="70"/>
        <v>#N/A</v>
      </c>
      <c r="AF307" s="57" t="e">
        <f t="shared" ca="1" si="71"/>
        <v>#N/A</v>
      </c>
    </row>
    <row r="308" spans="18:32" x14ac:dyDescent="0.25">
      <c r="R308" s="85" t="e">
        <f ca="1"/>
        <v>#N/A</v>
      </c>
      <c r="S308" s="57" t="e">
        <f t="shared" ca="1" si="65"/>
        <v>#N/A</v>
      </c>
      <c r="T308" s="57" t="e">
        <f t="shared" ca="1" si="59"/>
        <v>#N/A</v>
      </c>
      <c r="U308" s="57" t="e">
        <f t="shared" ca="1" si="60"/>
        <v>#N/A</v>
      </c>
      <c r="V308" s="57" t="e">
        <f t="shared" ca="1" si="61"/>
        <v>#N/A</v>
      </c>
      <c r="W308" s="57" t="e">
        <f t="shared" ca="1" si="66"/>
        <v>#N/A</v>
      </c>
      <c r="X308" t="e">
        <f t="shared" ca="1" si="62"/>
        <v>#N/A</v>
      </c>
      <c r="Y308" t="e">
        <f t="shared" ca="1" si="67"/>
        <v>#N/A</v>
      </c>
      <c r="Z308" t="e">
        <f t="shared" ca="1" si="63"/>
        <v>#N/A</v>
      </c>
      <c r="AA308" t="e">
        <f t="shared" ca="1" si="64"/>
        <v>#N/A</v>
      </c>
      <c r="AB308" s="85" t="e">
        <f ca="1"/>
        <v>#N/A</v>
      </c>
      <c r="AC308" s="57" t="e">
        <f t="shared" ca="1" si="68"/>
        <v>#N/A</v>
      </c>
      <c r="AD308" s="57" t="e">
        <f t="shared" ca="1" si="69"/>
        <v>#N/A</v>
      </c>
      <c r="AE308" s="57" t="e">
        <f t="shared" ca="1" si="70"/>
        <v>#N/A</v>
      </c>
      <c r="AF308" s="57" t="e">
        <f t="shared" ca="1" si="71"/>
        <v>#N/A</v>
      </c>
    </row>
    <row r="309" spans="18:32" x14ac:dyDescent="0.25">
      <c r="R309" s="85" t="e">
        <f ca="1"/>
        <v>#N/A</v>
      </c>
      <c r="S309" s="57" t="e">
        <f t="shared" ca="1" si="65"/>
        <v>#N/A</v>
      </c>
      <c r="T309" s="57" t="e">
        <f t="shared" ca="1" si="59"/>
        <v>#N/A</v>
      </c>
      <c r="U309" s="57" t="e">
        <f t="shared" ca="1" si="60"/>
        <v>#N/A</v>
      </c>
      <c r="V309" s="57" t="e">
        <f t="shared" ca="1" si="61"/>
        <v>#N/A</v>
      </c>
      <c r="W309" s="57" t="e">
        <f t="shared" ca="1" si="66"/>
        <v>#N/A</v>
      </c>
      <c r="X309" t="e">
        <f t="shared" ca="1" si="62"/>
        <v>#N/A</v>
      </c>
      <c r="Y309" t="e">
        <f t="shared" ca="1" si="67"/>
        <v>#N/A</v>
      </c>
      <c r="Z309" t="e">
        <f t="shared" ca="1" si="63"/>
        <v>#N/A</v>
      </c>
      <c r="AA309" t="e">
        <f t="shared" ca="1" si="64"/>
        <v>#N/A</v>
      </c>
      <c r="AB309" s="85" t="e">
        <f ca="1"/>
        <v>#N/A</v>
      </c>
      <c r="AC309" s="57" t="e">
        <f t="shared" ca="1" si="68"/>
        <v>#N/A</v>
      </c>
      <c r="AD309" s="57" t="e">
        <f t="shared" ca="1" si="69"/>
        <v>#N/A</v>
      </c>
      <c r="AE309" s="57" t="e">
        <f t="shared" ca="1" si="70"/>
        <v>#N/A</v>
      </c>
      <c r="AF309" s="57" t="e">
        <f t="shared" ca="1" si="71"/>
        <v>#N/A</v>
      </c>
    </row>
    <row r="310" spans="18:32" x14ac:dyDescent="0.25">
      <c r="R310" s="85" t="e">
        <f ca="1"/>
        <v>#N/A</v>
      </c>
      <c r="S310" s="57" t="e">
        <f t="shared" ca="1" si="65"/>
        <v>#N/A</v>
      </c>
      <c r="T310" s="57" t="e">
        <f t="shared" ca="1" si="59"/>
        <v>#N/A</v>
      </c>
      <c r="U310" s="57" t="e">
        <f t="shared" ca="1" si="60"/>
        <v>#N/A</v>
      </c>
      <c r="V310" s="57" t="e">
        <f t="shared" ca="1" si="61"/>
        <v>#N/A</v>
      </c>
      <c r="W310" s="57" t="e">
        <f t="shared" ca="1" si="66"/>
        <v>#N/A</v>
      </c>
      <c r="X310" t="e">
        <f t="shared" ca="1" si="62"/>
        <v>#N/A</v>
      </c>
      <c r="Y310" t="e">
        <f t="shared" ca="1" si="67"/>
        <v>#N/A</v>
      </c>
      <c r="Z310" t="e">
        <f t="shared" ca="1" si="63"/>
        <v>#N/A</v>
      </c>
      <c r="AA310" t="e">
        <f t="shared" ca="1" si="64"/>
        <v>#N/A</v>
      </c>
      <c r="AB310" s="85" t="e">
        <f ca="1"/>
        <v>#N/A</v>
      </c>
      <c r="AC310" s="57" t="e">
        <f t="shared" ca="1" si="68"/>
        <v>#N/A</v>
      </c>
      <c r="AD310" s="57" t="e">
        <f t="shared" ca="1" si="69"/>
        <v>#N/A</v>
      </c>
      <c r="AE310" s="57" t="e">
        <f t="shared" ca="1" si="70"/>
        <v>#N/A</v>
      </c>
      <c r="AF310" s="57" t="e">
        <f t="shared" ca="1" si="71"/>
        <v>#N/A</v>
      </c>
    </row>
    <row r="311" spans="18:32" x14ac:dyDescent="0.25">
      <c r="R311" s="85" t="e">
        <f ca="1"/>
        <v>#N/A</v>
      </c>
      <c r="S311" s="57" t="e">
        <f t="shared" ca="1" si="65"/>
        <v>#N/A</v>
      </c>
      <c r="T311" s="57" t="e">
        <f t="shared" ca="1" si="59"/>
        <v>#N/A</v>
      </c>
      <c r="U311" s="57" t="e">
        <f t="shared" ca="1" si="60"/>
        <v>#N/A</v>
      </c>
      <c r="V311" s="57" t="e">
        <f t="shared" ca="1" si="61"/>
        <v>#N/A</v>
      </c>
      <c r="W311" s="57" t="e">
        <f t="shared" ca="1" si="66"/>
        <v>#N/A</v>
      </c>
      <c r="X311" t="e">
        <f t="shared" ca="1" si="62"/>
        <v>#N/A</v>
      </c>
      <c r="Y311" t="e">
        <f t="shared" ca="1" si="67"/>
        <v>#N/A</v>
      </c>
      <c r="Z311" t="e">
        <f t="shared" ca="1" si="63"/>
        <v>#N/A</v>
      </c>
      <c r="AA311" t="e">
        <f t="shared" ca="1" si="64"/>
        <v>#N/A</v>
      </c>
      <c r="AB311" s="85" t="e">
        <f ca="1"/>
        <v>#N/A</v>
      </c>
      <c r="AC311" s="57" t="e">
        <f t="shared" ca="1" si="68"/>
        <v>#N/A</v>
      </c>
      <c r="AD311" s="57" t="e">
        <f t="shared" ca="1" si="69"/>
        <v>#N/A</v>
      </c>
      <c r="AE311" s="57" t="e">
        <f t="shared" ca="1" si="70"/>
        <v>#N/A</v>
      </c>
      <c r="AF311" s="57" t="e">
        <f t="shared" ca="1" si="71"/>
        <v>#N/A</v>
      </c>
    </row>
    <row r="312" spans="18:32" x14ac:dyDescent="0.25">
      <c r="R312" s="85" t="e">
        <f ca="1"/>
        <v>#N/A</v>
      </c>
      <c r="S312" s="57" t="e">
        <f t="shared" ca="1" si="65"/>
        <v>#N/A</v>
      </c>
      <c r="T312" s="57" t="e">
        <f t="shared" ca="1" si="59"/>
        <v>#N/A</v>
      </c>
      <c r="U312" s="57" t="e">
        <f t="shared" ca="1" si="60"/>
        <v>#N/A</v>
      </c>
      <c r="V312" s="57" t="e">
        <f t="shared" ca="1" si="61"/>
        <v>#N/A</v>
      </c>
      <c r="W312" s="57" t="e">
        <f t="shared" ca="1" si="66"/>
        <v>#N/A</v>
      </c>
      <c r="X312" t="e">
        <f t="shared" ca="1" si="62"/>
        <v>#N/A</v>
      </c>
      <c r="Y312" t="e">
        <f t="shared" ca="1" si="67"/>
        <v>#N/A</v>
      </c>
      <c r="Z312" t="e">
        <f t="shared" ca="1" si="63"/>
        <v>#N/A</v>
      </c>
      <c r="AA312" t="e">
        <f t="shared" ca="1" si="64"/>
        <v>#N/A</v>
      </c>
      <c r="AB312" s="85" t="e">
        <f ca="1"/>
        <v>#N/A</v>
      </c>
      <c r="AC312" s="57" t="e">
        <f t="shared" ca="1" si="68"/>
        <v>#N/A</v>
      </c>
      <c r="AD312" s="57" t="e">
        <f t="shared" ca="1" si="69"/>
        <v>#N/A</v>
      </c>
      <c r="AE312" s="57" t="e">
        <f t="shared" ca="1" si="70"/>
        <v>#N/A</v>
      </c>
      <c r="AF312" s="57" t="e">
        <f t="shared" ca="1" si="71"/>
        <v>#N/A</v>
      </c>
    </row>
    <row r="313" spans="18:32" x14ac:dyDescent="0.25">
      <c r="R313" s="85" t="e">
        <f ca="1"/>
        <v>#N/A</v>
      </c>
      <c r="S313" s="57" t="e">
        <f t="shared" ca="1" si="65"/>
        <v>#N/A</v>
      </c>
      <c r="T313" s="57" t="e">
        <f t="shared" ca="1" si="59"/>
        <v>#N/A</v>
      </c>
      <c r="U313" s="57" t="e">
        <f t="shared" ca="1" si="60"/>
        <v>#N/A</v>
      </c>
      <c r="V313" s="57" t="e">
        <f t="shared" ca="1" si="61"/>
        <v>#N/A</v>
      </c>
      <c r="W313" s="57" t="e">
        <f t="shared" ca="1" si="66"/>
        <v>#N/A</v>
      </c>
      <c r="X313" t="e">
        <f t="shared" ca="1" si="62"/>
        <v>#N/A</v>
      </c>
      <c r="Y313" t="e">
        <f t="shared" ca="1" si="67"/>
        <v>#N/A</v>
      </c>
      <c r="Z313" t="e">
        <f t="shared" ca="1" si="63"/>
        <v>#N/A</v>
      </c>
      <c r="AA313" t="e">
        <f t="shared" ca="1" si="64"/>
        <v>#N/A</v>
      </c>
      <c r="AB313" s="85" t="e">
        <f ca="1"/>
        <v>#N/A</v>
      </c>
      <c r="AC313" s="57" t="e">
        <f t="shared" ca="1" si="68"/>
        <v>#N/A</v>
      </c>
      <c r="AD313" s="57" t="e">
        <f t="shared" ca="1" si="69"/>
        <v>#N/A</v>
      </c>
      <c r="AE313" s="57" t="e">
        <f t="shared" ca="1" si="70"/>
        <v>#N/A</v>
      </c>
      <c r="AF313" s="57" t="e">
        <f t="shared" ca="1" si="71"/>
        <v>#N/A</v>
      </c>
    </row>
    <row r="314" spans="18:32" x14ac:dyDescent="0.25">
      <c r="R314" s="85" t="e">
        <f ca="1"/>
        <v>#N/A</v>
      </c>
      <c r="S314" s="57" t="e">
        <f t="shared" ca="1" si="65"/>
        <v>#N/A</v>
      </c>
      <c r="T314" s="57" t="e">
        <f t="shared" ca="1" si="59"/>
        <v>#N/A</v>
      </c>
      <c r="U314" s="57" t="e">
        <f t="shared" ca="1" si="60"/>
        <v>#N/A</v>
      </c>
      <c r="V314" s="57" t="e">
        <f t="shared" ca="1" si="61"/>
        <v>#N/A</v>
      </c>
      <c r="W314" s="57" t="e">
        <f t="shared" ca="1" si="66"/>
        <v>#N/A</v>
      </c>
      <c r="X314" t="e">
        <f t="shared" ca="1" si="62"/>
        <v>#N/A</v>
      </c>
      <c r="Y314" t="e">
        <f t="shared" ca="1" si="67"/>
        <v>#N/A</v>
      </c>
      <c r="Z314" t="e">
        <f t="shared" ca="1" si="63"/>
        <v>#N/A</v>
      </c>
      <c r="AA314" t="e">
        <f t="shared" ca="1" si="64"/>
        <v>#N/A</v>
      </c>
      <c r="AB314" s="85" t="e">
        <f ca="1"/>
        <v>#N/A</v>
      </c>
      <c r="AC314" s="57" t="e">
        <f t="shared" ca="1" si="68"/>
        <v>#N/A</v>
      </c>
      <c r="AD314" s="57" t="e">
        <f t="shared" ca="1" si="69"/>
        <v>#N/A</v>
      </c>
      <c r="AE314" s="57" t="e">
        <f t="shared" ca="1" si="70"/>
        <v>#N/A</v>
      </c>
      <c r="AF314" s="57" t="e">
        <f t="shared" ca="1" si="71"/>
        <v>#N/A</v>
      </c>
    </row>
    <row r="315" spans="18:32" x14ac:dyDescent="0.25">
      <c r="R315" s="85" t="e">
        <f ca="1"/>
        <v>#N/A</v>
      </c>
      <c r="S315" s="57" t="e">
        <f t="shared" ca="1" si="65"/>
        <v>#N/A</v>
      </c>
      <c r="T315" s="57" t="e">
        <f t="shared" ca="1" si="59"/>
        <v>#N/A</v>
      </c>
      <c r="U315" s="57" t="e">
        <f t="shared" ca="1" si="60"/>
        <v>#N/A</v>
      </c>
      <c r="V315" s="57" t="e">
        <f t="shared" ca="1" si="61"/>
        <v>#N/A</v>
      </c>
      <c r="W315" s="57" t="e">
        <f t="shared" ca="1" si="66"/>
        <v>#N/A</v>
      </c>
      <c r="X315" t="e">
        <f t="shared" ca="1" si="62"/>
        <v>#N/A</v>
      </c>
      <c r="Y315" t="e">
        <f t="shared" ca="1" si="67"/>
        <v>#N/A</v>
      </c>
      <c r="Z315" t="e">
        <f t="shared" ca="1" si="63"/>
        <v>#N/A</v>
      </c>
      <c r="AA315" t="e">
        <f t="shared" ca="1" si="64"/>
        <v>#N/A</v>
      </c>
      <c r="AB315" s="85" t="e">
        <f ca="1"/>
        <v>#N/A</v>
      </c>
      <c r="AC315" s="57" t="e">
        <f t="shared" ca="1" si="68"/>
        <v>#N/A</v>
      </c>
      <c r="AD315" s="57" t="e">
        <f t="shared" ca="1" si="69"/>
        <v>#N/A</v>
      </c>
      <c r="AE315" s="57" t="e">
        <f t="shared" ca="1" si="70"/>
        <v>#N/A</v>
      </c>
      <c r="AF315" s="57" t="e">
        <f t="shared" ca="1" si="71"/>
        <v>#N/A</v>
      </c>
    </row>
    <row r="316" spans="18:32" x14ac:dyDescent="0.25">
      <c r="R316" s="85" t="e">
        <f ca="1"/>
        <v>#N/A</v>
      </c>
      <c r="S316" s="57" t="e">
        <f t="shared" ca="1" si="65"/>
        <v>#N/A</v>
      </c>
      <c r="T316" s="57" t="e">
        <f t="shared" ca="1" si="59"/>
        <v>#N/A</v>
      </c>
      <c r="U316" s="57" t="e">
        <f t="shared" ca="1" si="60"/>
        <v>#N/A</v>
      </c>
      <c r="V316" s="57" t="e">
        <f t="shared" ca="1" si="61"/>
        <v>#N/A</v>
      </c>
      <c r="W316" s="57" t="e">
        <f t="shared" ca="1" si="66"/>
        <v>#N/A</v>
      </c>
      <c r="X316" t="e">
        <f t="shared" ca="1" si="62"/>
        <v>#N/A</v>
      </c>
      <c r="Y316" t="e">
        <f t="shared" ca="1" si="67"/>
        <v>#N/A</v>
      </c>
      <c r="Z316" t="e">
        <f t="shared" ca="1" si="63"/>
        <v>#N/A</v>
      </c>
      <c r="AA316" t="e">
        <f t="shared" ca="1" si="64"/>
        <v>#N/A</v>
      </c>
      <c r="AB316" s="85" t="e">
        <f ca="1"/>
        <v>#N/A</v>
      </c>
      <c r="AC316" s="57" t="e">
        <f t="shared" ca="1" si="68"/>
        <v>#N/A</v>
      </c>
      <c r="AD316" s="57" t="e">
        <f t="shared" ca="1" si="69"/>
        <v>#N/A</v>
      </c>
      <c r="AE316" s="57" t="e">
        <f t="shared" ca="1" si="70"/>
        <v>#N/A</v>
      </c>
      <c r="AF316" s="57" t="e">
        <f t="shared" ca="1" si="71"/>
        <v>#N/A</v>
      </c>
    </row>
    <row r="317" spans="18:32" x14ac:dyDescent="0.25">
      <c r="R317" s="85" t="e">
        <f ca="1"/>
        <v>#N/A</v>
      </c>
      <c r="S317" s="57" t="e">
        <f t="shared" ca="1" si="65"/>
        <v>#N/A</v>
      </c>
      <c r="T317" s="57" t="e">
        <f t="shared" ca="1" si="59"/>
        <v>#N/A</v>
      </c>
      <c r="U317" s="57" t="e">
        <f t="shared" ca="1" si="60"/>
        <v>#N/A</v>
      </c>
      <c r="V317" s="57" t="e">
        <f t="shared" ca="1" si="61"/>
        <v>#N/A</v>
      </c>
      <c r="W317" s="57" t="e">
        <f t="shared" ca="1" si="66"/>
        <v>#N/A</v>
      </c>
      <c r="X317" t="e">
        <f t="shared" ca="1" si="62"/>
        <v>#N/A</v>
      </c>
      <c r="Y317" t="e">
        <f t="shared" ca="1" si="67"/>
        <v>#N/A</v>
      </c>
      <c r="Z317" t="e">
        <f t="shared" ca="1" si="63"/>
        <v>#N/A</v>
      </c>
      <c r="AA317" t="e">
        <f t="shared" ca="1" si="64"/>
        <v>#N/A</v>
      </c>
      <c r="AB317" s="85" t="e">
        <f ca="1"/>
        <v>#N/A</v>
      </c>
      <c r="AC317" s="57" t="e">
        <f t="shared" ca="1" si="68"/>
        <v>#N/A</v>
      </c>
      <c r="AD317" s="57" t="e">
        <f t="shared" ca="1" si="69"/>
        <v>#N/A</v>
      </c>
      <c r="AE317" s="57" t="e">
        <f t="shared" ca="1" si="70"/>
        <v>#N/A</v>
      </c>
      <c r="AF317" s="57" t="e">
        <f t="shared" ca="1" si="71"/>
        <v>#N/A</v>
      </c>
    </row>
    <row r="318" spans="18:32" x14ac:dyDescent="0.25">
      <c r="R318" s="85" t="e">
        <f ca="1"/>
        <v>#N/A</v>
      </c>
      <c r="S318" s="57" t="e">
        <f t="shared" ca="1" si="65"/>
        <v>#N/A</v>
      </c>
      <c r="T318" s="57" t="e">
        <f t="shared" ca="1" si="59"/>
        <v>#N/A</v>
      </c>
      <c r="U318" s="57" t="e">
        <f t="shared" ca="1" si="60"/>
        <v>#N/A</v>
      </c>
      <c r="V318" s="57" t="e">
        <f t="shared" ca="1" si="61"/>
        <v>#N/A</v>
      </c>
      <c r="W318" s="57" t="e">
        <f t="shared" ca="1" si="66"/>
        <v>#N/A</v>
      </c>
      <c r="X318" t="e">
        <f t="shared" ca="1" si="62"/>
        <v>#N/A</v>
      </c>
      <c r="Y318" t="e">
        <f t="shared" ca="1" si="67"/>
        <v>#N/A</v>
      </c>
      <c r="Z318" t="e">
        <f t="shared" ca="1" si="63"/>
        <v>#N/A</v>
      </c>
      <c r="AA318" t="e">
        <f t="shared" ca="1" si="64"/>
        <v>#N/A</v>
      </c>
      <c r="AB318" s="85" t="e">
        <f ca="1"/>
        <v>#N/A</v>
      </c>
      <c r="AC318" s="57" t="e">
        <f t="shared" ca="1" si="68"/>
        <v>#N/A</v>
      </c>
      <c r="AD318" s="57" t="e">
        <f t="shared" ca="1" si="69"/>
        <v>#N/A</v>
      </c>
      <c r="AE318" s="57" t="e">
        <f t="shared" ca="1" si="70"/>
        <v>#N/A</v>
      </c>
      <c r="AF318" s="57" t="e">
        <f t="shared" ca="1" si="71"/>
        <v>#N/A</v>
      </c>
    </row>
    <row r="319" spans="18:32" x14ac:dyDescent="0.25">
      <c r="R319" s="85" t="e">
        <f ca="1"/>
        <v>#N/A</v>
      </c>
      <c r="S319" s="57" t="e">
        <f t="shared" ca="1" si="65"/>
        <v>#N/A</v>
      </c>
      <c r="T319" s="57" t="e">
        <f t="shared" ca="1" si="59"/>
        <v>#N/A</v>
      </c>
      <c r="U319" s="57" t="e">
        <f t="shared" ca="1" si="60"/>
        <v>#N/A</v>
      </c>
      <c r="V319" s="57" t="e">
        <f t="shared" ca="1" si="61"/>
        <v>#N/A</v>
      </c>
      <c r="W319" s="57" t="e">
        <f t="shared" ca="1" si="66"/>
        <v>#N/A</v>
      </c>
      <c r="X319" t="e">
        <f t="shared" ca="1" si="62"/>
        <v>#N/A</v>
      </c>
      <c r="Y319" t="e">
        <f t="shared" ca="1" si="67"/>
        <v>#N/A</v>
      </c>
      <c r="Z319" t="e">
        <f t="shared" ca="1" si="63"/>
        <v>#N/A</v>
      </c>
      <c r="AA319" t="e">
        <f t="shared" ca="1" si="64"/>
        <v>#N/A</v>
      </c>
      <c r="AB319" s="85" t="e">
        <f ca="1"/>
        <v>#N/A</v>
      </c>
      <c r="AC319" s="57" t="e">
        <f t="shared" ca="1" si="68"/>
        <v>#N/A</v>
      </c>
      <c r="AD319" s="57" t="e">
        <f t="shared" ca="1" si="69"/>
        <v>#N/A</v>
      </c>
      <c r="AE319" s="57" t="e">
        <f t="shared" ca="1" si="70"/>
        <v>#N/A</v>
      </c>
      <c r="AF319" s="57" t="e">
        <f t="shared" ca="1" si="71"/>
        <v>#N/A</v>
      </c>
    </row>
    <row r="320" spans="18:32" x14ac:dyDescent="0.25">
      <c r="R320" s="85" t="e">
        <f ca="1"/>
        <v>#N/A</v>
      </c>
      <c r="S320" s="57" t="e">
        <f t="shared" ca="1" si="65"/>
        <v>#N/A</v>
      </c>
      <c r="T320" s="57" t="e">
        <f t="shared" ca="1" si="59"/>
        <v>#N/A</v>
      </c>
      <c r="U320" s="57" t="e">
        <f t="shared" ca="1" si="60"/>
        <v>#N/A</v>
      </c>
      <c r="V320" s="57" t="e">
        <f t="shared" ca="1" si="61"/>
        <v>#N/A</v>
      </c>
      <c r="W320" s="57" t="e">
        <f t="shared" ca="1" si="66"/>
        <v>#N/A</v>
      </c>
      <c r="X320" t="e">
        <f t="shared" ca="1" si="62"/>
        <v>#N/A</v>
      </c>
      <c r="Y320" t="e">
        <f t="shared" ca="1" si="67"/>
        <v>#N/A</v>
      </c>
      <c r="Z320" t="e">
        <f t="shared" ca="1" si="63"/>
        <v>#N/A</v>
      </c>
      <c r="AA320" t="e">
        <f t="shared" ca="1" si="64"/>
        <v>#N/A</v>
      </c>
      <c r="AB320" s="85" t="e">
        <f ca="1"/>
        <v>#N/A</v>
      </c>
      <c r="AC320" s="57" t="e">
        <f t="shared" ca="1" si="68"/>
        <v>#N/A</v>
      </c>
      <c r="AD320" s="57" t="e">
        <f t="shared" ca="1" si="69"/>
        <v>#N/A</v>
      </c>
      <c r="AE320" s="57" t="e">
        <f t="shared" ca="1" si="70"/>
        <v>#N/A</v>
      </c>
      <c r="AF320" s="57" t="e">
        <f t="shared" ca="1" si="71"/>
        <v>#N/A</v>
      </c>
    </row>
    <row r="321" spans="18:32" x14ac:dyDescent="0.25">
      <c r="R321" s="85" t="e">
        <f ca="1"/>
        <v>#N/A</v>
      </c>
      <c r="S321" s="57" t="e">
        <f t="shared" ca="1" si="65"/>
        <v>#N/A</v>
      </c>
      <c r="T321" s="57" t="e">
        <f t="shared" ca="1" si="59"/>
        <v>#N/A</v>
      </c>
      <c r="U321" s="57" t="e">
        <f t="shared" ca="1" si="60"/>
        <v>#N/A</v>
      </c>
      <c r="V321" s="57" t="e">
        <f t="shared" ca="1" si="61"/>
        <v>#N/A</v>
      </c>
      <c r="W321" s="57" t="e">
        <f t="shared" ca="1" si="66"/>
        <v>#N/A</v>
      </c>
      <c r="X321" t="e">
        <f t="shared" ca="1" si="62"/>
        <v>#N/A</v>
      </c>
      <c r="Y321" t="e">
        <f t="shared" ca="1" si="67"/>
        <v>#N/A</v>
      </c>
      <c r="Z321" t="e">
        <f t="shared" ca="1" si="63"/>
        <v>#N/A</v>
      </c>
      <c r="AA321" t="e">
        <f t="shared" ca="1" si="64"/>
        <v>#N/A</v>
      </c>
      <c r="AB321" s="85" t="e">
        <f ca="1"/>
        <v>#N/A</v>
      </c>
      <c r="AC321" s="57" t="e">
        <f t="shared" ca="1" si="68"/>
        <v>#N/A</v>
      </c>
      <c r="AD321" s="57" t="e">
        <f t="shared" ca="1" si="69"/>
        <v>#N/A</v>
      </c>
      <c r="AE321" s="57" t="e">
        <f t="shared" ca="1" si="70"/>
        <v>#N/A</v>
      </c>
      <c r="AF321" s="57" t="e">
        <f t="shared" ca="1" si="71"/>
        <v>#N/A</v>
      </c>
    </row>
    <row r="322" spans="18:32" x14ac:dyDescent="0.25">
      <c r="R322" s="85" t="e">
        <f ca="1"/>
        <v>#N/A</v>
      </c>
      <c r="S322" s="57" t="e">
        <f t="shared" ca="1" si="65"/>
        <v>#N/A</v>
      </c>
      <c r="T322" s="57" t="e">
        <f t="shared" ca="1" si="59"/>
        <v>#N/A</v>
      </c>
      <c r="U322" s="57" t="e">
        <f t="shared" ca="1" si="60"/>
        <v>#N/A</v>
      </c>
      <c r="V322" s="57" t="e">
        <f t="shared" ca="1" si="61"/>
        <v>#N/A</v>
      </c>
      <c r="W322" s="57" t="e">
        <f t="shared" ca="1" si="66"/>
        <v>#N/A</v>
      </c>
      <c r="X322" t="e">
        <f t="shared" ca="1" si="62"/>
        <v>#N/A</v>
      </c>
      <c r="Y322" t="e">
        <f t="shared" ca="1" si="67"/>
        <v>#N/A</v>
      </c>
      <c r="Z322" t="e">
        <f t="shared" ca="1" si="63"/>
        <v>#N/A</v>
      </c>
      <c r="AA322" t="e">
        <f t="shared" ca="1" si="64"/>
        <v>#N/A</v>
      </c>
      <c r="AB322" s="85" t="e">
        <f ca="1"/>
        <v>#N/A</v>
      </c>
      <c r="AC322" s="57" t="e">
        <f t="shared" ca="1" si="68"/>
        <v>#N/A</v>
      </c>
      <c r="AD322" s="57" t="e">
        <f t="shared" ca="1" si="69"/>
        <v>#N/A</v>
      </c>
      <c r="AE322" s="57" t="e">
        <f t="shared" ca="1" si="70"/>
        <v>#N/A</v>
      </c>
      <c r="AF322" s="57" t="e">
        <f t="shared" ca="1" si="71"/>
        <v>#N/A</v>
      </c>
    </row>
    <row r="323" spans="18:32" x14ac:dyDescent="0.25">
      <c r="R323" s="85" t="e">
        <f ca="1"/>
        <v>#N/A</v>
      </c>
      <c r="S323" s="57" t="e">
        <f t="shared" ca="1" si="65"/>
        <v>#N/A</v>
      </c>
      <c r="T323" s="57" t="e">
        <f t="shared" ca="1" si="59"/>
        <v>#N/A</v>
      </c>
      <c r="U323" s="57" t="e">
        <f t="shared" ca="1" si="60"/>
        <v>#N/A</v>
      </c>
      <c r="V323" s="57" t="e">
        <f t="shared" ca="1" si="61"/>
        <v>#N/A</v>
      </c>
      <c r="W323" s="57" t="e">
        <f t="shared" ca="1" si="66"/>
        <v>#N/A</v>
      </c>
      <c r="X323" t="e">
        <f t="shared" ca="1" si="62"/>
        <v>#N/A</v>
      </c>
      <c r="Y323" t="e">
        <f t="shared" ca="1" si="67"/>
        <v>#N/A</v>
      </c>
      <c r="Z323" t="e">
        <f t="shared" ca="1" si="63"/>
        <v>#N/A</v>
      </c>
      <c r="AA323" t="e">
        <f t="shared" ca="1" si="64"/>
        <v>#N/A</v>
      </c>
      <c r="AB323" s="85" t="e">
        <f ca="1"/>
        <v>#N/A</v>
      </c>
      <c r="AC323" s="57" t="e">
        <f t="shared" ca="1" si="68"/>
        <v>#N/A</v>
      </c>
      <c r="AD323" s="57" t="e">
        <f t="shared" ca="1" si="69"/>
        <v>#N/A</v>
      </c>
      <c r="AE323" s="57" t="e">
        <f t="shared" ca="1" si="70"/>
        <v>#N/A</v>
      </c>
      <c r="AF323" s="57" t="e">
        <f t="shared" ca="1" si="71"/>
        <v>#N/A</v>
      </c>
    </row>
    <row r="324" spans="18:32" x14ac:dyDescent="0.25">
      <c r="R324" s="85" t="e">
        <f ca="1"/>
        <v>#N/A</v>
      </c>
      <c r="S324" s="57" t="e">
        <f t="shared" ca="1" si="65"/>
        <v>#N/A</v>
      </c>
      <c r="T324" s="57" t="e">
        <f t="shared" ca="1" si="59"/>
        <v>#N/A</v>
      </c>
      <c r="U324" s="57" t="e">
        <f t="shared" ca="1" si="60"/>
        <v>#N/A</v>
      </c>
      <c r="V324" s="57" t="e">
        <f t="shared" ca="1" si="61"/>
        <v>#N/A</v>
      </c>
      <c r="W324" s="57" t="e">
        <f t="shared" ca="1" si="66"/>
        <v>#N/A</v>
      </c>
      <c r="X324" t="e">
        <f t="shared" ca="1" si="62"/>
        <v>#N/A</v>
      </c>
      <c r="Y324" t="e">
        <f t="shared" ca="1" si="67"/>
        <v>#N/A</v>
      </c>
      <c r="Z324" t="e">
        <f t="shared" ca="1" si="63"/>
        <v>#N/A</v>
      </c>
      <c r="AA324" t="e">
        <f t="shared" ca="1" si="64"/>
        <v>#N/A</v>
      </c>
      <c r="AB324" s="85" t="e">
        <f ca="1"/>
        <v>#N/A</v>
      </c>
      <c r="AC324" s="57" t="e">
        <f t="shared" ca="1" si="68"/>
        <v>#N/A</v>
      </c>
      <c r="AD324" s="57" t="e">
        <f t="shared" ca="1" si="69"/>
        <v>#N/A</v>
      </c>
      <c r="AE324" s="57" t="e">
        <f t="shared" ca="1" si="70"/>
        <v>#N/A</v>
      </c>
      <c r="AF324" s="57" t="e">
        <f t="shared" ca="1" si="71"/>
        <v>#N/A</v>
      </c>
    </row>
    <row r="325" spans="18:32" x14ac:dyDescent="0.25">
      <c r="R325" s="85" t="e">
        <f ca="1"/>
        <v>#N/A</v>
      </c>
      <c r="S325" s="57" t="e">
        <f t="shared" ca="1" si="65"/>
        <v>#N/A</v>
      </c>
      <c r="T325" s="57" t="e">
        <f t="shared" ca="1" si="59"/>
        <v>#N/A</v>
      </c>
      <c r="U325" s="57" t="e">
        <f t="shared" ca="1" si="60"/>
        <v>#N/A</v>
      </c>
      <c r="V325" s="57" t="e">
        <f t="shared" ca="1" si="61"/>
        <v>#N/A</v>
      </c>
      <c r="W325" s="57" t="e">
        <f t="shared" ca="1" si="66"/>
        <v>#N/A</v>
      </c>
      <c r="X325" t="e">
        <f t="shared" ca="1" si="62"/>
        <v>#N/A</v>
      </c>
      <c r="Y325" t="e">
        <f t="shared" ca="1" si="67"/>
        <v>#N/A</v>
      </c>
      <c r="Z325" t="e">
        <f t="shared" ca="1" si="63"/>
        <v>#N/A</v>
      </c>
      <c r="AA325" t="e">
        <f t="shared" ca="1" si="64"/>
        <v>#N/A</v>
      </c>
      <c r="AB325" s="85" t="e">
        <f ca="1"/>
        <v>#N/A</v>
      </c>
      <c r="AC325" s="57" t="e">
        <f t="shared" ca="1" si="68"/>
        <v>#N/A</v>
      </c>
      <c r="AD325" s="57" t="e">
        <f t="shared" ca="1" si="69"/>
        <v>#N/A</v>
      </c>
      <c r="AE325" s="57" t="e">
        <f t="shared" ca="1" si="70"/>
        <v>#N/A</v>
      </c>
      <c r="AF325" s="57" t="e">
        <f t="shared" ca="1" si="71"/>
        <v>#N/A</v>
      </c>
    </row>
    <row r="326" spans="18:32" x14ac:dyDescent="0.25">
      <c r="R326" s="85" t="e">
        <f ca="1"/>
        <v>#N/A</v>
      </c>
      <c r="S326" s="57" t="e">
        <f t="shared" ca="1" si="65"/>
        <v>#N/A</v>
      </c>
      <c r="T326" s="57" t="e">
        <f t="shared" ca="1" si="59"/>
        <v>#N/A</v>
      </c>
      <c r="U326" s="57" t="e">
        <f t="shared" ca="1" si="60"/>
        <v>#N/A</v>
      </c>
      <c r="V326" s="57" t="e">
        <f t="shared" ca="1" si="61"/>
        <v>#N/A</v>
      </c>
      <c r="W326" s="57" t="e">
        <f t="shared" ca="1" si="66"/>
        <v>#N/A</v>
      </c>
      <c r="X326" t="e">
        <f t="shared" ca="1" si="62"/>
        <v>#N/A</v>
      </c>
      <c r="Y326" t="e">
        <f t="shared" ca="1" si="67"/>
        <v>#N/A</v>
      </c>
      <c r="Z326" t="e">
        <f t="shared" ca="1" si="63"/>
        <v>#N/A</v>
      </c>
      <c r="AA326" t="e">
        <f t="shared" ca="1" si="64"/>
        <v>#N/A</v>
      </c>
      <c r="AB326" s="85" t="e">
        <f ca="1"/>
        <v>#N/A</v>
      </c>
      <c r="AC326" s="57" t="e">
        <f t="shared" ca="1" si="68"/>
        <v>#N/A</v>
      </c>
      <c r="AD326" s="57" t="e">
        <f t="shared" ca="1" si="69"/>
        <v>#N/A</v>
      </c>
      <c r="AE326" s="57" t="e">
        <f t="shared" ca="1" si="70"/>
        <v>#N/A</v>
      </c>
      <c r="AF326" s="57" t="e">
        <f t="shared" ca="1" si="71"/>
        <v>#N/A</v>
      </c>
    </row>
    <row r="327" spans="18:32" x14ac:dyDescent="0.25">
      <c r="R327" s="85" t="e">
        <f ca="1"/>
        <v>#N/A</v>
      </c>
      <c r="S327" s="57" t="e">
        <f t="shared" ca="1" si="65"/>
        <v>#N/A</v>
      </c>
      <c r="T327" s="57" t="e">
        <f t="shared" ca="1" si="59"/>
        <v>#N/A</v>
      </c>
      <c r="U327" s="57" t="e">
        <f t="shared" ca="1" si="60"/>
        <v>#N/A</v>
      </c>
      <c r="V327" s="57" t="e">
        <f t="shared" ca="1" si="61"/>
        <v>#N/A</v>
      </c>
      <c r="W327" s="57" t="e">
        <f t="shared" ca="1" si="66"/>
        <v>#N/A</v>
      </c>
      <c r="X327" t="e">
        <f t="shared" ca="1" si="62"/>
        <v>#N/A</v>
      </c>
      <c r="Y327" t="e">
        <f t="shared" ca="1" si="67"/>
        <v>#N/A</v>
      </c>
      <c r="Z327" t="e">
        <f t="shared" ca="1" si="63"/>
        <v>#N/A</v>
      </c>
      <c r="AA327" t="e">
        <f t="shared" ca="1" si="64"/>
        <v>#N/A</v>
      </c>
      <c r="AB327" s="85" t="e">
        <f ca="1"/>
        <v>#N/A</v>
      </c>
      <c r="AC327" s="57" t="e">
        <f t="shared" ca="1" si="68"/>
        <v>#N/A</v>
      </c>
      <c r="AD327" s="57" t="e">
        <f t="shared" ca="1" si="69"/>
        <v>#N/A</v>
      </c>
      <c r="AE327" s="57" t="e">
        <f t="shared" ca="1" si="70"/>
        <v>#N/A</v>
      </c>
      <c r="AF327" s="57" t="e">
        <f t="shared" ca="1" si="71"/>
        <v>#N/A</v>
      </c>
    </row>
    <row r="328" spans="18:32" x14ac:dyDescent="0.25">
      <c r="R328" s="85" t="e">
        <f ca="1"/>
        <v>#N/A</v>
      </c>
      <c r="S328" s="57" t="e">
        <f t="shared" ca="1" si="65"/>
        <v>#N/A</v>
      </c>
      <c r="T328" s="57" t="e">
        <f t="shared" ca="1" si="59"/>
        <v>#N/A</v>
      </c>
      <c r="U328" s="57" t="e">
        <f t="shared" ca="1" si="60"/>
        <v>#N/A</v>
      </c>
      <c r="V328" s="57" t="e">
        <f t="shared" ca="1" si="61"/>
        <v>#N/A</v>
      </c>
      <c r="W328" s="57" t="e">
        <f t="shared" ca="1" si="66"/>
        <v>#N/A</v>
      </c>
      <c r="X328" t="e">
        <f t="shared" ca="1" si="62"/>
        <v>#N/A</v>
      </c>
      <c r="Y328" t="e">
        <f t="shared" ca="1" si="67"/>
        <v>#N/A</v>
      </c>
      <c r="Z328" t="e">
        <f t="shared" ca="1" si="63"/>
        <v>#N/A</v>
      </c>
      <c r="AA328" t="e">
        <f t="shared" ca="1" si="64"/>
        <v>#N/A</v>
      </c>
      <c r="AB328" s="85" t="e">
        <f ca="1"/>
        <v>#N/A</v>
      </c>
      <c r="AC328" s="57" t="e">
        <f t="shared" ca="1" si="68"/>
        <v>#N/A</v>
      </c>
      <c r="AD328" s="57" t="e">
        <f t="shared" ca="1" si="69"/>
        <v>#N/A</v>
      </c>
      <c r="AE328" s="57" t="e">
        <f t="shared" ca="1" si="70"/>
        <v>#N/A</v>
      </c>
      <c r="AF328" s="57" t="e">
        <f t="shared" ca="1" si="71"/>
        <v>#N/A</v>
      </c>
    </row>
    <row r="329" spans="18:32" x14ac:dyDescent="0.25">
      <c r="R329" s="85" t="e">
        <f ca="1"/>
        <v>#N/A</v>
      </c>
      <c r="S329" s="57" t="e">
        <f t="shared" ca="1" si="65"/>
        <v>#N/A</v>
      </c>
      <c r="T329" s="57" t="e">
        <f t="shared" ca="1" si="59"/>
        <v>#N/A</v>
      </c>
      <c r="U329" s="57" t="e">
        <f t="shared" ca="1" si="60"/>
        <v>#N/A</v>
      </c>
      <c r="V329" s="57" t="e">
        <f t="shared" ca="1" si="61"/>
        <v>#N/A</v>
      </c>
      <c r="W329" s="57" t="e">
        <f t="shared" ca="1" si="66"/>
        <v>#N/A</v>
      </c>
      <c r="X329" t="e">
        <f t="shared" ca="1" si="62"/>
        <v>#N/A</v>
      </c>
      <c r="Y329" t="e">
        <f t="shared" ca="1" si="67"/>
        <v>#N/A</v>
      </c>
      <c r="Z329" t="e">
        <f t="shared" ca="1" si="63"/>
        <v>#N/A</v>
      </c>
      <c r="AA329" t="e">
        <f t="shared" ca="1" si="64"/>
        <v>#N/A</v>
      </c>
      <c r="AB329" s="85" t="e">
        <f ca="1"/>
        <v>#N/A</v>
      </c>
      <c r="AC329" s="57" t="e">
        <f t="shared" ca="1" si="68"/>
        <v>#N/A</v>
      </c>
      <c r="AD329" s="57" t="e">
        <f t="shared" ca="1" si="69"/>
        <v>#N/A</v>
      </c>
      <c r="AE329" s="57" t="e">
        <f t="shared" ca="1" si="70"/>
        <v>#N/A</v>
      </c>
      <c r="AF329" s="57" t="e">
        <f t="shared" ca="1" si="71"/>
        <v>#N/A</v>
      </c>
    </row>
    <row r="330" spans="18:32" x14ac:dyDescent="0.25">
      <c r="R330" s="85" t="e">
        <f ca="1"/>
        <v>#N/A</v>
      </c>
      <c r="S330" s="57" t="e">
        <f t="shared" ca="1" si="65"/>
        <v>#N/A</v>
      </c>
      <c r="T330" s="57" t="e">
        <f t="shared" ca="1" si="59"/>
        <v>#N/A</v>
      </c>
      <c r="U330" s="57" t="e">
        <f t="shared" ca="1" si="60"/>
        <v>#N/A</v>
      </c>
      <c r="V330" s="57" t="e">
        <f t="shared" ca="1" si="61"/>
        <v>#N/A</v>
      </c>
      <c r="W330" s="57" t="e">
        <f t="shared" ca="1" si="66"/>
        <v>#N/A</v>
      </c>
      <c r="X330" t="e">
        <f t="shared" ca="1" si="62"/>
        <v>#N/A</v>
      </c>
      <c r="Y330" t="e">
        <f t="shared" ca="1" si="67"/>
        <v>#N/A</v>
      </c>
      <c r="Z330" t="e">
        <f t="shared" ca="1" si="63"/>
        <v>#N/A</v>
      </c>
      <c r="AA330" t="e">
        <f t="shared" ca="1" si="64"/>
        <v>#N/A</v>
      </c>
      <c r="AB330" s="85" t="e">
        <f ca="1"/>
        <v>#N/A</v>
      </c>
      <c r="AC330" s="57" t="e">
        <f t="shared" ca="1" si="68"/>
        <v>#N/A</v>
      </c>
      <c r="AD330" s="57" t="e">
        <f t="shared" ca="1" si="69"/>
        <v>#N/A</v>
      </c>
      <c r="AE330" s="57" t="e">
        <f t="shared" ca="1" si="70"/>
        <v>#N/A</v>
      </c>
      <c r="AF330" s="57" t="e">
        <f t="shared" ca="1" si="71"/>
        <v>#N/A</v>
      </c>
    </row>
    <row r="331" spans="18:32" x14ac:dyDescent="0.25">
      <c r="R331" s="85" t="e">
        <f ca="1"/>
        <v>#N/A</v>
      </c>
      <c r="S331" s="57" t="e">
        <f t="shared" ca="1" si="65"/>
        <v>#N/A</v>
      </c>
      <c r="T331" s="57" t="e">
        <f t="shared" ca="1" si="59"/>
        <v>#N/A</v>
      </c>
      <c r="U331" s="57" t="e">
        <f t="shared" ca="1" si="60"/>
        <v>#N/A</v>
      </c>
      <c r="V331" s="57" t="e">
        <f t="shared" ca="1" si="61"/>
        <v>#N/A</v>
      </c>
      <c r="W331" s="57" t="e">
        <f t="shared" ca="1" si="66"/>
        <v>#N/A</v>
      </c>
      <c r="X331" t="e">
        <f t="shared" ca="1" si="62"/>
        <v>#N/A</v>
      </c>
      <c r="Y331" t="e">
        <f t="shared" ca="1" si="67"/>
        <v>#N/A</v>
      </c>
      <c r="Z331" t="e">
        <f t="shared" ca="1" si="63"/>
        <v>#N/A</v>
      </c>
      <c r="AA331" t="e">
        <f t="shared" ca="1" si="64"/>
        <v>#N/A</v>
      </c>
      <c r="AB331" s="85" t="e">
        <f ca="1"/>
        <v>#N/A</v>
      </c>
      <c r="AC331" s="57" t="e">
        <f t="shared" ca="1" si="68"/>
        <v>#N/A</v>
      </c>
      <c r="AD331" s="57" t="e">
        <f t="shared" ca="1" si="69"/>
        <v>#N/A</v>
      </c>
      <c r="AE331" s="57" t="e">
        <f t="shared" ca="1" si="70"/>
        <v>#N/A</v>
      </c>
      <c r="AF331" s="57" t="e">
        <f t="shared" ca="1" si="71"/>
        <v>#N/A</v>
      </c>
    </row>
    <row r="332" spans="18:32" x14ac:dyDescent="0.25">
      <c r="R332" s="85" t="e">
        <f ca="1"/>
        <v>#N/A</v>
      </c>
      <c r="S332" s="57" t="e">
        <f t="shared" ca="1" si="65"/>
        <v>#N/A</v>
      </c>
      <c r="T332" s="57" t="e">
        <f t="shared" ca="1" si="59"/>
        <v>#N/A</v>
      </c>
      <c r="U332" s="57" t="e">
        <f t="shared" ca="1" si="60"/>
        <v>#N/A</v>
      </c>
      <c r="V332" s="57" t="e">
        <f t="shared" ca="1" si="61"/>
        <v>#N/A</v>
      </c>
      <c r="W332" s="57" t="e">
        <f t="shared" ca="1" si="66"/>
        <v>#N/A</v>
      </c>
      <c r="X332" t="e">
        <f t="shared" ca="1" si="62"/>
        <v>#N/A</v>
      </c>
      <c r="Y332" t="e">
        <f t="shared" ca="1" si="67"/>
        <v>#N/A</v>
      </c>
      <c r="Z332" t="e">
        <f t="shared" ca="1" si="63"/>
        <v>#N/A</v>
      </c>
      <c r="AA332" t="e">
        <f t="shared" ca="1" si="64"/>
        <v>#N/A</v>
      </c>
      <c r="AB332" s="85" t="e">
        <f ca="1"/>
        <v>#N/A</v>
      </c>
      <c r="AC332" s="57" t="e">
        <f t="shared" ca="1" si="68"/>
        <v>#N/A</v>
      </c>
      <c r="AD332" s="57" t="e">
        <f t="shared" ca="1" si="69"/>
        <v>#N/A</v>
      </c>
      <c r="AE332" s="57" t="e">
        <f t="shared" ca="1" si="70"/>
        <v>#N/A</v>
      </c>
      <c r="AF332" s="57" t="e">
        <f t="shared" ca="1" si="71"/>
        <v>#N/A</v>
      </c>
    </row>
    <row r="333" spans="18:32" x14ac:dyDescent="0.25">
      <c r="R333" s="85" t="e">
        <f ca="1"/>
        <v>#N/A</v>
      </c>
      <c r="S333" s="57" t="e">
        <f t="shared" ca="1" si="65"/>
        <v>#N/A</v>
      </c>
      <c r="T333" s="57" t="e">
        <f t="shared" ca="1" si="59"/>
        <v>#N/A</v>
      </c>
      <c r="U333" s="57" t="e">
        <f t="shared" ca="1" si="60"/>
        <v>#N/A</v>
      </c>
      <c r="V333" s="57" t="e">
        <f t="shared" ca="1" si="61"/>
        <v>#N/A</v>
      </c>
      <c r="W333" s="57" t="e">
        <f t="shared" ca="1" si="66"/>
        <v>#N/A</v>
      </c>
      <c r="X333" t="e">
        <f t="shared" ca="1" si="62"/>
        <v>#N/A</v>
      </c>
      <c r="Y333" t="e">
        <f t="shared" ca="1" si="67"/>
        <v>#N/A</v>
      </c>
      <c r="Z333" t="e">
        <f t="shared" ca="1" si="63"/>
        <v>#N/A</v>
      </c>
      <c r="AA333" t="e">
        <f t="shared" ca="1" si="64"/>
        <v>#N/A</v>
      </c>
      <c r="AB333" s="85" t="e">
        <f ca="1"/>
        <v>#N/A</v>
      </c>
      <c r="AC333" s="57" t="e">
        <f t="shared" ca="1" si="68"/>
        <v>#N/A</v>
      </c>
      <c r="AD333" s="57" t="e">
        <f t="shared" ca="1" si="69"/>
        <v>#N/A</v>
      </c>
      <c r="AE333" s="57" t="e">
        <f t="shared" ca="1" si="70"/>
        <v>#N/A</v>
      </c>
      <c r="AF333" s="57" t="e">
        <f t="shared" ca="1" si="71"/>
        <v>#N/A</v>
      </c>
    </row>
    <row r="334" spans="18:32" x14ac:dyDescent="0.25">
      <c r="R334" s="85" t="e">
        <f ca="1"/>
        <v>#N/A</v>
      </c>
      <c r="S334" s="57" t="e">
        <f t="shared" ca="1" si="65"/>
        <v>#N/A</v>
      </c>
      <c r="T334" s="57" t="e">
        <f t="shared" ca="1" si="59"/>
        <v>#N/A</v>
      </c>
      <c r="U334" s="57" t="e">
        <f t="shared" ca="1" si="60"/>
        <v>#N/A</v>
      </c>
      <c r="V334" s="57" t="e">
        <f t="shared" ca="1" si="61"/>
        <v>#N/A</v>
      </c>
      <c r="W334" s="57" t="e">
        <f t="shared" ca="1" si="66"/>
        <v>#N/A</v>
      </c>
      <c r="X334" t="e">
        <f t="shared" ca="1" si="62"/>
        <v>#N/A</v>
      </c>
      <c r="Y334" t="e">
        <f t="shared" ca="1" si="67"/>
        <v>#N/A</v>
      </c>
      <c r="Z334" t="e">
        <f t="shared" ca="1" si="63"/>
        <v>#N/A</v>
      </c>
      <c r="AA334" t="e">
        <f t="shared" ca="1" si="64"/>
        <v>#N/A</v>
      </c>
      <c r="AB334" s="85" t="e">
        <f ca="1"/>
        <v>#N/A</v>
      </c>
      <c r="AC334" s="57" t="e">
        <f t="shared" ca="1" si="68"/>
        <v>#N/A</v>
      </c>
      <c r="AD334" s="57" t="e">
        <f t="shared" ca="1" si="69"/>
        <v>#N/A</v>
      </c>
      <c r="AE334" s="57" t="e">
        <f t="shared" ca="1" si="70"/>
        <v>#N/A</v>
      </c>
      <c r="AF334" s="57" t="e">
        <f t="shared" ca="1" si="71"/>
        <v>#N/A</v>
      </c>
    </row>
    <row r="335" spans="18:32" x14ac:dyDescent="0.25">
      <c r="R335" s="85" t="e">
        <f ca="1"/>
        <v>#N/A</v>
      </c>
      <c r="S335" s="57" t="e">
        <f t="shared" ca="1" si="65"/>
        <v>#N/A</v>
      </c>
      <c r="T335" s="57" t="e">
        <f t="shared" ca="1" si="59"/>
        <v>#N/A</v>
      </c>
      <c r="U335" s="57" t="e">
        <f t="shared" ca="1" si="60"/>
        <v>#N/A</v>
      </c>
      <c r="V335" s="57" t="e">
        <f t="shared" ca="1" si="61"/>
        <v>#N/A</v>
      </c>
      <c r="W335" s="57" t="e">
        <f t="shared" ca="1" si="66"/>
        <v>#N/A</v>
      </c>
      <c r="X335" t="e">
        <f t="shared" ca="1" si="62"/>
        <v>#N/A</v>
      </c>
      <c r="Y335" t="e">
        <f t="shared" ca="1" si="67"/>
        <v>#N/A</v>
      </c>
      <c r="Z335" t="e">
        <f t="shared" ca="1" si="63"/>
        <v>#N/A</v>
      </c>
      <c r="AA335" t="e">
        <f t="shared" ca="1" si="64"/>
        <v>#N/A</v>
      </c>
      <c r="AB335" s="85" t="e">
        <f ca="1"/>
        <v>#N/A</v>
      </c>
      <c r="AC335" s="57" t="e">
        <f t="shared" ca="1" si="68"/>
        <v>#N/A</v>
      </c>
      <c r="AD335" s="57" t="e">
        <f t="shared" ca="1" si="69"/>
        <v>#N/A</v>
      </c>
      <c r="AE335" s="57" t="e">
        <f t="shared" ca="1" si="70"/>
        <v>#N/A</v>
      </c>
      <c r="AF335" s="57" t="e">
        <f t="shared" ca="1" si="71"/>
        <v>#N/A</v>
      </c>
    </row>
    <row r="336" spans="18:32" x14ac:dyDescent="0.25">
      <c r="R336" s="85" t="e">
        <f ca="1"/>
        <v>#N/A</v>
      </c>
      <c r="S336" s="57" t="e">
        <f t="shared" ca="1" si="65"/>
        <v>#N/A</v>
      </c>
      <c r="T336" s="57" t="e">
        <f t="shared" ca="1" si="59"/>
        <v>#N/A</v>
      </c>
      <c r="U336" s="57" t="e">
        <f t="shared" ca="1" si="60"/>
        <v>#N/A</v>
      </c>
      <c r="V336" s="57" t="e">
        <f t="shared" ca="1" si="61"/>
        <v>#N/A</v>
      </c>
      <c r="W336" s="57" t="e">
        <f t="shared" ca="1" si="66"/>
        <v>#N/A</v>
      </c>
      <c r="X336" t="e">
        <f t="shared" ca="1" si="62"/>
        <v>#N/A</v>
      </c>
      <c r="Y336" t="e">
        <f t="shared" ca="1" si="67"/>
        <v>#N/A</v>
      </c>
      <c r="Z336" t="e">
        <f t="shared" ca="1" si="63"/>
        <v>#N/A</v>
      </c>
      <c r="AA336" t="e">
        <f t="shared" ca="1" si="64"/>
        <v>#N/A</v>
      </c>
      <c r="AB336" s="85" t="e">
        <f ca="1"/>
        <v>#N/A</v>
      </c>
      <c r="AC336" s="57" t="e">
        <f t="shared" ca="1" si="68"/>
        <v>#N/A</v>
      </c>
      <c r="AD336" s="57" t="e">
        <f t="shared" ca="1" si="69"/>
        <v>#N/A</v>
      </c>
      <c r="AE336" s="57" t="e">
        <f t="shared" ca="1" si="70"/>
        <v>#N/A</v>
      </c>
      <c r="AF336" s="57" t="e">
        <f t="shared" ca="1" si="71"/>
        <v>#N/A</v>
      </c>
    </row>
    <row r="337" spans="18:32" x14ac:dyDescent="0.25">
      <c r="R337" s="85" t="e">
        <f ca="1"/>
        <v>#N/A</v>
      </c>
      <c r="S337" s="57" t="e">
        <f t="shared" ca="1" si="65"/>
        <v>#N/A</v>
      </c>
      <c r="T337" s="57" t="e">
        <f t="shared" ca="1" si="59"/>
        <v>#N/A</v>
      </c>
      <c r="U337" s="57" t="e">
        <f t="shared" ca="1" si="60"/>
        <v>#N/A</v>
      </c>
      <c r="V337" s="57" t="e">
        <f t="shared" ca="1" si="61"/>
        <v>#N/A</v>
      </c>
      <c r="W337" s="57" t="e">
        <f t="shared" ca="1" si="66"/>
        <v>#N/A</v>
      </c>
      <c r="X337" t="e">
        <f t="shared" ca="1" si="62"/>
        <v>#N/A</v>
      </c>
      <c r="Y337" t="e">
        <f t="shared" ca="1" si="67"/>
        <v>#N/A</v>
      </c>
      <c r="Z337" t="e">
        <f t="shared" ca="1" si="63"/>
        <v>#N/A</v>
      </c>
      <c r="AA337" t="e">
        <f t="shared" ca="1" si="64"/>
        <v>#N/A</v>
      </c>
      <c r="AB337" s="85" t="e">
        <f ca="1"/>
        <v>#N/A</v>
      </c>
      <c r="AC337" s="57" t="e">
        <f t="shared" ca="1" si="68"/>
        <v>#N/A</v>
      </c>
      <c r="AD337" s="57" t="e">
        <f t="shared" ca="1" si="69"/>
        <v>#N/A</v>
      </c>
      <c r="AE337" s="57" t="e">
        <f t="shared" ca="1" si="70"/>
        <v>#N/A</v>
      </c>
      <c r="AF337" s="57" t="e">
        <f t="shared" ca="1" si="71"/>
        <v>#N/A</v>
      </c>
    </row>
    <row r="338" spans="18:32" x14ac:dyDescent="0.25">
      <c r="R338" s="85" t="e">
        <f ca="1"/>
        <v>#N/A</v>
      </c>
      <c r="S338" s="57" t="e">
        <f t="shared" ca="1" si="65"/>
        <v>#N/A</v>
      </c>
      <c r="T338" s="57" t="e">
        <f t="shared" ref="T338:T395" ca="1" si="72">VLOOKUP(S338,ModelOutputs,2,FALSE)</f>
        <v>#N/A</v>
      </c>
      <c r="U338" s="57" t="e">
        <f t="shared" ref="U338:U395" ca="1" si="73">VLOOKUP(S338,ModelOutputs,7,FALSE)</f>
        <v>#N/A</v>
      </c>
      <c r="V338" s="57" t="e">
        <f t="shared" ref="V338:V395" ca="1" si="74">VLOOKUP(S338,ModelOutputs,6,FALSE)</f>
        <v>#N/A</v>
      </c>
      <c r="W338" s="57" t="e">
        <f t="shared" ca="1" si="66"/>
        <v>#N/A</v>
      </c>
      <c r="X338" t="e">
        <f t="shared" ref="X338:X395" ca="1" si="75">VLOOKUP(S338,ModelOutputs,10,FALSE)*AWC</f>
        <v>#N/A</v>
      </c>
      <c r="Y338" t="e">
        <f t="shared" ca="1" si="67"/>
        <v>#N/A</v>
      </c>
      <c r="Z338" t="e">
        <f t="shared" ref="Z338:Z395" ca="1" si="76">VLOOKUP(S338,ModelOutputs,12,FALSE)</f>
        <v>#N/A</v>
      </c>
      <c r="AA338" t="e">
        <f t="shared" ref="AA338:AA395" ca="1" si="77">VLOOKUP(S338,ModelOutputs,13,FALSE)</f>
        <v>#N/A</v>
      </c>
      <c r="AB338" s="85" t="e">
        <f ca="1"/>
        <v>#N/A</v>
      </c>
      <c r="AC338" s="57" t="e">
        <f t="shared" ca="1" si="68"/>
        <v>#N/A</v>
      </c>
      <c r="AD338" s="57" t="e">
        <f t="shared" ca="1" si="69"/>
        <v>#N/A</v>
      </c>
      <c r="AE338" s="57" t="e">
        <f t="shared" ca="1" si="70"/>
        <v>#N/A</v>
      </c>
      <c r="AF338" s="57" t="e">
        <f t="shared" ca="1" si="71"/>
        <v>#N/A</v>
      </c>
    </row>
    <row r="339" spans="18:32" x14ac:dyDescent="0.25">
      <c r="R339" s="85" t="e">
        <f ca="1"/>
        <v>#N/A</v>
      </c>
      <c r="S339" s="57" t="e">
        <f t="shared" ref="S339:S395" ca="1" si="78">IF(R339&gt;1,R339,"")</f>
        <v>#N/A</v>
      </c>
      <c r="T339" s="57" t="e">
        <f t="shared" ca="1" si="72"/>
        <v>#N/A</v>
      </c>
      <c r="U339" s="57" t="e">
        <f t="shared" ca="1" si="73"/>
        <v>#N/A</v>
      </c>
      <c r="V339" s="57" t="e">
        <f t="shared" ca="1" si="74"/>
        <v>#N/A</v>
      </c>
      <c r="W339" s="57" t="e">
        <f t="shared" ref="W339:W402" ca="1" si="79">VLOOKUP(S339,ModelOutputs,9,FALSE)+W338</f>
        <v>#N/A</v>
      </c>
      <c r="X339" t="e">
        <f t="shared" ca="1" si="75"/>
        <v>#N/A</v>
      </c>
      <c r="Y339" t="e">
        <f t="shared" ref="Y339:Y395" ca="1" si="80">VLOOKUP(S339,ModelOutputs,11,FALSE)+Y338</f>
        <v>#N/A</v>
      </c>
      <c r="Z339" t="e">
        <f t="shared" ca="1" si="76"/>
        <v>#N/A</v>
      </c>
      <c r="AA339" t="e">
        <f t="shared" ca="1" si="77"/>
        <v>#N/A</v>
      </c>
      <c r="AB339" s="85" t="e">
        <f ca="1"/>
        <v>#N/A</v>
      </c>
      <c r="AC339" s="57" t="e">
        <f t="shared" ca="1" si="68"/>
        <v>#N/A</v>
      </c>
      <c r="AD339" s="57" t="e">
        <f t="shared" ca="1" si="69"/>
        <v>#N/A</v>
      </c>
      <c r="AE339" s="57" t="e">
        <f t="shared" ca="1" si="70"/>
        <v>#N/A</v>
      </c>
      <c r="AF339" s="57" t="e">
        <f t="shared" ca="1" si="71"/>
        <v>#N/A</v>
      </c>
    </row>
    <row r="340" spans="18:32" x14ac:dyDescent="0.25">
      <c r="R340" s="85" t="e">
        <f ca="1"/>
        <v>#N/A</v>
      </c>
      <c r="S340" s="57" t="e">
        <f t="shared" ca="1" si="78"/>
        <v>#N/A</v>
      </c>
      <c r="T340" s="57" t="e">
        <f t="shared" ca="1" si="72"/>
        <v>#N/A</v>
      </c>
      <c r="U340" s="57" t="e">
        <f t="shared" ca="1" si="73"/>
        <v>#N/A</v>
      </c>
      <c r="V340" s="57" t="e">
        <f t="shared" ca="1" si="74"/>
        <v>#N/A</v>
      </c>
      <c r="W340" s="57" t="e">
        <f t="shared" ca="1" si="79"/>
        <v>#N/A</v>
      </c>
      <c r="X340" t="e">
        <f t="shared" ca="1" si="75"/>
        <v>#N/A</v>
      </c>
      <c r="Y340" t="e">
        <f t="shared" ca="1" si="80"/>
        <v>#N/A</v>
      </c>
      <c r="Z340" t="e">
        <f t="shared" ca="1" si="76"/>
        <v>#N/A</v>
      </c>
      <c r="AA340" t="e">
        <f t="shared" ca="1" si="77"/>
        <v>#N/A</v>
      </c>
      <c r="AB340" s="85" t="e">
        <f ca="1"/>
        <v>#N/A</v>
      </c>
      <c r="AC340" s="57" t="e">
        <f t="shared" ca="1" si="68"/>
        <v>#N/A</v>
      </c>
      <c r="AD340" s="57" t="e">
        <f t="shared" ca="1" si="69"/>
        <v>#N/A</v>
      </c>
      <c r="AE340" s="57" t="e">
        <f t="shared" ca="1" si="70"/>
        <v>#N/A</v>
      </c>
      <c r="AF340" s="57" t="e">
        <f t="shared" ca="1" si="71"/>
        <v>#N/A</v>
      </c>
    </row>
    <row r="341" spans="18:32" x14ac:dyDescent="0.25">
      <c r="R341" s="85" t="e">
        <f ca="1"/>
        <v>#N/A</v>
      </c>
      <c r="S341" s="57" t="e">
        <f t="shared" ca="1" si="78"/>
        <v>#N/A</v>
      </c>
      <c r="T341" s="57" t="e">
        <f t="shared" ca="1" si="72"/>
        <v>#N/A</v>
      </c>
      <c r="U341" s="57" t="e">
        <f t="shared" ca="1" si="73"/>
        <v>#N/A</v>
      </c>
      <c r="V341" s="57" t="e">
        <f t="shared" ca="1" si="74"/>
        <v>#N/A</v>
      </c>
      <c r="W341" s="57" t="e">
        <f t="shared" ca="1" si="79"/>
        <v>#N/A</v>
      </c>
      <c r="X341" t="e">
        <f t="shared" ca="1" si="75"/>
        <v>#N/A</v>
      </c>
      <c r="Y341" t="e">
        <f t="shared" ca="1" si="80"/>
        <v>#N/A</v>
      </c>
      <c r="Z341" t="e">
        <f t="shared" ca="1" si="76"/>
        <v>#N/A</v>
      </c>
      <c r="AA341" t="e">
        <f t="shared" ca="1" si="77"/>
        <v>#N/A</v>
      </c>
      <c r="AB341" s="85" t="e">
        <f ca="1"/>
        <v>#N/A</v>
      </c>
      <c r="AC341" s="57" t="e">
        <f t="shared" ref="AC341:AC395" ca="1" si="81">IF(AB341&gt;1,AB341,"")</f>
        <v>#N/A</v>
      </c>
      <c r="AD341" s="57" t="e">
        <f t="shared" ref="AD341:AD395" ca="1" si="82">VLOOKUP(AC341,ModelOutputs,2,FALSE)</f>
        <v>#N/A</v>
      </c>
      <c r="AE341" s="57" t="e">
        <f t="shared" ref="AE341:AE395" ca="1" si="83">VLOOKUP(AC341,ModelOutputs,7,FALSE)</f>
        <v>#N/A</v>
      </c>
      <c r="AF341" s="57" t="e">
        <f t="shared" ref="AF341:AF395" ca="1" si="84">VLOOKUP(AC341,ModelOutputs,6,FALSE)</f>
        <v>#N/A</v>
      </c>
    </row>
    <row r="342" spans="18:32" x14ac:dyDescent="0.25">
      <c r="R342" s="85" t="e">
        <f ca="1"/>
        <v>#N/A</v>
      </c>
      <c r="S342" s="57" t="e">
        <f t="shared" ca="1" si="78"/>
        <v>#N/A</v>
      </c>
      <c r="T342" s="57" t="e">
        <f t="shared" ca="1" si="72"/>
        <v>#N/A</v>
      </c>
      <c r="U342" s="57" t="e">
        <f t="shared" ca="1" si="73"/>
        <v>#N/A</v>
      </c>
      <c r="V342" s="57" t="e">
        <f t="shared" ca="1" si="74"/>
        <v>#N/A</v>
      </c>
      <c r="W342" s="57" t="e">
        <f t="shared" ca="1" si="79"/>
        <v>#N/A</v>
      </c>
      <c r="X342" t="e">
        <f t="shared" ca="1" si="75"/>
        <v>#N/A</v>
      </c>
      <c r="Y342" t="e">
        <f t="shared" ca="1" si="80"/>
        <v>#N/A</v>
      </c>
      <c r="Z342" t="e">
        <f t="shared" ca="1" si="76"/>
        <v>#N/A</v>
      </c>
      <c r="AA342" t="e">
        <f t="shared" ca="1" si="77"/>
        <v>#N/A</v>
      </c>
      <c r="AB342" s="85" t="e">
        <f ca="1"/>
        <v>#N/A</v>
      </c>
      <c r="AC342" s="57" t="e">
        <f t="shared" ca="1" si="81"/>
        <v>#N/A</v>
      </c>
      <c r="AD342" s="57" t="e">
        <f t="shared" ca="1" si="82"/>
        <v>#N/A</v>
      </c>
      <c r="AE342" s="57" t="e">
        <f t="shared" ca="1" si="83"/>
        <v>#N/A</v>
      </c>
      <c r="AF342" s="57" t="e">
        <f t="shared" ca="1" si="84"/>
        <v>#N/A</v>
      </c>
    </row>
    <row r="343" spans="18:32" x14ac:dyDescent="0.25">
      <c r="R343" s="85" t="e">
        <f ca="1"/>
        <v>#N/A</v>
      </c>
      <c r="S343" s="57" t="e">
        <f t="shared" ca="1" si="78"/>
        <v>#N/A</v>
      </c>
      <c r="T343" s="57" t="e">
        <f t="shared" ca="1" si="72"/>
        <v>#N/A</v>
      </c>
      <c r="U343" s="57" t="e">
        <f t="shared" ca="1" si="73"/>
        <v>#N/A</v>
      </c>
      <c r="V343" s="57" t="e">
        <f t="shared" ca="1" si="74"/>
        <v>#N/A</v>
      </c>
      <c r="W343" s="57" t="e">
        <f t="shared" ca="1" si="79"/>
        <v>#N/A</v>
      </c>
      <c r="X343" t="e">
        <f t="shared" ca="1" si="75"/>
        <v>#N/A</v>
      </c>
      <c r="Y343" t="e">
        <f t="shared" ca="1" si="80"/>
        <v>#N/A</v>
      </c>
      <c r="Z343" t="e">
        <f t="shared" ca="1" si="76"/>
        <v>#N/A</v>
      </c>
      <c r="AA343" t="e">
        <f t="shared" ca="1" si="77"/>
        <v>#N/A</v>
      </c>
      <c r="AB343" s="85" t="e">
        <f ca="1"/>
        <v>#N/A</v>
      </c>
      <c r="AC343" s="57" t="e">
        <f t="shared" ca="1" si="81"/>
        <v>#N/A</v>
      </c>
      <c r="AD343" s="57" t="e">
        <f t="shared" ca="1" si="82"/>
        <v>#N/A</v>
      </c>
      <c r="AE343" s="57" t="e">
        <f t="shared" ca="1" si="83"/>
        <v>#N/A</v>
      </c>
      <c r="AF343" s="57" t="e">
        <f t="shared" ca="1" si="84"/>
        <v>#N/A</v>
      </c>
    </row>
    <row r="344" spans="18:32" x14ac:dyDescent="0.25">
      <c r="R344" s="85" t="e">
        <f ca="1"/>
        <v>#N/A</v>
      </c>
      <c r="S344" s="57" t="e">
        <f t="shared" ca="1" si="78"/>
        <v>#N/A</v>
      </c>
      <c r="T344" s="57" t="e">
        <f t="shared" ca="1" si="72"/>
        <v>#N/A</v>
      </c>
      <c r="U344" s="57" t="e">
        <f t="shared" ca="1" si="73"/>
        <v>#N/A</v>
      </c>
      <c r="V344" s="57" t="e">
        <f t="shared" ca="1" si="74"/>
        <v>#N/A</v>
      </c>
      <c r="W344" s="57" t="e">
        <f t="shared" ca="1" si="79"/>
        <v>#N/A</v>
      </c>
      <c r="X344" t="e">
        <f t="shared" ca="1" si="75"/>
        <v>#N/A</v>
      </c>
      <c r="Y344" t="e">
        <f t="shared" ca="1" si="80"/>
        <v>#N/A</v>
      </c>
      <c r="Z344" t="e">
        <f t="shared" ca="1" si="76"/>
        <v>#N/A</v>
      </c>
      <c r="AA344" t="e">
        <f t="shared" ca="1" si="77"/>
        <v>#N/A</v>
      </c>
      <c r="AB344" s="85" t="e">
        <f ca="1"/>
        <v>#N/A</v>
      </c>
      <c r="AC344" s="57" t="e">
        <f t="shared" ca="1" si="81"/>
        <v>#N/A</v>
      </c>
      <c r="AD344" s="57" t="e">
        <f t="shared" ca="1" si="82"/>
        <v>#N/A</v>
      </c>
      <c r="AE344" s="57" t="e">
        <f t="shared" ca="1" si="83"/>
        <v>#N/A</v>
      </c>
      <c r="AF344" s="57" t="e">
        <f t="shared" ca="1" si="84"/>
        <v>#N/A</v>
      </c>
    </row>
    <row r="345" spans="18:32" x14ac:dyDescent="0.25">
      <c r="R345" s="85" t="e">
        <f ca="1"/>
        <v>#N/A</v>
      </c>
      <c r="S345" s="57" t="e">
        <f t="shared" ca="1" si="78"/>
        <v>#N/A</v>
      </c>
      <c r="T345" s="57" t="e">
        <f t="shared" ca="1" si="72"/>
        <v>#N/A</v>
      </c>
      <c r="U345" s="57" t="e">
        <f t="shared" ca="1" si="73"/>
        <v>#N/A</v>
      </c>
      <c r="V345" s="57" t="e">
        <f t="shared" ca="1" si="74"/>
        <v>#N/A</v>
      </c>
      <c r="W345" s="57" t="e">
        <f t="shared" ca="1" si="79"/>
        <v>#N/A</v>
      </c>
      <c r="X345" t="e">
        <f t="shared" ca="1" si="75"/>
        <v>#N/A</v>
      </c>
      <c r="Y345" t="e">
        <f t="shared" ca="1" si="80"/>
        <v>#N/A</v>
      </c>
      <c r="Z345" t="e">
        <f t="shared" ca="1" si="76"/>
        <v>#N/A</v>
      </c>
      <c r="AA345" t="e">
        <f t="shared" ca="1" si="77"/>
        <v>#N/A</v>
      </c>
      <c r="AB345" s="85" t="e">
        <f ca="1"/>
        <v>#N/A</v>
      </c>
      <c r="AC345" s="57" t="e">
        <f t="shared" ca="1" si="81"/>
        <v>#N/A</v>
      </c>
      <c r="AD345" s="57" t="e">
        <f t="shared" ca="1" si="82"/>
        <v>#N/A</v>
      </c>
      <c r="AE345" s="57" t="e">
        <f t="shared" ca="1" si="83"/>
        <v>#N/A</v>
      </c>
      <c r="AF345" s="57" t="e">
        <f t="shared" ca="1" si="84"/>
        <v>#N/A</v>
      </c>
    </row>
    <row r="346" spans="18:32" x14ac:dyDescent="0.25">
      <c r="R346" s="85" t="e">
        <f ca="1"/>
        <v>#N/A</v>
      </c>
      <c r="S346" s="57" t="e">
        <f t="shared" ca="1" si="78"/>
        <v>#N/A</v>
      </c>
      <c r="T346" s="57" t="e">
        <f t="shared" ca="1" si="72"/>
        <v>#N/A</v>
      </c>
      <c r="U346" s="57" t="e">
        <f t="shared" ca="1" si="73"/>
        <v>#N/A</v>
      </c>
      <c r="V346" s="57" t="e">
        <f t="shared" ca="1" si="74"/>
        <v>#N/A</v>
      </c>
      <c r="W346" s="57" t="e">
        <f t="shared" ca="1" si="79"/>
        <v>#N/A</v>
      </c>
      <c r="X346" t="e">
        <f t="shared" ca="1" si="75"/>
        <v>#N/A</v>
      </c>
      <c r="Y346" t="e">
        <f t="shared" ca="1" si="80"/>
        <v>#N/A</v>
      </c>
      <c r="Z346" t="e">
        <f t="shared" ca="1" si="76"/>
        <v>#N/A</v>
      </c>
      <c r="AA346" t="e">
        <f t="shared" ca="1" si="77"/>
        <v>#N/A</v>
      </c>
      <c r="AB346" s="85" t="e">
        <f ca="1"/>
        <v>#N/A</v>
      </c>
      <c r="AC346" s="57" t="e">
        <f t="shared" ca="1" si="81"/>
        <v>#N/A</v>
      </c>
      <c r="AD346" s="57" t="e">
        <f t="shared" ca="1" si="82"/>
        <v>#N/A</v>
      </c>
      <c r="AE346" s="57" t="e">
        <f t="shared" ca="1" si="83"/>
        <v>#N/A</v>
      </c>
      <c r="AF346" s="57" t="e">
        <f t="shared" ca="1" si="84"/>
        <v>#N/A</v>
      </c>
    </row>
    <row r="347" spans="18:32" x14ac:dyDescent="0.25">
      <c r="R347" s="85" t="e">
        <f ca="1"/>
        <v>#N/A</v>
      </c>
      <c r="S347" s="57" t="e">
        <f t="shared" ca="1" si="78"/>
        <v>#N/A</v>
      </c>
      <c r="T347" s="57" t="e">
        <f t="shared" ca="1" si="72"/>
        <v>#N/A</v>
      </c>
      <c r="U347" s="57" t="e">
        <f t="shared" ca="1" si="73"/>
        <v>#N/A</v>
      </c>
      <c r="V347" s="57" t="e">
        <f t="shared" ca="1" si="74"/>
        <v>#N/A</v>
      </c>
      <c r="W347" s="57" t="e">
        <f t="shared" ca="1" si="79"/>
        <v>#N/A</v>
      </c>
      <c r="X347" t="e">
        <f t="shared" ca="1" si="75"/>
        <v>#N/A</v>
      </c>
      <c r="Y347" t="e">
        <f t="shared" ca="1" si="80"/>
        <v>#N/A</v>
      </c>
      <c r="Z347" t="e">
        <f t="shared" ca="1" si="76"/>
        <v>#N/A</v>
      </c>
      <c r="AA347" t="e">
        <f t="shared" ca="1" si="77"/>
        <v>#N/A</v>
      </c>
      <c r="AB347" s="85" t="e">
        <f ca="1"/>
        <v>#N/A</v>
      </c>
      <c r="AC347" s="57" t="e">
        <f t="shared" ca="1" si="81"/>
        <v>#N/A</v>
      </c>
      <c r="AD347" s="57" t="e">
        <f t="shared" ca="1" si="82"/>
        <v>#N/A</v>
      </c>
      <c r="AE347" s="57" t="e">
        <f t="shared" ca="1" si="83"/>
        <v>#N/A</v>
      </c>
      <c r="AF347" s="57" t="e">
        <f t="shared" ca="1" si="84"/>
        <v>#N/A</v>
      </c>
    </row>
    <row r="348" spans="18:32" x14ac:dyDescent="0.25">
      <c r="R348" s="85" t="e">
        <f ca="1"/>
        <v>#N/A</v>
      </c>
      <c r="S348" s="57" t="e">
        <f t="shared" ca="1" si="78"/>
        <v>#N/A</v>
      </c>
      <c r="T348" s="57" t="e">
        <f t="shared" ca="1" si="72"/>
        <v>#N/A</v>
      </c>
      <c r="U348" s="57" t="e">
        <f t="shared" ca="1" si="73"/>
        <v>#N/A</v>
      </c>
      <c r="V348" s="57" t="e">
        <f t="shared" ca="1" si="74"/>
        <v>#N/A</v>
      </c>
      <c r="W348" s="57" t="e">
        <f t="shared" ca="1" si="79"/>
        <v>#N/A</v>
      </c>
      <c r="X348" t="e">
        <f t="shared" ca="1" si="75"/>
        <v>#N/A</v>
      </c>
      <c r="Y348" t="e">
        <f t="shared" ca="1" si="80"/>
        <v>#N/A</v>
      </c>
      <c r="Z348" t="e">
        <f t="shared" ca="1" si="76"/>
        <v>#N/A</v>
      </c>
      <c r="AA348" t="e">
        <f t="shared" ca="1" si="77"/>
        <v>#N/A</v>
      </c>
      <c r="AB348" s="85" t="e">
        <f ca="1"/>
        <v>#N/A</v>
      </c>
      <c r="AC348" s="57" t="e">
        <f t="shared" ca="1" si="81"/>
        <v>#N/A</v>
      </c>
      <c r="AD348" s="57" t="e">
        <f t="shared" ca="1" si="82"/>
        <v>#N/A</v>
      </c>
      <c r="AE348" s="57" t="e">
        <f t="shared" ca="1" si="83"/>
        <v>#N/A</v>
      </c>
      <c r="AF348" s="57" t="e">
        <f t="shared" ca="1" si="84"/>
        <v>#N/A</v>
      </c>
    </row>
    <row r="349" spans="18:32" x14ac:dyDescent="0.25">
      <c r="R349" s="85" t="e">
        <f ca="1"/>
        <v>#N/A</v>
      </c>
      <c r="S349" s="57" t="e">
        <f t="shared" ca="1" si="78"/>
        <v>#N/A</v>
      </c>
      <c r="T349" s="57" t="e">
        <f t="shared" ca="1" si="72"/>
        <v>#N/A</v>
      </c>
      <c r="U349" s="57" t="e">
        <f t="shared" ca="1" si="73"/>
        <v>#N/A</v>
      </c>
      <c r="V349" s="57" t="e">
        <f t="shared" ca="1" si="74"/>
        <v>#N/A</v>
      </c>
      <c r="W349" s="57" t="e">
        <f t="shared" ca="1" si="79"/>
        <v>#N/A</v>
      </c>
      <c r="X349" t="e">
        <f t="shared" ca="1" si="75"/>
        <v>#N/A</v>
      </c>
      <c r="Y349" t="e">
        <f t="shared" ca="1" si="80"/>
        <v>#N/A</v>
      </c>
      <c r="Z349" t="e">
        <f t="shared" ca="1" si="76"/>
        <v>#N/A</v>
      </c>
      <c r="AA349" t="e">
        <f t="shared" ca="1" si="77"/>
        <v>#N/A</v>
      </c>
      <c r="AB349" s="85" t="e">
        <f ca="1"/>
        <v>#N/A</v>
      </c>
      <c r="AC349" s="57" t="e">
        <f t="shared" ca="1" si="81"/>
        <v>#N/A</v>
      </c>
      <c r="AD349" s="57" t="e">
        <f t="shared" ca="1" si="82"/>
        <v>#N/A</v>
      </c>
      <c r="AE349" s="57" t="e">
        <f t="shared" ca="1" si="83"/>
        <v>#N/A</v>
      </c>
      <c r="AF349" s="57" t="e">
        <f t="shared" ca="1" si="84"/>
        <v>#N/A</v>
      </c>
    </row>
    <row r="350" spans="18:32" x14ac:dyDescent="0.25">
      <c r="R350" s="85" t="e">
        <f ca="1"/>
        <v>#N/A</v>
      </c>
      <c r="S350" s="57" t="e">
        <f t="shared" ca="1" si="78"/>
        <v>#N/A</v>
      </c>
      <c r="T350" s="57" t="e">
        <f t="shared" ca="1" si="72"/>
        <v>#N/A</v>
      </c>
      <c r="U350" s="57" t="e">
        <f t="shared" ca="1" si="73"/>
        <v>#N/A</v>
      </c>
      <c r="V350" s="57" t="e">
        <f t="shared" ca="1" si="74"/>
        <v>#N/A</v>
      </c>
      <c r="W350" s="57" t="e">
        <f t="shared" ca="1" si="79"/>
        <v>#N/A</v>
      </c>
      <c r="X350" t="e">
        <f t="shared" ca="1" si="75"/>
        <v>#N/A</v>
      </c>
      <c r="Y350" t="e">
        <f t="shared" ca="1" si="80"/>
        <v>#N/A</v>
      </c>
      <c r="Z350" t="e">
        <f t="shared" ca="1" si="76"/>
        <v>#N/A</v>
      </c>
      <c r="AA350" t="e">
        <f t="shared" ca="1" si="77"/>
        <v>#N/A</v>
      </c>
      <c r="AB350" s="85" t="e">
        <f ca="1"/>
        <v>#N/A</v>
      </c>
      <c r="AC350" s="57" t="e">
        <f t="shared" ca="1" si="81"/>
        <v>#N/A</v>
      </c>
      <c r="AD350" s="57" t="e">
        <f t="shared" ca="1" si="82"/>
        <v>#N/A</v>
      </c>
      <c r="AE350" s="57" t="e">
        <f t="shared" ca="1" si="83"/>
        <v>#N/A</v>
      </c>
      <c r="AF350" s="57" t="e">
        <f t="shared" ca="1" si="84"/>
        <v>#N/A</v>
      </c>
    </row>
    <row r="351" spans="18:32" x14ac:dyDescent="0.25">
      <c r="R351" s="85" t="e">
        <f ca="1"/>
        <v>#N/A</v>
      </c>
      <c r="S351" s="57" t="e">
        <f t="shared" ca="1" si="78"/>
        <v>#N/A</v>
      </c>
      <c r="T351" s="57" t="e">
        <f t="shared" ca="1" si="72"/>
        <v>#N/A</v>
      </c>
      <c r="U351" s="57" t="e">
        <f t="shared" ca="1" si="73"/>
        <v>#N/A</v>
      </c>
      <c r="V351" s="57" t="e">
        <f t="shared" ca="1" si="74"/>
        <v>#N/A</v>
      </c>
      <c r="W351" s="57" t="e">
        <f t="shared" ca="1" si="79"/>
        <v>#N/A</v>
      </c>
      <c r="X351" t="e">
        <f t="shared" ca="1" si="75"/>
        <v>#N/A</v>
      </c>
      <c r="Y351" t="e">
        <f t="shared" ca="1" si="80"/>
        <v>#N/A</v>
      </c>
      <c r="Z351" t="e">
        <f t="shared" ca="1" si="76"/>
        <v>#N/A</v>
      </c>
      <c r="AA351" t="e">
        <f t="shared" ca="1" si="77"/>
        <v>#N/A</v>
      </c>
      <c r="AB351" s="85" t="e">
        <f ca="1"/>
        <v>#N/A</v>
      </c>
      <c r="AC351" s="57" t="e">
        <f t="shared" ca="1" si="81"/>
        <v>#N/A</v>
      </c>
      <c r="AD351" s="57" t="e">
        <f t="shared" ca="1" si="82"/>
        <v>#N/A</v>
      </c>
      <c r="AE351" s="57" t="e">
        <f t="shared" ca="1" si="83"/>
        <v>#N/A</v>
      </c>
      <c r="AF351" s="57" t="e">
        <f t="shared" ca="1" si="84"/>
        <v>#N/A</v>
      </c>
    </row>
    <row r="352" spans="18:32" x14ac:dyDescent="0.25">
      <c r="R352" s="85" t="e">
        <f ca="1"/>
        <v>#N/A</v>
      </c>
      <c r="S352" s="57" t="e">
        <f t="shared" ca="1" si="78"/>
        <v>#N/A</v>
      </c>
      <c r="T352" s="57" t="e">
        <f t="shared" ca="1" si="72"/>
        <v>#N/A</v>
      </c>
      <c r="U352" s="57" t="e">
        <f t="shared" ca="1" si="73"/>
        <v>#N/A</v>
      </c>
      <c r="V352" s="57" t="e">
        <f t="shared" ca="1" si="74"/>
        <v>#N/A</v>
      </c>
      <c r="W352" s="57" t="e">
        <f t="shared" ca="1" si="79"/>
        <v>#N/A</v>
      </c>
      <c r="X352" t="e">
        <f t="shared" ca="1" si="75"/>
        <v>#N/A</v>
      </c>
      <c r="Y352" t="e">
        <f t="shared" ca="1" si="80"/>
        <v>#N/A</v>
      </c>
      <c r="Z352" t="e">
        <f t="shared" ca="1" si="76"/>
        <v>#N/A</v>
      </c>
      <c r="AA352" t="e">
        <f t="shared" ca="1" si="77"/>
        <v>#N/A</v>
      </c>
      <c r="AB352" s="85" t="e">
        <f ca="1"/>
        <v>#N/A</v>
      </c>
      <c r="AC352" s="57" t="e">
        <f t="shared" ca="1" si="81"/>
        <v>#N/A</v>
      </c>
      <c r="AD352" s="57" t="e">
        <f t="shared" ca="1" si="82"/>
        <v>#N/A</v>
      </c>
      <c r="AE352" s="57" t="e">
        <f t="shared" ca="1" si="83"/>
        <v>#N/A</v>
      </c>
      <c r="AF352" s="57" t="e">
        <f t="shared" ca="1" si="84"/>
        <v>#N/A</v>
      </c>
    </row>
    <row r="353" spans="18:32" x14ac:dyDescent="0.25">
      <c r="R353" s="85" t="e">
        <f ca="1"/>
        <v>#N/A</v>
      </c>
      <c r="S353" s="57" t="e">
        <f t="shared" ca="1" si="78"/>
        <v>#N/A</v>
      </c>
      <c r="T353" s="57" t="e">
        <f t="shared" ca="1" si="72"/>
        <v>#N/A</v>
      </c>
      <c r="U353" s="57" t="e">
        <f t="shared" ca="1" si="73"/>
        <v>#N/A</v>
      </c>
      <c r="V353" s="57" t="e">
        <f t="shared" ca="1" si="74"/>
        <v>#N/A</v>
      </c>
      <c r="W353" s="57" t="e">
        <f t="shared" ca="1" si="79"/>
        <v>#N/A</v>
      </c>
      <c r="X353" t="e">
        <f t="shared" ca="1" si="75"/>
        <v>#N/A</v>
      </c>
      <c r="Y353" t="e">
        <f t="shared" ca="1" si="80"/>
        <v>#N/A</v>
      </c>
      <c r="Z353" t="e">
        <f t="shared" ca="1" si="76"/>
        <v>#N/A</v>
      </c>
      <c r="AA353" t="e">
        <f t="shared" ca="1" si="77"/>
        <v>#N/A</v>
      </c>
      <c r="AB353" s="85" t="e">
        <f ca="1"/>
        <v>#N/A</v>
      </c>
      <c r="AC353" s="57" t="e">
        <f t="shared" ca="1" si="81"/>
        <v>#N/A</v>
      </c>
      <c r="AD353" s="57" t="e">
        <f t="shared" ca="1" si="82"/>
        <v>#N/A</v>
      </c>
      <c r="AE353" s="57" t="e">
        <f t="shared" ca="1" si="83"/>
        <v>#N/A</v>
      </c>
      <c r="AF353" s="57" t="e">
        <f t="shared" ca="1" si="84"/>
        <v>#N/A</v>
      </c>
    </row>
    <row r="354" spans="18:32" x14ac:dyDescent="0.25">
      <c r="R354" s="85" t="e">
        <f ca="1"/>
        <v>#N/A</v>
      </c>
      <c r="S354" s="57" t="e">
        <f t="shared" ca="1" si="78"/>
        <v>#N/A</v>
      </c>
      <c r="T354" s="57" t="e">
        <f t="shared" ca="1" si="72"/>
        <v>#N/A</v>
      </c>
      <c r="U354" s="57" t="e">
        <f t="shared" ca="1" si="73"/>
        <v>#N/A</v>
      </c>
      <c r="V354" s="57" t="e">
        <f t="shared" ca="1" si="74"/>
        <v>#N/A</v>
      </c>
      <c r="W354" s="57" t="e">
        <f t="shared" ca="1" si="79"/>
        <v>#N/A</v>
      </c>
      <c r="X354" t="e">
        <f t="shared" ca="1" si="75"/>
        <v>#N/A</v>
      </c>
      <c r="Y354" t="e">
        <f t="shared" ca="1" si="80"/>
        <v>#N/A</v>
      </c>
      <c r="Z354" t="e">
        <f t="shared" ca="1" si="76"/>
        <v>#N/A</v>
      </c>
      <c r="AA354" t="e">
        <f t="shared" ca="1" si="77"/>
        <v>#N/A</v>
      </c>
      <c r="AB354" s="85" t="e">
        <f ca="1"/>
        <v>#N/A</v>
      </c>
      <c r="AC354" s="57" t="e">
        <f t="shared" ca="1" si="81"/>
        <v>#N/A</v>
      </c>
      <c r="AD354" s="57" t="e">
        <f t="shared" ca="1" si="82"/>
        <v>#N/A</v>
      </c>
      <c r="AE354" s="57" t="e">
        <f t="shared" ca="1" si="83"/>
        <v>#N/A</v>
      </c>
      <c r="AF354" s="57" t="e">
        <f t="shared" ca="1" si="84"/>
        <v>#N/A</v>
      </c>
    </row>
    <row r="355" spans="18:32" x14ac:dyDescent="0.25">
      <c r="R355" s="85" t="e">
        <f ca="1"/>
        <v>#N/A</v>
      </c>
      <c r="S355" s="57" t="e">
        <f t="shared" ca="1" si="78"/>
        <v>#N/A</v>
      </c>
      <c r="T355" s="57" t="e">
        <f t="shared" ca="1" si="72"/>
        <v>#N/A</v>
      </c>
      <c r="U355" s="57" t="e">
        <f t="shared" ca="1" si="73"/>
        <v>#N/A</v>
      </c>
      <c r="V355" s="57" t="e">
        <f t="shared" ca="1" si="74"/>
        <v>#N/A</v>
      </c>
      <c r="W355" s="57" t="e">
        <f t="shared" ca="1" si="79"/>
        <v>#N/A</v>
      </c>
      <c r="X355" t="e">
        <f t="shared" ca="1" si="75"/>
        <v>#N/A</v>
      </c>
      <c r="Y355" t="e">
        <f t="shared" ca="1" si="80"/>
        <v>#N/A</v>
      </c>
      <c r="Z355" t="e">
        <f t="shared" ca="1" si="76"/>
        <v>#N/A</v>
      </c>
      <c r="AA355" t="e">
        <f t="shared" ca="1" si="77"/>
        <v>#N/A</v>
      </c>
      <c r="AB355" s="85" t="e">
        <f ca="1"/>
        <v>#N/A</v>
      </c>
      <c r="AC355" s="57" t="e">
        <f t="shared" ca="1" si="81"/>
        <v>#N/A</v>
      </c>
      <c r="AD355" s="57" t="e">
        <f t="shared" ca="1" si="82"/>
        <v>#N/A</v>
      </c>
      <c r="AE355" s="57" t="e">
        <f t="shared" ca="1" si="83"/>
        <v>#N/A</v>
      </c>
      <c r="AF355" s="57" t="e">
        <f t="shared" ca="1" si="84"/>
        <v>#N/A</v>
      </c>
    </row>
    <row r="356" spans="18:32" x14ac:dyDescent="0.25">
      <c r="R356" s="85" t="e">
        <f ca="1"/>
        <v>#N/A</v>
      </c>
      <c r="S356" s="57" t="e">
        <f t="shared" ca="1" si="78"/>
        <v>#N/A</v>
      </c>
      <c r="T356" s="57" t="e">
        <f t="shared" ca="1" si="72"/>
        <v>#N/A</v>
      </c>
      <c r="U356" s="57" t="e">
        <f t="shared" ca="1" si="73"/>
        <v>#N/A</v>
      </c>
      <c r="V356" s="57" t="e">
        <f t="shared" ca="1" si="74"/>
        <v>#N/A</v>
      </c>
      <c r="W356" s="57" t="e">
        <f t="shared" ca="1" si="79"/>
        <v>#N/A</v>
      </c>
      <c r="X356" t="e">
        <f t="shared" ca="1" si="75"/>
        <v>#N/A</v>
      </c>
      <c r="Y356" t="e">
        <f t="shared" ca="1" si="80"/>
        <v>#N/A</v>
      </c>
      <c r="Z356" t="e">
        <f t="shared" ca="1" si="76"/>
        <v>#N/A</v>
      </c>
      <c r="AA356" t="e">
        <f t="shared" ca="1" si="77"/>
        <v>#N/A</v>
      </c>
      <c r="AB356" s="85" t="e">
        <f ca="1"/>
        <v>#N/A</v>
      </c>
      <c r="AC356" s="57" t="e">
        <f t="shared" ca="1" si="81"/>
        <v>#N/A</v>
      </c>
      <c r="AD356" s="57" t="e">
        <f t="shared" ca="1" si="82"/>
        <v>#N/A</v>
      </c>
      <c r="AE356" s="57" t="e">
        <f t="shared" ca="1" si="83"/>
        <v>#N/A</v>
      </c>
      <c r="AF356" s="57" t="e">
        <f t="shared" ca="1" si="84"/>
        <v>#N/A</v>
      </c>
    </row>
    <row r="357" spans="18:32" x14ac:dyDescent="0.25">
      <c r="R357" s="85" t="e">
        <f ca="1"/>
        <v>#N/A</v>
      </c>
      <c r="S357" s="57" t="e">
        <f t="shared" ca="1" si="78"/>
        <v>#N/A</v>
      </c>
      <c r="T357" s="57" t="e">
        <f t="shared" ca="1" si="72"/>
        <v>#N/A</v>
      </c>
      <c r="U357" s="57" t="e">
        <f t="shared" ca="1" si="73"/>
        <v>#N/A</v>
      </c>
      <c r="V357" s="57" t="e">
        <f t="shared" ca="1" si="74"/>
        <v>#N/A</v>
      </c>
      <c r="W357" s="57" t="e">
        <f t="shared" ca="1" si="79"/>
        <v>#N/A</v>
      </c>
      <c r="X357" t="e">
        <f t="shared" ca="1" si="75"/>
        <v>#N/A</v>
      </c>
      <c r="Y357" t="e">
        <f t="shared" ca="1" si="80"/>
        <v>#N/A</v>
      </c>
      <c r="Z357" t="e">
        <f t="shared" ca="1" si="76"/>
        <v>#N/A</v>
      </c>
      <c r="AA357" t="e">
        <f t="shared" ca="1" si="77"/>
        <v>#N/A</v>
      </c>
      <c r="AB357" s="85" t="e">
        <f ca="1"/>
        <v>#N/A</v>
      </c>
      <c r="AC357" s="57" t="e">
        <f t="shared" ca="1" si="81"/>
        <v>#N/A</v>
      </c>
      <c r="AD357" s="57" t="e">
        <f t="shared" ca="1" si="82"/>
        <v>#N/A</v>
      </c>
      <c r="AE357" s="57" t="e">
        <f t="shared" ca="1" si="83"/>
        <v>#N/A</v>
      </c>
      <c r="AF357" s="57" t="e">
        <f t="shared" ca="1" si="84"/>
        <v>#N/A</v>
      </c>
    </row>
    <row r="358" spans="18:32" x14ac:dyDescent="0.25">
      <c r="R358" s="85" t="e">
        <f ca="1"/>
        <v>#N/A</v>
      </c>
      <c r="S358" s="57" t="e">
        <f t="shared" ca="1" si="78"/>
        <v>#N/A</v>
      </c>
      <c r="T358" s="57" t="e">
        <f t="shared" ca="1" si="72"/>
        <v>#N/A</v>
      </c>
      <c r="U358" s="57" t="e">
        <f t="shared" ca="1" si="73"/>
        <v>#N/A</v>
      </c>
      <c r="V358" s="57" t="e">
        <f t="shared" ca="1" si="74"/>
        <v>#N/A</v>
      </c>
      <c r="W358" s="57" t="e">
        <f t="shared" ca="1" si="79"/>
        <v>#N/A</v>
      </c>
      <c r="X358" t="e">
        <f t="shared" ca="1" si="75"/>
        <v>#N/A</v>
      </c>
      <c r="Y358" t="e">
        <f t="shared" ca="1" si="80"/>
        <v>#N/A</v>
      </c>
      <c r="Z358" t="e">
        <f t="shared" ca="1" si="76"/>
        <v>#N/A</v>
      </c>
      <c r="AA358" t="e">
        <f t="shared" ca="1" si="77"/>
        <v>#N/A</v>
      </c>
      <c r="AB358" s="85" t="e">
        <f ca="1"/>
        <v>#N/A</v>
      </c>
      <c r="AC358" s="57" t="e">
        <f t="shared" ca="1" si="81"/>
        <v>#N/A</v>
      </c>
      <c r="AD358" s="57" t="e">
        <f t="shared" ca="1" si="82"/>
        <v>#N/A</v>
      </c>
      <c r="AE358" s="57" t="e">
        <f t="shared" ca="1" si="83"/>
        <v>#N/A</v>
      </c>
      <c r="AF358" s="57" t="e">
        <f t="shared" ca="1" si="84"/>
        <v>#N/A</v>
      </c>
    </row>
    <row r="359" spans="18:32" x14ac:dyDescent="0.25">
      <c r="R359" s="85" t="e">
        <f ca="1"/>
        <v>#N/A</v>
      </c>
      <c r="S359" s="57" t="e">
        <f t="shared" ca="1" si="78"/>
        <v>#N/A</v>
      </c>
      <c r="T359" s="57" t="e">
        <f t="shared" ca="1" si="72"/>
        <v>#N/A</v>
      </c>
      <c r="U359" s="57" t="e">
        <f t="shared" ca="1" si="73"/>
        <v>#N/A</v>
      </c>
      <c r="V359" s="57" t="e">
        <f t="shared" ca="1" si="74"/>
        <v>#N/A</v>
      </c>
      <c r="W359" s="57" t="e">
        <f t="shared" ca="1" si="79"/>
        <v>#N/A</v>
      </c>
      <c r="X359" t="e">
        <f t="shared" ca="1" si="75"/>
        <v>#N/A</v>
      </c>
      <c r="Y359" t="e">
        <f t="shared" ca="1" si="80"/>
        <v>#N/A</v>
      </c>
      <c r="Z359" t="e">
        <f t="shared" ca="1" si="76"/>
        <v>#N/A</v>
      </c>
      <c r="AA359" t="e">
        <f t="shared" ca="1" si="77"/>
        <v>#N/A</v>
      </c>
      <c r="AB359" s="85" t="e">
        <f ca="1"/>
        <v>#N/A</v>
      </c>
      <c r="AC359" s="57" t="e">
        <f t="shared" ca="1" si="81"/>
        <v>#N/A</v>
      </c>
      <c r="AD359" s="57" t="e">
        <f t="shared" ca="1" si="82"/>
        <v>#N/A</v>
      </c>
      <c r="AE359" s="57" t="e">
        <f t="shared" ca="1" si="83"/>
        <v>#N/A</v>
      </c>
      <c r="AF359" s="57" t="e">
        <f t="shared" ca="1" si="84"/>
        <v>#N/A</v>
      </c>
    </row>
    <row r="360" spans="18:32" x14ac:dyDescent="0.25">
      <c r="R360" s="85" t="e">
        <f ca="1"/>
        <v>#N/A</v>
      </c>
      <c r="S360" s="57" t="e">
        <f t="shared" ca="1" si="78"/>
        <v>#N/A</v>
      </c>
      <c r="T360" s="57" t="e">
        <f t="shared" ca="1" si="72"/>
        <v>#N/A</v>
      </c>
      <c r="U360" s="57" t="e">
        <f t="shared" ca="1" si="73"/>
        <v>#N/A</v>
      </c>
      <c r="V360" s="57" t="e">
        <f t="shared" ca="1" si="74"/>
        <v>#N/A</v>
      </c>
      <c r="W360" s="57" t="e">
        <f t="shared" ca="1" si="79"/>
        <v>#N/A</v>
      </c>
      <c r="X360" t="e">
        <f t="shared" ca="1" si="75"/>
        <v>#N/A</v>
      </c>
      <c r="Y360" t="e">
        <f t="shared" ca="1" si="80"/>
        <v>#N/A</v>
      </c>
      <c r="Z360" t="e">
        <f t="shared" ca="1" si="76"/>
        <v>#N/A</v>
      </c>
      <c r="AA360" t="e">
        <f t="shared" ca="1" si="77"/>
        <v>#N/A</v>
      </c>
      <c r="AB360" s="85" t="e">
        <f ca="1"/>
        <v>#N/A</v>
      </c>
      <c r="AC360" s="57" t="e">
        <f t="shared" ca="1" si="81"/>
        <v>#N/A</v>
      </c>
      <c r="AD360" s="57" t="e">
        <f t="shared" ca="1" si="82"/>
        <v>#N/A</v>
      </c>
      <c r="AE360" s="57" t="e">
        <f t="shared" ca="1" si="83"/>
        <v>#N/A</v>
      </c>
      <c r="AF360" s="57" t="e">
        <f t="shared" ca="1" si="84"/>
        <v>#N/A</v>
      </c>
    </row>
    <row r="361" spans="18:32" x14ac:dyDescent="0.25">
      <c r="R361" s="85" t="e">
        <f ca="1"/>
        <v>#N/A</v>
      </c>
      <c r="S361" s="57" t="e">
        <f t="shared" ca="1" si="78"/>
        <v>#N/A</v>
      </c>
      <c r="T361" s="57" t="e">
        <f t="shared" ca="1" si="72"/>
        <v>#N/A</v>
      </c>
      <c r="U361" s="57" t="e">
        <f t="shared" ca="1" si="73"/>
        <v>#N/A</v>
      </c>
      <c r="V361" s="57" t="e">
        <f t="shared" ca="1" si="74"/>
        <v>#N/A</v>
      </c>
      <c r="W361" s="57" t="e">
        <f t="shared" ca="1" si="79"/>
        <v>#N/A</v>
      </c>
      <c r="X361" t="e">
        <f t="shared" ca="1" si="75"/>
        <v>#N/A</v>
      </c>
      <c r="Y361" t="e">
        <f t="shared" ca="1" si="80"/>
        <v>#N/A</v>
      </c>
      <c r="Z361" t="e">
        <f t="shared" ca="1" si="76"/>
        <v>#N/A</v>
      </c>
      <c r="AA361" t="e">
        <f t="shared" ca="1" si="77"/>
        <v>#N/A</v>
      </c>
      <c r="AB361" s="85" t="e">
        <f ca="1"/>
        <v>#N/A</v>
      </c>
      <c r="AC361" s="57" t="e">
        <f t="shared" ca="1" si="81"/>
        <v>#N/A</v>
      </c>
      <c r="AD361" s="57" t="e">
        <f t="shared" ca="1" si="82"/>
        <v>#N/A</v>
      </c>
      <c r="AE361" s="57" t="e">
        <f t="shared" ca="1" si="83"/>
        <v>#N/A</v>
      </c>
      <c r="AF361" s="57" t="e">
        <f t="shared" ca="1" si="84"/>
        <v>#N/A</v>
      </c>
    </row>
    <row r="362" spans="18:32" x14ac:dyDescent="0.25">
      <c r="R362" s="85" t="e">
        <f ca="1"/>
        <v>#N/A</v>
      </c>
      <c r="S362" s="57" t="e">
        <f t="shared" ca="1" si="78"/>
        <v>#N/A</v>
      </c>
      <c r="T362" s="57" t="e">
        <f t="shared" ca="1" si="72"/>
        <v>#N/A</v>
      </c>
      <c r="U362" s="57" t="e">
        <f t="shared" ca="1" si="73"/>
        <v>#N/A</v>
      </c>
      <c r="V362" s="57" t="e">
        <f t="shared" ca="1" si="74"/>
        <v>#N/A</v>
      </c>
      <c r="W362" s="57" t="e">
        <f t="shared" ca="1" si="79"/>
        <v>#N/A</v>
      </c>
      <c r="X362" t="e">
        <f t="shared" ca="1" si="75"/>
        <v>#N/A</v>
      </c>
      <c r="Y362" t="e">
        <f t="shared" ca="1" si="80"/>
        <v>#N/A</v>
      </c>
      <c r="Z362" t="e">
        <f t="shared" ca="1" si="76"/>
        <v>#N/A</v>
      </c>
      <c r="AA362" t="e">
        <f t="shared" ca="1" si="77"/>
        <v>#N/A</v>
      </c>
      <c r="AB362" s="85" t="e">
        <f ca="1"/>
        <v>#N/A</v>
      </c>
      <c r="AC362" s="57" t="e">
        <f t="shared" ca="1" si="81"/>
        <v>#N/A</v>
      </c>
      <c r="AD362" s="57" t="e">
        <f t="shared" ca="1" si="82"/>
        <v>#N/A</v>
      </c>
      <c r="AE362" s="57" t="e">
        <f t="shared" ca="1" si="83"/>
        <v>#N/A</v>
      </c>
      <c r="AF362" s="57" t="e">
        <f t="shared" ca="1" si="84"/>
        <v>#N/A</v>
      </c>
    </row>
    <row r="363" spans="18:32" x14ac:dyDescent="0.25">
      <c r="R363" s="85" t="e">
        <f ca="1"/>
        <v>#N/A</v>
      </c>
      <c r="S363" s="57" t="e">
        <f t="shared" ca="1" si="78"/>
        <v>#N/A</v>
      </c>
      <c r="T363" s="57" t="e">
        <f t="shared" ca="1" si="72"/>
        <v>#N/A</v>
      </c>
      <c r="U363" s="57" t="e">
        <f t="shared" ca="1" si="73"/>
        <v>#N/A</v>
      </c>
      <c r="V363" s="57" t="e">
        <f t="shared" ca="1" si="74"/>
        <v>#N/A</v>
      </c>
      <c r="W363" s="57" t="e">
        <f t="shared" ca="1" si="79"/>
        <v>#N/A</v>
      </c>
      <c r="X363" t="e">
        <f t="shared" ca="1" si="75"/>
        <v>#N/A</v>
      </c>
      <c r="Y363" t="e">
        <f t="shared" ca="1" si="80"/>
        <v>#N/A</v>
      </c>
      <c r="Z363" t="e">
        <f t="shared" ca="1" si="76"/>
        <v>#N/A</v>
      </c>
      <c r="AA363" t="e">
        <f t="shared" ca="1" si="77"/>
        <v>#N/A</v>
      </c>
      <c r="AB363" s="85" t="e">
        <f ca="1"/>
        <v>#N/A</v>
      </c>
      <c r="AC363" s="57" t="e">
        <f t="shared" ca="1" si="81"/>
        <v>#N/A</v>
      </c>
      <c r="AD363" s="57" t="e">
        <f t="shared" ca="1" si="82"/>
        <v>#N/A</v>
      </c>
      <c r="AE363" s="57" t="e">
        <f t="shared" ca="1" si="83"/>
        <v>#N/A</v>
      </c>
      <c r="AF363" s="57" t="e">
        <f t="shared" ca="1" si="84"/>
        <v>#N/A</v>
      </c>
    </row>
    <row r="364" spans="18:32" x14ac:dyDescent="0.25">
      <c r="R364" s="85" t="e">
        <f ca="1"/>
        <v>#N/A</v>
      </c>
      <c r="S364" s="57" t="e">
        <f t="shared" ca="1" si="78"/>
        <v>#N/A</v>
      </c>
      <c r="T364" s="57" t="e">
        <f t="shared" ca="1" si="72"/>
        <v>#N/A</v>
      </c>
      <c r="U364" s="57" t="e">
        <f t="shared" ca="1" si="73"/>
        <v>#N/A</v>
      </c>
      <c r="V364" s="57" t="e">
        <f t="shared" ca="1" si="74"/>
        <v>#N/A</v>
      </c>
      <c r="W364" s="57" t="e">
        <f t="shared" ca="1" si="79"/>
        <v>#N/A</v>
      </c>
      <c r="X364" t="e">
        <f t="shared" ca="1" si="75"/>
        <v>#N/A</v>
      </c>
      <c r="Y364" t="e">
        <f t="shared" ca="1" si="80"/>
        <v>#N/A</v>
      </c>
      <c r="Z364" t="e">
        <f t="shared" ca="1" si="76"/>
        <v>#N/A</v>
      </c>
      <c r="AA364" t="e">
        <f t="shared" ca="1" si="77"/>
        <v>#N/A</v>
      </c>
      <c r="AB364" s="85" t="e">
        <f ca="1"/>
        <v>#N/A</v>
      </c>
      <c r="AC364" s="57" t="e">
        <f t="shared" ca="1" si="81"/>
        <v>#N/A</v>
      </c>
      <c r="AD364" s="57" t="e">
        <f t="shared" ca="1" si="82"/>
        <v>#N/A</v>
      </c>
      <c r="AE364" s="57" t="e">
        <f t="shared" ca="1" si="83"/>
        <v>#N/A</v>
      </c>
      <c r="AF364" s="57" t="e">
        <f t="shared" ca="1" si="84"/>
        <v>#N/A</v>
      </c>
    </row>
    <row r="365" spans="18:32" x14ac:dyDescent="0.25">
      <c r="R365" s="85" t="e">
        <f ca="1"/>
        <v>#N/A</v>
      </c>
      <c r="S365" s="57" t="e">
        <f t="shared" ca="1" si="78"/>
        <v>#N/A</v>
      </c>
      <c r="T365" s="57" t="e">
        <f t="shared" ca="1" si="72"/>
        <v>#N/A</v>
      </c>
      <c r="U365" s="57" t="e">
        <f t="shared" ca="1" si="73"/>
        <v>#N/A</v>
      </c>
      <c r="V365" s="57" t="e">
        <f t="shared" ca="1" si="74"/>
        <v>#N/A</v>
      </c>
      <c r="W365" s="57" t="e">
        <f t="shared" ca="1" si="79"/>
        <v>#N/A</v>
      </c>
      <c r="X365" t="e">
        <f t="shared" ca="1" si="75"/>
        <v>#N/A</v>
      </c>
      <c r="Y365" t="e">
        <f t="shared" ca="1" si="80"/>
        <v>#N/A</v>
      </c>
      <c r="Z365" t="e">
        <f t="shared" ca="1" si="76"/>
        <v>#N/A</v>
      </c>
      <c r="AA365" t="e">
        <f t="shared" ca="1" si="77"/>
        <v>#N/A</v>
      </c>
      <c r="AB365" s="85" t="e">
        <f ca="1"/>
        <v>#N/A</v>
      </c>
      <c r="AC365" s="57" t="e">
        <f t="shared" ca="1" si="81"/>
        <v>#N/A</v>
      </c>
      <c r="AD365" s="57" t="e">
        <f t="shared" ca="1" si="82"/>
        <v>#N/A</v>
      </c>
      <c r="AE365" s="57" t="e">
        <f t="shared" ca="1" si="83"/>
        <v>#N/A</v>
      </c>
      <c r="AF365" s="57" t="e">
        <f t="shared" ca="1" si="84"/>
        <v>#N/A</v>
      </c>
    </row>
    <row r="366" spans="18:32" x14ac:dyDescent="0.25">
      <c r="R366" s="85" t="e">
        <f ca="1"/>
        <v>#N/A</v>
      </c>
      <c r="S366" s="57" t="e">
        <f t="shared" ca="1" si="78"/>
        <v>#N/A</v>
      </c>
      <c r="T366" s="57" t="e">
        <f t="shared" ca="1" si="72"/>
        <v>#N/A</v>
      </c>
      <c r="U366" s="57" t="e">
        <f t="shared" ca="1" si="73"/>
        <v>#N/A</v>
      </c>
      <c r="V366" s="57" t="e">
        <f t="shared" ca="1" si="74"/>
        <v>#N/A</v>
      </c>
      <c r="W366" s="57" t="e">
        <f t="shared" ca="1" si="79"/>
        <v>#N/A</v>
      </c>
      <c r="X366" t="e">
        <f t="shared" ca="1" si="75"/>
        <v>#N/A</v>
      </c>
      <c r="Y366" t="e">
        <f t="shared" ca="1" si="80"/>
        <v>#N/A</v>
      </c>
      <c r="Z366" t="e">
        <f t="shared" ca="1" si="76"/>
        <v>#N/A</v>
      </c>
      <c r="AA366" t="e">
        <f t="shared" ca="1" si="77"/>
        <v>#N/A</v>
      </c>
      <c r="AB366" s="85" t="e">
        <f ca="1"/>
        <v>#N/A</v>
      </c>
      <c r="AC366" s="57" t="e">
        <f t="shared" ca="1" si="81"/>
        <v>#N/A</v>
      </c>
      <c r="AD366" s="57" t="e">
        <f t="shared" ca="1" si="82"/>
        <v>#N/A</v>
      </c>
      <c r="AE366" s="57" t="e">
        <f t="shared" ca="1" si="83"/>
        <v>#N/A</v>
      </c>
      <c r="AF366" s="57" t="e">
        <f t="shared" ca="1" si="84"/>
        <v>#N/A</v>
      </c>
    </row>
    <row r="367" spans="18:32" x14ac:dyDescent="0.25">
      <c r="R367" s="85" t="e">
        <f ca="1"/>
        <v>#N/A</v>
      </c>
      <c r="S367" s="57" t="e">
        <f t="shared" ca="1" si="78"/>
        <v>#N/A</v>
      </c>
      <c r="T367" s="57" t="e">
        <f t="shared" ca="1" si="72"/>
        <v>#N/A</v>
      </c>
      <c r="U367" s="57" t="e">
        <f t="shared" ca="1" si="73"/>
        <v>#N/A</v>
      </c>
      <c r="V367" s="57" t="e">
        <f t="shared" ca="1" si="74"/>
        <v>#N/A</v>
      </c>
      <c r="W367" s="57" t="e">
        <f t="shared" ca="1" si="79"/>
        <v>#N/A</v>
      </c>
      <c r="X367" t="e">
        <f t="shared" ca="1" si="75"/>
        <v>#N/A</v>
      </c>
      <c r="Y367" t="e">
        <f t="shared" ca="1" si="80"/>
        <v>#N/A</v>
      </c>
      <c r="Z367" t="e">
        <f t="shared" ca="1" si="76"/>
        <v>#N/A</v>
      </c>
      <c r="AA367" t="e">
        <f t="shared" ca="1" si="77"/>
        <v>#N/A</v>
      </c>
      <c r="AB367" s="85" t="e">
        <f ca="1"/>
        <v>#N/A</v>
      </c>
      <c r="AC367" s="57" t="e">
        <f t="shared" ca="1" si="81"/>
        <v>#N/A</v>
      </c>
      <c r="AD367" s="57" t="e">
        <f t="shared" ca="1" si="82"/>
        <v>#N/A</v>
      </c>
      <c r="AE367" s="57" t="e">
        <f t="shared" ca="1" si="83"/>
        <v>#N/A</v>
      </c>
      <c r="AF367" s="57" t="e">
        <f t="shared" ca="1" si="84"/>
        <v>#N/A</v>
      </c>
    </row>
    <row r="368" spans="18:32" x14ac:dyDescent="0.25">
      <c r="R368" s="85" t="e">
        <f ca="1"/>
        <v>#N/A</v>
      </c>
      <c r="S368" s="57" t="e">
        <f t="shared" ca="1" si="78"/>
        <v>#N/A</v>
      </c>
      <c r="T368" s="57" t="e">
        <f t="shared" ca="1" si="72"/>
        <v>#N/A</v>
      </c>
      <c r="U368" s="57" t="e">
        <f t="shared" ca="1" si="73"/>
        <v>#N/A</v>
      </c>
      <c r="V368" s="57" t="e">
        <f t="shared" ca="1" si="74"/>
        <v>#N/A</v>
      </c>
      <c r="W368" s="57" t="e">
        <f t="shared" ca="1" si="79"/>
        <v>#N/A</v>
      </c>
      <c r="X368" t="e">
        <f t="shared" ca="1" si="75"/>
        <v>#N/A</v>
      </c>
      <c r="Y368" t="e">
        <f t="shared" ca="1" si="80"/>
        <v>#N/A</v>
      </c>
      <c r="Z368" t="e">
        <f t="shared" ca="1" si="76"/>
        <v>#N/A</v>
      </c>
      <c r="AA368" t="e">
        <f t="shared" ca="1" si="77"/>
        <v>#N/A</v>
      </c>
      <c r="AB368" s="85" t="e">
        <f ca="1"/>
        <v>#N/A</v>
      </c>
      <c r="AC368" s="57" t="e">
        <f t="shared" ca="1" si="81"/>
        <v>#N/A</v>
      </c>
      <c r="AD368" s="57" t="e">
        <f t="shared" ca="1" si="82"/>
        <v>#N/A</v>
      </c>
      <c r="AE368" s="57" t="e">
        <f t="shared" ca="1" si="83"/>
        <v>#N/A</v>
      </c>
      <c r="AF368" s="57" t="e">
        <f t="shared" ca="1" si="84"/>
        <v>#N/A</v>
      </c>
    </row>
    <row r="369" spans="18:32" x14ac:dyDescent="0.25">
      <c r="R369" s="85" t="e">
        <f ca="1"/>
        <v>#N/A</v>
      </c>
      <c r="S369" s="57" t="e">
        <f t="shared" ca="1" si="78"/>
        <v>#N/A</v>
      </c>
      <c r="T369" s="57" t="e">
        <f t="shared" ca="1" si="72"/>
        <v>#N/A</v>
      </c>
      <c r="U369" s="57" t="e">
        <f t="shared" ca="1" si="73"/>
        <v>#N/A</v>
      </c>
      <c r="V369" s="57" t="e">
        <f t="shared" ca="1" si="74"/>
        <v>#N/A</v>
      </c>
      <c r="W369" s="57" t="e">
        <f t="shared" ca="1" si="79"/>
        <v>#N/A</v>
      </c>
      <c r="X369" t="e">
        <f t="shared" ca="1" si="75"/>
        <v>#N/A</v>
      </c>
      <c r="Y369" t="e">
        <f t="shared" ca="1" si="80"/>
        <v>#N/A</v>
      </c>
      <c r="Z369" t="e">
        <f t="shared" ca="1" si="76"/>
        <v>#N/A</v>
      </c>
      <c r="AA369" t="e">
        <f t="shared" ca="1" si="77"/>
        <v>#N/A</v>
      </c>
      <c r="AB369" s="85" t="e">
        <f ca="1"/>
        <v>#N/A</v>
      </c>
      <c r="AC369" s="57" t="e">
        <f t="shared" ca="1" si="81"/>
        <v>#N/A</v>
      </c>
      <c r="AD369" s="57" t="e">
        <f t="shared" ca="1" si="82"/>
        <v>#N/A</v>
      </c>
      <c r="AE369" s="57" t="e">
        <f t="shared" ca="1" si="83"/>
        <v>#N/A</v>
      </c>
      <c r="AF369" s="57" t="e">
        <f t="shared" ca="1" si="84"/>
        <v>#N/A</v>
      </c>
    </row>
    <row r="370" spans="18:32" x14ac:dyDescent="0.25">
      <c r="R370" s="85" t="e">
        <f ca="1"/>
        <v>#N/A</v>
      </c>
      <c r="S370" s="57" t="e">
        <f t="shared" ca="1" si="78"/>
        <v>#N/A</v>
      </c>
      <c r="T370" s="57" t="e">
        <f t="shared" ca="1" si="72"/>
        <v>#N/A</v>
      </c>
      <c r="U370" s="57" t="e">
        <f t="shared" ca="1" si="73"/>
        <v>#N/A</v>
      </c>
      <c r="V370" s="57" t="e">
        <f t="shared" ca="1" si="74"/>
        <v>#N/A</v>
      </c>
      <c r="W370" s="57" t="e">
        <f t="shared" ca="1" si="79"/>
        <v>#N/A</v>
      </c>
      <c r="X370" t="e">
        <f t="shared" ca="1" si="75"/>
        <v>#N/A</v>
      </c>
      <c r="Y370" t="e">
        <f t="shared" ca="1" si="80"/>
        <v>#N/A</v>
      </c>
      <c r="Z370" t="e">
        <f t="shared" ca="1" si="76"/>
        <v>#N/A</v>
      </c>
      <c r="AA370" t="e">
        <f t="shared" ca="1" si="77"/>
        <v>#N/A</v>
      </c>
      <c r="AB370" s="85" t="e">
        <f ca="1"/>
        <v>#N/A</v>
      </c>
      <c r="AC370" s="57" t="e">
        <f t="shared" ca="1" si="81"/>
        <v>#N/A</v>
      </c>
      <c r="AD370" s="57" t="e">
        <f t="shared" ca="1" si="82"/>
        <v>#N/A</v>
      </c>
      <c r="AE370" s="57" t="e">
        <f t="shared" ca="1" si="83"/>
        <v>#N/A</v>
      </c>
      <c r="AF370" s="57" t="e">
        <f t="shared" ca="1" si="84"/>
        <v>#N/A</v>
      </c>
    </row>
    <row r="371" spans="18:32" x14ac:dyDescent="0.25">
      <c r="R371" s="85" t="e">
        <f ca="1"/>
        <v>#N/A</v>
      </c>
      <c r="S371" s="57" t="e">
        <f t="shared" ca="1" si="78"/>
        <v>#N/A</v>
      </c>
      <c r="T371" s="57" t="e">
        <f t="shared" ca="1" si="72"/>
        <v>#N/A</v>
      </c>
      <c r="U371" s="57" t="e">
        <f t="shared" ca="1" si="73"/>
        <v>#N/A</v>
      </c>
      <c r="V371" s="57" t="e">
        <f t="shared" ca="1" si="74"/>
        <v>#N/A</v>
      </c>
      <c r="W371" s="57" t="e">
        <f t="shared" ca="1" si="79"/>
        <v>#N/A</v>
      </c>
      <c r="X371" t="e">
        <f t="shared" ca="1" si="75"/>
        <v>#N/A</v>
      </c>
      <c r="Y371" t="e">
        <f t="shared" ca="1" si="80"/>
        <v>#N/A</v>
      </c>
      <c r="Z371" t="e">
        <f t="shared" ca="1" si="76"/>
        <v>#N/A</v>
      </c>
      <c r="AA371" t="e">
        <f t="shared" ca="1" si="77"/>
        <v>#N/A</v>
      </c>
      <c r="AB371" s="85" t="e">
        <f ca="1"/>
        <v>#N/A</v>
      </c>
      <c r="AC371" s="57" t="e">
        <f t="shared" ca="1" si="81"/>
        <v>#N/A</v>
      </c>
      <c r="AD371" s="57" t="e">
        <f t="shared" ca="1" si="82"/>
        <v>#N/A</v>
      </c>
      <c r="AE371" s="57" t="e">
        <f t="shared" ca="1" si="83"/>
        <v>#N/A</v>
      </c>
      <c r="AF371" s="57" t="e">
        <f t="shared" ca="1" si="84"/>
        <v>#N/A</v>
      </c>
    </row>
    <row r="372" spans="18:32" x14ac:dyDescent="0.25">
      <c r="R372" s="85" t="e">
        <f ca="1"/>
        <v>#N/A</v>
      </c>
      <c r="S372" s="57" t="e">
        <f t="shared" ca="1" si="78"/>
        <v>#N/A</v>
      </c>
      <c r="T372" s="57" t="e">
        <f t="shared" ca="1" si="72"/>
        <v>#N/A</v>
      </c>
      <c r="U372" s="57" t="e">
        <f t="shared" ca="1" si="73"/>
        <v>#N/A</v>
      </c>
      <c r="V372" s="57" t="e">
        <f t="shared" ca="1" si="74"/>
        <v>#N/A</v>
      </c>
      <c r="W372" s="57" t="e">
        <f t="shared" ca="1" si="79"/>
        <v>#N/A</v>
      </c>
      <c r="X372" t="e">
        <f t="shared" ca="1" si="75"/>
        <v>#N/A</v>
      </c>
      <c r="Y372" t="e">
        <f t="shared" ca="1" si="80"/>
        <v>#N/A</v>
      </c>
      <c r="Z372" t="e">
        <f t="shared" ca="1" si="76"/>
        <v>#N/A</v>
      </c>
      <c r="AA372" t="e">
        <f t="shared" ca="1" si="77"/>
        <v>#N/A</v>
      </c>
      <c r="AB372" s="85" t="e">
        <f ca="1"/>
        <v>#N/A</v>
      </c>
      <c r="AC372" s="57" t="e">
        <f t="shared" ca="1" si="81"/>
        <v>#N/A</v>
      </c>
      <c r="AD372" s="57" t="e">
        <f t="shared" ca="1" si="82"/>
        <v>#N/A</v>
      </c>
      <c r="AE372" s="57" t="e">
        <f t="shared" ca="1" si="83"/>
        <v>#N/A</v>
      </c>
      <c r="AF372" s="57" t="e">
        <f t="shared" ca="1" si="84"/>
        <v>#N/A</v>
      </c>
    </row>
    <row r="373" spans="18:32" x14ac:dyDescent="0.25">
      <c r="R373" s="85" t="e">
        <f ca="1"/>
        <v>#N/A</v>
      </c>
      <c r="S373" s="57" t="e">
        <f t="shared" ca="1" si="78"/>
        <v>#N/A</v>
      </c>
      <c r="T373" s="57" t="e">
        <f t="shared" ca="1" si="72"/>
        <v>#N/A</v>
      </c>
      <c r="U373" s="57" t="e">
        <f t="shared" ca="1" si="73"/>
        <v>#N/A</v>
      </c>
      <c r="V373" s="57" t="e">
        <f t="shared" ca="1" si="74"/>
        <v>#N/A</v>
      </c>
      <c r="W373" s="57" t="e">
        <f t="shared" ca="1" si="79"/>
        <v>#N/A</v>
      </c>
      <c r="X373" t="e">
        <f t="shared" ca="1" si="75"/>
        <v>#N/A</v>
      </c>
      <c r="Y373" t="e">
        <f t="shared" ca="1" si="80"/>
        <v>#N/A</v>
      </c>
      <c r="Z373" t="e">
        <f t="shared" ca="1" si="76"/>
        <v>#N/A</v>
      </c>
      <c r="AA373" t="e">
        <f t="shared" ca="1" si="77"/>
        <v>#N/A</v>
      </c>
      <c r="AB373" s="85" t="e">
        <f ca="1"/>
        <v>#N/A</v>
      </c>
      <c r="AC373" s="57" t="e">
        <f t="shared" ca="1" si="81"/>
        <v>#N/A</v>
      </c>
      <c r="AD373" s="57" t="e">
        <f t="shared" ca="1" si="82"/>
        <v>#N/A</v>
      </c>
      <c r="AE373" s="57" t="e">
        <f t="shared" ca="1" si="83"/>
        <v>#N/A</v>
      </c>
      <c r="AF373" s="57" t="e">
        <f t="shared" ca="1" si="84"/>
        <v>#N/A</v>
      </c>
    </row>
    <row r="374" spans="18:32" x14ac:dyDescent="0.25">
      <c r="R374" s="85" t="e">
        <f ca="1"/>
        <v>#N/A</v>
      </c>
      <c r="S374" s="57" t="e">
        <f t="shared" ca="1" si="78"/>
        <v>#N/A</v>
      </c>
      <c r="T374" s="57" t="e">
        <f t="shared" ca="1" si="72"/>
        <v>#N/A</v>
      </c>
      <c r="U374" s="57" t="e">
        <f t="shared" ca="1" si="73"/>
        <v>#N/A</v>
      </c>
      <c r="V374" s="57" t="e">
        <f t="shared" ca="1" si="74"/>
        <v>#N/A</v>
      </c>
      <c r="W374" s="57" t="e">
        <f t="shared" ca="1" si="79"/>
        <v>#N/A</v>
      </c>
      <c r="X374" t="e">
        <f t="shared" ca="1" si="75"/>
        <v>#N/A</v>
      </c>
      <c r="Y374" t="e">
        <f t="shared" ca="1" si="80"/>
        <v>#N/A</v>
      </c>
      <c r="Z374" t="e">
        <f t="shared" ca="1" si="76"/>
        <v>#N/A</v>
      </c>
      <c r="AA374" t="e">
        <f t="shared" ca="1" si="77"/>
        <v>#N/A</v>
      </c>
      <c r="AB374" s="85" t="e">
        <f ca="1"/>
        <v>#N/A</v>
      </c>
      <c r="AC374" s="57" t="e">
        <f t="shared" ca="1" si="81"/>
        <v>#N/A</v>
      </c>
      <c r="AD374" s="57" t="e">
        <f t="shared" ca="1" si="82"/>
        <v>#N/A</v>
      </c>
      <c r="AE374" s="57" t="e">
        <f t="shared" ca="1" si="83"/>
        <v>#N/A</v>
      </c>
      <c r="AF374" s="57" t="e">
        <f t="shared" ca="1" si="84"/>
        <v>#N/A</v>
      </c>
    </row>
    <row r="375" spans="18:32" x14ac:dyDescent="0.25">
      <c r="R375" s="85" t="e">
        <f ca="1"/>
        <v>#N/A</v>
      </c>
      <c r="S375" s="57" t="e">
        <f t="shared" ca="1" si="78"/>
        <v>#N/A</v>
      </c>
      <c r="T375" s="57" t="e">
        <f t="shared" ca="1" si="72"/>
        <v>#N/A</v>
      </c>
      <c r="U375" s="57" t="e">
        <f t="shared" ca="1" si="73"/>
        <v>#N/A</v>
      </c>
      <c r="V375" s="57" t="e">
        <f t="shared" ca="1" si="74"/>
        <v>#N/A</v>
      </c>
      <c r="W375" s="57" t="e">
        <f t="shared" ca="1" si="79"/>
        <v>#N/A</v>
      </c>
      <c r="X375" t="e">
        <f t="shared" ca="1" si="75"/>
        <v>#N/A</v>
      </c>
      <c r="Y375" t="e">
        <f t="shared" ca="1" si="80"/>
        <v>#N/A</v>
      </c>
      <c r="Z375" t="e">
        <f t="shared" ca="1" si="76"/>
        <v>#N/A</v>
      </c>
      <c r="AA375" t="e">
        <f t="shared" ca="1" si="77"/>
        <v>#N/A</v>
      </c>
      <c r="AB375" s="85" t="e">
        <f ca="1"/>
        <v>#N/A</v>
      </c>
      <c r="AC375" s="57" t="e">
        <f t="shared" ca="1" si="81"/>
        <v>#N/A</v>
      </c>
      <c r="AD375" s="57" t="e">
        <f t="shared" ca="1" si="82"/>
        <v>#N/A</v>
      </c>
      <c r="AE375" s="57" t="e">
        <f t="shared" ca="1" si="83"/>
        <v>#N/A</v>
      </c>
      <c r="AF375" s="57" t="e">
        <f t="shared" ca="1" si="84"/>
        <v>#N/A</v>
      </c>
    </row>
    <row r="376" spans="18:32" x14ac:dyDescent="0.25">
      <c r="R376" s="85" t="e">
        <f ca="1"/>
        <v>#N/A</v>
      </c>
      <c r="S376" s="57" t="e">
        <f t="shared" ca="1" si="78"/>
        <v>#N/A</v>
      </c>
      <c r="T376" s="57" t="e">
        <f t="shared" ca="1" si="72"/>
        <v>#N/A</v>
      </c>
      <c r="U376" s="57" t="e">
        <f t="shared" ca="1" si="73"/>
        <v>#N/A</v>
      </c>
      <c r="V376" s="57" t="e">
        <f t="shared" ca="1" si="74"/>
        <v>#N/A</v>
      </c>
      <c r="W376" s="57" t="e">
        <f t="shared" ca="1" si="79"/>
        <v>#N/A</v>
      </c>
      <c r="X376" t="e">
        <f t="shared" ca="1" si="75"/>
        <v>#N/A</v>
      </c>
      <c r="Y376" t="e">
        <f t="shared" ca="1" si="80"/>
        <v>#N/A</v>
      </c>
      <c r="Z376" t="e">
        <f t="shared" ca="1" si="76"/>
        <v>#N/A</v>
      </c>
      <c r="AA376" t="e">
        <f t="shared" ca="1" si="77"/>
        <v>#N/A</v>
      </c>
      <c r="AB376" s="85" t="e">
        <f ca="1"/>
        <v>#N/A</v>
      </c>
      <c r="AC376" s="57" t="e">
        <f t="shared" ca="1" si="81"/>
        <v>#N/A</v>
      </c>
      <c r="AD376" s="57" t="e">
        <f t="shared" ca="1" si="82"/>
        <v>#N/A</v>
      </c>
      <c r="AE376" s="57" t="e">
        <f t="shared" ca="1" si="83"/>
        <v>#N/A</v>
      </c>
      <c r="AF376" s="57" t="e">
        <f t="shared" ca="1" si="84"/>
        <v>#N/A</v>
      </c>
    </row>
    <row r="377" spans="18:32" x14ac:dyDescent="0.25">
      <c r="R377" s="85" t="e">
        <f ca="1"/>
        <v>#N/A</v>
      </c>
      <c r="S377" s="57" t="e">
        <f t="shared" ca="1" si="78"/>
        <v>#N/A</v>
      </c>
      <c r="T377" s="57" t="e">
        <f t="shared" ca="1" si="72"/>
        <v>#N/A</v>
      </c>
      <c r="U377" s="57" t="e">
        <f t="shared" ca="1" si="73"/>
        <v>#N/A</v>
      </c>
      <c r="V377" s="57" t="e">
        <f t="shared" ca="1" si="74"/>
        <v>#N/A</v>
      </c>
      <c r="W377" s="57" t="e">
        <f t="shared" ca="1" si="79"/>
        <v>#N/A</v>
      </c>
      <c r="X377" t="e">
        <f t="shared" ca="1" si="75"/>
        <v>#N/A</v>
      </c>
      <c r="Y377" t="e">
        <f t="shared" ca="1" si="80"/>
        <v>#N/A</v>
      </c>
      <c r="Z377" t="e">
        <f t="shared" ca="1" si="76"/>
        <v>#N/A</v>
      </c>
      <c r="AA377" t="e">
        <f t="shared" ca="1" si="77"/>
        <v>#N/A</v>
      </c>
      <c r="AB377" s="85" t="e">
        <f ca="1"/>
        <v>#N/A</v>
      </c>
      <c r="AC377" s="57" t="e">
        <f t="shared" ca="1" si="81"/>
        <v>#N/A</v>
      </c>
      <c r="AD377" s="57" t="e">
        <f t="shared" ca="1" si="82"/>
        <v>#N/A</v>
      </c>
      <c r="AE377" s="57" t="e">
        <f t="shared" ca="1" si="83"/>
        <v>#N/A</v>
      </c>
      <c r="AF377" s="57" t="e">
        <f t="shared" ca="1" si="84"/>
        <v>#N/A</v>
      </c>
    </row>
    <row r="378" spans="18:32" x14ac:dyDescent="0.25">
      <c r="R378" s="85" t="e">
        <f ca="1"/>
        <v>#N/A</v>
      </c>
      <c r="S378" s="57" t="e">
        <f t="shared" ca="1" si="78"/>
        <v>#N/A</v>
      </c>
      <c r="T378" s="57" t="e">
        <f t="shared" ca="1" si="72"/>
        <v>#N/A</v>
      </c>
      <c r="U378" s="57" t="e">
        <f t="shared" ca="1" si="73"/>
        <v>#N/A</v>
      </c>
      <c r="V378" s="57" t="e">
        <f t="shared" ca="1" si="74"/>
        <v>#N/A</v>
      </c>
      <c r="W378" s="57" t="e">
        <f t="shared" ca="1" si="79"/>
        <v>#N/A</v>
      </c>
      <c r="X378" t="e">
        <f t="shared" ca="1" si="75"/>
        <v>#N/A</v>
      </c>
      <c r="Y378" t="e">
        <f t="shared" ca="1" si="80"/>
        <v>#N/A</v>
      </c>
      <c r="Z378" t="e">
        <f t="shared" ca="1" si="76"/>
        <v>#N/A</v>
      </c>
      <c r="AA378" t="e">
        <f t="shared" ca="1" si="77"/>
        <v>#N/A</v>
      </c>
      <c r="AB378" s="85" t="e">
        <f ca="1"/>
        <v>#N/A</v>
      </c>
      <c r="AC378" s="57" t="e">
        <f t="shared" ca="1" si="81"/>
        <v>#N/A</v>
      </c>
      <c r="AD378" s="57" t="e">
        <f t="shared" ca="1" si="82"/>
        <v>#N/A</v>
      </c>
      <c r="AE378" s="57" t="e">
        <f t="shared" ca="1" si="83"/>
        <v>#N/A</v>
      </c>
      <c r="AF378" s="57" t="e">
        <f t="shared" ca="1" si="84"/>
        <v>#N/A</v>
      </c>
    </row>
    <row r="379" spans="18:32" x14ac:dyDescent="0.25">
      <c r="R379" s="85" t="e">
        <f ca="1"/>
        <v>#N/A</v>
      </c>
      <c r="S379" s="57" t="e">
        <f t="shared" ca="1" si="78"/>
        <v>#N/A</v>
      </c>
      <c r="T379" s="57" t="e">
        <f t="shared" ca="1" si="72"/>
        <v>#N/A</v>
      </c>
      <c r="U379" s="57" t="e">
        <f t="shared" ca="1" si="73"/>
        <v>#N/A</v>
      </c>
      <c r="V379" s="57" t="e">
        <f t="shared" ca="1" si="74"/>
        <v>#N/A</v>
      </c>
      <c r="W379" s="57" t="e">
        <f t="shared" ca="1" si="79"/>
        <v>#N/A</v>
      </c>
      <c r="X379" t="e">
        <f t="shared" ca="1" si="75"/>
        <v>#N/A</v>
      </c>
      <c r="Y379" t="e">
        <f t="shared" ca="1" si="80"/>
        <v>#N/A</v>
      </c>
      <c r="Z379" t="e">
        <f t="shared" ca="1" si="76"/>
        <v>#N/A</v>
      </c>
      <c r="AA379" t="e">
        <f t="shared" ca="1" si="77"/>
        <v>#N/A</v>
      </c>
      <c r="AB379" s="85" t="e">
        <f ca="1"/>
        <v>#N/A</v>
      </c>
      <c r="AC379" s="57" t="e">
        <f t="shared" ca="1" si="81"/>
        <v>#N/A</v>
      </c>
      <c r="AD379" s="57" t="e">
        <f t="shared" ca="1" si="82"/>
        <v>#N/A</v>
      </c>
      <c r="AE379" s="57" t="e">
        <f t="shared" ca="1" si="83"/>
        <v>#N/A</v>
      </c>
      <c r="AF379" s="57" t="e">
        <f t="shared" ca="1" si="84"/>
        <v>#N/A</v>
      </c>
    </row>
    <row r="380" spans="18:32" x14ac:dyDescent="0.25">
      <c r="R380" s="85" t="e">
        <f ca="1"/>
        <v>#N/A</v>
      </c>
      <c r="S380" s="57" t="e">
        <f t="shared" ca="1" si="78"/>
        <v>#N/A</v>
      </c>
      <c r="T380" s="57" t="e">
        <f t="shared" ca="1" si="72"/>
        <v>#N/A</v>
      </c>
      <c r="U380" s="57" t="e">
        <f t="shared" ca="1" si="73"/>
        <v>#N/A</v>
      </c>
      <c r="V380" s="57" t="e">
        <f t="shared" ca="1" si="74"/>
        <v>#N/A</v>
      </c>
      <c r="W380" s="57" t="e">
        <f t="shared" ca="1" si="79"/>
        <v>#N/A</v>
      </c>
      <c r="X380" t="e">
        <f t="shared" ca="1" si="75"/>
        <v>#N/A</v>
      </c>
      <c r="Y380" t="e">
        <f t="shared" ca="1" si="80"/>
        <v>#N/A</v>
      </c>
      <c r="Z380" t="e">
        <f t="shared" ca="1" si="76"/>
        <v>#N/A</v>
      </c>
      <c r="AA380" t="e">
        <f t="shared" ca="1" si="77"/>
        <v>#N/A</v>
      </c>
      <c r="AB380" s="85" t="e">
        <f ca="1"/>
        <v>#N/A</v>
      </c>
      <c r="AC380" s="57" t="e">
        <f t="shared" ca="1" si="81"/>
        <v>#N/A</v>
      </c>
      <c r="AD380" s="57" t="e">
        <f t="shared" ca="1" si="82"/>
        <v>#N/A</v>
      </c>
      <c r="AE380" s="57" t="e">
        <f t="shared" ca="1" si="83"/>
        <v>#N/A</v>
      </c>
      <c r="AF380" s="57" t="e">
        <f t="shared" ca="1" si="84"/>
        <v>#N/A</v>
      </c>
    </row>
    <row r="381" spans="18:32" x14ac:dyDescent="0.25">
      <c r="R381" s="85" t="e">
        <f ca="1"/>
        <v>#N/A</v>
      </c>
      <c r="S381" s="57" t="e">
        <f t="shared" ca="1" si="78"/>
        <v>#N/A</v>
      </c>
      <c r="T381" s="57" t="e">
        <f t="shared" ca="1" si="72"/>
        <v>#N/A</v>
      </c>
      <c r="U381" s="57" t="e">
        <f t="shared" ca="1" si="73"/>
        <v>#N/A</v>
      </c>
      <c r="V381" s="57" t="e">
        <f t="shared" ca="1" si="74"/>
        <v>#N/A</v>
      </c>
      <c r="W381" s="57" t="e">
        <f t="shared" ca="1" si="79"/>
        <v>#N/A</v>
      </c>
      <c r="X381" t="e">
        <f t="shared" ca="1" si="75"/>
        <v>#N/A</v>
      </c>
      <c r="Y381" t="e">
        <f t="shared" ca="1" si="80"/>
        <v>#N/A</v>
      </c>
      <c r="Z381" t="e">
        <f t="shared" ca="1" si="76"/>
        <v>#N/A</v>
      </c>
      <c r="AA381" t="e">
        <f t="shared" ca="1" si="77"/>
        <v>#N/A</v>
      </c>
      <c r="AB381" s="85" t="e">
        <f ca="1"/>
        <v>#N/A</v>
      </c>
      <c r="AC381" s="57" t="e">
        <f t="shared" ca="1" si="81"/>
        <v>#N/A</v>
      </c>
      <c r="AD381" s="57" t="e">
        <f t="shared" ca="1" si="82"/>
        <v>#N/A</v>
      </c>
      <c r="AE381" s="57" t="e">
        <f t="shared" ca="1" si="83"/>
        <v>#N/A</v>
      </c>
      <c r="AF381" s="57" t="e">
        <f t="shared" ca="1" si="84"/>
        <v>#N/A</v>
      </c>
    </row>
    <row r="382" spans="18:32" x14ac:dyDescent="0.25">
      <c r="R382" s="85" t="e">
        <f ca="1"/>
        <v>#N/A</v>
      </c>
      <c r="S382" s="57" t="e">
        <f t="shared" ca="1" si="78"/>
        <v>#N/A</v>
      </c>
      <c r="T382" s="57" t="e">
        <f t="shared" ca="1" si="72"/>
        <v>#N/A</v>
      </c>
      <c r="U382" s="57" t="e">
        <f t="shared" ca="1" si="73"/>
        <v>#N/A</v>
      </c>
      <c r="V382" s="57" t="e">
        <f t="shared" ca="1" si="74"/>
        <v>#N/A</v>
      </c>
      <c r="W382" s="57" t="e">
        <f t="shared" ca="1" si="79"/>
        <v>#N/A</v>
      </c>
      <c r="X382" t="e">
        <f t="shared" ca="1" si="75"/>
        <v>#N/A</v>
      </c>
      <c r="Y382" t="e">
        <f t="shared" ca="1" si="80"/>
        <v>#N/A</v>
      </c>
      <c r="Z382" t="e">
        <f t="shared" ca="1" si="76"/>
        <v>#N/A</v>
      </c>
      <c r="AA382" t="e">
        <f t="shared" ca="1" si="77"/>
        <v>#N/A</v>
      </c>
      <c r="AB382" s="85" t="e">
        <f ca="1"/>
        <v>#N/A</v>
      </c>
      <c r="AC382" s="57" t="e">
        <f t="shared" ca="1" si="81"/>
        <v>#N/A</v>
      </c>
      <c r="AD382" s="57" t="e">
        <f t="shared" ca="1" si="82"/>
        <v>#N/A</v>
      </c>
      <c r="AE382" s="57" t="e">
        <f t="shared" ca="1" si="83"/>
        <v>#N/A</v>
      </c>
      <c r="AF382" s="57" t="e">
        <f t="shared" ca="1" si="84"/>
        <v>#N/A</v>
      </c>
    </row>
    <row r="383" spans="18:32" x14ac:dyDescent="0.25">
      <c r="R383" s="85" t="e">
        <f ca="1"/>
        <v>#N/A</v>
      </c>
      <c r="S383" s="57" t="e">
        <f t="shared" ca="1" si="78"/>
        <v>#N/A</v>
      </c>
      <c r="T383" s="57" t="e">
        <f t="shared" ca="1" si="72"/>
        <v>#N/A</v>
      </c>
      <c r="U383" s="57" t="e">
        <f t="shared" ca="1" si="73"/>
        <v>#N/A</v>
      </c>
      <c r="V383" s="57" t="e">
        <f t="shared" ca="1" si="74"/>
        <v>#N/A</v>
      </c>
      <c r="W383" s="57" t="e">
        <f t="shared" ca="1" si="79"/>
        <v>#N/A</v>
      </c>
      <c r="X383" t="e">
        <f t="shared" ca="1" si="75"/>
        <v>#N/A</v>
      </c>
      <c r="Y383" t="e">
        <f t="shared" ca="1" si="80"/>
        <v>#N/A</v>
      </c>
      <c r="Z383" t="e">
        <f t="shared" ca="1" si="76"/>
        <v>#N/A</v>
      </c>
      <c r="AA383" t="e">
        <f t="shared" ca="1" si="77"/>
        <v>#N/A</v>
      </c>
      <c r="AB383" s="85" t="e">
        <f ca="1"/>
        <v>#N/A</v>
      </c>
      <c r="AC383" s="57" t="e">
        <f t="shared" ca="1" si="81"/>
        <v>#N/A</v>
      </c>
      <c r="AD383" s="57" t="e">
        <f t="shared" ca="1" si="82"/>
        <v>#N/A</v>
      </c>
      <c r="AE383" s="57" t="e">
        <f t="shared" ca="1" si="83"/>
        <v>#N/A</v>
      </c>
      <c r="AF383" s="57" t="e">
        <f t="shared" ca="1" si="84"/>
        <v>#N/A</v>
      </c>
    </row>
    <row r="384" spans="18:32" x14ac:dyDescent="0.25">
      <c r="R384" s="85" t="e">
        <f ca="1"/>
        <v>#N/A</v>
      </c>
      <c r="S384" s="57" t="e">
        <f t="shared" ca="1" si="78"/>
        <v>#N/A</v>
      </c>
      <c r="T384" s="57" t="e">
        <f t="shared" ca="1" si="72"/>
        <v>#N/A</v>
      </c>
      <c r="U384" s="57" t="e">
        <f t="shared" ca="1" si="73"/>
        <v>#N/A</v>
      </c>
      <c r="V384" s="57" t="e">
        <f t="shared" ca="1" si="74"/>
        <v>#N/A</v>
      </c>
      <c r="W384" s="57" t="e">
        <f t="shared" ca="1" si="79"/>
        <v>#N/A</v>
      </c>
      <c r="X384" t="e">
        <f t="shared" ca="1" si="75"/>
        <v>#N/A</v>
      </c>
      <c r="Y384" t="e">
        <f t="shared" ca="1" si="80"/>
        <v>#N/A</v>
      </c>
      <c r="Z384" t="e">
        <f t="shared" ca="1" si="76"/>
        <v>#N/A</v>
      </c>
      <c r="AA384" t="e">
        <f t="shared" ca="1" si="77"/>
        <v>#N/A</v>
      </c>
      <c r="AB384" s="85" t="e">
        <f ca="1"/>
        <v>#N/A</v>
      </c>
      <c r="AC384" s="57" t="e">
        <f t="shared" ca="1" si="81"/>
        <v>#N/A</v>
      </c>
      <c r="AD384" s="57" t="e">
        <f t="shared" ca="1" si="82"/>
        <v>#N/A</v>
      </c>
      <c r="AE384" s="57" t="e">
        <f t="shared" ca="1" si="83"/>
        <v>#N/A</v>
      </c>
      <c r="AF384" s="57" t="e">
        <f t="shared" ca="1" si="84"/>
        <v>#N/A</v>
      </c>
    </row>
    <row r="385" spans="18:32" x14ac:dyDescent="0.25">
      <c r="R385" s="85" t="e">
        <f ca="1"/>
        <v>#N/A</v>
      </c>
      <c r="S385" s="57" t="e">
        <f t="shared" ca="1" si="78"/>
        <v>#N/A</v>
      </c>
      <c r="T385" s="57" t="e">
        <f t="shared" ca="1" si="72"/>
        <v>#N/A</v>
      </c>
      <c r="U385" s="57" t="e">
        <f t="shared" ca="1" si="73"/>
        <v>#N/A</v>
      </c>
      <c r="V385" s="57" t="e">
        <f t="shared" ca="1" si="74"/>
        <v>#N/A</v>
      </c>
      <c r="W385" s="57" t="e">
        <f t="shared" ca="1" si="79"/>
        <v>#N/A</v>
      </c>
      <c r="X385" t="e">
        <f t="shared" ca="1" si="75"/>
        <v>#N/A</v>
      </c>
      <c r="Y385" t="e">
        <f t="shared" ca="1" si="80"/>
        <v>#N/A</v>
      </c>
      <c r="Z385" t="e">
        <f t="shared" ca="1" si="76"/>
        <v>#N/A</v>
      </c>
      <c r="AA385" t="e">
        <f t="shared" ca="1" si="77"/>
        <v>#N/A</v>
      </c>
      <c r="AB385" s="85" t="e">
        <f ca="1"/>
        <v>#N/A</v>
      </c>
      <c r="AC385" s="57" t="e">
        <f t="shared" ca="1" si="81"/>
        <v>#N/A</v>
      </c>
      <c r="AD385" s="57" t="e">
        <f t="shared" ca="1" si="82"/>
        <v>#N/A</v>
      </c>
      <c r="AE385" s="57" t="e">
        <f t="shared" ca="1" si="83"/>
        <v>#N/A</v>
      </c>
      <c r="AF385" s="57" t="e">
        <f t="shared" ca="1" si="84"/>
        <v>#N/A</v>
      </c>
    </row>
    <row r="386" spans="18:32" x14ac:dyDescent="0.25">
      <c r="R386" s="85" t="e">
        <f ca="1"/>
        <v>#N/A</v>
      </c>
      <c r="S386" s="57" t="e">
        <f t="shared" ca="1" si="78"/>
        <v>#N/A</v>
      </c>
      <c r="T386" s="57" t="e">
        <f t="shared" ca="1" si="72"/>
        <v>#N/A</v>
      </c>
      <c r="U386" s="57" t="e">
        <f t="shared" ca="1" si="73"/>
        <v>#N/A</v>
      </c>
      <c r="V386" s="57" t="e">
        <f t="shared" ca="1" si="74"/>
        <v>#N/A</v>
      </c>
      <c r="W386" s="57" t="e">
        <f t="shared" ca="1" si="79"/>
        <v>#N/A</v>
      </c>
      <c r="X386" t="e">
        <f t="shared" ca="1" si="75"/>
        <v>#N/A</v>
      </c>
      <c r="Y386" t="e">
        <f t="shared" ca="1" si="80"/>
        <v>#N/A</v>
      </c>
      <c r="Z386" t="e">
        <f t="shared" ca="1" si="76"/>
        <v>#N/A</v>
      </c>
      <c r="AA386" t="e">
        <f t="shared" ca="1" si="77"/>
        <v>#N/A</v>
      </c>
      <c r="AB386" s="85" t="e">
        <f ca="1"/>
        <v>#N/A</v>
      </c>
      <c r="AC386" s="57" t="e">
        <f t="shared" ca="1" si="81"/>
        <v>#N/A</v>
      </c>
      <c r="AD386" s="57" t="e">
        <f t="shared" ca="1" si="82"/>
        <v>#N/A</v>
      </c>
      <c r="AE386" s="57" t="e">
        <f t="shared" ca="1" si="83"/>
        <v>#N/A</v>
      </c>
      <c r="AF386" s="57" t="e">
        <f t="shared" ca="1" si="84"/>
        <v>#N/A</v>
      </c>
    </row>
    <row r="387" spans="18:32" x14ac:dyDescent="0.25">
      <c r="R387" s="85" t="e">
        <f ca="1"/>
        <v>#N/A</v>
      </c>
      <c r="S387" s="57" t="e">
        <f t="shared" ca="1" si="78"/>
        <v>#N/A</v>
      </c>
      <c r="T387" s="57" t="e">
        <f t="shared" ca="1" si="72"/>
        <v>#N/A</v>
      </c>
      <c r="U387" s="57" t="e">
        <f t="shared" ca="1" si="73"/>
        <v>#N/A</v>
      </c>
      <c r="V387" s="57" t="e">
        <f t="shared" ca="1" si="74"/>
        <v>#N/A</v>
      </c>
      <c r="W387" s="57" t="e">
        <f t="shared" ca="1" si="79"/>
        <v>#N/A</v>
      </c>
      <c r="X387" t="e">
        <f t="shared" ca="1" si="75"/>
        <v>#N/A</v>
      </c>
      <c r="Y387" t="e">
        <f t="shared" ca="1" si="80"/>
        <v>#N/A</v>
      </c>
      <c r="Z387" t="e">
        <f t="shared" ca="1" si="76"/>
        <v>#N/A</v>
      </c>
      <c r="AA387" t="e">
        <f t="shared" ca="1" si="77"/>
        <v>#N/A</v>
      </c>
      <c r="AB387" s="85" t="e">
        <f ca="1"/>
        <v>#N/A</v>
      </c>
      <c r="AC387" s="57" t="e">
        <f t="shared" ca="1" si="81"/>
        <v>#N/A</v>
      </c>
      <c r="AD387" s="57" t="e">
        <f t="shared" ca="1" si="82"/>
        <v>#N/A</v>
      </c>
      <c r="AE387" s="57" t="e">
        <f t="shared" ca="1" si="83"/>
        <v>#N/A</v>
      </c>
      <c r="AF387" s="57" t="e">
        <f t="shared" ca="1" si="84"/>
        <v>#N/A</v>
      </c>
    </row>
    <row r="388" spans="18:32" x14ac:dyDescent="0.25">
      <c r="R388" s="85" t="e">
        <f ca="1"/>
        <v>#N/A</v>
      </c>
      <c r="S388" s="57" t="e">
        <f t="shared" ca="1" si="78"/>
        <v>#N/A</v>
      </c>
      <c r="T388" s="57" t="e">
        <f t="shared" ca="1" si="72"/>
        <v>#N/A</v>
      </c>
      <c r="U388" s="57" t="e">
        <f t="shared" ca="1" si="73"/>
        <v>#N/A</v>
      </c>
      <c r="V388" s="57" t="e">
        <f t="shared" ca="1" si="74"/>
        <v>#N/A</v>
      </c>
      <c r="W388" s="57" t="e">
        <f t="shared" ca="1" si="79"/>
        <v>#N/A</v>
      </c>
      <c r="X388" t="e">
        <f t="shared" ca="1" si="75"/>
        <v>#N/A</v>
      </c>
      <c r="Y388" t="e">
        <f t="shared" ca="1" si="80"/>
        <v>#N/A</v>
      </c>
      <c r="Z388" t="e">
        <f t="shared" ca="1" si="76"/>
        <v>#N/A</v>
      </c>
      <c r="AA388" t="e">
        <f t="shared" ca="1" si="77"/>
        <v>#N/A</v>
      </c>
      <c r="AB388" s="85" t="e">
        <f ca="1"/>
        <v>#N/A</v>
      </c>
      <c r="AC388" s="57" t="e">
        <f t="shared" ca="1" si="81"/>
        <v>#N/A</v>
      </c>
      <c r="AD388" s="57" t="e">
        <f t="shared" ca="1" si="82"/>
        <v>#N/A</v>
      </c>
      <c r="AE388" s="57" t="e">
        <f t="shared" ca="1" si="83"/>
        <v>#N/A</v>
      </c>
      <c r="AF388" s="57" t="e">
        <f t="shared" ca="1" si="84"/>
        <v>#N/A</v>
      </c>
    </row>
    <row r="389" spans="18:32" x14ac:dyDescent="0.25">
      <c r="R389" s="85" t="e">
        <f ca="1"/>
        <v>#N/A</v>
      </c>
      <c r="S389" s="57" t="e">
        <f t="shared" ca="1" si="78"/>
        <v>#N/A</v>
      </c>
      <c r="T389" s="57" t="e">
        <f t="shared" ca="1" si="72"/>
        <v>#N/A</v>
      </c>
      <c r="U389" s="57" t="e">
        <f t="shared" ca="1" si="73"/>
        <v>#N/A</v>
      </c>
      <c r="V389" s="57" t="e">
        <f t="shared" ca="1" si="74"/>
        <v>#N/A</v>
      </c>
      <c r="W389" s="57" t="e">
        <f t="shared" ca="1" si="79"/>
        <v>#N/A</v>
      </c>
      <c r="X389" t="e">
        <f t="shared" ca="1" si="75"/>
        <v>#N/A</v>
      </c>
      <c r="Y389" t="e">
        <f t="shared" ca="1" si="80"/>
        <v>#N/A</v>
      </c>
      <c r="Z389" t="e">
        <f t="shared" ca="1" si="76"/>
        <v>#N/A</v>
      </c>
      <c r="AA389" t="e">
        <f t="shared" ca="1" si="77"/>
        <v>#N/A</v>
      </c>
      <c r="AB389" s="85" t="e">
        <f ca="1"/>
        <v>#N/A</v>
      </c>
      <c r="AC389" s="57" t="e">
        <f t="shared" ca="1" si="81"/>
        <v>#N/A</v>
      </c>
      <c r="AD389" s="57" t="e">
        <f t="shared" ca="1" si="82"/>
        <v>#N/A</v>
      </c>
      <c r="AE389" s="57" t="e">
        <f t="shared" ca="1" si="83"/>
        <v>#N/A</v>
      </c>
      <c r="AF389" s="57" t="e">
        <f t="shared" ca="1" si="84"/>
        <v>#N/A</v>
      </c>
    </row>
    <row r="390" spans="18:32" x14ac:dyDescent="0.25">
      <c r="R390" s="85" t="e">
        <f ca="1"/>
        <v>#N/A</v>
      </c>
      <c r="S390" s="57" t="e">
        <f t="shared" ca="1" si="78"/>
        <v>#N/A</v>
      </c>
      <c r="T390" s="57" t="e">
        <f t="shared" ca="1" si="72"/>
        <v>#N/A</v>
      </c>
      <c r="U390" s="57" t="e">
        <f t="shared" ca="1" si="73"/>
        <v>#N/A</v>
      </c>
      <c r="V390" s="57" t="e">
        <f t="shared" ca="1" si="74"/>
        <v>#N/A</v>
      </c>
      <c r="W390" s="57" t="e">
        <f t="shared" ca="1" si="79"/>
        <v>#N/A</v>
      </c>
      <c r="X390" t="e">
        <f t="shared" ca="1" si="75"/>
        <v>#N/A</v>
      </c>
      <c r="Y390" t="e">
        <f t="shared" ca="1" si="80"/>
        <v>#N/A</v>
      </c>
      <c r="Z390" t="e">
        <f t="shared" ca="1" si="76"/>
        <v>#N/A</v>
      </c>
      <c r="AA390" t="e">
        <f t="shared" ca="1" si="77"/>
        <v>#N/A</v>
      </c>
      <c r="AB390" s="85" t="e">
        <f ca="1"/>
        <v>#N/A</v>
      </c>
      <c r="AC390" s="57" t="e">
        <f t="shared" ca="1" si="81"/>
        <v>#N/A</v>
      </c>
      <c r="AD390" s="57" t="e">
        <f t="shared" ca="1" si="82"/>
        <v>#N/A</v>
      </c>
      <c r="AE390" s="57" t="e">
        <f t="shared" ca="1" si="83"/>
        <v>#N/A</v>
      </c>
      <c r="AF390" s="57" t="e">
        <f t="shared" ca="1" si="84"/>
        <v>#N/A</v>
      </c>
    </row>
    <row r="391" spans="18:32" x14ac:dyDescent="0.25">
      <c r="R391" s="85" t="e">
        <f ca="1"/>
        <v>#N/A</v>
      </c>
      <c r="S391" s="57" t="e">
        <f t="shared" ca="1" si="78"/>
        <v>#N/A</v>
      </c>
      <c r="T391" s="57" t="e">
        <f t="shared" ca="1" si="72"/>
        <v>#N/A</v>
      </c>
      <c r="U391" s="57" t="e">
        <f t="shared" ca="1" si="73"/>
        <v>#N/A</v>
      </c>
      <c r="V391" s="57" t="e">
        <f t="shared" ca="1" si="74"/>
        <v>#N/A</v>
      </c>
      <c r="W391" s="57" t="e">
        <f t="shared" ca="1" si="79"/>
        <v>#N/A</v>
      </c>
      <c r="X391" t="e">
        <f t="shared" ca="1" si="75"/>
        <v>#N/A</v>
      </c>
      <c r="Y391" t="e">
        <f t="shared" ca="1" si="80"/>
        <v>#N/A</v>
      </c>
      <c r="Z391" t="e">
        <f t="shared" ca="1" si="76"/>
        <v>#N/A</v>
      </c>
      <c r="AA391" t="e">
        <f t="shared" ca="1" si="77"/>
        <v>#N/A</v>
      </c>
      <c r="AB391" s="85" t="e">
        <f ca="1"/>
        <v>#N/A</v>
      </c>
      <c r="AC391" s="57" t="e">
        <f t="shared" ca="1" si="81"/>
        <v>#N/A</v>
      </c>
      <c r="AD391" s="57" t="e">
        <f t="shared" ca="1" si="82"/>
        <v>#N/A</v>
      </c>
      <c r="AE391" s="57" t="e">
        <f t="shared" ca="1" si="83"/>
        <v>#N/A</v>
      </c>
      <c r="AF391" s="57" t="e">
        <f t="shared" ca="1" si="84"/>
        <v>#N/A</v>
      </c>
    </row>
    <row r="392" spans="18:32" x14ac:dyDescent="0.25">
      <c r="R392" s="85" t="e">
        <f ca="1"/>
        <v>#N/A</v>
      </c>
      <c r="S392" s="57" t="e">
        <f t="shared" ca="1" si="78"/>
        <v>#N/A</v>
      </c>
      <c r="T392" s="57" t="e">
        <f t="shared" ca="1" si="72"/>
        <v>#N/A</v>
      </c>
      <c r="U392" s="57" t="e">
        <f t="shared" ca="1" si="73"/>
        <v>#N/A</v>
      </c>
      <c r="V392" s="57" t="e">
        <f t="shared" ca="1" si="74"/>
        <v>#N/A</v>
      </c>
      <c r="W392" s="57" t="e">
        <f t="shared" ca="1" si="79"/>
        <v>#N/A</v>
      </c>
      <c r="X392" t="e">
        <f t="shared" ca="1" si="75"/>
        <v>#N/A</v>
      </c>
      <c r="Y392" t="e">
        <f t="shared" ca="1" si="80"/>
        <v>#N/A</v>
      </c>
      <c r="Z392" t="e">
        <f t="shared" ca="1" si="76"/>
        <v>#N/A</v>
      </c>
      <c r="AA392" t="e">
        <f t="shared" ca="1" si="77"/>
        <v>#N/A</v>
      </c>
      <c r="AB392" s="85" t="e">
        <f ca="1"/>
        <v>#N/A</v>
      </c>
      <c r="AC392" s="57" t="e">
        <f t="shared" ca="1" si="81"/>
        <v>#N/A</v>
      </c>
      <c r="AD392" s="57" t="e">
        <f t="shared" ca="1" si="82"/>
        <v>#N/A</v>
      </c>
      <c r="AE392" s="57" t="e">
        <f t="shared" ca="1" si="83"/>
        <v>#N/A</v>
      </c>
      <c r="AF392" s="57" t="e">
        <f t="shared" ca="1" si="84"/>
        <v>#N/A</v>
      </c>
    </row>
    <row r="393" spans="18:32" x14ac:dyDescent="0.25">
      <c r="R393" s="85" t="e">
        <f ca="1"/>
        <v>#N/A</v>
      </c>
      <c r="S393" s="57" t="e">
        <f t="shared" ca="1" si="78"/>
        <v>#N/A</v>
      </c>
      <c r="T393" s="57" t="e">
        <f t="shared" ca="1" si="72"/>
        <v>#N/A</v>
      </c>
      <c r="U393" s="57" t="e">
        <f t="shared" ca="1" si="73"/>
        <v>#N/A</v>
      </c>
      <c r="V393" s="57" t="e">
        <f t="shared" ca="1" si="74"/>
        <v>#N/A</v>
      </c>
      <c r="W393" s="57" t="e">
        <f t="shared" ca="1" si="79"/>
        <v>#N/A</v>
      </c>
      <c r="X393" t="e">
        <f t="shared" ca="1" si="75"/>
        <v>#N/A</v>
      </c>
      <c r="Y393" t="e">
        <f t="shared" ca="1" si="80"/>
        <v>#N/A</v>
      </c>
      <c r="Z393" t="e">
        <f t="shared" ca="1" si="76"/>
        <v>#N/A</v>
      </c>
      <c r="AA393" t="e">
        <f t="shared" ca="1" si="77"/>
        <v>#N/A</v>
      </c>
      <c r="AB393" s="85" t="e">
        <f ca="1"/>
        <v>#N/A</v>
      </c>
      <c r="AC393" s="57" t="e">
        <f t="shared" ca="1" si="81"/>
        <v>#N/A</v>
      </c>
      <c r="AD393" s="57" t="e">
        <f t="shared" ca="1" si="82"/>
        <v>#N/A</v>
      </c>
      <c r="AE393" s="57" t="e">
        <f t="shared" ca="1" si="83"/>
        <v>#N/A</v>
      </c>
      <c r="AF393" s="57" t="e">
        <f t="shared" ca="1" si="84"/>
        <v>#N/A</v>
      </c>
    </row>
    <row r="394" spans="18:32" x14ac:dyDescent="0.25">
      <c r="R394" s="85" t="e">
        <f ca="1"/>
        <v>#N/A</v>
      </c>
      <c r="S394" s="57" t="e">
        <f t="shared" ca="1" si="78"/>
        <v>#N/A</v>
      </c>
      <c r="T394" s="57" t="e">
        <f t="shared" ca="1" si="72"/>
        <v>#N/A</v>
      </c>
      <c r="U394" s="57" t="e">
        <f t="shared" ca="1" si="73"/>
        <v>#N/A</v>
      </c>
      <c r="V394" s="57" t="e">
        <f t="shared" ca="1" si="74"/>
        <v>#N/A</v>
      </c>
      <c r="W394" s="57" t="e">
        <f t="shared" ca="1" si="79"/>
        <v>#N/A</v>
      </c>
      <c r="X394" t="e">
        <f t="shared" ca="1" si="75"/>
        <v>#N/A</v>
      </c>
      <c r="Y394" t="e">
        <f t="shared" ca="1" si="80"/>
        <v>#N/A</v>
      </c>
      <c r="Z394" t="e">
        <f t="shared" ca="1" si="76"/>
        <v>#N/A</v>
      </c>
      <c r="AA394" t="e">
        <f t="shared" ca="1" si="77"/>
        <v>#N/A</v>
      </c>
      <c r="AB394" s="85" t="e">
        <f ca="1"/>
        <v>#N/A</v>
      </c>
      <c r="AC394" s="57" t="e">
        <f t="shared" ca="1" si="81"/>
        <v>#N/A</v>
      </c>
      <c r="AD394" s="57" t="e">
        <f t="shared" ca="1" si="82"/>
        <v>#N/A</v>
      </c>
      <c r="AE394" s="57" t="e">
        <f t="shared" ca="1" si="83"/>
        <v>#N/A</v>
      </c>
      <c r="AF394" s="57" t="e">
        <f t="shared" ca="1" si="84"/>
        <v>#N/A</v>
      </c>
    </row>
    <row r="395" spans="18:32" x14ac:dyDescent="0.25">
      <c r="R395" s="85" t="e">
        <f ca="1"/>
        <v>#N/A</v>
      </c>
      <c r="S395" s="57" t="e">
        <f t="shared" ca="1" si="78"/>
        <v>#N/A</v>
      </c>
      <c r="T395" s="57" t="e">
        <f t="shared" ca="1" si="72"/>
        <v>#N/A</v>
      </c>
      <c r="U395" s="57" t="e">
        <f t="shared" ca="1" si="73"/>
        <v>#N/A</v>
      </c>
      <c r="V395" s="57" t="e">
        <f t="shared" ca="1" si="74"/>
        <v>#N/A</v>
      </c>
      <c r="W395" s="57" t="e">
        <f t="shared" ca="1" si="79"/>
        <v>#N/A</v>
      </c>
      <c r="X395" t="e">
        <f t="shared" ca="1" si="75"/>
        <v>#N/A</v>
      </c>
      <c r="Y395" t="e">
        <f t="shared" ca="1" si="80"/>
        <v>#N/A</v>
      </c>
      <c r="Z395" t="e">
        <f t="shared" ca="1" si="76"/>
        <v>#N/A</v>
      </c>
      <c r="AA395" t="e">
        <f t="shared" ca="1" si="77"/>
        <v>#N/A</v>
      </c>
      <c r="AB395" s="85" t="e">
        <f ca="1"/>
        <v>#N/A</v>
      </c>
      <c r="AC395" s="57" t="e">
        <f t="shared" ca="1" si="81"/>
        <v>#N/A</v>
      </c>
      <c r="AD395" s="57" t="e">
        <f t="shared" ca="1" si="82"/>
        <v>#N/A</v>
      </c>
      <c r="AE395" s="57" t="e">
        <f t="shared" ca="1" si="83"/>
        <v>#N/A</v>
      </c>
      <c r="AF395" s="57" t="e">
        <f t="shared" ca="1" si="84"/>
        <v>#N/A</v>
      </c>
    </row>
    <row r="396" spans="18:32" x14ac:dyDescent="0.25">
      <c r="R396" s="57" t="e">
        <f ca="1"/>
        <v>#N/A</v>
      </c>
      <c r="S396" s="57" t="e">
        <f t="shared" ref="S396:S459" ca="1" si="85">IF(R396&gt;1,R396,"")</f>
        <v>#N/A</v>
      </c>
      <c r="T396" s="57" t="e">
        <f t="shared" ref="T396:T459" ca="1" si="86">VLOOKUP(S396,ModelOutputs,2,FALSE)</f>
        <v>#N/A</v>
      </c>
      <c r="U396" s="57" t="e">
        <f t="shared" ref="U396:U459" ca="1" si="87">VLOOKUP(S396,ModelOutputs,7,FALSE)</f>
        <v>#N/A</v>
      </c>
      <c r="V396" s="57" t="e">
        <f t="shared" ref="V396:V459" ca="1" si="88">VLOOKUP(S396,ModelOutputs,6,FALSE)</f>
        <v>#N/A</v>
      </c>
      <c r="W396" s="57" t="e">
        <f t="shared" ca="1" si="79"/>
        <v>#N/A</v>
      </c>
      <c r="X396" t="e">
        <f t="shared" ref="X396:X459" ca="1" si="89">VLOOKUP(S396,ModelOutputs,10,FALSE)*AWC</f>
        <v>#N/A</v>
      </c>
      <c r="Y396" t="e">
        <f t="shared" ref="Y396:Y459" ca="1" si="90">VLOOKUP(S396,ModelOutputs,11,FALSE)+Y395</f>
        <v>#N/A</v>
      </c>
      <c r="Z396" t="e">
        <f t="shared" ref="Z396:Z459" ca="1" si="91">VLOOKUP(S396,ModelOutputs,12,FALSE)</f>
        <v>#N/A</v>
      </c>
      <c r="AA396" t="e">
        <f t="shared" ref="AA396:AA459" ca="1" si="92">VLOOKUP(S396,ModelOutputs,13,FALSE)</f>
        <v>#N/A</v>
      </c>
      <c r="AB396" s="85" t="e">
        <f ca="1"/>
        <v>#N/A</v>
      </c>
      <c r="AC396" s="57" t="e">
        <f t="shared" ref="AC396:AC459" ca="1" si="93">IF(AB396&gt;1,AB396,"")</f>
        <v>#N/A</v>
      </c>
      <c r="AD396" s="57" t="e">
        <f t="shared" ref="AD396:AD459" ca="1" si="94">VLOOKUP(AC396,ModelOutputs,2,FALSE)</f>
        <v>#N/A</v>
      </c>
      <c r="AE396" s="57" t="e">
        <f t="shared" ref="AE396:AE459" ca="1" si="95">VLOOKUP(AC396,ModelOutputs,7,FALSE)</f>
        <v>#N/A</v>
      </c>
      <c r="AF396" s="57" t="e">
        <f t="shared" ref="AF396:AF459" ca="1" si="96">VLOOKUP(AC396,ModelOutputs,6,FALSE)</f>
        <v>#N/A</v>
      </c>
    </row>
    <row r="397" spans="18:32" x14ac:dyDescent="0.25">
      <c r="R397" s="57" t="e">
        <f ca="1"/>
        <v>#N/A</v>
      </c>
      <c r="S397" s="57" t="e">
        <f t="shared" ca="1" si="85"/>
        <v>#N/A</v>
      </c>
      <c r="T397" s="57" t="e">
        <f t="shared" ca="1" si="86"/>
        <v>#N/A</v>
      </c>
      <c r="U397" s="57" t="e">
        <f t="shared" ca="1" si="87"/>
        <v>#N/A</v>
      </c>
      <c r="V397" s="57" t="e">
        <f t="shared" ca="1" si="88"/>
        <v>#N/A</v>
      </c>
      <c r="W397" s="57" t="e">
        <f t="shared" ca="1" si="79"/>
        <v>#N/A</v>
      </c>
      <c r="X397" t="e">
        <f t="shared" ca="1" si="89"/>
        <v>#N/A</v>
      </c>
      <c r="Y397" t="e">
        <f t="shared" ca="1" si="90"/>
        <v>#N/A</v>
      </c>
      <c r="Z397" t="e">
        <f t="shared" ca="1" si="91"/>
        <v>#N/A</v>
      </c>
      <c r="AA397" t="e">
        <f t="shared" ca="1" si="92"/>
        <v>#N/A</v>
      </c>
      <c r="AB397" s="85" t="e">
        <f ca="1"/>
        <v>#N/A</v>
      </c>
      <c r="AC397" s="57" t="e">
        <f t="shared" ca="1" si="93"/>
        <v>#N/A</v>
      </c>
      <c r="AD397" s="57" t="e">
        <f t="shared" ca="1" si="94"/>
        <v>#N/A</v>
      </c>
      <c r="AE397" s="57" t="e">
        <f t="shared" ca="1" si="95"/>
        <v>#N/A</v>
      </c>
      <c r="AF397" s="57" t="e">
        <f t="shared" ca="1" si="96"/>
        <v>#N/A</v>
      </c>
    </row>
    <row r="398" spans="18:32" x14ac:dyDescent="0.25">
      <c r="R398" s="57" t="e">
        <f ca="1"/>
        <v>#N/A</v>
      </c>
      <c r="S398" s="57" t="e">
        <f t="shared" ca="1" si="85"/>
        <v>#N/A</v>
      </c>
      <c r="T398" s="57" t="e">
        <f t="shared" ca="1" si="86"/>
        <v>#N/A</v>
      </c>
      <c r="U398" s="57" t="e">
        <f t="shared" ca="1" si="87"/>
        <v>#N/A</v>
      </c>
      <c r="V398" s="57" t="e">
        <f t="shared" ca="1" si="88"/>
        <v>#N/A</v>
      </c>
      <c r="W398" s="57" t="e">
        <f t="shared" ca="1" si="79"/>
        <v>#N/A</v>
      </c>
      <c r="X398" t="e">
        <f t="shared" ca="1" si="89"/>
        <v>#N/A</v>
      </c>
      <c r="Y398" t="e">
        <f t="shared" ca="1" si="90"/>
        <v>#N/A</v>
      </c>
      <c r="Z398" t="e">
        <f t="shared" ca="1" si="91"/>
        <v>#N/A</v>
      </c>
      <c r="AA398" t="e">
        <f t="shared" ca="1" si="92"/>
        <v>#N/A</v>
      </c>
      <c r="AB398" s="85" t="e">
        <f ca="1"/>
        <v>#N/A</v>
      </c>
      <c r="AC398" s="57" t="e">
        <f t="shared" ca="1" si="93"/>
        <v>#N/A</v>
      </c>
      <c r="AD398" s="57" t="e">
        <f t="shared" ca="1" si="94"/>
        <v>#N/A</v>
      </c>
      <c r="AE398" s="57" t="e">
        <f t="shared" ca="1" si="95"/>
        <v>#N/A</v>
      </c>
      <c r="AF398" s="57" t="e">
        <f t="shared" ca="1" si="96"/>
        <v>#N/A</v>
      </c>
    </row>
    <row r="399" spans="18:32" x14ac:dyDescent="0.25">
      <c r="R399" s="57" t="e">
        <f ca="1"/>
        <v>#N/A</v>
      </c>
      <c r="S399" s="57" t="e">
        <f t="shared" ca="1" si="85"/>
        <v>#N/A</v>
      </c>
      <c r="T399" s="57" t="e">
        <f t="shared" ca="1" si="86"/>
        <v>#N/A</v>
      </c>
      <c r="U399" s="57" t="e">
        <f t="shared" ca="1" si="87"/>
        <v>#N/A</v>
      </c>
      <c r="V399" s="57" t="e">
        <f t="shared" ca="1" si="88"/>
        <v>#N/A</v>
      </c>
      <c r="W399" s="57" t="e">
        <f t="shared" ca="1" si="79"/>
        <v>#N/A</v>
      </c>
      <c r="X399" t="e">
        <f t="shared" ca="1" si="89"/>
        <v>#N/A</v>
      </c>
      <c r="Y399" t="e">
        <f t="shared" ca="1" si="90"/>
        <v>#N/A</v>
      </c>
      <c r="Z399" t="e">
        <f t="shared" ca="1" si="91"/>
        <v>#N/A</v>
      </c>
      <c r="AA399" t="e">
        <f t="shared" ca="1" si="92"/>
        <v>#N/A</v>
      </c>
      <c r="AB399" s="85" t="e">
        <f ca="1"/>
        <v>#N/A</v>
      </c>
      <c r="AC399" s="57" t="e">
        <f t="shared" ca="1" si="93"/>
        <v>#N/A</v>
      </c>
      <c r="AD399" s="57" t="e">
        <f t="shared" ca="1" si="94"/>
        <v>#N/A</v>
      </c>
      <c r="AE399" s="57" t="e">
        <f t="shared" ca="1" si="95"/>
        <v>#N/A</v>
      </c>
      <c r="AF399" s="57" t="e">
        <f t="shared" ca="1" si="96"/>
        <v>#N/A</v>
      </c>
    </row>
    <row r="400" spans="18:32" x14ac:dyDescent="0.25">
      <c r="R400" s="57" t="e">
        <f ca="1"/>
        <v>#N/A</v>
      </c>
      <c r="S400" s="57" t="e">
        <f t="shared" ca="1" si="85"/>
        <v>#N/A</v>
      </c>
      <c r="T400" s="57" t="e">
        <f t="shared" ca="1" si="86"/>
        <v>#N/A</v>
      </c>
      <c r="U400" s="57" t="e">
        <f t="shared" ca="1" si="87"/>
        <v>#N/A</v>
      </c>
      <c r="V400" s="57" t="e">
        <f t="shared" ca="1" si="88"/>
        <v>#N/A</v>
      </c>
      <c r="W400" s="57" t="e">
        <f t="shared" ca="1" si="79"/>
        <v>#N/A</v>
      </c>
      <c r="X400" t="e">
        <f t="shared" ca="1" si="89"/>
        <v>#N/A</v>
      </c>
      <c r="Y400" t="e">
        <f t="shared" ca="1" si="90"/>
        <v>#N/A</v>
      </c>
      <c r="Z400" t="e">
        <f t="shared" ca="1" si="91"/>
        <v>#N/A</v>
      </c>
      <c r="AA400" t="e">
        <f t="shared" ca="1" si="92"/>
        <v>#N/A</v>
      </c>
      <c r="AB400" s="85" t="e">
        <f ca="1"/>
        <v>#N/A</v>
      </c>
      <c r="AC400" s="57" t="e">
        <f t="shared" ca="1" si="93"/>
        <v>#N/A</v>
      </c>
      <c r="AD400" s="57" t="e">
        <f t="shared" ca="1" si="94"/>
        <v>#N/A</v>
      </c>
      <c r="AE400" s="57" t="e">
        <f t="shared" ca="1" si="95"/>
        <v>#N/A</v>
      </c>
      <c r="AF400" s="57" t="e">
        <f t="shared" ca="1" si="96"/>
        <v>#N/A</v>
      </c>
    </row>
    <row r="401" spans="18:32" x14ac:dyDescent="0.25">
      <c r="R401" s="57" t="e">
        <f ca="1"/>
        <v>#N/A</v>
      </c>
      <c r="S401" s="57" t="e">
        <f t="shared" ca="1" si="85"/>
        <v>#N/A</v>
      </c>
      <c r="T401" s="57" t="e">
        <f t="shared" ca="1" si="86"/>
        <v>#N/A</v>
      </c>
      <c r="U401" s="57" t="e">
        <f t="shared" ca="1" si="87"/>
        <v>#N/A</v>
      </c>
      <c r="V401" s="57" t="e">
        <f t="shared" ca="1" si="88"/>
        <v>#N/A</v>
      </c>
      <c r="W401" s="57" t="e">
        <f t="shared" ca="1" si="79"/>
        <v>#N/A</v>
      </c>
      <c r="X401" t="e">
        <f t="shared" ca="1" si="89"/>
        <v>#N/A</v>
      </c>
      <c r="Y401" t="e">
        <f t="shared" ca="1" si="90"/>
        <v>#N/A</v>
      </c>
      <c r="Z401" t="e">
        <f t="shared" ca="1" si="91"/>
        <v>#N/A</v>
      </c>
      <c r="AA401" t="e">
        <f t="shared" ca="1" si="92"/>
        <v>#N/A</v>
      </c>
      <c r="AB401" s="85" t="e">
        <f ca="1"/>
        <v>#N/A</v>
      </c>
      <c r="AC401" s="57" t="e">
        <f t="shared" ca="1" si="93"/>
        <v>#N/A</v>
      </c>
      <c r="AD401" s="57" t="e">
        <f t="shared" ca="1" si="94"/>
        <v>#N/A</v>
      </c>
      <c r="AE401" s="57" t="e">
        <f t="shared" ca="1" si="95"/>
        <v>#N/A</v>
      </c>
      <c r="AF401" s="57" t="e">
        <f t="shared" ca="1" si="96"/>
        <v>#N/A</v>
      </c>
    </row>
    <row r="402" spans="18:32" x14ac:dyDescent="0.25">
      <c r="R402" s="57" t="e">
        <f ca="1"/>
        <v>#N/A</v>
      </c>
      <c r="S402" s="57" t="e">
        <f t="shared" ca="1" si="85"/>
        <v>#N/A</v>
      </c>
      <c r="T402" s="57" t="e">
        <f t="shared" ca="1" si="86"/>
        <v>#N/A</v>
      </c>
      <c r="U402" s="57" t="e">
        <f t="shared" ca="1" si="87"/>
        <v>#N/A</v>
      </c>
      <c r="V402" s="57" t="e">
        <f t="shared" ca="1" si="88"/>
        <v>#N/A</v>
      </c>
      <c r="W402" s="57" t="e">
        <f t="shared" ca="1" si="79"/>
        <v>#N/A</v>
      </c>
      <c r="X402" t="e">
        <f t="shared" ca="1" si="89"/>
        <v>#N/A</v>
      </c>
      <c r="Y402" t="e">
        <f t="shared" ca="1" si="90"/>
        <v>#N/A</v>
      </c>
      <c r="Z402" t="e">
        <f t="shared" ca="1" si="91"/>
        <v>#N/A</v>
      </c>
      <c r="AA402" t="e">
        <f t="shared" ca="1" si="92"/>
        <v>#N/A</v>
      </c>
      <c r="AB402" s="85" t="e">
        <f ca="1"/>
        <v>#N/A</v>
      </c>
      <c r="AC402" s="57" t="e">
        <f t="shared" ca="1" si="93"/>
        <v>#N/A</v>
      </c>
      <c r="AD402" s="57" t="e">
        <f t="shared" ca="1" si="94"/>
        <v>#N/A</v>
      </c>
      <c r="AE402" s="57" t="e">
        <f t="shared" ca="1" si="95"/>
        <v>#N/A</v>
      </c>
      <c r="AF402" s="57" t="e">
        <f t="shared" ca="1" si="96"/>
        <v>#N/A</v>
      </c>
    </row>
    <row r="403" spans="18:32" x14ac:dyDescent="0.25">
      <c r="R403" s="57" t="e">
        <f ca="1"/>
        <v>#N/A</v>
      </c>
      <c r="S403" s="57" t="e">
        <f t="shared" ca="1" si="85"/>
        <v>#N/A</v>
      </c>
      <c r="T403" s="57" t="e">
        <f t="shared" ca="1" si="86"/>
        <v>#N/A</v>
      </c>
      <c r="U403" s="57" t="e">
        <f t="shared" ca="1" si="87"/>
        <v>#N/A</v>
      </c>
      <c r="V403" s="57" t="e">
        <f t="shared" ca="1" si="88"/>
        <v>#N/A</v>
      </c>
      <c r="W403" s="57" t="e">
        <f t="shared" ref="W403:W466" ca="1" si="97">VLOOKUP(S403,ModelOutputs,9,FALSE)+W402</f>
        <v>#N/A</v>
      </c>
      <c r="X403" t="e">
        <f t="shared" ca="1" si="89"/>
        <v>#N/A</v>
      </c>
      <c r="Y403" t="e">
        <f t="shared" ca="1" si="90"/>
        <v>#N/A</v>
      </c>
      <c r="Z403" t="e">
        <f t="shared" ca="1" si="91"/>
        <v>#N/A</v>
      </c>
      <c r="AA403" t="e">
        <f t="shared" ca="1" si="92"/>
        <v>#N/A</v>
      </c>
      <c r="AB403" s="85" t="e">
        <f ca="1"/>
        <v>#N/A</v>
      </c>
      <c r="AC403" s="57" t="e">
        <f t="shared" ca="1" si="93"/>
        <v>#N/A</v>
      </c>
      <c r="AD403" s="57" t="e">
        <f t="shared" ca="1" si="94"/>
        <v>#N/A</v>
      </c>
      <c r="AE403" s="57" t="e">
        <f t="shared" ca="1" si="95"/>
        <v>#N/A</v>
      </c>
      <c r="AF403" s="57" t="e">
        <f t="shared" ca="1" si="96"/>
        <v>#N/A</v>
      </c>
    </row>
    <row r="404" spans="18:32" x14ac:dyDescent="0.25">
      <c r="R404" s="57" t="e">
        <f ca="1"/>
        <v>#N/A</v>
      </c>
      <c r="S404" s="57" t="e">
        <f t="shared" ca="1" si="85"/>
        <v>#N/A</v>
      </c>
      <c r="T404" s="57" t="e">
        <f t="shared" ca="1" si="86"/>
        <v>#N/A</v>
      </c>
      <c r="U404" s="57" t="e">
        <f t="shared" ca="1" si="87"/>
        <v>#N/A</v>
      </c>
      <c r="V404" s="57" t="e">
        <f t="shared" ca="1" si="88"/>
        <v>#N/A</v>
      </c>
      <c r="W404" s="57" t="e">
        <f t="shared" ca="1" si="97"/>
        <v>#N/A</v>
      </c>
      <c r="X404" t="e">
        <f t="shared" ca="1" si="89"/>
        <v>#N/A</v>
      </c>
      <c r="Y404" t="e">
        <f t="shared" ca="1" si="90"/>
        <v>#N/A</v>
      </c>
      <c r="Z404" t="e">
        <f t="shared" ca="1" si="91"/>
        <v>#N/A</v>
      </c>
      <c r="AA404" t="e">
        <f t="shared" ca="1" si="92"/>
        <v>#N/A</v>
      </c>
      <c r="AB404" s="85" t="e">
        <f ca="1"/>
        <v>#N/A</v>
      </c>
      <c r="AC404" s="57" t="e">
        <f t="shared" ca="1" si="93"/>
        <v>#N/A</v>
      </c>
      <c r="AD404" s="57" t="e">
        <f t="shared" ca="1" si="94"/>
        <v>#N/A</v>
      </c>
      <c r="AE404" s="57" t="e">
        <f t="shared" ca="1" si="95"/>
        <v>#N/A</v>
      </c>
      <c r="AF404" s="57" t="e">
        <f t="shared" ca="1" si="96"/>
        <v>#N/A</v>
      </c>
    </row>
    <row r="405" spans="18:32" x14ac:dyDescent="0.25">
      <c r="R405" s="57" t="e">
        <f ca="1"/>
        <v>#N/A</v>
      </c>
      <c r="S405" s="57" t="e">
        <f t="shared" ca="1" si="85"/>
        <v>#N/A</v>
      </c>
      <c r="T405" s="57" t="e">
        <f t="shared" ca="1" si="86"/>
        <v>#N/A</v>
      </c>
      <c r="U405" s="57" t="e">
        <f t="shared" ca="1" si="87"/>
        <v>#N/A</v>
      </c>
      <c r="V405" s="57" t="e">
        <f t="shared" ca="1" si="88"/>
        <v>#N/A</v>
      </c>
      <c r="W405" s="57" t="e">
        <f t="shared" ca="1" si="97"/>
        <v>#N/A</v>
      </c>
      <c r="X405" t="e">
        <f t="shared" ca="1" si="89"/>
        <v>#N/A</v>
      </c>
      <c r="Y405" t="e">
        <f t="shared" ca="1" si="90"/>
        <v>#N/A</v>
      </c>
      <c r="Z405" t="e">
        <f t="shared" ca="1" si="91"/>
        <v>#N/A</v>
      </c>
      <c r="AA405" t="e">
        <f t="shared" ca="1" si="92"/>
        <v>#N/A</v>
      </c>
      <c r="AB405" s="85" t="e">
        <f ca="1"/>
        <v>#N/A</v>
      </c>
      <c r="AC405" s="57" t="e">
        <f t="shared" ca="1" si="93"/>
        <v>#N/A</v>
      </c>
      <c r="AD405" s="57" t="e">
        <f t="shared" ca="1" si="94"/>
        <v>#N/A</v>
      </c>
      <c r="AE405" s="57" t="e">
        <f t="shared" ca="1" si="95"/>
        <v>#N/A</v>
      </c>
      <c r="AF405" s="57" t="e">
        <f t="shared" ca="1" si="96"/>
        <v>#N/A</v>
      </c>
    </row>
    <row r="406" spans="18:32" x14ac:dyDescent="0.25">
      <c r="R406" s="57" t="e">
        <f ca="1"/>
        <v>#N/A</v>
      </c>
      <c r="S406" s="57" t="e">
        <f t="shared" ca="1" si="85"/>
        <v>#N/A</v>
      </c>
      <c r="T406" s="57" t="e">
        <f t="shared" ca="1" si="86"/>
        <v>#N/A</v>
      </c>
      <c r="U406" s="57" t="e">
        <f t="shared" ca="1" si="87"/>
        <v>#N/A</v>
      </c>
      <c r="V406" s="57" t="e">
        <f t="shared" ca="1" si="88"/>
        <v>#N/A</v>
      </c>
      <c r="W406" s="57" t="e">
        <f t="shared" ca="1" si="97"/>
        <v>#N/A</v>
      </c>
      <c r="X406" t="e">
        <f t="shared" ca="1" si="89"/>
        <v>#N/A</v>
      </c>
      <c r="Y406" t="e">
        <f t="shared" ca="1" si="90"/>
        <v>#N/A</v>
      </c>
      <c r="Z406" t="e">
        <f t="shared" ca="1" si="91"/>
        <v>#N/A</v>
      </c>
      <c r="AA406" t="e">
        <f t="shared" ca="1" si="92"/>
        <v>#N/A</v>
      </c>
      <c r="AB406" s="85" t="e">
        <f ca="1"/>
        <v>#N/A</v>
      </c>
      <c r="AC406" s="57" t="e">
        <f t="shared" ca="1" si="93"/>
        <v>#N/A</v>
      </c>
      <c r="AD406" s="57" t="e">
        <f t="shared" ca="1" si="94"/>
        <v>#N/A</v>
      </c>
      <c r="AE406" s="57" t="e">
        <f t="shared" ca="1" si="95"/>
        <v>#N/A</v>
      </c>
      <c r="AF406" s="57" t="e">
        <f t="shared" ca="1" si="96"/>
        <v>#N/A</v>
      </c>
    </row>
    <row r="407" spans="18:32" x14ac:dyDescent="0.25">
      <c r="R407" s="57" t="e">
        <f ca="1"/>
        <v>#N/A</v>
      </c>
      <c r="S407" s="57" t="e">
        <f t="shared" ca="1" si="85"/>
        <v>#N/A</v>
      </c>
      <c r="T407" s="57" t="e">
        <f t="shared" ca="1" si="86"/>
        <v>#N/A</v>
      </c>
      <c r="U407" s="57" t="e">
        <f t="shared" ca="1" si="87"/>
        <v>#N/A</v>
      </c>
      <c r="V407" s="57" t="e">
        <f t="shared" ca="1" si="88"/>
        <v>#N/A</v>
      </c>
      <c r="W407" s="57" t="e">
        <f t="shared" ca="1" si="97"/>
        <v>#N/A</v>
      </c>
      <c r="X407" t="e">
        <f t="shared" ca="1" si="89"/>
        <v>#N/A</v>
      </c>
      <c r="Y407" t="e">
        <f t="shared" ca="1" si="90"/>
        <v>#N/A</v>
      </c>
      <c r="Z407" t="e">
        <f t="shared" ca="1" si="91"/>
        <v>#N/A</v>
      </c>
      <c r="AA407" t="e">
        <f t="shared" ca="1" si="92"/>
        <v>#N/A</v>
      </c>
      <c r="AB407" s="85" t="e">
        <f ca="1"/>
        <v>#N/A</v>
      </c>
      <c r="AC407" s="57" t="e">
        <f t="shared" ca="1" si="93"/>
        <v>#N/A</v>
      </c>
      <c r="AD407" s="57" t="e">
        <f t="shared" ca="1" si="94"/>
        <v>#N/A</v>
      </c>
      <c r="AE407" s="57" t="e">
        <f t="shared" ca="1" si="95"/>
        <v>#N/A</v>
      </c>
      <c r="AF407" s="57" t="e">
        <f t="shared" ca="1" si="96"/>
        <v>#N/A</v>
      </c>
    </row>
    <row r="408" spans="18:32" x14ac:dyDescent="0.25">
      <c r="R408" s="57" t="e">
        <f ca="1"/>
        <v>#N/A</v>
      </c>
      <c r="S408" s="57" t="e">
        <f t="shared" ca="1" si="85"/>
        <v>#N/A</v>
      </c>
      <c r="T408" s="57" t="e">
        <f t="shared" ca="1" si="86"/>
        <v>#N/A</v>
      </c>
      <c r="U408" s="57" t="e">
        <f t="shared" ca="1" si="87"/>
        <v>#N/A</v>
      </c>
      <c r="V408" s="57" t="e">
        <f t="shared" ca="1" si="88"/>
        <v>#N/A</v>
      </c>
      <c r="W408" s="57" t="e">
        <f t="shared" ca="1" si="97"/>
        <v>#N/A</v>
      </c>
      <c r="X408" t="e">
        <f t="shared" ca="1" si="89"/>
        <v>#N/A</v>
      </c>
      <c r="Y408" t="e">
        <f t="shared" ca="1" si="90"/>
        <v>#N/A</v>
      </c>
      <c r="Z408" t="e">
        <f t="shared" ca="1" si="91"/>
        <v>#N/A</v>
      </c>
      <c r="AA408" t="e">
        <f t="shared" ca="1" si="92"/>
        <v>#N/A</v>
      </c>
      <c r="AB408" s="85" t="e">
        <f ca="1"/>
        <v>#N/A</v>
      </c>
      <c r="AC408" s="57" t="e">
        <f t="shared" ca="1" si="93"/>
        <v>#N/A</v>
      </c>
      <c r="AD408" s="57" t="e">
        <f t="shared" ca="1" si="94"/>
        <v>#N/A</v>
      </c>
      <c r="AE408" s="57" t="e">
        <f t="shared" ca="1" si="95"/>
        <v>#N/A</v>
      </c>
      <c r="AF408" s="57" t="e">
        <f t="shared" ca="1" si="96"/>
        <v>#N/A</v>
      </c>
    </row>
    <row r="409" spans="18:32" x14ac:dyDescent="0.25">
      <c r="R409" s="57" t="e">
        <f ca="1"/>
        <v>#N/A</v>
      </c>
      <c r="S409" s="57" t="e">
        <f t="shared" ca="1" si="85"/>
        <v>#N/A</v>
      </c>
      <c r="T409" s="57" t="e">
        <f t="shared" ca="1" si="86"/>
        <v>#N/A</v>
      </c>
      <c r="U409" s="57" t="e">
        <f t="shared" ca="1" si="87"/>
        <v>#N/A</v>
      </c>
      <c r="V409" s="57" t="e">
        <f t="shared" ca="1" si="88"/>
        <v>#N/A</v>
      </c>
      <c r="W409" s="57" t="e">
        <f t="shared" ca="1" si="97"/>
        <v>#N/A</v>
      </c>
      <c r="X409" t="e">
        <f t="shared" ca="1" si="89"/>
        <v>#N/A</v>
      </c>
      <c r="Y409" t="e">
        <f t="shared" ca="1" si="90"/>
        <v>#N/A</v>
      </c>
      <c r="Z409" t="e">
        <f t="shared" ca="1" si="91"/>
        <v>#N/A</v>
      </c>
      <c r="AA409" t="e">
        <f t="shared" ca="1" si="92"/>
        <v>#N/A</v>
      </c>
      <c r="AB409" s="85" t="e">
        <f ca="1"/>
        <v>#N/A</v>
      </c>
      <c r="AC409" s="57" t="e">
        <f t="shared" ca="1" si="93"/>
        <v>#N/A</v>
      </c>
      <c r="AD409" s="57" t="e">
        <f t="shared" ca="1" si="94"/>
        <v>#N/A</v>
      </c>
      <c r="AE409" s="57" t="e">
        <f t="shared" ca="1" si="95"/>
        <v>#N/A</v>
      </c>
      <c r="AF409" s="57" t="e">
        <f t="shared" ca="1" si="96"/>
        <v>#N/A</v>
      </c>
    </row>
    <row r="410" spans="18:32" x14ac:dyDescent="0.25">
      <c r="R410" s="57" t="e">
        <f ca="1"/>
        <v>#N/A</v>
      </c>
      <c r="S410" s="57" t="e">
        <f t="shared" ca="1" si="85"/>
        <v>#N/A</v>
      </c>
      <c r="T410" s="57" t="e">
        <f t="shared" ca="1" si="86"/>
        <v>#N/A</v>
      </c>
      <c r="U410" s="57" t="e">
        <f t="shared" ca="1" si="87"/>
        <v>#N/A</v>
      </c>
      <c r="V410" s="57" t="e">
        <f t="shared" ca="1" si="88"/>
        <v>#N/A</v>
      </c>
      <c r="W410" s="57" t="e">
        <f t="shared" ca="1" si="97"/>
        <v>#N/A</v>
      </c>
      <c r="X410" t="e">
        <f t="shared" ca="1" si="89"/>
        <v>#N/A</v>
      </c>
      <c r="Y410" t="e">
        <f t="shared" ca="1" si="90"/>
        <v>#N/A</v>
      </c>
      <c r="Z410" t="e">
        <f t="shared" ca="1" si="91"/>
        <v>#N/A</v>
      </c>
      <c r="AA410" t="e">
        <f t="shared" ca="1" si="92"/>
        <v>#N/A</v>
      </c>
      <c r="AB410" s="85" t="e">
        <f ca="1"/>
        <v>#N/A</v>
      </c>
      <c r="AC410" s="57" t="e">
        <f t="shared" ca="1" si="93"/>
        <v>#N/A</v>
      </c>
      <c r="AD410" s="57" t="e">
        <f t="shared" ca="1" si="94"/>
        <v>#N/A</v>
      </c>
      <c r="AE410" s="57" t="e">
        <f t="shared" ca="1" si="95"/>
        <v>#N/A</v>
      </c>
      <c r="AF410" s="57" t="e">
        <f t="shared" ca="1" si="96"/>
        <v>#N/A</v>
      </c>
    </row>
    <row r="411" spans="18:32" x14ac:dyDescent="0.25">
      <c r="R411" s="57" t="e">
        <f ca="1"/>
        <v>#N/A</v>
      </c>
      <c r="S411" s="57" t="e">
        <f t="shared" ca="1" si="85"/>
        <v>#N/A</v>
      </c>
      <c r="T411" s="57" t="e">
        <f t="shared" ca="1" si="86"/>
        <v>#N/A</v>
      </c>
      <c r="U411" s="57" t="e">
        <f t="shared" ca="1" si="87"/>
        <v>#N/A</v>
      </c>
      <c r="V411" s="57" t="e">
        <f t="shared" ca="1" si="88"/>
        <v>#N/A</v>
      </c>
      <c r="W411" s="57" t="e">
        <f t="shared" ca="1" si="97"/>
        <v>#N/A</v>
      </c>
      <c r="X411" t="e">
        <f t="shared" ca="1" si="89"/>
        <v>#N/A</v>
      </c>
      <c r="Y411" t="e">
        <f t="shared" ca="1" si="90"/>
        <v>#N/A</v>
      </c>
      <c r="Z411" t="e">
        <f t="shared" ca="1" si="91"/>
        <v>#N/A</v>
      </c>
      <c r="AA411" t="e">
        <f t="shared" ca="1" si="92"/>
        <v>#N/A</v>
      </c>
      <c r="AB411" s="85" t="e">
        <f ca="1"/>
        <v>#N/A</v>
      </c>
      <c r="AC411" s="57" t="e">
        <f t="shared" ca="1" si="93"/>
        <v>#N/A</v>
      </c>
      <c r="AD411" s="57" t="e">
        <f t="shared" ca="1" si="94"/>
        <v>#N/A</v>
      </c>
      <c r="AE411" s="57" t="e">
        <f t="shared" ca="1" si="95"/>
        <v>#N/A</v>
      </c>
      <c r="AF411" s="57" t="e">
        <f t="shared" ca="1" si="96"/>
        <v>#N/A</v>
      </c>
    </row>
    <row r="412" spans="18:32" x14ac:dyDescent="0.25">
      <c r="R412" s="57" t="e">
        <f ca="1"/>
        <v>#N/A</v>
      </c>
      <c r="S412" s="57" t="e">
        <f t="shared" ca="1" si="85"/>
        <v>#N/A</v>
      </c>
      <c r="T412" s="57" t="e">
        <f t="shared" ca="1" si="86"/>
        <v>#N/A</v>
      </c>
      <c r="U412" s="57" t="e">
        <f t="shared" ca="1" si="87"/>
        <v>#N/A</v>
      </c>
      <c r="V412" s="57" t="e">
        <f t="shared" ca="1" si="88"/>
        <v>#N/A</v>
      </c>
      <c r="W412" s="57" t="e">
        <f t="shared" ca="1" si="97"/>
        <v>#N/A</v>
      </c>
      <c r="X412" t="e">
        <f t="shared" ca="1" si="89"/>
        <v>#N/A</v>
      </c>
      <c r="Y412" t="e">
        <f t="shared" ca="1" si="90"/>
        <v>#N/A</v>
      </c>
      <c r="Z412" t="e">
        <f t="shared" ca="1" si="91"/>
        <v>#N/A</v>
      </c>
      <c r="AA412" t="e">
        <f t="shared" ca="1" si="92"/>
        <v>#N/A</v>
      </c>
      <c r="AB412" s="85" t="e">
        <f ca="1"/>
        <v>#N/A</v>
      </c>
      <c r="AC412" s="57" t="e">
        <f t="shared" ca="1" si="93"/>
        <v>#N/A</v>
      </c>
      <c r="AD412" s="57" t="e">
        <f t="shared" ca="1" si="94"/>
        <v>#N/A</v>
      </c>
      <c r="AE412" s="57" t="e">
        <f t="shared" ca="1" si="95"/>
        <v>#N/A</v>
      </c>
      <c r="AF412" s="57" t="e">
        <f t="shared" ca="1" si="96"/>
        <v>#N/A</v>
      </c>
    </row>
    <row r="413" spans="18:32" x14ac:dyDescent="0.25">
      <c r="R413" s="57" t="e">
        <f ca="1"/>
        <v>#N/A</v>
      </c>
      <c r="S413" s="57" t="e">
        <f t="shared" ca="1" si="85"/>
        <v>#N/A</v>
      </c>
      <c r="T413" s="57" t="e">
        <f t="shared" ca="1" si="86"/>
        <v>#N/A</v>
      </c>
      <c r="U413" s="57" t="e">
        <f t="shared" ca="1" si="87"/>
        <v>#N/A</v>
      </c>
      <c r="V413" s="57" t="e">
        <f t="shared" ca="1" si="88"/>
        <v>#N/A</v>
      </c>
      <c r="W413" s="57" t="e">
        <f t="shared" ca="1" si="97"/>
        <v>#N/A</v>
      </c>
      <c r="X413" t="e">
        <f t="shared" ca="1" si="89"/>
        <v>#N/A</v>
      </c>
      <c r="Y413" t="e">
        <f t="shared" ca="1" si="90"/>
        <v>#N/A</v>
      </c>
      <c r="Z413" t="e">
        <f t="shared" ca="1" si="91"/>
        <v>#N/A</v>
      </c>
      <c r="AA413" t="e">
        <f t="shared" ca="1" si="92"/>
        <v>#N/A</v>
      </c>
      <c r="AB413" s="85" t="e">
        <f ca="1"/>
        <v>#N/A</v>
      </c>
      <c r="AC413" s="57" t="e">
        <f t="shared" ca="1" si="93"/>
        <v>#N/A</v>
      </c>
      <c r="AD413" s="57" t="e">
        <f t="shared" ca="1" si="94"/>
        <v>#N/A</v>
      </c>
      <c r="AE413" s="57" t="e">
        <f t="shared" ca="1" si="95"/>
        <v>#N/A</v>
      </c>
      <c r="AF413" s="57" t="e">
        <f t="shared" ca="1" si="96"/>
        <v>#N/A</v>
      </c>
    </row>
    <row r="414" spans="18:32" x14ac:dyDescent="0.25">
      <c r="R414" s="57" t="e">
        <f ca="1"/>
        <v>#N/A</v>
      </c>
      <c r="S414" s="57" t="e">
        <f t="shared" ca="1" si="85"/>
        <v>#N/A</v>
      </c>
      <c r="T414" s="57" t="e">
        <f t="shared" ca="1" si="86"/>
        <v>#N/A</v>
      </c>
      <c r="U414" s="57" t="e">
        <f t="shared" ca="1" si="87"/>
        <v>#N/A</v>
      </c>
      <c r="V414" s="57" t="e">
        <f t="shared" ca="1" si="88"/>
        <v>#N/A</v>
      </c>
      <c r="W414" s="57" t="e">
        <f t="shared" ca="1" si="97"/>
        <v>#N/A</v>
      </c>
      <c r="X414" t="e">
        <f t="shared" ca="1" si="89"/>
        <v>#N/A</v>
      </c>
      <c r="Y414" t="e">
        <f t="shared" ca="1" si="90"/>
        <v>#N/A</v>
      </c>
      <c r="Z414" t="e">
        <f t="shared" ca="1" si="91"/>
        <v>#N/A</v>
      </c>
      <c r="AA414" t="e">
        <f t="shared" ca="1" si="92"/>
        <v>#N/A</v>
      </c>
      <c r="AB414" s="85" t="e">
        <f ca="1"/>
        <v>#N/A</v>
      </c>
      <c r="AC414" s="57" t="e">
        <f t="shared" ca="1" si="93"/>
        <v>#N/A</v>
      </c>
      <c r="AD414" s="57" t="e">
        <f t="shared" ca="1" si="94"/>
        <v>#N/A</v>
      </c>
      <c r="AE414" s="57" t="e">
        <f t="shared" ca="1" si="95"/>
        <v>#N/A</v>
      </c>
      <c r="AF414" s="57" t="e">
        <f t="shared" ca="1" si="96"/>
        <v>#N/A</v>
      </c>
    </row>
    <row r="415" spans="18:32" x14ac:dyDescent="0.25">
      <c r="R415" s="57" t="e">
        <f ca="1"/>
        <v>#N/A</v>
      </c>
      <c r="S415" s="57" t="e">
        <f t="shared" ca="1" si="85"/>
        <v>#N/A</v>
      </c>
      <c r="T415" s="57" t="e">
        <f t="shared" ca="1" si="86"/>
        <v>#N/A</v>
      </c>
      <c r="U415" s="57" t="e">
        <f t="shared" ca="1" si="87"/>
        <v>#N/A</v>
      </c>
      <c r="V415" s="57" t="e">
        <f t="shared" ca="1" si="88"/>
        <v>#N/A</v>
      </c>
      <c r="W415" s="57" t="e">
        <f t="shared" ca="1" si="97"/>
        <v>#N/A</v>
      </c>
      <c r="X415" t="e">
        <f t="shared" ca="1" si="89"/>
        <v>#N/A</v>
      </c>
      <c r="Y415" t="e">
        <f t="shared" ca="1" si="90"/>
        <v>#N/A</v>
      </c>
      <c r="Z415" t="e">
        <f t="shared" ca="1" si="91"/>
        <v>#N/A</v>
      </c>
      <c r="AA415" t="e">
        <f t="shared" ca="1" si="92"/>
        <v>#N/A</v>
      </c>
      <c r="AB415" s="85" t="e">
        <f ca="1"/>
        <v>#N/A</v>
      </c>
      <c r="AC415" s="57" t="e">
        <f t="shared" ca="1" si="93"/>
        <v>#N/A</v>
      </c>
      <c r="AD415" s="57" t="e">
        <f t="shared" ca="1" si="94"/>
        <v>#N/A</v>
      </c>
      <c r="AE415" s="57" t="e">
        <f t="shared" ca="1" si="95"/>
        <v>#N/A</v>
      </c>
      <c r="AF415" s="57" t="e">
        <f t="shared" ca="1" si="96"/>
        <v>#N/A</v>
      </c>
    </row>
    <row r="416" spans="18:32" x14ac:dyDescent="0.25">
      <c r="R416" s="57" t="e">
        <f ca="1"/>
        <v>#N/A</v>
      </c>
      <c r="S416" s="57" t="e">
        <f t="shared" ca="1" si="85"/>
        <v>#N/A</v>
      </c>
      <c r="T416" s="57" t="e">
        <f t="shared" ca="1" si="86"/>
        <v>#N/A</v>
      </c>
      <c r="U416" s="57" t="e">
        <f t="shared" ca="1" si="87"/>
        <v>#N/A</v>
      </c>
      <c r="V416" s="57" t="e">
        <f t="shared" ca="1" si="88"/>
        <v>#N/A</v>
      </c>
      <c r="W416" s="57" t="e">
        <f t="shared" ca="1" si="97"/>
        <v>#N/A</v>
      </c>
      <c r="X416" t="e">
        <f t="shared" ca="1" si="89"/>
        <v>#N/A</v>
      </c>
      <c r="Y416" t="e">
        <f t="shared" ca="1" si="90"/>
        <v>#N/A</v>
      </c>
      <c r="Z416" t="e">
        <f t="shared" ca="1" si="91"/>
        <v>#N/A</v>
      </c>
      <c r="AA416" t="e">
        <f t="shared" ca="1" si="92"/>
        <v>#N/A</v>
      </c>
      <c r="AB416" s="85" t="e">
        <f ca="1"/>
        <v>#N/A</v>
      </c>
      <c r="AC416" s="57" t="e">
        <f t="shared" ca="1" si="93"/>
        <v>#N/A</v>
      </c>
      <c r="AD416" s="57" t="e">
        <f t="shared" ca="1" si="94"/>
        <v>#N/A</v>
      </c>
      <c r="AE416" s="57" t="e">
        <f t="shared" ca="1" si="95"/>
        <v>#N/A</v>
      </c>
      <c r="AF416" s="57" t="e">
        <f t="shared" ca="1" si="96"/>
        <v>#N/A</v>
      </c>
    </row>
    <row r="417" spans="18:32" x14ac:dyDescent="0.25">
      <c r="R417" s="57" t="e">
        <f ca="1"/>
        <v>#N/A</v>
      </c>
      <c r="S417" s="57" t="e">
        <f t="shared" ca="1" si="85"/>
        <v>#N/A</v>
      </c>
      <c r="T417" s="57" t="e">
        <f t="shared" ca="1" si="86"/>
        <v>#N/A</v>
      </c>
      <c r="U417" s="57" t="e">
        <f t="shared" ca="1" si="87"/>
        <v>#N/A</v>
      </c>
      <c r="V417" s="57" t="e">
        <f t="shared" ca="1" si="88"/>
        <v>#N/A</v>
      </c>
      <c r="W417" s="57" t="e">
        <f t="shared" ca="1" si="97"/>
        <v>#N/A</v>
      </c>
      <c r="X417" t="e">
        <f t="shared" ca="1" si="89"/>
        <v>#N/A</v>
      </c>
      <c r="Y417" t="e">
        <f t="shared" ca="1" si="90"/>
        <v>#N/A</v>
      </c>
      <c r="Z417" t="e">
        <f t="shared" ca="1" si="91"/>
        <v>#N/A</v>
      </c>
      <c r="AA417" t="e">
        <f t="shared" ca="1" si="92"/>
        <v>#N/A</v>
      </c>
      <c r="AB417" s="85" t="e">
        <f ca="1"/>
        <v>#N/A</v>
      </c>
      <c r="AC417" s="57" t="e">
        <f t="shared" ca="1" si="93"/>
        <v>#N/A</v>
      </c>
      <c r="AD417" s="57" t="e">
        <f t="shared" ca="1" si="94"/>
        <v>#N/A</v>
      </c>
      <c r="AE417" s="57" t="e">
        <f t="shared" ca="1" si="95"/>
        <v>#N/A</v>
      </c>
      <c r="AF417" s="57" t="e">
        <f t="shared" ca="1" si="96"/>
        <v>#N/A</v>
      </c>
    </row>
    <row r="418" spans="18:32" x14ac:dyDescent="0.25">
      <c r="R418" s="57" t="e">
        <f ca="1"/>
        <v>#N/A</v>
      </c>
      <c r="S418" s="57" t="e">
        <f t="shared" ca="1" si="85"/>
        <v>#N/A</v>
      </c>
      <c r="T418" s="57" t="e">
        <f t="shared" ca="1" si="86"/>
        <v>#N/A</v>
      </c>
      <c r="U418" s="57" t="e">
        <f t="shared" ca="1" si="87"/>
        <v>#N/A</v>
      </c>
      <c r="V418" s="57" t="e">
        <f t="shared" ca="1" si="88"/>
        <v>#N/A</v>
      </c>
      <c r="W418" s="57" t="e">
        <f t="shared" ca="1" si="97"/>
        <v>#N/A</v>
      </c>
      <c r="X418" t="e">
        <f t="shared" ca="1" si="89"/>
        <v>#N/A</v>
      </c>
      <c r="Y418" t="e">
        <f t="shared" ca="1" si="90"/>
        <v>#N/A</v>
      </c>
      <c r="Z418" t="e">
        <f t="shared" ca="1" si="91"/>
        <v>#N/A</v>
      </c>
      <c r="AA418" t="e">
        <f t="shared" ca="1" si="92"/>
        <v>#N/A</v>
      </c>
      <c r="AB418" s="85" t="e">
        <f ca="1"/>
        <v>#N/A</v>
      </c>
      <c r="AC418" s="57" t="e">
        <f t="shared" ca="1" si="93"/>
        <v>#N/A</v>
      </c>
      <c r="AD418" s="57" t="e">
        <f t="shared" ca="1" si="94"/>
        <v>#N/A</v>
      </c>
      <c r="AE418" s="57" t="e">
        <f t="shared" ca="1" si="95"/>
        <v>#N/A</v>
      </c>
      <c r="AF418" s="57" t="e">
        <f t="shared" ca="1" si="96"/>
        <v>#N/A</v>
      </c>
    </row>
    <row r="419" spans="18:32" x14ac:dyDescent="0.25">
      <c r="R419" s="57" t="e">
        <f ca="1"/>
        <v>#N/A</v>
      </c>
      <c r="S419" s="57" t="e">
        <f t="shared" ca="1" si="85"/>
        <v>#N/A</v>
      </c>
      <c r="T419" s="57" t="e">
        <f t="shared" ca="1" si="86"/>
        <v>#N/A</v>
      </c>
      <c r="U419" s="57" t="e">
        <f t="shared" ca="1" si="87"/>
        <v>#N/A</v>
      </c>
      <c r="V419" s="57" t="e">
        <f t="shared" ca="1" si="88"/>
        <v>#N/A</v>
      </c>
      <c r="W419" s="57" t="e">
        <f t="shared" ca="1" si="97"/>
        <v>#N/A</v>
      </c>
      <c r="X419" t="e">
        <f t="shared" ca="1" si="89"/>
        <v>#N/A</v>
      </c>
      <c r="Y419" t="e">
        <f t="shared" ca="1" si="90"/>
        <v>#N/A</v>
      </c>
      <c r="Z419" t="e">
        <f t="shared" ca="1" si="91"/>
        <v>#N/A</v>
      </c>
      <c r="AA419" t="e">
        <f t="shared" ca="1" si="92"/>
        <v>#N/A</v>
      </c>
      <c r="AB419" s="85" t="e">
        <f ca="1"/>
        <v>#N/A</v>
      </c>
      <c r="AC419" s="57" t="e">
        <f t="shared" ca="1" si="93"/>
        <v>#N/A</v>
      </c>
      <c r="AD419" s="57" t="e">
        <f t="shared" ca="1" si="94"/>
        <v>#N/A</v>
      </c>
      <c r="AE419" s="57" t="e">
        <f t="shared" ca="1" si="95"/>
        <v>#N/A</v>
      </c>
      <c r="AF419" s="57" t="e">
        <f t="shared" ca="1" si="96"/>
        <v>#N/A</v>
      </c>
    </row>
    <row r="420" spans="18:32" x14ac:dyDescent="0.25">
      <c r="R420" s="57" t="e">
        <f ca="1"/>
        <v>#N/A</v>
      </c>
      <c r="S420" s="57" t="e">
        <f t="shared" ca="1" si="85"/>
        <v>#N/A</v>
      </c>
      <c r="T420" s="57" t="e">
        <f t="shared" ca="1" si="86"/>
        <v>#N/A</v>
      </c>
      <c r="U420" s="57" t="e">
        <f t="shared" ca="1" si="87"/>
        <v>#N/A</v>
      </c>
      <c r="V420" s="57" t="e">
        <f t="shared" ca="1" si="88"/>
        <v>#N/A</v>
      </c>
      <c r="W420" s="57" t="e">
        <f t="shared" ca="1" si="97"/>
        <v>#N/A</v>
      </c>
      <c r="X420" t="e">
        <f t="shared" ca="1" si="89"/>
        <v>#N/A</v>
      </c>
      <c r="Y420" t="e">
        <f t="shared" ca="1" si="90"/>
        <v>#N/A</v>
      </c>
      <c r="Z420" t="e">
        <f t="shared" ca="1" si="91"/>
        <v>#N/A</v>
      </c>
      <c r="AA420" t="e">
        <f t="shared" ca="1" si="92"/>
        <v>#N/A</v>
      </c>
      <c r="AB420" s="85" t="e">
        <f ca="1"/>
        <v>#N/A</v>
      </c>
      <c r="AC420" s="57" t="e">
        <f t="shared" ca="1" si="93"/>
        <v>#N/A</v>
      </c>
      <c r="AD420" s="57" t="e">
        <f t="shared" ca="1" si="94"/>
        <v>#N/A</v>
      </c>
      <c r="AE420" s="57" t="e">
        <f t="shared" ca="1" si="95"/>
        <v>#N/A</v>
      </c>
      <c r="AF420" s="57" t="e">
        <f t="shared" ca="1" si="96"/>
        <v>#N/A</v>
      </c>
    </row>
    <row r="421" spans="18:32" x14ac:dyDescent="0.25">
      <c r="R421" s="57" t="e">
        <f ca="1"/>
        <v>#N/A</v>
      </c>
      <c r="S421" s="57" t="e">
        <f t="shared" ca="1" si="85"/>
        <v>#N/A</v>
      </c>
      <c r="T421" s="57" t="e">
        <f t="shared" ca="1" si="86"/>
        <v>#N/A</v>
      </c>
      <c r="U421" s="57" t="e">
        <f t="shared" ca="1" si="87"/>
        <v>#N/A</v>
      </c>
      <c r="V421" s="57" t="e">
        <f t="shared" ca="1" si="88"/>
        <v>#N/A</v>
      </c>
      <c r="W421" s="57" t="e">
        <f t="shared" ca="1" si="97"/>
        <v>#N/A</v>
      </c>
      <c r="X421" t="e">
        <f t="shared" ca="1" si="89"/>
        <v>#N/A</v>
      </c>
      <c r="Y421" t="e">
        <f t="shared" ca="1" si="90"/>
        <v>#N/A</v>
      </c>
      <c r="Z421" t="e">
        <f t="shared" ca="1" si="91"/>
        <v>#N/A</v>
      </c>
      <c r="AA421" t="e">
        <f t="shared" ca="1" si="92"/>
        <v>#N/A</v>
      </c>
      <c r="AB421" s="85" t="e">
        <f ca="1"/>
        <v>#N/A</v>
      </c>
      <c r="AC421" s="57" t="e">
        <f t="shared" ca="1" si="93"/>
        <v>#N/A</v>
      </c>
      <c r="AD421" s="57" t="e">
        <f t="shared" ca="1" si="94"/>
        <v>#N/A</v>
      </c>
      <c r="AE421" s="57" t="e">
        <f t="shared" ca="1" si="95"/>
        <v>#N/A</v>
      </c>
      <c r="AF421" s="57" t="e">
        <f t="shared" ca="1" si="96"/>
        <v>#N/A</v>
      </c>
    </row>
    <row r="422" spans="18:32" x14ac:dyDescent="0.25">
      <c r="R422" s="57" t="e">
        <f ca="1"/>
        <v>#N/A</v>
      </c>
      <c r="S422" s="57" t="e">
        <f t="shared" ca="1" si="85"/>
        <v>#N/A</v>
      </c>
      <c r="T422" s="57" t="e">
        <f t="shared" ca="1" si="86"/>
        <v>#N/A</v>
      </c>
      <c r="U422" s="57" t="e">
        <f t="shared" ca="1" si="87"/>
        <v>#N/A</v>
      </c>
      <c r="V422" s="57" t="e">
        <f t="shared" ca="1" si="88"/>
        <v>#N/A</v>
      </c>
      <c r="W422" s="57" t="e">
        <f t="shared" ca="1" si="97"/>
        <v>#N/A</v>
      </c>
      <c r="X422" t="e">
        <f t="shared" ca="1" si="89"/>
        <v>#N/A</v>
      </c>
      <c r="Y422" t="e">
        <f t="shared" ca="1" si="90"/>
        <v>#N/A</v>
      </c>
      <c r="Z422" t="e">
        <f t="shared" ca="1" si="91"/>
        <v>#N/A</v>
      </c>
      <c r="AA422" t="e">
        <f t="shared" ca="1" si="92"/>
        <v>#N/A</v>
      </c>
      <c r="AB422" s="85" t="e">
        <f ca="1"/>
        <v>#N/A</v>
      </c>
      <c r="AC422" s="57" t="e">
        <f t="shared" ca="1" si="93"/>
        <v>#N/A</v>
      </c>
      <c r="AD422" s="57" t="e">
        <f t="shared" ca="1" si="94"/>
        <v>#N/A</v>
      </c>
      <c r="AE422" s="57" t="e">
        <f t="shared" ca="1" si="95"/>
        <v>#N/A</v>
      </c>
      <c r="AF422" s="57" t="e">
        <f t="shared" ca="1" si="96"/>
        <v>#N/A</v>
      </c>
    </row>
    <row r="423" spans="18:32" x14ac:dyDescent="0.25">
      <c r="R423" s="57" t="e">
        <f ca="1"/>
        <v>#N/A</v>
      </c>
      <c r="S423" s="57" t="e">
        <f t="shared" ca="1" si="85"/>
        <v>#N/A</v>
      </c>
      <c r="T423" s="57" t="e">
        <f t="shared" ca="1" si="86"/>
        <v>#N/A</v>
      </c>
      <c r="U423" s="57" t="e">
        <f t="shared" ca="1" si="87"/>
        <v>#N/A</v>
      </c>
      <c r="V423" s="57" t="e">
        <f t="shared" ca="1" si="88"/>
        <v>#N/A</v>
      </c>
      <c r="W423" s="57" t="e">
        <f t="shared" ca="1" si="97"/>
        <v>#N/A</v>
      </c>
      <c r="X423" t="e">
        <f t="shared" ca="1" si="89"/>
        <v>#N/A</v>
      </c>
      <c r="Y423" t="e">
        <f t="shared" ca="1" si="90"/>
        <v>#N/A</v>
      </c>
      <c r="Z423" t="e">
        <f t="shared" ca="1" si="91"/>
        <v>#N/A</v>
      </c>
      <c r="AA423" t="e">
        <f t="shared" ca="1" si="92"/>
        <v>#N/A</v>
      </c>
      <c r="AB423" s="85" t="e">
        <f ca="1"/>
        <v>#N/A</v>
      </c>
      <c r="AC423" s="57" t="e">
        <f t="shared" ca="1" si="93"/>
        <v>#N/A</v>
      </c>
      <c r="AD423" s="57" t="e">
        <f t="shared" ca="1" si="94"/>
        <v>#N/A</v>
      </c>
      <c r="AE423" s="57" t="e">
        <f t="shared" ca="1" si="95"/>
        <v>#N/A</v>
      </c>
      <c r="AF423" s="57" t="e">
        <f t="shared" ca="1" si="96"/>
        <v>#N/A</v>
      </c>
    </row>
    <row r="424" spans="18:32" x14ac:dyDescent="0.25">
      <c r="R424" s="57" t="e">
        <f ca="1"/>
        <v>#N/A</v>
      </c>
      <c r="S424" s="57" t="e">
        <f t="shared" ca="1" si="85"/>
        <v>#N/A</v>
      </c>
      <c r="T424" s="57" t="e">
        <f t="shared" ca="1" si="86"/>
        <v>#N/A</v>
      </c>
      <c r="U424" s="57" t="e">
        <f t="shared" ca="1" si="87"/>
        <v>#N/A</v>
      </c>
      <c r="V424" s="57" t="e">
        <f t="shared" ca="1" si="88"/>
        <v>#N/A</v>
      </c>
      <c r="W424" s="57" t="e">
        <f t="shared" ca="1" si="97"/>
        <v>#N/A</v>
      </c>
      <c r="X424" t="e">
        <f t="shared" ca="1" si="89"/>
        <v>#N/A</v>
      </c>
      <c r="Y424" t="e">
        <f t="shared" ca="1" si="90"/>
        <v>#N/A</v>
      </c>
      <c r="Z424" t="e">
        <f t="shared" ca="1" si="91"/>
        <v>#N/A</v>
      </c>
      <c r="AA424" t="e">
        <f t="shared" ca="1" si="92"/>
        <v>#N/A</v>
      </c>
      <c r="AB424" s="85" t="e">
        <f ca="1"/>
        <v>#N/A</v>
      </c>
      <c r="AC424" s="57" t="e">
        <f t="shared" ca="1" si="93"/>
        <v>#N/A</v>
      </c>
      <c r="AD424" s="57" t="e">
        <f t="shared" ca="1" si="94"/>
        <v>#N/A</v>
      </c>
      <c r="AE424" s="57" t="e">
        <f t="shared" ca="1" si="95"/>
        <v>#N/A</v>
      </c>
      <c r="AF424" s="57" t="e">
        <f t="shared" ca="1" si="96"/>
        <v>#N/A</v>
      </c>
    </row>
    <row r="425" spans="18:32" x14ac:dyDescent="0.25">
      <c r="R425" s="57" t="e">
        <f ca="1"/>
        <v>#N/A</v>
      </c>
      <c r="S425" s="57" t="e">
        <f t="shared" ca="1" si="85"/>
        <v>#N/A</v>
      </c>
      <c r="T425" s="57" t="e">
        <f t="shared" ca="1" si="86"/>
        <v>#N/A</v>
      </c>
      <c r="U425" s="57" t="e">
        <f t="shared" ca="1" si="87"/>
        <v>#N/A</v>
      </c>
      <c r="V425" s="57" t="e">
        <f t="shared" ca="1" si="88"/>
        <v>#N/A</v>
      </c>
      <c r="W425" s="57" t="e">
        <f t="shared" ca="1" si="97"/>
        <v>#N/A</v>
      </c>
      <c r="X425" t="e">
        <f t="shared" ca="1" si="89"/>
        <v>#N/A</v>
      </c>
      <c r="Y425" t="e">
        <f t="shared" ca="1" si="90"/>
        <v>#N/A</v>
      </c>
      <c r="Z425" t="e">
        <f t="shared" ca="1" si="91"/>
        <v>#N/A</v>
      </c>
      <c r="AA425" t="e">
        <f t="shared" ca="1" si="92"/>
        <v>#N/A</v>
      </c>
      <c r="AB425" s="85" t="e">
        <f ca="1"/>
        <v>#N/A</v>
      </c>
      <c r="AC425" s="57" t="e">
        <f t="shared" ca="1" si="93"/>
        <v>#N/A</v>
      </c>
      <c r="AD425" s="57" t="e">
        <f t="shared" ca="1" si="94"/>
        <v>#N/A</v>
      </c>
      <c r="AE425" s="57" t="e">
        <f t="shared" ca="1" si="95"/>
        <v>#N/A</v>
      </c>
      <c r="AF425" s="57" t="e">
        <f t="shared" ca="1" si="96"/>
        <v>#N/A</v>
      </c>
    </row>
    <row r="426" spans="18:32" x14ac:dyDescent="0.25">
      <c r="R426" s="57" t="e">
        <f ca="1"/>
        <v>#N/A</v>
      </c>
      <c r="S426" s="57" t="e">
        <f t="shared" ca="1" si="85"/>
        <v>#N/A</v>
      </c>
      <c r="T426" s="57" t="e">
        <f t="shared" ca="1" si="86"/>
        <v>#N/A</v>
      </c>
      <c r="U426" s="57" t="e">
        <f t="shared" ca="1" si="87"/>
        <v>#N/A</v>
      </c>
      <c r="V426" s="57" t="e">
        <f t="shared" ca="1" si="88"/>
        <v>#N/A</v>
      </c>
      <c r="W426" s="57" t="e">
        <f t="shared" ca="1" si="97"/>
        <v>#N/A</v>
      </c>
      <c r="X426" t="e">
        <f t="shared" ca="1" si="89"/>
        <v>#N/A</v>
      </c>
      <c r="Y426" t="e">
        <f t="shared" ca="1" si="90"/>
        <v>#N/A</v>
      </c>
      <c r="Z426" t="e">
        <f t="shared" ca="1" si="91"/>
        <v>#N/A</v>
      </c>
      <c r="AA426" t="e">
        <f t="shared" ca="1" si="92"/>
        <v>#N/A</v>
      </c>
      <c r="AB426" s="85" t="e">
        <f ca="1"/>
        <v>#N/A</v>
      </c>
      <c r="AC426" s="57" t="e">
        <f t="shared" ca="1" si="93"/>
        <v>#N/A</v>
      </c>
      <c r="AD426" s="57" t="e">
        <f t="shared" ca="1" si="94"/>
        <v>#N/A</v>
      </c>
      <c r="AE426" s="57" t="e">
        <f t="shared" ca="1" si="95"/>
        <v>#N/A</v>
      </c>
      <c r="AF426" s="57" t="e">
        <f t="shared" ca="1" si="96"/>
        <v>#N/A</v>
      </c>
    </row>
    <row r="427" spans="18:32" x14ac:dyDescent="0.25">
      <c r="R427" s="57" t="e">
        <f ca="1"/>
        <v>#N/A</v>
      </c>
      <c r="S427" s="57" t="e">
        <f t="shared" ca="1" si="85"/>
        <v>#N/A</v>
      </c>
      <c r="T427" s="57" t="e">
        <f t="shared" ca="1" si="86"/>
        <v>#N/A</v>
      </c>
      <c r="U427" s="57" t="e">
        <f t="shared" ca="1" si="87"/>
        <v>#N/A</v>
      </c>
      <c r="V427" s="57" t="e">
        <f t="shared" ca="1" si="88"/>
        <v>#N/A</v>
      </c>
      <c r="W427" s="57" t="e">
        <f t="shared" ca="1" si="97"/>
        <v>#N/A</v>
      </c>
      <c r="X427" t="e">
        <f t="shared" ca="1" si="89"/>
        <v>#N/A</v>
      </c>
      <c r="Y427" t="e">
        <f t="shared" ca="1" si="90"/>
        <v>#N/A</v>
      </c>
      <c r="Z427" t="e">
        <f t="shared" ca="1" si="91"/>
        <v>#N/A</v>
      </c>
      <c r="AA427" t="e">
        <f t="shared" ca="1" si="92"/>
        <v>#N/A</v>
      </c>
      <c r="AB427" s="85" t="e">
        <f ca="1"/>
        <v>#N/A</v>
      </c>
      <c r="AC427" s="57" t="e">
        <f t="shared" ca="1" si="93"/>
        <v>#N/A</v>
      </c>
      <c r="AD427" s="57" t="e">
        <f t="shared" ca="1" si="94"/>
        <v>#N/A</v>
      </c>
      <c r="AE427" s="57" t="e">
        <f t="shared" ca="1" si="95"/>
        <v>#N/A</v>
      </c>
      <c r="AF427" s="57" t="e">
        <f t="shared" ca="1" si="96"/>
        <v>#N/A</v>
      </c>
    </row>
    <row r="428" spans="18:32" x14ac:dyDescent="0.25">
      <c r="R428" s="57" t="e">
        <f ca="1"/>
        <v>#N/A</v>
      </c>
      <c r="S428" s="57" t="e">
        <f t="shared" ca="1" si="85"/>
        <v>#N/A</v>
      </c>
      <c r="T428" s="57" t="e">
        <f t="shared" ca="1" si="86"/>
        <v>#N/A</v>
      </c>
      <c r="U428" s="57" t="e">
        <f t="shared" ca="1" si="87"/>
        <v>#N/A</v>
      </c>
      <c r="V428" s="57" t="e">
        <f t="shared" ca="1" si="88"/>
        <v>#N/A</v>
      </c>
      <c r="W428" s="57" t="e">
        <f t="shared" ca="1" si="97"/>
        <v>#N/A</v>
      </c>
      <c r="X428" t="e">
        <f t="shared" ca="1" si="89"/>
        <v>#N/A</v>
      </c>
      <c r="Y428" t="e">
        <f t="shared" ca="1" si="90"/>
        <v>#N/A</v>
      </c>
      <c r="Z428" t="e">
        <f t="shared" ca="1" si="91"/>
        <v>#N/A</v>
      </c>
      <c r="AA428" t="e">
        <f t="shared" ca="1" si="92"/>
        <v>#N/A</v>
      </c>
      <c r="AB428" s="85" t="e">
        <f ca="1"/>
        <v>#N/A</v>
      </c>
      <c r="AC428" s="57" t="e">
        <f t="shared" ca="1" si="93"/>
        <v>#N/A</v>
      </c>
      <c r="AD428" s="57" t="e">
        <f t="shared" ca="1" si="94"/>
        <v>#N/A</v>
      </c>
      <c r="AE428" s="57" t="e">
        <f t="shared" ca="1" si="95"/>
        <v>#N/A</v>
      </c>
      <c r="AF428" s="57" t="e">
        <f t="shared" ca="1" si="96"/>
        <v>#N/A</v>
      </c>
    </row>
    <row r="429" spans="18:32" x14ac:dyDescent="0.25">
      <c r="R429" s="57" t="e">
        <f ca="1"/>
        <v>#N/A</v>
      </c>
      <c r="S429" s="57" t="e">
        <f t="shared" ca="1" si="85"/>
        <v>#N/A</v>
      </c>
      <c r="T429" s="57" t="e">
        <f t="shared" ca="1" si="86"/>
        <v>#N/A</v>
      </c>
      <c r="U429" s="57" t="e">
        <f t="shared" ca="1" si="87"/>
        <v>#N/A</v>
      </c>
      <c r="V429" s="57" t="e">
        <f t="shared" ca="1" si="88"/>
        <v>#N/A</v>
      </c>
      <c r="W429" s="57" t="e">
        <f t="shared" ca="1" si="97"/>
        <v>#N/A</v>
      </c>
      <c r="X429" t="e">
        <f t="shared" ca="1" si="89"/>
        <v>#N/A</v>
      </c>
      <c r="Y429" t="e">
        <f t="shared" ca="1" si="90"/>
        <v>#N/A</v>
      </c>
      <c r="Z429" t="e">
        <f t="shared" ca="1" si="91"/>
        <v>#N/A</v>
      </c>
      <c r="AA429" t="e">
        <f t="shared" ca="1" si="92"/>
        <v>#N/A</v>
      </c>
      <c r="AB429" s="85" t="e">
        <f ca="1"/>
        <v>#N/A</v>
      </c>
      <c r="AC429" s="57" t="e">
        <f t="shared" ca="1" si="93"/>
        <v>#N/A</v>
      </c>
      <c r="AD429" s="57" t="e">
        <f t="shared" ca="1" si="94"/>
        <v>#N/A</v>
      </c>
      <c r="AE429" s="57" t="e">
        <f t="shared" ca="1" si="95"/>
        <v>#N/A</v>
      </c>
      <c r="AF429" s="57" t="e">
        <f t="shared" ca="1" si="96"/>
        <v>#N/A</v>
      </c>
    </row>
    <row r="430" spans="18:32" x14ac:dyDescent="0.25">
      <c r="R430" s="57" t="e">
        <f ca="1"/>
        <v>#N/A</v>
      </c>
      <c r="S430" s="57" t="e">
        <f t="shared" ca="1" si="85"/>
        <v>#N/A</v>
      </c>
      <c r="T430" s="57" t="e">
        <f t="shared" ca="1" si="86"/>
        <v>#N/A</v>
      </c>
      <c r="U430" s="57" t="e">
        <f t="shared" ca="1" si="87"/>
        <v>#N/A</v>
      </c>
      <c r="V430" s="57" t="e">
        <f t="shared" ca="1" si="88"/>
        <v>#N/A</v>
      </c>
      <c r="W430" s="57" t="e">
        <f t="shared" ca="1" si="97"/>
        <v>#N/A</v>
      </c>
      <c r="X430" t="e">
        <f t="shared" ca="1" si="89"/>
        <v>#N/A</v>
      </c>
      <c r="Y430" t="e">
        <f t="shared" ca="1" si="90"/>
        <v>#N/A</v>
      </c>
      <c r="Z430" t="e">
        <f t="shared" ca="1" si="91"/>
        <v>#N/A</v>
      </c>
      <c r="AA430" t="e">
        <f t="shared" ca="1" si="92"/>
        <v>#N/A</v>
      </c>
      <c r="AB430" s="85" t="e">
        <f ca="1"/>
        <v>#N/A</v>
      </c>
      <c r="AC430" s="57" t="e">
        <f t="shared" ca="1" si="93"/>
        <v>#N/A</v>
      </c>
      <c r="AD430" s="57" t="e">
        <f t="shared" ca="1" si="94"/>
        <v>#N/A</v>
      </c>
      <c r="AE430" s="57" t="e">
        <f t="shared" ca="1" si="95"/>
        <v>#N/A</v>
      </c>
      <c r="AF430" s="57" t="e">
        <f t="shared" ca="1" si="96"/>
        <v>#N/A</v>
      </c>
    </row>
    <row r="431" spans="18:32" x14ac:dyDescent="0.25">
      <c r="R431" s="57" t="e">
        <f ca="1"/>
        <v>#N/A</v>
      </c>
      <c r="S431" s="57" t="e">
        <f t="shared" ca="1" si="85"/>
        <v>#N/A</v>
      </c>
      <c r="T431" s="57" t="e">
        <f t="shared" ca="1" si="86"/>
        <v>#N/A</v>
      </c>
      <c r="U431" s="57" t="e">
        <f t="shared" ca="1" si="87"/>
        <v>#N/A</v>
      </c>
      <c r="V431" s="57" t="e">
        <f t="shared" ca="1" si="88"/>
        <v>#N/A</v>
      </c>
      <c r="W431" s="57" t="e">
        <f t="shared" ca="1" si="97"/>
        <v>#N/A</v>
      </c>
      <c r="X431" t="e">
        <f t="shared" ca="1" si="89"/>
        <v>#N/A</v>
      </c>
      <c r="Y431" t="e">
        <f t="shared" ca="1" si="90"/>
        <v>#N/A</v>
      </c>
      <c r="Z431" t="e">
        <f t="shared" ca="1" si="91"/>
        <v>#N/A</v>
      </c>
      <c r="AA431" t="e">
        <f t="shared" ca="1" si="92"/>
        <v>#N/A</v>
      </c>
      <c r="AB431" s="85" t="e">
        <f ca="1"/>
        <v>#N/A</v>
      </c>
      <c r="AC431" s="57" t="e">
        <f t="shared" ca="1" si="93"/>
        <v>#N/A</v>
      </c>
      <c r="AD431" s="57" t="e">
        <f t="shared" ca="1" si="94"/>
        <v>#N/A</v>
      </c>
      <c r="AE431" s="57" t="e">
        <f t="shared" ca="1" si="95"/>
        <v>#N/A</v>
      </c>
      <c r="AF431" s="57" t="e">
        <f t="shared" ca="1" si="96"/>
        <v>#N/A</v>
      </c>
    </row>
    <row r="432" spans="18:32" x14ac:dyDescent="0.25">
      <c r="R432" s="57" t="e">
        <f ca="1"/>
        <v>#N/A</v>
      </c>
      <c r="S432" s="57" t="e">
        <f t="shared" ca="1" si="85"/>
        <v>#N/A</v>
      </c>
      <c r="T432" s="57" t="e">
        <f t="shared" ca="1" si="86"/>
        <v>#N/A</v>
      </c>
      <c r="U432" s="57" t="e">
        <f t="shared" ca="1" si="87"/>
        <v>#N/A</v>
      </c>
      <c r="V432" s="57" t="e">
        <f t="shared" ca="1" si="88"/>
        <v>#N/A</v>
      </c>
      <c r="W432" s="57" t="e">
        <f t="shared" ca="1" si="97"/>
        <v>#N/A</v>
      </c>
      <c r="X432" t="e">
        <f t="shared" ca="1" si="89"/>
        <v>#N/A</v>
      </c>
      <c r="Y432" t="e">
        <f t="shared" ca="1" si="90"/>
        <v>#N/A</v>
      </c>
      <c r="Z432" t="e">
        <f t="shared" ca="1" si="91"/>
        <v>#N/A</v>
      </c>
      <c r="AA432" t="e">
        <f t="shared" ca="1" si="92"/>
        <v>#N/A</v>
      </c>
      <c r="AB432" s="85" t="e">
        <f ca="1"/>
        <v>#N/A</v>
      </c>
      <c r="AC432" s="57" t="e">
        <f t="shared" ca="1" si="93"/>
        <v>#N/A</v>
      </c>
      <c r="AD432" s="57" t="e">
        <f t="shared" ca="1" si="94"/>
        <v>#N/A</v>
      </c>
      <c r="AE432" s="57" t="e">
        <f t="shared" ca="1" si="95"/>
        <v>#N/A</v>
      </c>
      <c r="AF432" s="57" t="e">
        <f t="shared" ca="1" si="96"/>
        <v>#N/A</v>
      </c>
    </row>
    <row r="433" spans="18:32" x14ac:dyDescent="0.25">
      <c r="R433" s="57" t="e">
        <f ca="1"/>
        <v>#N/A</v>
      </c>
      <c r="S433" s="57" t="e">
        <f t="shared" ca="1" si="85"/>
        <v>#N/A</v>
      </c>
      <c r="T433" s="57" t="e">
        <f t="shared" ca="1" si="86"/>
        <v>#N/A</v>
      </c>
      <c r="U433" s="57" t="e">
        <f t="shared" ca="1" si="87"/>
        <v>#N/A</v>
      </c>
      <c r="V433" s="57" t="e">
        <f t="shared" ca="1" si="88"/>
        <v>#N/A</v>
      </c>
      <c r="W433" s="57" t="e">
        <f t="shared" ca="1" si="97"/>
        <v>#N/A</v>
      </c>
      <c r="X433" t="e">
        <f t="shared" ca="1" si="89"/>
        <v>#N/A</v>
      </c>
      <c r="Y433" t="e">
        <f t="shared" ca="1" si="90"/>
        <v>#N/A</v>
      </c>
      <c r="Z433" t="e">
        <f t="shared" ca="1" si="91"/>
        <v>#N/A</v>
      </c>
      <c r="AA433" t="e">
        <f t="shared" ca="1" si="92"/>
        <v>#N/A</v>
      </c>
      <c r="AB433" s="85" t="e">
        <f ca="1"/>
        <v>#N/A</v>
      </c>
      <c r="AC433" s="57" t="e">
        <f t="shared" ca="1" si="93"/>
        <v>#N/A</v>
      </c>
      <c r="AD433" s="57" t="e">
        <f t="shared" ca="1" si="94"/>
        <v>#N/A</v>
      </c>
      <c r="AE433" s="57" t="e">
        <f t="shared" ca="1" si="95"/>
        <v>#N/A</v>
      </c>
      <c r="AF433" s="57" t="e">
        <f t="shared" ca="1" si="96"/>
        <v>#N/A</v>
      </c>
    </row>
    <row r="434" spans="18:32" x14ac:dyDescent="0.25">
      <c r="R434" s="57" t="e">
        <f ca="1"/>
        <v>#N/A</v>
      </c>
      <c r="S434" s="57" t="e">
        <f t="shared" ca="1" si="85"/>
        <v>#N/A</v>
      </c>
      <c r="T434" s="57" t="e">
        <f t="shared" ca="1" si="86"/>
        <v>#N/A</v>
      </c>
      <c r="U434" s="57" t="e">
        <f t="shared" ca="1" si="87"/>
        <v>#N/A</v>
      </c>
      <c r="V434" s="57" t="e">
        <f t="shared" ca="1" si="88"/>
        <v>#N/A</v>
      </c>
      <c r="W434" s="57" t="e">
        <f t="shared" ca="1" si="97"/>
        <v>#N/A</v>
      </c>
      <c r="X434" t="e">
        <f t="shared" ca="1" si="89"/>
        <v>#N/A</v>
      </c>
      <c r="Y434" t="e">
        <f t="shared" ca="1" si="90"/>
        <v>#N/A</v>
      </c>
      <c r="Z434" t="e">
        <f t="shared" ca="1" si="91"/>
        <v>#N/A</v>
      </c>
      <c r="AA434" t="e">
        <f t="shared" ca="1" si="92"/>
        <v>#N/A</v>
      </c>
      <c r="AB434" s="85" t="e">
        <f ca="1"/>
        <v>#N/A</v>
      </c>
      <c r="AC434" s="57" t="e">
        <f t="shared" ca="1" si="93"/>
        <v>#N/A</v>
      </c>
      <c r="AD434" s="57" t="e">
        <f t="shared" ca="1" si="94"/>
        <v>#N/A</v>
      </c>
      <c r="AE434" s="57" t="e">
        <f t="shared" ca="1" si="95"/>
        <v>#N/A</v>
      </c>
      <c r="AF434" s="57" t="e">
        <f t="shared" ca="1" si="96"/>
        <v>#N/A</v>
      </c>
    </row>
    <row r="435" spans="18:32" x14ac:dyDescent="0.25">
      <c r="R435" s="57" t="e">
        <f ca="1"/>
        <v>#N/A</v>
      </c>
      <c r="S435" s="57" t="e">
        <f t="shared" ca="1" si="85"/>
        <v>#N/A</v>
      </c>
      <c r="T435" s="57" t="e">
        <f t="shared" ca="1" si="86"/>
        <v>#N/A</v>
      </c>
      <c r="U435" s="57" t="e">
        <f t="shared" ca="1" si="87"/>
        <v>#N/A</v>
      </c>
      <c r="V435" s="57" t="e">
        <f t="shared" ca="1" si="88"/>
        <v>#N/A</v>
      </c>
      <c r="W435" s="57" t="e">
        <f t="shared" ca="1" si="97"/>
        <v>#N/A</v>
      </c>
      <c r="X435" t="e">
        <f t="shared" ca="1" si="89"/>
        <v>#N/A</v>
      </c>
      <c r="Y435" t="e">
        <f t="shared" ca="1" si="90"/>
        <v>#N/A</v>
      </c>
      <c r="Z435" t="e">
        <f t="shared" ca="1" si="91"/>
        <v>#N/A</v>
      </c>
      <c r="AA435" t="e">
        <f t="shared" ca="1" si="92"/>
        <v>#N/A</v>
      </c>
      <c r="AB435" s="85" t="e">
        <f ca="1"/>
        <v>#N/A</v>
      </c>
      <c r="AC435" s="57" t="e">
        <f t="shared" ca="1" si="93"/>
        <v>#N/A</v>
      </c>
      <c r="AD435" s="57" t="e">
        <f t="shared" ca="1" si="94"/>
        <v>#N/A</v>
      </c>
      <c r="AE435" s="57" t="e">
        <f t="shared" ca="1" si="95"/>
        <v>#N/A</v>
      </c>
      <c r="AF435" s="57" t="e">
        <f t="shared" ca="1" si="96"/>
        <v>#N/A</v>
      </c>
    </row>
    <row r="436" spans="18:32" x14ac:dyDescent="0.25">
      <c r="R436" s="57" t="e">
        <f ca="1"/>
        <v>#N/A</v>
      </c>
      <c r="S436" s="57" t="e">
        <f t="shared" ca="1" si="85"/>
        <v>#N/A</v>
      </c>
      <c r="T436" s="57" t="e">
        <f t="shared" ca="1" si="86"/>
        <v>#N/A</v>
      </c>
      <c r="U436" s="57" t="e">
        <f t="shared" ca="1" si="87"/>
        <v>#N/A</v>
      </c>
      <c r="V436" s="57" t="e">
        <f t="shared" ca="1" si="88"/>
        <v>#N/A</v>
      </c>
      <c r="W436" s="57" t="e">
        <f t="shared" ca="1" si="97"/>
        <v>#N/A</v>
      </c>
      <c r="X436" t="e">
        <f t="shared" ca="1" si="89"/>
        <v>#N/A</v>
      </c>
      <c r="Y436" t="e">
        <f t="shared" ca="1" si="90"/>
        <v>#N/A</v>
      </c>
      <c r="Z436" t="e">
        <f t="shared" ca="1" si="91"/>
        <v>#N/A</v>
      </c>
      <c r="AA436" t="e">
        <f t="shared" ca="1" si="92"/>
        <v>#N/A</v>
      </c>
      <c r="AB436" s="85" t="e">
        <f ca="1"/>
        <v>#N/A</v>
      </c>
      <c r="AC436" s="57" t="e">
        <f t="shared" ca="1" si="93"/>
        <v>#N/A</v>
      </c>
      <c r="AD436" s="57" t="e">
        <f t="shared" ca="1" si="94"/>
        <v>#N/A</v>
      </c>
      <c r="AE436" s="57" t="e">
        <f t="shared" ca="1" si="95"/>
        <v>#N/A</v>
      </c>
      <c r="AF436" s="57" t="e">
        <f t="shared" ca="1" si="96"/>
        <v>#N/A</v>
      </c>
    </row>
    <row r="437" spans="18:32" x14ac:dyDescent="0.25">
      <c r="R437" s="57" t="e">
        <f ca="1"/>
        <v>#N/A</v>
      </c>
      <c r="S437" s="57" t="e">
        <f t="shared" ca="1" si="85"/>
        <v>#N/A</v>
      </c>
      <c r="T437" s="57" t="e">
        <f t="shared" ca="1" si="86"/>
        <v>#N/A</v>
      </c>
      <c r="U437" s="57" t="e">
        <f t="shared" ca="1" si="87"/>
        <v>#N/A</v>
      </c>
      <c r="V437" s="57" t="e">
        <f t="shared" ca="1" si="88"/>
        <v>#N/A</v>
      </c>
      <c r="W437" s="57" t="e">
        <f t="shared" ca="1" si="97"/>
        <v>#N/A</v>
      </c>
      <c r="X437" t="e">
        <f t="shared" ca="1" si="89"/>
        <v>#N/A</v>
      </c>
      <c r="Y437" t="e">
        <f t="shared" ca="1" si="90"/>
        <v>#N/A</v>
      </c>
      <c r="Z437" t="e">
        <f t="shared" ca="1" si="91"/>
        <v>#N/A</v>
      </c>
      <c r="AA437" t="e">
        <f t="shared" ca="1" si="92"/>
        <v>#N/A</v>
      </c>
      <c r="AB437" s="85" t="e">
        <f ca="1"/>
        <v>#N/A</v>
      </c>
      <c r="AC437" s="57" t="e">
        <f t="shared" ca="1" si="93"/>
        <v>#N/A</v>
      </c>
      <c r="AD437" s="57" t="e">
        <f t="shared" ca="1" si="94"/>
        <v>#N/A</v>
      </c>
      <c r="AE437" s="57" t="e">
        <f t="shared" ca="1" si="95"/>
        <v>#N/A</v>
      </c>
      <c r="AF437" s="57" t="e">
        <f t="shared" ca="1" si="96"/>
        <v>#N/A</v>
      </c>
    </row>
    <row r="438" spans="18:32" x14ac:dyDescent="0.25">
      <c r="R438" s="57" t="e">
        <f ca="1"/>
        <v>#N/A</v>
      </c>
      <c r="S438" s="57" t="e">
        <f t="shared" ca="1" si="85"/>
        <v>#N/A</v>
      </c>
      <c r="T438" s="57" t="e">
        <f t="shared" ca="1" si="86"/>
        <v>#N/A</v>
      </c>
      <c r="U438" s="57" t="e">
        <f t="shared" ca="1" si="87"/>
        <v>#N/A</v>
      </c>
      <c r="V438" s="57" t="e">
        <f t="shared" ca="1" si="88"/>
        <v>#N/A</v>
      </c>
      <c r="W438" s="57" t="e">
        <f t="shared" ca="1" si="97"/>
        <v>#N/A</v>
      </c>
      <c r="X438" t="e">
        <f t="shared" ca="1" si="89"/>
        <v>#N/A</v>
      </c>
      <c r="Y438" t="e">
        <f t="shared" ca="1" si="90"/>
        <v>#N/A</v>
      </c>
      <c r="Z438" t="e">
        <f t="shared" ca="1" si="91"/>
        <v>#N/A</v>
      </c>
      <c r="AA438" t="e">
        <f t="shared" ca="1" si="92"/>
        <v>#N/A</v>
      </c>
      <c r="AB438" s="85" t="e">
        <f ca="1"/>
        <v>#N/A</v>
      </c>
      <c r="AC438" s="57" t="e">
        <f t="shared" ca="1" si="93"/>
        <v>#N/A</v>
      </c>
      <c r="AD438" s="57" t="e">
        <f t="shared" ca="1" si="94"/>
        <v>#N/A</v>
      </c>
      <c r="AE438" s="57" t="e">
        <f t="shared" ca="1" si="95"/>
        <v>#N/A</v>
      </c>
      <c r="AF438" s="57" t="e">
        <f t="shared" ca="1" si="96"/>
        <v>#N/A</v>
      </c>
    </row>
    <row r="439" spans="18:32" x14ac:dyDescent="0.25">
      <c r="R439" s="57" t="e">
        <f ca="1"/>
        <v>#N/A</v>
      </c>
      <c r="S439" s="57" t="e">
        <f t="shared" ca="1" si="85"/>
        <v>#N/A</v>
      </c>
      <c r="T439" s="57" t="e">
        <f t="shared" ca="1" si="86"/>
        <v>#N/A</v>
      </c>
      <c r="U439" s="57" t="e">
        <f t="shared" ca="1" si="87"/>
        <v>#N/A</v>
      </c>
      <c r="V439" s="57" t="e">
        <f t="shared" ca="1" si="88"/>
        <v>#N/A</v>
      </c>
      <c r="W439" s="57" t="e">
        <f t="shared" ca="1" si="97"/>
        <v>#N/A</v>
      </c>
      <c r="X439" t="e">
        <f t="shared" ca="1" si="89"/>
        <v>#N/A</v>
      </c>
      <c r="Y439" t="e">
        <f t="shared" ca="1" si="90"/>
        <v>#N/A</v>
      </c>
      <c r="Z439" t="e">
        <f t="shared" ca="1" si="91"/>
        <v>#N/A</v>
      </c>
      <c r="AA439" t="e">
        <f t="shared" ca="1" si="92"/>
        <v>#N/A</v>
      </c>
      <c r="AB439" s="85" t="e">
        <f ca="1"/>
        <v>#N/A</v>
      </c>
      <c r="AC439" s="57" t="e">
        <f t="shared" ca="1" si="93"/>
        <v>#N/A</v>
      </c>
      <c r="AD439" s="57" t="e">
        <f t="shared" ca="1" si="94"/>
        <v>#N/A</v>
      </c>
      <c r="AE439" s="57" t="e">
        <f t="shared" ca="1" si="95"/>
        <v>#N/A</v>
      </c>
      <c r="AF439" s="57" t="e">
        <f t="shared" ca="1" si="96"/>
        <v>#N/A</v>
      </c>
    </row>
    <row r="440" spans="18:32" x14ac:dyDescent="0.25">
      <c r="R440" s="57" t="e">
        <f ca="1"/>
        <v>#N/A</v>
      </c>
      <c r="S440" s="57" t="e">
        <f t="shared" ca="1" si="85"/>
        <v>#N/A</v>
      </c>
      <c r="T440" s="57" t="e">
        <f t="shared" ca="1" si="86"/>
        <v>#N/A</v>
      </c>
      <c r="U440" s="57" t="e">
        <f t="shared" ca="1" si="87"/>
        <v>#N/A</v>
      </c>
      <c r="V440" s="57" t="e">
        <f t="shared" ca="1" si="88"/>
        <v>#N/A</v>
      </c>
      <c r="W440" s="57" t="e">
        <f t="shared" ca="1" si="97"/>
        <v>#N/A</v>
      </c>
      <c r="X440" t="e">
        <f t="shared" ca="1" si="89"/>
        <v>#N/A</v>
      </c>
      <c r="Y440" t="e">
        <f t="shared" ca="1" si="90"/>
        <v>#N/A</v>
      </c>
      <c r="Z440" t="e">
        <f t="shared" ca="1" si="91"/>
        <v>#N/A</v>
      </c>
      <c r="AA440" t="e">
        <f t="shared" ca="1" si="92"/>
        <v>#N/A</v>
      </c>
      <c r="AB440" s="85" t="e">
        <f ca="1"/>
        <v>#N/A</v>
      </c>
      <c r="AC440" s="57" t="e">
        <f t="shared" ca="1" si="93"/>
        <v>#N/A</v>
      </c>
      <c r="AD440" s="57" t="e">
        <f t="shared" ca="1" si="94"/>
        <v>#N/A</v>
      </c>
      <c r="AE440" s="57" t="e">
        <f t="shared" ca="1" si="95"/>
        <v>#N/A</v>
      </c>
      <c r="AF440" s="57" t="e">
        <f t="shared" ca="1" si="96"/>
        <v>#N/A</v>
      </c>
    </row>
    <row r="441" spans="18:32" x14ac:dyDescent="0.25">
      <c r="R441" s="57" t="e">
        <f ca="1"/>
        <v>#N/A</v>
      </c>
      <c r="S441" s="57" t="e">
        <f t="shared" ca="1" si="85"/>
        <v>#N/A</v>
      </c>
      <c r="T441" s="57" t="e">
        <f t="shared" ca="1" si="86"/>
        <v>#N/A</v>
      </c>
      <c r="U441" s="57" t="e">
        <f t="shared" ca="1" si="87"/>
        <v>#N/A</v>
      </c>
      <c r="V441" s="57" t="e">
        <f t="shared" ca="1" si="88"/>
        <v>#N/A</v>
      </c>
      <c r="W441" s="57" t="e">
        <f t="shared" ca="1" si="97"/>
        <v>#N/A</v>
      </c>
      <c r="X441" t="e">
        <f t="shared" ca="1" si="89"/>
        <v>#N/A</v>
      </c>
      <c r="Y441" t="e">
        <f t="shared" ca="1" si="90"/>
        <v>#N/A</v>
      </c>
      <c r="Z441" t="e">
        <f t="shared" ca="1" si="91"/>
        <v>#N/A</v>
      </c>
      <c r="AA441" t="e">
        <f t="shared" ca="1" si="92"/>
        <v>#N/A</v>
      </c>
      <c r="AB441" s="85" t="e">
        <f ca="1"/>
        <v>#N/A</v>
      </c>
      <c r="AC441" s="57" t="e">
        <f t="shared" ca="1" si="93"/>
        <v>#N/A</v>
      </c>
      <c r="AD441" s="57" t="e">
        <f t="shared" ca="1" si="94"/>
        <v>#N/A</v>
      </c>
      <c r="AE441" s="57" t="e">
        <f t="shared" ca="1" si="95"/>
        <v>#N/A</v>
      </c>
      <c r="AF441" s="57" t="e">
        <f t="shared" ca="1" si="96"/>
        <v>#N/A</v>
      </c>
    </row>
    <row r="442" spans="18:32" x14ac:dyDescent="0.25">
      <c r="R442" s="57" t="e">
        <f ca="1"/>
        <v>#N/A</v>
      </c>
      <c r="S442" s="57" t="e">
        <f t="shared" ca="1" si="85"/>
        <v>#N/A</v>
      </c>
      <c r="T442" s="57" t="e">
        <f t="shared" ca="1" si="86"/>
        <v>#N/A</v>
      </c>
      <c r="U442" s="57" t="e">
        <f t="shared" ca="1" si="87"/>
        <v>#N/A</v>
      </c>
      <c r="V442" s="57" t="e">
        <f t="shared" ca="1" si="88"/>
        <v>#N/A</v>
      </c>
      <c r="W442" s="57" t="e">
        <f t="shared" ca="1" si="97"/>
        <v>#N/A</v>
      </c>
      <c r="X442" t="e">
        <f t="shared" ca="1" si="89"/>
        <v>#N/A</v>
      </c>
      <c r="Y442" t="e">
        <f t="shared" ca="1" si="90"/>
        <v>#N/A</v>
      </c>
      <c r="Z442" t="e">
        <f t="shared" ca="1" si="91"/>
        <v>#N/A</v>
      </c>
      <c r="AA442" t="e">
        <f t="shared" ca="1" si="92"/>
        <v>#N/A</v>
      </c>
      <c r="AB442" s="85" t="e">
        <f ca="1"/>
        <v>#N/A</v>
      </c>
      <c r="AC442" s="57" t="e">
        <f t="shared" ca="1" si="93"/>
        <v>#N/A</v>
      </c>
      <c r="AD442" s="57" t="e">
        <f t="shared" ca="1" si="94"/>
        <v>#N/A</v>
      </c>
      <c r="AE442" s="57" t="e">
        <f t="shared" ca="1" si="95"/>
        <v>#N/A</v>
      </c>
      <c r="AF442" s="57" t="e">
        <f t="shared" ca="1" si="96"/>
        <v>#N/A</v>
      </c>
    </row>
    <row r="443" spans="18:32" x14ac:dyDescent="0.25">
      <c r="R443" s="57" t="e">
        <f ca="1"/>
        <v>#N/A</v>
      </c>
      <c r="S443" s="57" t="e">
        <f t="shared" ca="1" si="85"/>
        <v>#N/A</v>
      </c>
      <c r="T443" s="57" t="e">
        <f t="shared" ca="1" si="86"/>
        <v>#N/A</v>
      </c>
      <c r="U443" s="57" t="e">
        <f t="shared" ca="1" si="87"/>
        <v>#N/A</v>
      </c>
      <c r="V443" s="57" t="e">
        <f t="shared" ca="1" si="88"/>
        <v>#N/A</v>
      </c>
      <c r="W443" s="57" t="e">
        <f t="shared" ca="1" si="97"/>
        <v>#N/A</v>
      </c>
      <c r="X443" t="e">
        <f t="shared" ca="1" si="89"/>
        <v>#N/A</v>
      </c>
      <c r="Y443" t="e">
        <f t="shared" ca="1" si="90"/>
        <v>#N/A</v>
      </c>
      <c r="Z443" t="e">
        <f t="shared" ca="1" si="91"/>
        <v>#N/A</v>
      </c>
      <c r="AA443" t="e">
        <f t="shared" ca="1" si="92"/>
        <v>#N/A</v>
      </c>
      <c r="AB443" s="85" t="e">
        <f ca="1"/>
        <v>#N/A</v>
      </c>
      <c r="AC443" s="57" t="e">
        <f t="shared" ca="1" si="93"/>
        <v>#N/A</v>
      </c>
      <c r="AD443" s="57" t="e">
        <f t="shared" ca="1" si="94"/>
        <v>#N/A</v>
      </c>
      <c r="AE443" s="57" t="e">
        <f t="shared" ca="1" si="95"/>
        <v>#N/A</v>
      </c>
      <c r="AF443" s="57" t="e">
        <f t="shared" ca="1" si="96"/>
        <v>#N/A</v>
      </c>
    </row>
    <row r="444" spans="18:32" x14ac:dyDescent="0.25">
      <c r="R444" s="57" t="e">
        <f ca="1"/>
        <v>#N/A</v>
      </c>
      <c r="S444" s="57" t="e">
        <f t="shared" ca="1" si="85"/>
        <v>#N/A</v>
      </c>
      <c r="T444" s="57" t="e">
        <f t="shared" ca="1" si="86"/>
        <v>#N/A</v>
      </c>
      <c r="U444" s="57" t="e">
        <f t="shared" ca="1" si="87"/>
        <v>#N/A</v>
      </c>
      <c r="V444" s="57" t="e">
        <f t="shared" ca="1" si="88"/>
        <v>#N/A</v>
      </c>
      <c r="W444" s="57" t="e">
        <f t="shared" ca="1" si="97"/>
        <v>#N/A</v>
      </c>
      <c r="X444" t="e">
        <f t="shared" ca="1" si="89"/>
        <v>#N/A</v>
      </c>
      <c r="Y444" t="e">
        <f t="shared" ca="1" si="90"/>
        <v>#N/A</v>
      </c>
      <c r="Z444" t="e">
        <f t="shared" ca="1" si="91"/>
        <v>#N/A</v>
      </c>
      <c r="AA444" t="e">
        <f t="shared" ca="1" si="92"/>
        <v>#N/A</v>
      </c>
      <c r="AB444" s="85" t="e">
        <f ca="1"/>
        <v>#N/A</v>
      </c>
      <c r="AC444" s="57" t="e">
        <f t="shared" ca="1" si="93"/>
        <v>#N/A</v>
      </c>
      <c r="AD444" s="57" t="e">
        <f t="shared" ca="1" si="94"/>
        <v>#N/A</v>
      </c>
      <c r="AE444" s="57" t="e">
        <f t="shared" ca="1" si="95"/>
        <v>#N/A</v>
      </c>
      <c r="AF444" s="57" t="e">
        <f t="shared" ca="1" si="96"/>
        <v>#N/A</v>
      </c>
    </row>
    <row r="445" spans="18:32" x14ac:dyDescent="0.25">
      <c r="R445" s="57" t="e">
        <f ca="1"/>
        <v>#N/A</v>
      </c>
      <c r="S445" s="57" t="e">
        <f t="shared" ca="1" si="85"/>
        <v>#N/A</v>
      </c>
      <c r="T445" s="57" t="e">
        <f t="shared" ca="1" si="86"/>
        <v>#N/A</v>
      </c>
      <c r="U445" s="57" t="e">
        <f t="shared" ca="1" si="87"/>
        <v>#N/A</v>
      </c>
      <c r="V445" s="57" t="e">
        <f t="shared" ca="1" si="88"/>
        <v>#N/A</v>
      </c>
      <c r="W445" s="57" t="e">
        <f t="shared" ca="1" si="97"/>
        <v>#N/A</v>
      </c>
      <c r="X445" t="e">
        <f t="shared" ca="1" si="89"/>
        <v>#N/A</v>
      </c>
      <c r="Y445" t="e">
        <f t="shared" ca="1" si="90"/>
        <v>#N/A</v>
      </c>
      <c r="Z445" t="e">
        <f t="shared" ca="1" si="91"/>
        <v>#N/A</v>
      </c>
      <c r="AA445" t="e">
        <f t="shared" ca="1" si="92"/>
        <v>#N/A</v>
      </c>
      <c r="AB445" s="85" t="e">
        <f ca="1"/>
        <v>#N/A</v>
      </c>
      <c r="AC445" s="57" t="e">
        <f t="shared" ca="1" si="93"/>
        <v>#N/A</v>
      </c>
      <c r="AD445" s="57" t="e">
        <f t="shared" ca="1" si="94"/>
        <v>#N/A</v>
      </c>
      <c r="AE445" s="57" t="e">
        <f t="shared" ca="1" si="95"/>
        <v>#N/A</v>
      </c>
      <c r="AF445" s="57" t="e">
        <f t="shared" ca="1" si="96"/>
        <v>#N/A</v>
      </c>
    </row>
    <row r="446" spans="18:32" x14ac:dyDescent="0.25">
      <c r="R446" s="57" t="e">
        <f ca="1"/>
        <v>#N/A</v>
      </c>
      <c r="S446" s="57" t="e">
        <f t="shared" ca="1" si="85"/>
        <v>#N/A</v>
      </c>
      <c r="T446" s="57" t="e">
        <f t="shared" ca="1" si="86"/>
        <v>#N/A</v>
      </c>
      <c r="U446" s="57" t="e">
        <f t="shared" ca="1" si="87"/>
        <v>#N/A</v>
      </c>
      <c r="V446" s="57" t="e">
        <f t="shared" ca="1" si="88"/>
        <v>#N/A</v>
      </c>
      <c r="W446" s="57" t="e">
        <f t="shared" ca="1" si="97"/>
        <v>#N/A</v>
      </c>
      <c r="X446" t="e">
        <f t="shared" ca="1" si="89"/>
        <v>#N/A</v>
      </c>
      <c r="Y446" t="e">
        <f t="shared" ca="1" si="90"/>
        <v>#N/A</v>
      </c>
      <c r="Z446" t="e">
        <f t="shared" ca="1" si="91"/>
        <v>#N/A</v>
      </c>
      <c r="AA446" t="e">
        <f t="shared" ca="1" si="92"/>
        <v>#N/A</v>
      </c>
      <c r="AB446" s="85" t="e">
        <f ca="1"/>
        <v>#N/A</v>
      </c>
      <c r="AC446" s="57" t="e">
        <f t="shared" ca="1" si="93"/>
        <v>#N/A</v>
      </c>
      <c r="AD446" s="57" t="e">
        <f t="shared" ca="1" si="94"/>
        <v>#N/A</v>
      </c>
      <c r="AE446" s="57" t="e">
        <f t="shared" ca="1" si="95"/>
        <v>#N/A</v>
      </c>
      <c r="AF446" s="57" t="e">
        <f t="shared" ca="1" si="96"/>
        <v>#N/A</v>
      </c>
    </row>
    <row r="447" spans="18:32" x14ac:dyDescent="0.25">
      <c r="R447" s="57" t="e">
        <f ca="1"/>
        <v>#N/A</v>
      </c>
      <c r="S447" s="57" t="e">
        <f t="shared" ca="1" si="85"/>
        <v>#N/A</v>
      </c>
      <c r="T447" s="57" t="e">
        <f t="shared" ca="1" si="86"/>
        <v>#N/A</v>
      </c>
      <c r="U447" s="57" t="e">
        <f t="shared" ca="1" si="87"/>
        <v>#N/A</v>
      </c>
      <c r="V447" s="57" t="e">
        <f t="shared" ca="1" si="88"/>
        <v>#N/A</v>
      </c>
      <c r="W447" s="57" t="e">
        <f t="shared" ca="1" si="97"/>
        <v>#N/A</v>
      </c>
      <c r="X447" t="e">
        <f t="shared" ca="1" si="89"/>
        <v>#N/A</v>
      </c>
      <c r="Y447" t="e">
        <f t="shared" ca="1" si="90"/>
        <v>#N/A</v>
      </c>
      <c r="Z447" t="e">
        <f t="shared" ca="1" si="91"/>
        <v>#N/A</v>
      </c>
      <c r="AA447" t="e">
        <f t="shared" ca="1" si="92"/>
        <v>#N/A</v>
      </c>
      <c r="AB447" s="85" t="e">
        <f ca="1"/>
        <v>#N/A</v>
      </c>
      <c r="AC447" s="57" t="e">
        <f t="shared" ca="1" si="93"/>
        <v>#N/A</v>
      </c>
      <c r="AD447" s="57" t="e">
        <f t="shared" ca="1" si="94"/>
        <v>#N/A</v>
      </c>
      <c r="AE447" s="57" t="e">
        <f t="shared" ca="1" si="95"/>
        <v>#N/A</v>
      </c>
      <c r="AF447" s="57" t="e">
        <f t="shared" ca="1" si="96"/>
        <v>#N/A</v>
      </c>
    </row>
    <row r="448" spans="18:32" x14ac:dyDescent="0.25">
      <c r="R448" s="57" t="e">
        <f ca="1"/>
        <v>#N/A</v>
      </c>
      <c r="S448" s="57" t="e">
        <f t="shared" ca="1" si="85"/>
        <v>#N/A</v>
      </c>
      <c r="T448" s="57" t="e">
        <f t="shared" ca="1" si="86"/>
        <v>#N/A</v>
      </c>
      <c r="U448" s="57" t="e">
        <f t="shared" ca="1" si="87"/>
        <v>#N/A</v>
      </c>
      <c r="V448" s="57" t="e">
        <f t="shared" ca="1" si="88"/>
        <v>#N/A</v>
      </c>
      <c r="W448" s="57" t="e">
        <f t="shared" ca="1" si="97"/>
        <v>#N/A</v>
      </c>
      <c r="X448" t="e">
        <f t="shared" ca="1" si="89"/>
        <v>#N/A</v>
      </c>
      <c r="Y448" t="e">
        <f t="shared" ca="1" si="90"/>
        <v>#N/A</v>
      </c>
      <c r="Z448" t="e">
        <f t="shared" ca="1" si="91"/>
        <v>#N/A</v>
      </c>
      <c r="AA448" t="e">
        <f t="shared" ca="1" si="92"/>
        <v>#N/A</v>
      </c>
      <c r="AB448" s="85" t="e">
        <f ca="1"/>
        <v>#N/A</v>
      </c>
      <c r="AC448" s="57" t="e">
        <f t="shared" ca="1" si="93"/>
        <v>#N/A</v>
      </c>
      <c r="AD448" s="57" t="e">
        <f t="shared" ca="1" si="94"/>
        <v>#N/A</v>
      </c>
      <c r="AE448" s="57" t="e">
        <f t="shared" ca="1" si="95"/>
        <v>#N/A</v>
      </c>
      <c r="AF448" s="57" t="e">
        <f t="shared" ca="1" si="96"/>
        <v>#N/A</v>
      </c>
    </row>
    <row r="449" spans="18:32" x14ac:dyDescent="0.25">
      <c r="R449" s="57" t="e">
        <f ca="1"/>
        <v>#N/A</v>
      </c>
      <c r="S449" s="57" t="e">
        <f t="shared" ca="1" si="85"/>
        <v>#N/A</v>
      </c>
      <c r="T449" s="57" t="e">
        <f t="shared" ca="1" si="86"/>
        <v>#N/A</v>
      </c>
      <c r="U449" s="57" t="e">
        <f t="shared" ca="1" si="87"/>
        <v>#N/A</v>
      </c>
      <c r="V449" s="57" t="e">
        <f t="shared" ca="1" si="88"/>
        <v>#N/A</v>
      </c>
      <c r="W449" s="57" t="e">
        <f t="shared" ca="1" si="97"/>
        <v>#N/A</v>
      </c>
      <c r="X449" t="e">
        <f t="shared" ca="1" si="89"/>
        <v>#N/A</v>
      </c>
      <c r="Y449" t="e">
        <f t="shared" ca="1" si="90"/>
        <v>#N/A</v>
      </c>
      <c r="Z449" t="e">
        <f t="shared" ca="1" si="91"/>
        <v>#N/A</v>
      </c>
      <c r="AA449" t="e">
        <f t="shared" ca="1" si="92"/>
        <v>#N/A</v>
      </c>
      <c r="AB449" s="85" t="e">
        <f ca="1"/>
        <v>#N/A</v>
      </c>
      <c r="AC449" s="57" t="e">
        <f t="shared" ca="1" si="93"/>
        <v>#N/A</v>
      </c>
      <c r="AD449" s="57" t="e">
        <f t="shared" ca="1" si="94"/>
        <v>#N/A</v>
      </c>
      <c r="AE449" s="57" t="e">
        <f t="shared" ca="1" si="95"/>
        <v>#N/A</v>
      </c>
      <c r="AF449" s="57" t="e">
        <f t="shared" ca="1" si="96"/>
        <v>#N/A</v>
      </c>
    </row>
    <row r="450" spans="18:32" x14ac:dyDescent="0.25">
      <c r="R450" s="57" t="e">
        <f ca="1"/>
        <v>#N/A</v>
      </c>
      <c r="S450" s="57" t="e">
        <f t="shared" ca="1" si="85"/>
        <v>#N/A</v>
      </c>
      <c r="T450" s="57" t="e">
        <f t="shared" ca="1" si="86"/>
        <v>#N/A</v>
      </c>
      <c r="U450" s="57" t="e">
        <f t="shared" ca="1" si="87"/>
        <v>#N/A</v>
      </c>
      <c r="V450" s="57" t="e">
        <f t="shared" ca="1" si="88"/>
        <v>#N/A</v>
      </c>
      <c r="W450" s="57" t="e">
        <f t="shared" ca="1" si="97"/>
        <v>#N/A</v>
      </c>
      <c r="X450" t="e">
        <f t="shared" ca="1" si="89"/>
        <v>#N/A</v>
      </c>
      <c r="Y450" t="e">
        <f t="shared" ca="1" si="90"/>
        <v>#N/A</v>
      </c>
      <c r="Z450" t="e">
        <f t="shared" ca="1" si="91"/>
        <v>#N/A</v>
      </c>
      <c r="AA450" t="e">
        <f t="shared" ca="1" si="92"/>
        <v>#N/A</v>
      </c>
      <c r="AB450" s="85" t="e">
        <f ca="1"/>
        <v>#N/A</v>
      </c>
      <c r="AC450" s="57" t="e">
        <f t="shared" ca="1" si="93"/>
        <v>#N/A</v>
      </c>
      <c r="AD450" s="57" t="e">
        <f t="shared" ca="1" si="94"/>
        <v>#N/A</v>
      </c>
      <c r="AE450" s="57" t="e">
        <f t="shared" ca="1" si="95"/>
        <v>#N/A</v>
      </c>
      <c r="AF450" s="57" t="e">
        <f t="shared" ca="1" si="96"/>
        <v>#N/A</v>
      </c>
    </row>
    <row r="451" spans="18:32" x14ac:dyDescent="0.25">
      <c r="R451" s="57" t="e">
        <f ca="1"/>
        <v>#N/A</v>
      </c>
      <c r="S451" s="57" t="e">
        <f t="shared" ca="1" si="85"/>
        <v>#N/A</v>
      </c>
      <c r="T451" s="57" t="e">
        <f t="shared" ca="1" si="86"/>
        <v>#N/A</v>
      </c>
      <c r="U451" s="57" t="e">
        <f t="shared" ca="1" si="87"/>
        <v>#N/A</v>
      </c>
      <c r="V451" s="57" t="e">
        <f t="shared" ca="1" si="88"/>
        <v>#N/A</v>
      </c>
      <c r="W451" s="57" t="e">
        <f t="shared" ca="1" si="97"/>
        <v>#N/A</v>
      </c>
      <c r="X451" t="e">
        <f t="shared" ca="1" si="89"/>
        <v>#N/A</v>
      </c>
      <c r="Y451" t="e">
        <f t="shared" ca="1" si="90"/>
        <v>#N/A</v>
      </c>
      <c r="Z451" t="e">
        <f t="shared" ca="1" si="91"/>
        <v>#N/A</v>
      </c>
      <c r="AA451" t="e">
        <f t="shared" ca="1" si="92"/>
        <v>#N/A</v>
      </c>
      <c r="AB451" s="85" t="e">
        <f ca="1"/>
        <v>#N/A</v>
      </c>
      <c r="AC451" s="57" t="e">
        <f t="shared" ca="1" si="93"/>
        <v>#N/A</v>
      </c>
      <c r="AD451" s="57" t="e">
        <f t="shared" ca="1" si="94"/>
        <v>#N/A</v>
      </c>
      <c r="AE451" s="57" t="e">
        <f t="shared" ca="1" si="95"/>
        <v>#N/A</v>
      </c>
      <c r="AF451" s="57" t="e">
        <f t="shared" ca="1" si="96"/>
        <v>#N/A</v>
      </c>
    </row>
    <row r="452" spans="18:32" x14ac:dyDescent="0.25">
      <c r="R452" s="57" t="e">
        <f ca="1"/>
        <v>#N/A</v>
      </c>
      <c r="S452" s="57" t="e">
        <f t="shared" ca="1" si="85"/>
        <v>#N/A</v>
      </c>
      <c r="T452" s="57" t="e">
        <f t="shared" ca="1" si="86"/>
        <v>#N/A</v>
      </c>
      <c r="U452" s="57" t="e">
        <f t="shared" ca="1" si="87"/>
        <v>#N/A</v>
      </c>
      <c r="V452" s="57" t="e">
        <f t="shared" ca="1" si="88"/>
        <v>#N/A</v>
      </c>
      <c r="W452" s="57" t="e">
        <f t="shared" ca="1" si="97"/>
        <v>#N/A</v>
      </c>
      <c r="X452" t="e">
        <f t="shared" ca="1" si="89"/>
        <v>#N/A</v>
      </c>
      <c r="Y452" t="e">
        <f t="shared" ca="1" si="90"/>
        <v>#N/A</v>
      </c>
      <c r="Z452" t="e">
        <f t="shared" ca="1" si="91"/>
        <v>#N/A</v>
      </c>
      <c r="AA452" t="e">
        <f t="shared" ca="1" si="92"/>
        <v>#N/A</v>
      </c>
      <c r="AB452" s="85" t="e">
        <f ca="1"/>
        <v>#N/A</v>
      </c>
      <c r="AC452" s="57" t="e">
        <f t="shared" ca="1" si="93"/>
        <v>#N/A</v>
      </c>
      <c r="AD452" s="57" t="e">
        <f t="shared" ca="1" si="94"/>
        <v>#N/A</v>
      </c>
      <c r="AE452" s="57" t="e">
        <f t="shared" ca="1" si="95"/>
        <v>#N/A</v>
      </c>
      <c r="AF452" s="57" t="e">
        <f t="shared" ca="1" si="96"/>
        <v>#N/A</v>
      </c>
    </row>
    <row r="453" spans="18:32" x14ac:dyDescent="0.25">
      <c r="R453" s="57" t="e">
        <f ca="1"/>
        <v>#N/A</v>
      </c>
      <c r="S453" s="57" t="e">
        <f t="shared" ca="1" si="85"/>
        <v>#N/A</v>
      </c>
      <c r="T453" s="57" t="e">
        <f t="shared" ca="1" si="86"/>
        <v>#N/A</v>
      </c>
      <c r="U453" s="57" t="e">
        <f t="shared" ca="1" si="87"/>
        <v>#N/A</v>
      </c>
      <c r="V453" s="57" t="e">
        <f t="shared" ca="1" si="88"/>
        <v>#N/A</v>
      </c>
      <c r="W453" s="57" t="e">
        <f t="shared" ca="1" si="97"/>
        <v>#N/A</v>
      </c>
      <c r="X453" t="e">
        <f t="shared" ca="1" si="89"/>
        <v>#N/A</v>
      </c>
      <c r="Y453" t="e">
        <f t="shared" ca="1" si="90"/>
        <v>#N/A</v>
      </c>
      <c r="Z453" t="e">
        <f t="shared" ca="1" si="91"/>
        <v>#N/A</v>
      </c>
      <c r="AA453" t="e">
        <f t="shared" ca="1" si="92"/>
        <v>#N/A</v>
      </c>
      <c r="AB453" s="85" t="e">
        <f ca="1"/>
        <v>#N/A</v>
      </c>
      <c r="AC453" s="57" t="e">
        <f t="shared" ca="1" si="93"/>
        <v>#N/A</v>
      </c>
      <c r="AD453" s="57" t="e">
        <f t="shared" ca="1" si="94"/>
        <v>#N/A</v>
      </c>
      <c r="AE453" s="57" t="e">
        <f t="shared" ca="1" si="95"/>
        <v>#N/A</v>
      </c>
      <c r="AF453" s="57" t="e">
        <f t="shared" ca="1" si="96"/>
        <v>#N/A</v>
      </c>
    </row>
    <row r="454" spans="18:32" x14ac:dyDescent="0.25">
      <c r="R454" s="57" t="e">
        <f ca="1"/>
        <v>#N/A</v>
      </c>
      <c r="S454" s="57" t="e">
        <f t="shared" ca="1" si="85"/>
        <v>#N/A</v>
      </c>
      <c r="T454" s="57" t="e">
        <f t="shared" ca="1" si="86"/>
        <v>#N/A</v>
      </c>
      <c r="U454" s="57" t="e">
        <f t="shared" ca="1" si="87"/>
        <v>#N/A</v>
      </c>
      <c r="V454" s="57" t="e">
        <f t="shared" ca="1" si="88"/>
        <v>#N/A</v>
      </c>
      <c r="W454" s="57" t="e">
        <f t="shared" ca="1" si="97"/>
        <v>#N/A</v>
      </c>
      <c r="X454" t="e">
        <f t="shared" ca="1" si="89"/>
        <v>#N/A</v>
      </c>
      <c r="Y454" t="e">
        <f t="shared" ca="1" si="90"/>
        <v>#N/A</v>
      </c>
      <c r="Z454" t="e">
        <f t="shared" ca="1" si="91"/>
        <v>#N/A</v>
      </c>
      <c r="AA454" t="e">
        <f t="shared" ca="1" si="92"/>
        <v>#N/A</v>
      </c>
      <c r="AB454" s="85" t="e">
        <f ca="1"/>
        <v>#N/A</v>
      </c>
      <c r="AC454" s="57" t="e">
        <f t="shared" ca="1" si="93"/>
        <v>#N/A</v>
      </c>
      <c r="AD454" s="57" t="e">
        <f t="shared" ca="1" si="94"/>
        <v>#N/A</v>
      </c>
      <c r="AE454" s="57" t="e">
        <f t="shared" ca="1" si="95"/>
        <v>#N/A</v>
      </c>
      <c r="AF454" s="57" t="e">
        <f t="shared" ca="1" si="96"/>
        <v>#N/A</v>
      </c>
    </row>
    <row r="455" spans="18:32" x14ac:dyDescent="0.25">
      <c r="R455" s="57" t="e">
        <f ca="1"/>
        <v>#N/A</v>
      </c>
      <c r="S455" s="57" t="e">
        <f t="shared" ca="1" si="85"/>
        <v>#N/A</v>
      </c>
      <c r="T455" s="57" t="e">
        <f t="shared" ca="1" si="86"/>
        <v>#N/A</v>
      </c>
      <c r="U455" s="57" t="e">
        <f t="shared" ca="1" si="87"/>
        <v>#N/A</v>
      </c>
      <c r="V455" s="57" t="e">
        <f t="shared" ca="1" si="88"/>
        <v>#N/A</v>
      </c>
      <c r="W455" s="57" t="e">
        <f t="shared" ca="1" si="97"/>
        <v>#N/A</v>
      </c>
      <c r="X455" t="e">
        <f t="shared" ca="1" si="89"/>
        <v>#N/A</v>
      </c>
      <c r="Y455" t="e">
        <f t="shared" ca="1" si="90"/>
        <v>#N/A</v>
      </c>
      <c r="Z455" t="e">
        <f t="shared" ca="1" si="91"/>
        <v>#N/A</v>
      </c>
      <c r="AA455" t="e">
        <f t="shared" ca="1" si="92"/>
        <v>#N/A</v>
      </c>
      <c r="AB455" s="85" t="e">
        <f ca="1"/>
        <v>#N/A</v>
      </c>
      <c r="AC455" s="57" t="e">
        <f t="shared" ca="1" si="93"/>
        <v>#N/A</v>
      </c>
      <c r="AD455" s="57" t="e">
        <f t="shared" ca="1" si="94"/>
        <v>#N/A</v>
      </c>
      <c r="AE455" s="57" t="e">
        <f t="shared" ca="1" si="95"/>
        <v>#N/A</v>
      </c>
      <c r="AF455" s="57" t="e">
        <f t="shared" ca="1" si="96"/>
        <v>#N/A</v>
      </c>
    </row>
    <row r="456" spans="18:32" x14ac:dyDescent="0.25">
      <c r="R456" s="57" t="e">
        <f ca="1"/>
        <v>#N/A</v>
      </c>
      <c r="S456" s="57" t="e">
        <f t="shared" ca="1" si="85"/>
        <v>#N/A</v>
      </c>
      <c r="T456" s="57" t="e">
        <f t="shared" ca="1" si="86"/>
        <v>#N/A</v>
      </c>
      <c r="U456" s="57" t="e">
        <f t="shared" ca="1" si="87"/>
        <v>#N/A</v>
      </c>
      <c r="V456" s="57" t="e">
        <f t="shared" ca="1" si="88"/>
        <v>#N/A</v>
      </c>
      <c r="W456" s="57" t="e">
        <f t="shared" ca="1" si="97"/>
        <v>#N/A</v>
      </c>
      <c r="X456" t="e">
        <f t="shared" ca="1" si="89"/>
        <v>#N/A</v>
      </c>
      <c r="Y456" t="e">
        <f t="shared" ca="1" si="90"/>
        <v>#N/A</v>
      </c>
      <c r="Z456" t="e">
        <f t="shared" ca="1" si="91"/>
        <v>#N/A</v>
      </c>
      <c r="AA456" t="e">
        <f t="shared" ca="1" si="92"/>
        <v>#N/A</v>
      </c>
      <c r="AB456" s="85" t="e">
        <f ca="1"/>
        <v>#N/A</v>
      </c>
      <c r="AC456" s="57" t="e">
        <f t="shared" ca="1" si="93"/>
        <v>#N/A</v>
      </c>
      <c r="AD456" s="57" t="e">
        <f t="shared" ca="1" si="94"/>
        <v>#N/A</v>
      </c>
      <c r="AE456" s="57" t="e">
        <f t="shared" ca="1" si="95"/>
        <v>#N/A</v>
      </c>
      <c r="AF456" s="57" t="e">
        <f t="shared" ca="1" si="96"/>
        <v>#N/A</v>
      </c>
    </row>
    <row r="457" spans="18:32" x14ac:dyDescent="0.25">
      <c r="R457" s="57" t="e">
        <f ca="1"/>
        <v>#N/A</v>
      </c>
      <c r="S457" s="57" t="e">
        <f t="shared" ca="1" si="85"/>
        <v>#N/A</v>
      </c>
      <c r="T457" s="57" t="e">
        <f t="shared" ca="1" si="86"/>
        <v>#N/A</v>
      </c>
      <c r="U457" s="57" t="e">
        <f t="shared" ca="1" si="87"/>
        <v>#N/A</v>
      </c>
      <c r="V457" s="57" t="e">
        <f t="shared" ca="1" si="88"/>
        <v>#N/A</v>
      </c>
      <c r="W457" s="57" t="e">
        <f t="shared" ca="1" si="97"/>
        <v>#N/A</v>
      </c>
      <c r="X457" t="e">
        <f t="shared" ca="1" si="89"/>
        <v>#N/A</v>
      </c>
      <c r="Y457" t="e">
        <f t="shared" ca="1" si="90"/>
        <v>#N/A</v>
      </c>
      <c r="Z457" t="e">
        <f t="shared" ca="1" si="91"/>
        <v>#N/A</v>
      </c>
      <c r="AA457" t="e">
        <f t="shared" ca="1" si="92"/>
        <v>#N/A</v>
      </c>
      <c r="AB457" s="85" t="e">
        <f ca="1"/>
        <v>#N/A</v>
      </c>
      <c r="AC457" s="57" t="e">
        <f t="shared" ca="1" si="93"/>
        <v>#N/A</v>
      </c>
      <c r="AD457" s="57" t="e">
        <f t="shared" ca="1" si="94"/>
        <v>#N/A</v>
      </c>
      <c r="AE457" s="57" t="e">
        <f t="shared" ca="1" si="95"/>
        <v>#N/A</v>
      </c>
      <c r="AF457" s="57" t="e">
        <f t="shared" ca="1" si="96"/>
        <v>#N/A</v>
      </c>
    </row>
    <row r="458" spans="18:32" x14ac:dyDescent="0.25">
      <c r="R458" s="57" t="e">
        <f ca="1"/>
        <v>#N/A</v>
      </c>
      <c r="S458" s="57" t="e">
        <f t="shared" ca="1" si="85"/>
        <v>#N/A</v>
      </c>
      <c r="T458" s="57" t="e">
        <f t="shared" ca="1" si="86"/>
        <v>#N/A</v>
      </c>
      <c r="U458" s="57" t="e">
        <f t="shared" ca="1" si="87"/>
        <v>#N/A</v>
      </c>
      <c r="V458" s="57" t="e">
        <f t="shared" ca="1" si="88"/>
        <v>#N/A</v>
      </c>
      <c r="W458" s="57" t="e">
        <f t="shared" ca="1" si="97"/>
        <v>#N/A</v>
      </c>
      <c r="X458" t="e">
        <f t="shared" ca="1" si="89"/>
        <v>#N/A</v>
      </c>
      <c r="Y458" t="e">
        <f t="shared" ca="1" si="90"/>
        <v>#N/A</v>
      </c>
      <c r="Z458" t="e">
        <f t="shared" ca="1" si="91"/>
        <v>#N/A</v>
      </c>
      <c r="AA458" t="e">
        <f t="shared" ca="1" si="92"/>
        <v>#N/A</v>
      </c>
      <c r="AB458" s="85" t="e">
        <f ca="1"/>
        <v>#N/A</v>
      </c>
      <c r="AC458" s="57" t="e">
        <f t="shared" ca="1" si="93"/>
        <v>#N/A</v>
      </c>
      <c r="AD458" s="57" t="e">
        <f t="shared" ca="1" si="94"/>
        <v>#N/A</v>
      </c>
      <c r="AE458" s="57" t="e">
        <f t="shared" ca="1" si="95"/>
        <v>#N/A</v>
      </c>
      <c r="AF458" s="57" t="e">
        <f t="shared" ca="1" si="96"/>
        <v>#N/A</v>
      </c>
    </row>
    <row r="459" spans="18:32" x14ac:dyDescent="0.25">
      <c r="R459" s="57" t="e">
        <f ca="1"/>
        <v>#N/A</v>
      </c>
      <c r="S459" s="57" t="e">
        <f t="shared" ca="1" si="85"/>
        <v>#N/A</v>
      </c>
      <c r="T459" s="57" t="e">
        <f t="shared" ca="1" si="86"/>
        <v>#N/A</v>
      </c>
      <c r="U459" s="57" t="e">
        <f t="shared" ca="1" si="87"/>
        <v>#N/A</v>
      </c>
      <c r="V459" s="57" t="e">
        <f t="shared" ca="1" si="88"/>
        <v>#N/A</v>
      </c>
      <c r="W459" s="57" t="e">
        <f t="shared" ca="1" si="97"/>
        <v>#N/A</v>
      </c>
      <c r="X459" t="e">
        <f t="shared" ca="1" si="89"/>
        <v>#N/A</v>
      </c>
      <c r="Y459" t="e">
        <f t="shared" ca="1" si="90"/>
        <v>#N/A</v>
      </c>
      <c r="Z459" t="e">
        <f t="shared" ca="1" si="91"/>
        <v>#N/A</v>
      </c>
      <c r="AA459" t="e">
        <f t="shared" ca="1" si="92"/>
        <v>#N/A</v>
      </c>
      <c r="AB459" s="85" t="e">
        <f ca="1"/>
        <v>#N/A</v>
      </c>
      <c r="AC459" s="57" t="e">
        <f t="shared" ca="1" si="93"/>
        <v>#N/A</v>
      </c>
      <c r="AD459" s="57" t="e">
        <f t="shared" ca="1" si="94"/>
        <v>#N/A</v>
      </c>
      <c r="AE459" s="57" t="e">
        <f t="shared" ca="1" si="95"/>
        <v>#N/A</v>
      </c>
      <c r="AF459" s="57" t="e">
        <f t="shared" ca="1" si="96"/>
        <v>#N/A</v>
      </c>
    </row>
    <row r="460" spans="18:32" x14ac:dyDescent="0.25">
      <c r="R460" s="57" t="e">
        <f ca="1"/>
        <v>#N/A</v>
      </c>
      <c r="S460" s="57" t="e">
        <f t="shared" ref="S460:S523" ca="1" si="98">IF(R460&gt;1,R460,"")</f>
        <v>#N/A</v>
      </c>
      <c r="T460" s="57" t="e">
        <f t="shared" ref="T460:T523" ca="1" si="99">VLOOKUP(S460,ModelOutputs,2,FALSE)</f>
        <v>#N/A</v>
      </c>
      <c r="U460" s="57" t="e">
        <f t="shared" ref="U460:U523" ca="1" si="100">VLOOKUP(S460,ModelOutputs,7,FALSE)</f>
        <v>#N/A</v>
      </c>
      <c r="V460" s="57" t="e">
        <f t="shared" ref="V460:V523" ca="1" si="101">VLOOKUP(S460,ModelOutputs,6,FALSE)</f>
        <v>#N/A</v>
      </c>
      <c r="W460" s="57" t="e">
        <f t="shared" ca="1" si="97"/>
        <v>#N/A</v>
      </c>
      <c r="X460" t="e">
        <f t="shared" ref="X460:X523" ca="1" si="102">VLOOKUP(S460,ModelOutputs,10,FALSE)*AWC</f>
        <v>#N/A</v>
      </c>
      <c r="Y460" t="e">
        <f t="shared" ref="Y460:Y523" ca="1" si="103">VLOOKUP(S460,ModelOutputs,11,FALSE)+Y459</f>
        <v>#N/A</v>
      </c>
      <c r="Z460" t="e">
        <f t="shared" ref="Z460:Z523" ca="1" si="104">VLOOKUP(S460,ModelOutputs,12,FALSE)</f>
        <v>#N/A</v>
      </c>
      <c r="AA460" t="e">
        <f t="shared" ref="AA460:AA523" ca="1" si="105">VLOOKUP(S460,ModelOutputs,13,FALSE)</f>
        <v>#N/A</v>
      </c>
      <c r="AB460" s="85" t="e">
        <f ca="1"/>
        <v>#N/A</v>
      </c>
      <c r="AC460" s="57" t="e">
        <f t="shared" ref="AC460:AC523" ca="1" si="106">IF(AB460&gt;1,AB460,"")</f>
        <v>#N/A</v>
      </c>
      <c r="AD460" s="57" t="e">
        <f t="shared" ref="AD460:AD523" ca="1" si="107">VLOOKUP(AC460,ModelOutputs,2,FALSE)</f>
        <v>#N/A</v>
      </c>
      <c r="AE460" s="57" t="e">
        <f t="shared" ref="AE460:AE523" ca="1" si="108">VLOOKUP(AC460,ModelOutputs,7,FALSE)</f>
        <v>#N/A</v>
      </c>
      <c r="AF460" s="57" t="e">
        <f t="shared" ref="AF460:AF523" ca="1" si="109">VLOOKUP(AC460,ModelOutputs,6,FALSE)</f>
        <v>#N/A</v>
      </c>
    </row>
    <row r="461" spans="18:32" x14ac:dyDescent="0.25">
      <c r="R461" s="57" t="e">
        <f ca="1"/>
        <v>#N/A</v>
      </c>
      <c r="S461" s="57" t="e">
        <f t="shared" ca="1" si="98"/>
        <v>#N/A</v>
      </c>
      <c r="T461" s="57" t="e">
        <f t="shared" ca="1" si="99"/>
        <v>#N/A</v>
      </c>
      <c r="U461" s="57" t="e">
        <f t="shared" ca="1" si="100"/>
        <v>#N/A</v>
      </c>
      <c r="V461" s="57" t="e">
        <f t="shared" ca="1" si="101"/>
        <v>#N/A</v>
      </c>
      <c r="W461" s="57" t="e">
        <f t="shared" ca="1" si="97"/>
        <v>#N/A</v>
      </c>
      <c r="X461" t="e">
        <f t="shared" ca="1" si="102"/>
        <v>#N/A</v>
      </c>
      <c r="Y461" t="e">
        <f t="shared" ca="1" si="103"/>
        <v>#N/A</v>
      </c>
      <c r="Z461" t="e">
        <f t="shared" ca="1" si="104"/>
        <v>#N/A</v>
      </c>
      <c r="AA461" t="e">
        <f t="shared" ca="1" si="105"/>
        <v>#N/A</v>
      </c>
      <c r="AB461" s="85" t="e">
        <f ca="1"/>
        <v>#N/A</v>
      </c>
      <c r="AC461" s="57" t="e">
        <f t="shared" ca="1" si="106"/>
        <v>#N/A</v>
      </c>
      <c r="AD461" s="57" t="e">
        <f t="shared" ca="1" si="107"/>
        <v>#N/A</v>
      </c>
      <c r="AE461" s="57" t="e">
        <f t="shared" ca="1" si="108"/>
        <v>#N/A</v>
      </c>
      <c r="AF461" s="57" t="e">
        <f t="shared" ca="1" si="109"/>
        <v>#N/A</v>
      </c>
    </row>
    <row r="462" spans="18:32" x14ac:dyDescent="0.25">
      <c r="R462" s="57" t="e">
        <f ca="1"/>
        <v>#N/A</v>
      </c>
      <c r="S462" s="57" t="e">
        <f t="shared" ca="1" si="98"/>
        <v>#N/A</v>
      </c>
      <c r="T462" s="57" t="e">
        <f t="shared" ca="1" si="99"/>
        <v>#N/A</v>
      </c>
      <c r="U462" s="57" t="e">
        <f t="shared" ca="1" si="100"/>
        <v>#N/A</v>
      </c>
      <c r="V462" s="57" t="e">
        <f t="shared" ca="1" si="101"/>
        <v>#N/A</v>
      </c>
      <c r="W462" s="57" t="e">
        <f t="shared" ca="1" si="97"/>
        <v>#N/A</v>
      </c>
      <c r="X462" t="e">
        <f t="shared" ca="1" si="102"/>
        <v>#N/A</v>
      </c>
      <c r="Y462" t="e">
        <f t="shared" ca="1" si="103"/>
        <v>#N/A</v>
      </c>
      <c r="Z462" t="e">
        <f t="shared" ca="1" si="104"/>
        <v>#N/A</v>
      </c>
      <c r="AA462" t="e">
        <f t="shared" ca="1" si="105"/>
        <v>#N/A</v>
      </c>
      <c r="AB462" s="85" t="e">
        <f ca="1"/>
        <v>#N/A</v>
      </c>
      <c r="AC462" s="57" t="e">
        <f t="shared" ca="1" si="106"/>
        <v>#N/A</v>
      </c>
      <c r="AD462" s="57" t="e">
        <f t="shared" ca="1" si="107"/>
        <v>#N/A</v>
      </c>
      <c r="AE462" s="57" t="e">
        <f t="shared" ca="1" si="108"/>
        <v>#N/A</v>
      </c>
      <c r="AF462" s="57" t="e">
        <f t="shared" ca="1" si="109"/>
        <v>#N/A</v>
      </c>
    </row>
    <row r="463" spans="18:32" x14ac:dyDescent="0.25">
      <c r="R463" s="57" t="e">
        <f ca="1"/>
        <v>#N/A</v>
      </c>
      <c r="S463" s="57" t="e">
        <f t="shared" ca="1" si="98"/>
        <v>#N/A</v>
      </c>
      <c r="T463" s="57" t="e">
        <f t="shared" ca="1" si="99"/>
        <v>#N/A</v>
      </c>
      <c r="U463" s="57" t="e">
        <f t="shared" ca="1" si="100"/>
        <v>#N/A</v>
      </c>
      <c r="V463" s="57" t="e">
        <f t="shared" ca="1" si="101"/>
        <v>#N/A</v>
      </c>
      <c r="W463" s="57" t="e">
        <f t="shared" ca="1" si="97"/>
        <v>#N/A</v>
      </c>
      <c r="X463" t="e">
        <f t="shared" ca="1" si="102"/>
        <v>#N/A</v>
      </c>
      <c r="Y463" t="e">
        <f t="shared" ca="1" si="103"/>
        <v>#N/A</v>
      </c>
      <c r="Z463" t="e">
        <f t="shared" ca="1" si="104"/>
        <v>#N/A</v>
      </c>
      <c r="AA463" t="e">
        <f t="shared" ca="1" si="105"/>
        <v>#N/A</v>
      </c>
      <c r="AB463" s="85" t="e">
        <f ca="1"/>
        <v>#N/A</v>
      </c>
      <c r="AC463" s="57" t="e">
        <f t="shared" ca="1" si="106"/>
        <v>#N/A</v>
      </c>
      <c r="AD463" s="57" t="e">
        <f t="shared" ca="1" si="107"/>
        <v>#N/A</v>
      </c>
      <c r="AE463" s="57" t="e">
        <f t="shared" ca="1" si="108"/>
        <v>#N/A</v>
      </c>
      <c r="AF463" s="57" t="e">
        <f t="shared" ca="1" si="109"/>
        <v>#N/A</v>
      </c>
    </row>
    <row r="464" spans="18:32" x14ac:dyDescent="0.25">
      <c r="R464" s="57" t="e">
        <f ca="1"/>
        <v>#N/A</v>
      </c>
      <c r="S464" s="57" t="e">
        <f t="shared" ca="1" si="98"/>
        <v>#N/A</v>
      </c>
      <c r="T464" s="57" t="e">
        <f t="shared" ca="1" si="99"/>
        <v>#N/A</v>
      </c>
      <c r="U464" s="57" t="e">
        <f t="shared" ca="1" si="100"/>
        <v>#N/A</v>
      </c>
      <c r="V464" s="57" t="e">
        <f t="shared" ca="1" si="101"/>
        <v>#N/A</v>
      </c>
      <c r="W464" s="57" t="e">
        <f t="shared" ca="1" si="97"/>
        <v>#N/A</v>
      </c>
      <c r="X464" t="e">
        <f t="shared" ca="1" si="102"/>
        <v>#N/A</v>
      </c>
      <c r="Y464" t="e">
        <f t="shared" ca="1" si="103"/>
        <v>#N/A</v>
      </c>
      <c r="Z464" t="e">
        <f t="shared" ca="1" si="104"/>
        <v>#N/A</v>
      </c>
      <c r="AA464" t="e">
        <f t="shared" ca="1" si="105"/>
        <v>#N/A</v>
      </c>
      <c r="AB464" s="85" t="e">
        <f ca="1"/>
        <v>#N/A</v>
      </c>
      <c r="AC464" s="57" t="e">
        <f t="shared" ca="1" si="106"/>
        <v>#N/A</v>
      </c>
      <c r="AD464" s="57" t="e">
        <f t="shared" ca="1" si="107"/>
        <v>#N/A</v>
      </c>
      <c r="AE464" s="57" t="e">
        <f t="shared" ca="1" si="108"/>
        <v>#N/A</v>
      </c>
      <c r="AF464" s="57" t="e">
        <f t="shared" ca="1" si="109"/>
        <v>#N/A</v>
      </c>
    </row>
    <row r="465" spans="18:32" x14ac:dyDescent="0.25">
      <c r="R465" s="57" t="e">
        <f ca="1"/>
        <v>#N/A</v>
      </c>
      <c r="S465" s="57" t="e">
        <f t="shared" ca="1" si="98"/>
        <v>#N/A</v>
      </c>
      <c r="T465" s="57" t="e">
        <f t="shared" ca="1" si="99"/>
        <v>#N/A</v>
      </c>
      <c r="U465" s="57" t="e">
        <f t="shared" ca="1" si="100"/>
        <v>#N/A</v>
      </c>
      <c r="V465" s="57" t="e">
        <f t="shared" ca="1" si="101"/>
        <v>#N/A</v>
      </c>
      <c r="W465" s="57" t="e">
        <f t="shared" ca="1" si="97"/>
        <v>#N/A</v>
      </c>
      <c r="X465" t="e">
        <f t="shared" ca="1" si="102"/>
        <v>#N/A</v>
      </c>
      <c r="Y465" t="e">
        <f t="shared" ca="1" si="103"/>
        <v>#N/A</v>
      </c>
      <c r="Z465" t="e">
        <f t="shared" ca="1" si="104"/>
        <v>#N/A</v>
      </c>
      <c r="AA465" t="e">
        <f t="shared" ca="1" si="105"/>
        <v>#N/A</v>
      </c>
      <c r="AB465" s="85" t="e">
        <f ca="1"/>
        <v>#N/A</v>
      </c>
      <c r="AC465" s="57" t="e">
        <f t="shared" ca="1" si="106"/>
        <v>#N/A</v>
      </c>
      <c r="AD465" s="57" t="e">
        <f t="shared" ca="1" si="107"/>
        <v>#N/A</v>
      </c>
      <c r="AE465" s="57" t="e">
        <f t="shared" ca="1" si="108"/>
        <v>#N/A</v>
      </c>
      <c r="AF465" s="57" t="e">
        <f t="shared" ca="1" si="109"/>
        <v>#N/A</v>
      </c>
    </row>
    <row r="466" spans="18:32" x14ac:dyDescent="0.25">
      <c r="R466" s="57" t="e">
        <f ca="1"/>
        <v>#N/A</v>
      </c>
      <c r="S466" s="57" t="e">
        <f t="shared" ca="1" si="98"/>
        <v>#N/A</v>
      </c>
      <c r="T466" s="57" t="e">
        <f t="shared" ca="1" si="99"/>
        <v>#N/A</v>
      </c>
      <c r="U466" s="57" t="e">
        <f t="shared" ca="1" si="100"/>
        <v>#N/A</v>
      </c>
      <c r="V466" s="57" t="e">
        <f t="shared" ca="1" si="101"/>
        <v>#N/A</v>
      </c>
      <c r="W466" s="57" t="e">
        <f t="shared" ca="1" si="97"/>
        <v>#N/A</v>
      </c>
      <c r="X466" t="e">
        <f t="shared" ca="1" si="102"/>
        <v>#N/A</v>
      </c>
      <c r="Y466" t="e">
        <f t="shared" ca="1" si="103"/>
        <v>#N/A</v>
      </c>
      <c r="Z466" t="e">
        <f t="shared" ca="1" si="104"/>
        <v>#N/A</v>
      </c>
      <c r="AA466" t="e">
        <f t="shared" ca="1" si="105"/>
        <v>#N/A</v>
      </c>
      <c r="AB466" s="85" t="e">
        <f ca="1"/>
        <v>#N/A</v>
      </c>
      <c r="AC466" s="57" t="e">
        <f t="shared" ca="1" si="106"/>
        <v>#N/A</v>
      </c>
      <c r="AD466" s="57" t="e">
        <f t="shared" ca="1" si="107"/>
        <v>#N/A</v>
      </c>
      <c r="AE466" s="57" t="e">
        <f t="shared" ca="1" si="108"/>
        <v>#N/A</v>
      </c>
      <c r="AF466" s="57" t="e">
        <f t="shared" ca="1" si="109"/>
        <v>#N/A</v>
      </c>
    </row>
    <row r="467" spans="18:32" x14ac:dyDescent="0.25">
      <c r="R467" s="57" t="e">
        <f ca="1"/>
        <v>#N/A</v>
      </c>
      <c r="S467" s="57" t="e">
        <f t="shared" ca="1" si="98"/>
        <v>#N/A</v>
      </c>
      <c r="T467" s="57" t="e">
        <f t="shared" ca="1" si="99"/>
        <v>#N/A</v>
      </c>
      <c r="U467" s="57" t="e">
        <f t="shared" ca="1" si="100"/>
        <v>#N/A</v>
      </c>
      <c r="V467" s="57" t="e">
        <f t="shared" ca="1" si="101"/>
        <v>#N/A</v>
      </c>
      <c r="W467" s="57" t="e">
        <f t="shared" ref="W467:W530" ca="1" si="110">VLOOKUP(S467,ModelOutputs,9,FALSE)+W466</f>
        <v>#N/A</v>
      </c>
      <c r="X467" t="e">
        <f t="shared" ca="1" si="102"/>
        <v>#N/A</v>
      </c>
      <c r="Y467" t="e">
        <f t="shared" ca="1" si="103"/>
        <v>#N/A</v>
      </c>
      <c r="Z467" t="e">
        <f t="shared" ca="1" si="104"/>
        <v>#N/A</v>
      </c>
      <c r="AA467" t="e">
        <f t="shared" ca="1" si="105"/>
        <v>#N/A</v>
      </c>
      <c r="AB467" s="85" t="e">
        <f ca="1"/>
        <v>#N/A</v>
      </c>
      <c r="AC467" s="57" t="e">
        <f t="shared" ca="1" si="106"/>
        <v>#N/A</v>
      </c>
      <c r="AD467" s="57" t="e">
        <f t="shared" ca="1" si="107"/>
        <v>#N/A</v>
      </c>
      <c r="AE467" s="57" t="e">
        <f t="shared" ca="1" si="108"/>
        <v>#N/A</v>
      </c>
      <c r="AF467" s="57" t="e">
        <f t="shared" ca="1" si="109"/>
        <v>#N/A</v>
      </c>
    </row>
    <row r="468" spans="18:32" x14ac:dyDescent="0.25">
      <c r="R468" s="57" t="e">
        <f ca="1"/>
        <v>#N/A</v>
      </c>
      <c r="S468" s="57" t="e">
        <f t="shared" ca="1" si="98"/>
        <v>#N/A</v>
      </c>
      <c r="T468" s="57" t="e">
        <f t="shared" ca="1" si="99"/>
        <v>#N/A</v>
      </c>
      <c r="U468" s="57" t="e">
        <f t="shared" ca="1" si="100"/>
        <v>#N/A</v>
      </c>
      <c r="V468" s="57" t="e">
        <f t="shared" ca="1" si="101"/>
        <v>#N/A</v>
      </c>
      <c r="W468" s="57" t="e">
        <f t="shared" ca="1" si="110"/>
        <v>#N/A</v>
      </c>
      <c r="X468" t="e">
        <f t="shared" ca="1" si="102"/>
        <v>#N/A</v>
      </c>
      <c r="Y468" t="e">
        <f t="shared" ca="1" si="103"/>
        <v>#N/A</v>
      </c>
      <c r="Z468" t="e">
        <f t="shared" ca="1" si="104"/>
        <v>#N/A</v>
      </c>
      <c r="AA468" t="e">
        <f t="shared" ca="1" si="105"/>
        <v>#N/A</v>
      </c>
      <c r="AB468" s="85" t="e">
        <f ca="1"/>
        <v>#N/A</v>
      </c>
      <c r="AC468" s="57" t="e">
        <f t="shared" ca="1" si="106"/>
        <v>#N/A</v>
      </c>
      <c r="AD468" s="57" t="e">
        <f t="shared" ca="1" si="107"/>
        <v>#N/A</v>
      </c>
      <c r="AE468" s="57" t="e">
        <f t="shared" ca="1" si="108"/>
        <v>#N/A</v>
      </c>
      <c r="AF468" s="57" t="e">
        <f t="shared" ca="1" si="109"/>
        <v>#N/A</v>
      </c>
    </row>
    <row r="469" spans="18:32" x14ac:dyDescent="0.25">
      <c r="R469" s="57" t="e">
        <f ca="1"/>
        <v>#N/A</v>
      </c>
      <c r="S469" s="57" t="e">
        <f t="shared" ca="1" si="98"/>
        <v>#N/A</v>
      </c>
      <c r="T469" s="57" t="e">
        <f t="shared" ca="1" si="99"/>
        <v>#N/A</v>
      </c>
      <c r="U469" s="57" t="e">
        <f t="shared" ca="1" si="100"/>
        <v>#N/A</v>
      </c>
      <c r="V469" s="57" t="e">
        <f t="shared" ca="1" si="101"/>
        <v>#N/A</v>
      </c>
      <c r="W469" s="57" t="e">
        <f t="shared" ca="1" si="110"/>
        <v>#N/A</v>
      </c>
      <c r="X469" t="e">
        <f t="shared" ca="1" si="102"/>
        <v>#N/A</v>
      </c>
      <c r="Y469" t="e">
        <f t="shared" ca="1" si="103"/>
        <v>#N/A</v>
      </c>
      <c r="Z469" t="e">
        <f t="shared" ca="1" si="104"/>
        <v>#N/A</v>
      </c>
      <c r="AA469" t="e">
        <f t="shared" ca="1" si="105"/>
        <v>#N/A</v>
      </c>
      <c r="AB469" s="85" t="e">
        <f ca="1"/>
        <v>#N/A</v>
      </c>
      <c r="AC469" s="57" t="e">
        <f t="shared" ca="1" si="106"/>
        <v>#N/A</v>
      </c>
      <c r="AD469" s="57" t="e">
        <f t="shared" ca="1" si="107"/>
        <v>#N/A</v>
      </c>
      <c r="AE469" s="57" t="e">
        <f t="shared" ca="1" si="108"/>
        <v>#N/A</v>
      </c>
      <c r="AF469" s="57" t="e">
        <f t="shared" ca="1" si="109"/>
        <v>#N/A</v>
      </c>
    </row>
    <row r="470" spans="18:32" x14ac:dyDescent="0.25">
      <c r="R470" s="57" t="e">
        <f ca="1"/>
        <v>#N/A</v>
      </c>
      <c r="S470" s="57" t="e">
        <f t="shared" ca="1" si="98"/>
        <v>#N/A</v>
      </c>
      <c r="T470" s="57" t="e">
        <f t="shared" ca="1" si="99"/>
        <v>#N/A</v>
      </c>
      <c r="U470" s="57" t="e">
        <f t="shared" ca="1" si="100"/>
        <v>#N/A</v>
      </c>
      <c r="V470" s="57" t="e">
        <f t="shared" ca="1" si="101"/>
        <v>#N/A</v>
      </c>
      <c r="W470" s="57" t="e">
        <f t="shared" ca="1" si="110"/>
        <v>#N/A</v>
      </c>
      <c r="X470" t="e">
        <f t="shared" ca="1" si="102"/>
        <v>#N/A</v>
      </c>
      <c r="Y470" t="e">
        <f t="shared" ca="1" si="103"/>
        <v>#N/A</v>
      </c>
      <c r="Z470" t="e">
        <f t="shared" ca="1" si="104"/>
        <v>#N/A</v>
      </c>
      <c r="AA470" t="e">
        <f t="shared" ca="1" si="105"/>
        <v>#N/A</v>
      </c>
      <c r="AB470" s="85" t="e">
        <f ca="1"/>
        <v>#N/A</v>
      </c>
      <c r="AC470" s="57" t="e">
        <f t="shared" ca="1" si="106"/>
        <v>#N/A</v>
      </c>
      <c r="AD470" s="57" t="e">
        <f t="shared" ca="1" si="107"/>
        <v>#N/A</v>
      </c>
      <c r="AE470" s="57" t="e">
        <f t="shared" ca="1" si="108"/>
        <v>#N/A</v>
      </c>
      <c r="AF470" s="57" t="e">
        <f t="shared" ca="1" si="109"/>
        <v>#N/A</v>
      </c>
    </row>
    <row r="471" spans="18:32" x14ac:dyDescent="0.25">
      <c r="R471" s="57" t="e">
        <f ca="1"/>
        <v>#N/A</v>
      </c>
      <c r="S471" s="57" t="e">
        <f t="shared" ca="1" si="98"/>
        <v>#N/A</v>
      </c>
      <c r="T471" s="57" t="e">
        <f t="shared" ca="1" si="99"/>
        <v>#N/A</v>
      </c>
      <c r="U471" s="57" t="e">
        <f t="shared" ca="1" si="100"/>
        <v>#N/A</v>
      </c>
      <c r="V471" s="57" t="e">
        <f t="shared" ca="1" si="101"/>
        <v>#N/A</v>
      </c>
      <c r="W471" s="57" t="e">
        <f t="shared" ca="1" si="110"/>
        <v>#N/A</v>
      </c>
      <c r="X471" t="e">
        <f t="shared" ca="1" si="102"/>
        <v>#N/A</v>
      </c>
      <c r="Y471" t="e">
        <f t="shared" ca="1" si="103"/>
        <v>#N/A</v>
      </c>
      <c r="Z471" t="e">
        <f t="shared" ca="1" si="104"/>
        <v>#N/A</v>
      </c>
      <c r="AA471" t="e">
        <f t="shared" ca="1" si="105"/>
        <v>#N/A</v>
      </c>
      <c r="AB471" s="85" t="e">
        <f ca="1"/>
        <v>#N/A</v>
      </c>
      <c r="AC471" s="57" t="e">
        <f t="shared" ca="1" si="106"/>
        <v>#N/A</v>
      </c>
      <c r="AD471" s="57" t="e">
        <f t="shared" ca="1" si="107"/>
        <v>#N/A</v>
      </c>
      <c r="AE471" s="57" t="e">
        <f t="shared" ca="1" si="108"/>
        <v>#N/A</v>
      </c>
      <c r="AF471" s="57" t="e">
        <f t="shared" ca="1" si="109"/>
        <v>#N/A</v>
      </c>
    </row>
    <row r="472" spans="18:32" x14ac:dyDescent="0.25">
      <c r="R472" s="57" t="e">
        <f ca="1"/>
        <v>#N/A</v>
      </c>
      <c r="S472" s="57" t="e">
        <f t="shared" ca="1" si="98"/>
        <v>#N/A</v>
      </c>
      <c r="T472" s="57" t="e">
        <f t="shared" ca="1" si="99"/>
        <v>#N/A</v>
      </c>
      <c r="U472" s="57" t="e">
        <f t="shared" ca="1" si="100"/>
        <v>#N/A</v>
      </c>
      <c r="V472" s="57" t="e">
        <f t="shared" ca="1" si="101"/>
        <v>#N/A</v>
      </c>
      <c r="W472" s="57" t="e">
        <f t="shared" ca="1" si="110"/>
        <v>#N/A</v>
      </c>
      <c r="X472" t="e">
        <f t="shared" ca="1" si="102"/>
        <v>#N/A</v>
      </c>
      <c r="Y472" t="e">
        <f t="shared" ca="1" si="103"/>
        <v>#N/A</v>
      </c>
      <c r="Z472" t="e">
        <f t="shared" ca="1" si="104"/>
        <v>#N/A</v>
      </c>
      <c r="AA472" t="e">
        <f t="shared" ca="1" si="105"/>
        <v>#N/A</v>
      </c>
      <c r="AB472" s="85" t="e">
        <f ca="1"/>
        <v>#N/A</v>
      </c>
      <c r="AC472" s="57" t="e">
        <f t="shared" ca="1" si="106"/>
        <v>#N/A</v>
      </c>
      <c r="AD472" s="57" t="e">
        <f t="shared" ca="1" si="107"/>
        <v>#N/A</v>
      </c>
      <c r="AE472" s="57" t="e">
        <f t="shared" ca="1" si="108"/>
        <v>#N/A</v>
      </c>
      <c r="AF472" s="57" t="e">
        <f t="shared" ca="1" si="109"/>
        <v>#N/A</v>
      </c>
    </row>
    <row r="473" spans="18:32" x14ac:dyDescent="0.25">
      <c r="R473" s="57" t="e">
        <f ca="1"/>
        <v>#N/A</v>
      </c>
      <c r="S473" s="57" t="e">
        <f t="shared" ca="1" si="98"/>
        <v>#N/A</v>
      </c>
      <c r="T473" s="57" t="e">
        <f t="shared" ca="1" si="99"/>
        <v>#N/A</v>
      </c>
      <c r="U473" s="57" t="e">
        <f t="shared" ca="1" si="100"/>
        <v>#N/A</v>
      </c>
      <c r="V473" s="57" t="e">
        <f t="shared" ca="1" si="101"/>
        <v>#N/A</v>
      </c>
      <c r="W473" s="57" t="e">
        <f t="shared" ca="1" si="110"/>
        <v>#N/A</v>
      </c>
      <c r="X473" t="e">
        <f t="shared" ca="1" si="102"/>
        <v>#N/A</v>
      </c>
      <c r="Y473" t="e">
        <f t="shared" ca="1" si="103"/>
        <v>#N/A</v>
      </c>
      <c r="Z473" t="e">
        <f t="shared" ca="1" si="104"/>
        <v>#N/A</v>
      </c>
      <c r="AA473" t="e">
        <f t="shared" ca="1" si="105"/>
        <v>#N/A</v>
      </c>
      <c r="AB473" s="85" t="e">
        <f ca="1"/>
        <v>#N/A</v>
      </c>
      <c r="AC473" s="57" t="e">
        <f t="shared" ca="1" si="106"/>
        <v>#N/A</v>
      </c>
      <c r="AD473" s="57" t="e">
        <f t="shared" ca="1" si="107"/>
        <v>#N/A</v>
      </c>
      <c r="AE473" s="57" t="e">
        <f t="shared" ca="1" si="108"/>
        <v>#N/A</v>
      </c>
      <c r="AF473" s="57" t="e">
        <f t="shared" ca="1" si="109"/>
        <v>#N/A</v>
      </c>
    </row>
    <row r="474" spans="18:32" x14ac:dyDescent="0.25">
      <c r="R474" s="57" t="e">
        <f ca="1"/>
        <v>#N/A</v>
      </c>
      <c r="S474" s="57" t="e">
        <f t="shared" ca="1" si="98"/>
        <v>#N/A</v>
      </c>
      <c r="T474" s="57" t="e">
        <f t="shared" ca="1" si="99"/>
        <v>#N/A</v>
      </c>
      <c r="U474" s="57" t="e">
        <f t="shared" ca="1" si="100"/>
        <v>#N/A</v>
      </c>
      <c r="V474" s="57" t="e">
        <f t="shared" ca="1" si="101"/>
        <v>#N/A</v>
      </c>
      <c r="W474" s="57" t="e">
        <f t="shared" ca="1" si="110"/>
        <v>#N/A</v>
      </c>
      <c r="X474" t="e">
        <f t="shared" ca="1" si="102"/>
        <v>#N/A</v>
      </c>
      <c r="Y474" t="e">
        <f t="shared" ca="1" si="103"/>
        <v>#N/A</v>
      </c>
      <c r="Z474" t="e">
        <f t="shared" ca="1" si="104"/>
        <v>#N/A</v>
      </c>
      <c r="AA474" t="e">
        <f t="shared" ca="1" si="105"/>
        <v>#N/A</v>
      </c>
      <c r="AB474" s="85" t="e">
        <f ca="1"/>
        <v>#N/A</v>
      </c>
      <c r="AC474" s="57" t="e">
        <f t="shared" ca="1" si="106"/>
        <v>#N/A</v>
      </c>
      <c r="AD474" s="57" t="e">
        <f t="shared" ca="1" si="107"/>
        <v>#N/A</v>
      </c>
      <c r="AE474" s="57" t="e">
        <f t="shared" ca="1" si="108"/>
        <v>#N/A</v>
      </c>
      <c r="AF474" s="57" t="e">
        <f t="shared" ca="1" si="109"/>
        <v>#N/A</v>
      </c>
    </row>
    <row r="475" spans="18:32" x14ac:dyDescent="0.25">
      <c r="R475" s="57" t="e">
        <f ca="1"/>
        <v>#N/A</v>
      </c>
      <c r="S475" s="57" t="e">
        <f t="shared" ca="1" si="98"/>
        <v>#N/A</v>
      </c>
      <c r="T475" s="57" t="e">
        <f t="shared" ca="1" si="99"/>
        <v>#N/A</v>
      </c>
      <c r="U475" s="57" t="e">
        <f t="shared" ca="1" si="100"/>
        <v>#N/A</v>
      </c>
      <c r="V475" s="57" t="e">
        <f t="shared" ca="1" si="101"/>
        <v>#N/A</v>
      </c>
      <c r="W475" s="57" t="e">
        <f t="shared" ca="1" si="110"/>
        <v>#N/A</v>
      </c>
      <c r="X475" t="e">
        <f t="shared" ca="1" si="102"/>
        <v>#N/A</v>
      </c>
      <c r="Y475" t="e">
        <f t="shared" ca="1" si="103"/>
        <v>#N/A</v>
      </c>
      <c r="Z475" t="e">
        <f t="shared" ca="1" si="104"/>
        <v>#N/A</v>
      </c>
      <c r="AA475" t="e">
        <f t="shared" ca="1" si="105"/>
        <v>#N/A</v>
      </c>
      <c r="AB475" s="85" t="e">
        <f ca="1"/>
        <v>#N/A</v>
      </c>
      <c r="AC475" s="57" t="e">
        <f t="shared" ca="1" si="106"/>
        <v>#N/A</v>
      </c>
      <c r="AD475" s="57" t="e">
        <f t="shared" ca="1" si="107"/>
        <v>#N/A</v>
      </c>
      <c r="AE475" s="57" t="e">
        <f t="shared" ca="1" si="108"/>
        <v>#N/A</v>
      </c>
      <c r="AF475" s="57" t="e">
        <f t="shared" ca="1" si="109"/>
        <v>#N/A</v>
      </c>
    </row>
    <row r="476" spans="18:32" x14ac:dyDescent="0.25">
      <c r="R476" s="57" t="e">
        <f ca="1"/>
        <v>#N/A</v>
      </c>
      <c r="S476" s="57" t="e">
        <f t="shared" ca="1" si="98"/>
        <v>#N/A</v>
      </c>
      <c r="T476" s="57" t="e">
        <f t="shared" ca="1" si="99"/>
        <v>#N/A</v>
      </c>
      <c r="U476" s="57" t="e">
        <f t="shared" ca="1" si="100"/>
        <v>#N/A</v>
      </c>
      <c r="V476" s="57" t="e">
        <f t="shared" ca="1" si="101"/>
        <v>#N/A</v>
      </c>
      <c r="W476" s="57" t="e">
        <f t="shared" ca="1" si="110"/>
        <v>#N/A</v>
      </c>
      <c r="X476" t="e">
        <f t="shared" ca="1" si="102"/>
        <v>#N/A</v>
      </c>
      <c r="Y476" t="e">
        <f t="shared" ca="1" si="103"/>
        <v>#N/A</v>
      </c>
      <c r="Z476" t="e">
        <f t="shared" ca="1" si="104"/>
        <v>#N/A</v>
      </c>
      <c r="AA476" t="e">
        <f t="shared" ca="1" si="105"/>
        <v>#N/A</v>
      </c>
      <c r="AB476" s="85" t="e">
        <f ca="1"/>
        <v>#N/A</v>
      </c>
      <c r="AC476" s="57" t="e">
        <f t="shared" ca="1" si="106"/>
        <v>#N/A</v>
      </c>
      <c r="AD476" s="57" t="e">
        <f t="shared" ca="1" si="107"/>
        <v>#N/A</v>
      </c>
      <c r="AE476" s="57" t="e">
        <f t="shared" ca="1" si="108"/>
        <v>#N/A</v>
      </c>
      <c r="AF476" s="57" t="e">
        <f t="shared" ca="1" si="109"/>
        <v>#N/A</v>
      </c>
    </row>
    <row r="477" spans="18:32" x14ac:dyDescent="0.25">
      <c r="R477" s="57" t="e">
        <f ca="1"/>
        <v>#N/A</v>
      </c>
      <c r="S477" s="57" t="e">
        <f t="shared" ca="1" si="98"/>
        <v>#N/A</v>
      </c>
      <c r="T477" s="57" t="e">
        <f t="shared" ca="1" si="99"/>
        <v>#N/A</v>
      </c>
      <c r="U477" s="57" t="e">
        <f t="shared" ca="1" si="100"/>
        <v>#N/A</v>
      </c>
      <c r="V477" s="57" t="e">
        <f t="shared" ca="1" si="101"/>
        <v>#N/A</v>
      </c>
      <c r="W477" s="57" t="e">
        <f t="shared" ca="1" si="110"/>
        <v>#N/A</v>
      </c>
      <c r="X477" t="e">
        <f t="shared" ca="1" si="102"/>
        <v>#N/A</v>
      </c>
      <c r="Y477" t="e">
        <f t="shared" ca="1" si="103"/>
        <v>#N/A</v>
      </c>
      <c r="Z477" t="e">
        <f t="shared" ca="1" si="104"/>
        <v>#N/A</v>
      </c>
      <c r="AA477" t="e">
        <f t="shared" ca="1" si="105"/>
        <v>#N/A</v>
      </c>
      <c r="AB477" s="85" t="e">
        <f ca="1"/>
        <v>#N/A</v>
      </c>
      <c r="AC477" s="57" t="e">
        <f t="shared" ca="1" si="106"/>
        <v>#N/A</v>
      </c>
      <c r="AD477" s="57" t="e">
        <f t="shared" ca="1" si="107"/>
        <v>#N/A</v>
      </c>
      <c r="AE477" s="57" t="e">
        <f t="shared" ca="1" si="108"/>
        <v>#N/A</v>
      </c>
      <c r="AF477" s="57" t="e">
        <f t="shared" ca="1" si="109"/>
        <v>#N/A</v>
      </c>
    </row>
    <row r="478" spans="18:32" x14ac:dyDescent="0.25">
      <c r="R478" s="57" t="e">
        <f ca="1"/>
        <v>#N/A</v>
      </c>
      <c r="S478" s="57" t="e">
        <f t="shared" ca="1" si="98"/>
        <v>#N/A</v>
      </c>
      <c r="T478" s="57" t="e">
        <f t="shared" ca="1" si="99"/>
        <v>#N/A</v>
      </c>
      <c r="U478" s="57" t="e">
        <f t="shared" ca="1" si="100"/>
        <v>#N/A</v>
      </c>
      <c r="V478" s="57" t="e">
        <f t="shared" ca="1" si="101"/>
        <v>#N/A</v>
      </c>
      <c r="W478" s="57" t="e">
        <f t="shared" ca="1" si="110"/>
        <v>#N/A</v>
      </c>
      <c r="X478" t="e">
        <f t="shared" ca="1" si="102"/>
        <v>#N/A</v>
      </c>
      <c r="Y478" t="e">
        <f t="shared" ca="1" si="103"/>
        <v>#N/A</v>
      </c>
      <c r="Z478" t="e">
        <f t="shared" ca="1" si="104"/>
        <v>#N/A</v>
      </c>
      <c r="AA478" t="e">
        <f t="shared" ca="1" si="105"/>
        <v>#N/A</v>
      </c>
      <c r="AB478" s="85" t="e">
        <f ca="1"/>
        <v>#N/A</v>
      </c>
      <c r="AC478" s="57" t="e">
        <f t="shared" ca="1" si="106"/>
        <v>#N/A</v>
      </c>
      <c r="AD478" s="57" t="e">
        <f t="shared" ca="1" si="107"/>
        <v>#N/A</v>
      </c>
      <c r="AE478" s="57" t="e">
        <f t="shared" ca="1" si="108"/>
        <v>#N/A</v>
      </c>
      <c r="AF478" s="57" t="e">
        <f t="shared" ca="1" si="109"/>
        <v>#N/A</v>
      </c>
    </row>
    <row r="479" spans="18:32" x14ac:dyDescent="0.25">
      <c r="R479" s="57" t="e">
        <f ca="1"/>
        <v>#N/A</v>
      </c>
      <c r="S479" s="57" t="e">
        <f t="shared" ca="1" si="98"/>
        <v>#N/A</v>
      </c>
      <c r="T479" s="57" t="e">
        <f t="shared" ca="1" si="99"/>
        <v>#N/A</v>
      </c>
      <c r="U479" s="57" t="e">
        <f t="shared" ca="1" si="100"/>
        <v>#N/A</v>
      </c>
      <c r="V479" s="57" t="e">
        <f t="shared" ca="1" si="101"/>
        <v>#N/A</v>
      </c>
      <c r="W479" s="57" t="e">
        <f t="shared" ca="1" si="110"/>
        <v>#N/A</v>
      </c>
      <c r="X479" t="e">
        <f t="shared" ca="1" si="102"/>
        <v>#N/A</v>
      </c>
      <c r="Y479" t="e">
        <f t="shared" ca="1" si="103"/>
        <v>#N/A</v>
      </c>
      <c r="Z479" t="e">
        <f t="shared" ca="1" si="104"/>
        <v>#N/A</v>
      </c>
      <c r="AA479" t="e">
        <f t="shared" ca="1" si="105"/>
        <v>#N/A</v>
      </c>
      <c r="AB479" s="85" t="e">
        <f ca="1"/>
        <v>#N/A</v>
      </c>
      <c r="AC479" s="57" t="e">
        <f t="shared" ca="1" si="106"/>
        <v>#N/A</v>
      </c>
      <c r="AD479" s="57" t="e">
        <f t="shared" ca="1" si="107"/>
        <v>#N/A</v>
      </c>
      <c r="AE479" s="57" t="e">
        <f t="shared" ca="1" si="108"/>
        <v>#N/A</v>
      </c>
      <c r="AF479" s="57" t="e">
        <f t="shared" ca="1" si="109"/>
        <v>#N/A</v>
      </c>
    </row>
    <row r="480" spans="18:32" x14ac:dyDescent="0.25">
      <c r="R480" s="57" t="e">
        <f ca="1"/>
        <v>#N/A</v>
      </c>
      <c r="S480" s="57" t="e">
        <f t="shared" ca="1" si="98"/>
        <v>#N/A</v>
      </c>
      <c r="T480" s="57" t="e">
        <f t="shared" ca="1" si="99"/>
        <v>#N/A</v>
      </c>
      <c r="U480" s="57" t="e">
        <f t="shared" ca="1" si="100"/>
        <v>#N/A</v>
      </c>
      <c r="V480" s="57" t="e">
        <f t="shared" ca="1" si="101"/>
        <v>#N/A</v>
      </c>
      <c r="W480" s="57" t="e">
        <f t="shared" ca="1" si="110"/>
        <v>#N/A</v>
      </c>
      <c r="X480" t="e">
        <f t="shared" ca="1" si="102"/>
        <v>#N/A</v>
      </c>
      <c r="Y480" t="e">
        <f t="shared" ca="1" si="103"/>
        <v>#N/A</v>
      </c>
      <c r="Z480" t="e">
        <f t="shared" ca="1" si="104"/>
        <v>#N/A</v>
      </c>
      <c r="AA480" t="e">
        <f t="shared" ca="1" si="105"/>
        <v>#N/A</v>
      </c>
      <c r="AB480" s="85" t="e">
        <f ca="1"/>
        <v>#N/A</v>
      </c>
      <c r="AC480" s="57" t="e">
        <f t="shared" ca="1" si="106"/>
        <v>#N/A</v>
      </c>
      <c r="AD480" s="57" t="e">
        <f t="shared" ca="1" si="107"/>
        <v>#N/A</v>
      </c>
      <c r="AE480" s="57" t="e">
        <f t="shared" ca="1" si="108"/>
        <v>#N/A</v>
      </c>
      <c r="AF480" s="57" t="e">
        <f t="shared" ca="1" si="109"/>
        <v>#N/A</v>
      </c>
    </row>
    <row r="481" spans="18:32" x14ac:dyDescent="0.25">
      <c r="R481" s="57" t="e">
        <f ca="1"/>
        <v>#N/A</v>
      </c>
      <c r="S481" s="57" t="e">
        <f t="shared" ca="1" si="98"/>
        <v>#N/A</v>
      </c>
      <c r="T481" s="57" t="e">
        <f t="shared" ca="1" si="99"/>
        <v>#N/A</v>
      </c>
      <c r="U481" s="57" t="e">
        <f t="shared" ca="1" si="100"/>
        <v>#N/A</v>
      </c>
      <c r="V481" s="57" t="e">
        <f t="shared" ca="1" si="101"/>
        <v>#N/A</v>
      </c>
      <c r="W481" s="57" t="e">
        <f t="shared" ca="1" si="110"/>
        <v>#N/A</v>
      </c>
      <c r="X481" t="e">
        <f t="shared" ca="1" si="102"/>
        <v>#N/A</v>
      </c>
      <c r="Y481" t="e">
        <f t="shared" ca="1" si="103"/>
        <v>#N/A</v>
      </c>
      <c r="Z481" t="e">
        <f t="shared" ca="1" si="104"/>
        <v>#N/A</v>
      </c>
      <c r="AA481" t="e">
        <f t="shared" ca="1" si="105"/>
        <v>#N/A</v>
      </c>
      <c r="AB481" s="85" t="e">
        <f ca="1"/>
        <v>#N/A</v>
      </c>
      <c r="AC481" s="57" t="e">
        <f t="shared" ca="1" si="106"/>
        <v>#N/A</v>
      </c>
      <c r="AD481" s="57" t="e">
        <f t="shared" ca="1" si="107"/>
        <v>#N/A</v>
      </c>
      <c r="AE481" s="57" t="e">
        <f t="shared" ca="1" si="108"/>
        <v>#N/A</v>
      </c>
      <c r="AF481" s="57" t="e">
        <f t="shared" ca="1" si="109"/>
        <v>#N/A</v>
      </c>
    </row>
    <row r="482" spans="18:32" x14ac:dyDescent="0.25">
      <c r="R482" s="57" t="e">
        <f ca="1"/>
        <v>#N/A</v>
      </c>
      <c r="S482" s="57" t="e">
        <f t="shared" ca="1" si="98"/>
        <v>#N/A</v>
      </c>
      <c r="T482" s="57" t="e">
        <f t="shared" ca="1" si="99"/>
        <v>#N/A</v>
      </c>
      <c r="U482" s="57" t="e">
        <f t="shared" ca="1" si="100"/>
        <v>#N/A</v>
      </c>
      <c r="V482" s="57" t="e">
        <f t="shared" ca="1" si="101"/>
        <v>#N/A</v>
      </c>
      <c r="W482" s="57" t="e">
        <f t="shared" ca="1" si="110"/>
        <v>#N/A</v>
      </c>
      <c r="X482" t="e">
        <f t="shared" ca="1" si="102"/>
        <v>#N/A</v>
      </c>
      <c r="Y482" t="e">
        <f t="shared" ca="1" si="103"/>
        <v>#N/A</v>
      </c>
      <c r="Z482" t="e">
        <f t="shared" ca="1" si="104"/>
        <v>#N/A</v>
      </c>
      <c r="AA482" t="e">
        <f t="shared" ca="1" si="105"/>
        <v>#N/A</v>
      </c>
      <c r="AB482" s="85" t="e">
        <f ca="1"/>
        <v>#N/A</v>
      </c>
      <c r="AC482" s="57" t="e">
        <f t="shared" ca="1" si="106"/>
        <v>#N/A</v>
      </c>
      <c r="AD482" s="57" t="e">
        <f t="shared" ca="1" si="107"/>
        <v>#N/A</v>
      </c>
      <c r="AE482" s="57" t="e">
        <f t="shared" ca="1" si="108"/>
        <v>#N/A</v>
      </c>
      <c r="AF482" s="57" t="e">
        <f t="shared" ca="1" si="109"/>
        <v>#N/A</v>
      </c>
    </row>
    <row r="483" spans="18:32" x14ac:dyDescent="0.25">
      <c r="R483" s="57" t="e">
        <f ca="1"/>
        <v>#N/A</v>
      </c>
      <c r="S483" s="57" t="e">
        <f t="shared" ca="1" si="98"/>
        <v>#N/A</v>
      </c>
      <c r="T483" s="57" t="e">
        <f t="shared" ca="1" si="99"/>
        <v>#N/A</v>
      </c>
      <c r="U483" s="57" t="e">
        <f t="shared" ca="1" si="100"/>
        <v>#N/A</v>
      </c>
      <c r="V483" s="57" t="e">
        <f t="shared" ca="1" si="101"/>
        <v>#N/A</v>
      </c>
      <c r="W483" s="57" t="e">
        <f t="shared" ca="1" si="110"/>
        <v>#N/A</v>
      </c>
      <c r="X483" t="e">
        <f t="shared" ca="1" si="102"/>
        <v>#N/A</v>
      </c>
      <c r="Y483" t="e">
        <f t="shared" ca="1" si="103"/>
        <v>#N/A</v>
      </c>
      <c r="Z483" t="e">
        <f t="shared" ca="1" si="104"/>
        <v>#N/A</v>
      </c>
      <c r="AA483" t="e">
        <f t="shared" ca="1" si="105"/>
        <v>#N/A</v>
      </c>
      <c r="AB483" s="85" t="e">
        <f ca="1"/>
        <v>#N/A</v>
      </c>
      <c r="AC483" s="57" t="e">
        <f t="shared" ca="1" si="106"/>
        <v>#N/A</v>
      </c>
      <c r="AD483" s="57" t="e">
        <f t="shared" ca="1" si="107"/>
        <v>#N/A</v>
      </c>
      <c r="AE483" s="57" t="e">
        <f t="shared" ca="1" si="108"/>
        <v>#N/A</v>
      </c>
      <c r="AF483" s="57" t="e">
        <f t="shared" ca="1" si="109"/>
        <v>#N/A</v>
      </c>
    </row>
    <row r="484" spans="18:32" x14ac:dyDescent="0.25">
      <c r="R484" s="57" t="e">
        <f ca="1"/>
        <v>#N/A</v>
      </c>
      <c r="S484" s="57" t="e">
        <f t="shared" ca="1" si="98"/>
        <v>#N/A</v>
      </c>
      <c r="T484" s="57" t="e">
        <f t="shared" ca="1" si="99"/>
        <v>#N/A</v>
      </c>
      <c r="U484" s="57" t="e">
        <f t="shared" ca="1" si="100"/>
        <v>#N/A</v>
      </c>
      <c r="V484" s="57" t="e">
        <f t="shared" ca="1" si="101"/>
        <v>#N/A</v>
      </c>
      <c r="W484" s="57" t="e">
        <f t="shared" ca="1" si="110"/>
        <v>#N/A</v>
      </c>
      <c r="X484" t="e">
        <f t="shared" ca="1" si="102"/>
        <v>#N/A</v>
      </c>
      <c r="Y484" t="e">
        <f t="shared" ca="1" si="103"/>
        <v>#N/A</v>
      </c>
      <c r="Z484" t="e">
        <f t="shared" ca="1" si="104"/>
        <v>#N/A</v>
      </c>
      <c r="AA484" t="e">
        <f t="shared" ca="1" si="105"/>
        <v>#N/A</v>
      </c>
      <c r="AB484" s="85" t="e">
        <f ca="1"/>
        <v>#N/A</v>
      </c>
      <c r="AC484" s="57" t="e">
        <f t="shared" ca="1" si="106"/>
        <v>#N/A</v>
      </c>
      <c r="AD484" s="57" t="e">
        <f t="shared" ca="1" si="107"/>
        <v>#N/A</v>
      </c>
      <c r="AE484" s="57" t="e">
        <f t="shared" ca="1" si="108"/>
        <v>#N/A</v>
      </c>
      <c r="AF484" s="57" t="e">
        <f t="shared" ca="1" si="109"/>
        <v>#N/A</v>
      </c>
    </row>
    <row r="485" spans="18:32" x14ac:dyDescent="0.25">
      <c r="R485" s="57" t="e">
        <f ca="1"/>
        <v>#N/A</v>
      </c>
      <c r="S485" s="57" t="e">
        <f t="shared" ca="1" si="98"/>
        <v>#N/A</v>
      </c>
      <c r="T485" s="57" t="e">
        <f t="shared" ca="1" si="99"/>
        <v>#N/A</v>
      </c>
      <c r="U485" s="57" t="e">
        <f t="shared" ca="1" si="100"/>
        <v>#N/A</v>
      </c>
      <c r="V485" s="57" t="e">
        <f t="shared" ca="1" si="101"/>
        <v>#N/A</v>
      </c>
      <c r="W485" s="57" t="e">
        <f t="shared" ca="1" si="110"/>
        <v>#N/A</v>
      </c>
      <c r="X485" t="e">
        <f t="shared" ca="1" si="102"/>
        <v>#N/A</v>
      </c>
      <c r="Y485" t="e">
        <f t="shared" ca="1" si="103"/>
        <v>#N/A</v>
      </c>
      <c r="Z485" t="e">
        <f t="shared" ca="1" si="104"/>
        <v>#N/A</v>
      </c>
      <c r="AA485" t="e">
        <f t="shared" ca="1" si="105"/>
        <v>#N/A</v>
      </c>
      <c r="AB485" s="85" t="e">
        <f ca="1"/>
        <v>#N/A</v>
      </c>
      <c r="AC485" s="57" t="e">
        <f t="shared" ca="1" si="106"/>
        <v>#N/A</v>
      </c>
      <c r="AD485" s="57" t="e">
        <f t="shared" ca="1" si="107"/>
        <v>#N/A</v>
      </c>
      <c r="AE485" s="57" t="e">
        <f t="shared" ca="1" si="108"/>
        <v>#N/A</v>
      </c>
      <c r="AF485" s="57" t="e">
        <f t="shared" ca="1" si="109"/>
        <v>#N/A</v>
      </c>
    </row>
    <row r="486" spans="18:32" x14ac:dyDescent="0.25">
      <c r="R486" s="57" t="e">
        <f ca="1"/>
        <v>#N/A</v>
      </c>
      <c r="S486" s="57" t="e">
        <f t="shared" ca="1" si="98"/>
        <v>#N/A</v>
      </c>
      <c r="T486" s="57" t="e">
        <f t="shared" ca="1" si="99"/>
        <v>#N/A</v>
      </c>
      <c r="U486" s="57" t="e">
        <f t="shared" ca="1" si="100"/>
        <v>#N/A</v>
      </c>
      <c r="V486" s="57" t="e">
        <f t="shared" ca="1" si="101"/>
        <v>#N/A</v>
      </c>
      <c r="W486" s="57" t="e">
        <f t="shared" ca="1" si="110"/>
        <v>#N/A</v>
      </c>
      <c r="X486" t="e">
        <f t="shared" ca="1" si="102"/>
        <v>#N/A</v>
      </c>
      <c r="Y486" t="e">
        <f t="shared" ca="1" si="103"/>
        <v>#N/A</v>
      </c>
      <c r="Z486" t="e">
        <f t="shared" ca="1" si="104"/>
        <v>#N/A</v>
      </c>
      <c r="AA486" t="e">
        <f t="shared" ca="1" si="105"/>
        <v>#N/A</v>
      </c>
      <c r="AB486" s="85" t="e">
        <f ca="1"/>
        <v>#N/A</v>
      </c>
      <c r="AC486" s="57" t="e">
        <f t="shared" ca="1" si="106"/>
        <v>#N/A</v>
      </c>
      <c r="AD486" s="57" t="e">
        <f t="shared" ca="1" si="107"/>
        <v>#N/A</v>
      </c>
      <c r="AE486" s="57" t="e">
        <f t="shared" ca="1" si="108"/>
        <v>#N/A</v>
      </c>
      <c r="AF486" s="57" t="e">
        <f t="shared" ca="1" si="109"/>
        <v>#N/A</v>
      </c>
    </row>
    <row r="487" spans="18:32" x14ac:dyDescent="0.25">
      <c r="R487" s="57" t="e">
        <f ca="1"/>
        <v>#N/A</v>
      </c>
      <c r="S487" s="57" t="e">
        <f t="shared" ca="1" si="98"/>
        <v>#N/A</v>
      </c>
      <c r="T487" s="57" t="e">
        <f t="shared" ca="1" si="99"/>
        <v>#N/A</v>
      </c>
      <c r="U487" s="57" t="e">
        <f t="shared" ca="1" si="100"/>
        <v>#N/A</v>
      </c>
      <c r="V487" s="57" t="e">
        <f t="shared" ca="1" si="101"/>
        <v>#N/A</v>
      </c>
      <c r="W487" s="57" t="e">
        <f t="shared" ca="1" si="110"/>
        <v>#N/A</v>
      </c>
      <c r="X487" t="e">
        <f t="shared" ca="1" si="102"/>
        <v>#N/A</v>
      </c>
      <c r="Y487" t="e">
        <f t="shared" ca="1" si="103"/>
        <v>#N/A</v>
      </c>
      <c r="Z487" t="e">
        <f t="shared" ca="1" si="104"/>
        <v>#N/A</v>
      </c>
      <c r="AA487" t="e">
        <f t="shared" ca="1" si="105"/>
        <v>#N/A</v>
      </c>
      <c r="AB487" s="85" t="e">
        <f ca="1"/>
        <v>#N/A</v>
      </c>
      <c r="AC487" s="57" t="e">
        <f t="shared" ca="1" si="106"/>
        <v>#N/A</v>
      </c>
      <c r="AD487" s="57" t="e">
        <f t="shared" ca="1" si="107"/>
        <v>#N/A</v>
      </c>
      <c r="AE487" s="57" t="e">
        <f t="shared" ca="1" si="108"/>
        <v>#N/A</v>
      </c>
      <c r="AF487" s="57" t="e">
        <f t="shared" ca="1" si="109"/>
        <v>#N/A</v>
      </c>
    </row>
    <row r="488" spans="18:32" x14ac:dyDescent="0.25">
      <c r="R488" s="57" t="e">
        <f ca="1"/>
        <v>#N/A</v>
      </c>
      <c r="S488" s="57" t="e">
        <f t="shared" ca="1" si="98"/>
        <v>#N/A</v>
      </c>
      <c r="T488" s="57" t="e">
        <f t="shared" ca="1" si="99"/>
        <v>#N/A</v>
      </c>
      <c r="U488" s="57" t="e">
        <f t="shared" ca="1" si="100"/>
        <v>#N/A</v>
      </c>
      <c r="V488" s="57" t="e">
        <f t="shared" ca="1" si="101"/>
        <v>#N/A</v>
      </c>
      <c r="W488" s="57" t="e">
        <f t="shared" ca="1" si="110"/>
        <v>#N/A</v>
      </c>
      <c r="X488" t="e">
        <f t="shared" ca="1" si="102"/>
        <v>#N/A</v>
      </c>
      <c r="Y488" t="e">
        <f t="shared" ca="1" si="103"/>
        <v>#N/A</v>
      </c>
      <c r="Z488" t="e">
        <f t="shared" ca="1" si="104"/>
        <v>#N/A</v>
      </c>
      <c r="AA488" t="e">
        <f t="shared" ca="1" si="105"/>
        <v>#N/A</v>
      </c>
      <c r="AB488" s="85" t="e">
        <f ca="1"/>
        <v>#N/A</v>
      </c>
      <c r="AC488" s="57" t="e">
        <f t="shared" ca="1" si="106"/>
        <v>#N/A</v>
      </c>
      <c r="AD488" s="57" t="e">
        <f t="shared" ca="1" si="107"/>
        <v>#N/A</v>
      </c>
      <c r="AE488" s="57" t="e">
        <f t="shared" ca="1" si="108"/>
        <v>#N/A</v>
      </c>
      <c r="AF488" s="57" t="e">
        <f t="shared" ca="1" si="109"/>
        <v>#N/A</v>
      </c>
    </row>
    <row r="489" spans="18:32" x14ac:dyDescent="0.25">
      <c r="R489" s="57" t="e">
        <f ca="1"/>
        <v>#N/A</v>
      </c>
      <c r="S489" s="57" t="e">
        <f t="shared" ca="1" si="98"/>
        <v>#N/A</v>
      </c>
      <c r="T489" s="57" t="e">
        <f t="shared" ca="1" si="99"/>
        <v>#N/A</v>
      </c>
      <c r="U489" s="57" t="e">
        <f t="shared" ca="1" si="100"/>
        <v>#N/A</v>
      </c>
      <c r="V489" s="57" t="e">
        <f t="shared" ca="1" si="101"/>
        <v>#N/A</v>
      </c>
      <c r="W489" s="57" t="e">
        <f t="shared" ca="1" si="110"/>
        <v>#N/A</v>
      </c>
      <c r="X489" t="e">
        <f t="shared" ca="1" si="102"/>
        <v>#N/A</v>
      </c>
      <c r="Y489" t="e">
        <f t="shared" ca="1" si="103"/>
        <v>#N/A</v>
      </c>
      <c r="Z489" t="e">
        <f t="shared" ca="1" si="104"/>
        <v>#N/A</v>
      </c>
      <c r="AA489" t="e">
        <f t="shared" ca="1" si="105"/>
        <v>#N/A</v>
      </c>
      <c r="AB489" s="85" t="e">
        <f ca="1"/>
        <v>#N/A</v>
      </c>
      <c r="AC489" s="57" t="e">
        <f t="shared" ca="1" si="106"/>
        <v>#N/A</v>
      </c>
      <c r="AD489" s="57" t="e">
        <f t="shared" ca="1" si="107"/>
        <v>#N/A</v>
      </c>
      <c r="AE489" s="57" t="e">
        <f t="shared" ca="1" si="108"/>
        <v>#N/A</v>
      </c>
      <c r="AF489" s="57" t="e">
        <f t="shared" ca="1" si="109"/>
        <v>#N/A</v>
      </c>
    </row>
    <row r="490" spans="18:32" x14ac:dyDescent="0.25">
      <c r="R490" s="57" t="e">
        <f ca="1"/>
        <v>#N/A</v>
      </c>
      <c r="S490" s="57" t="e">
        <f t="shared" ca="1" si="98"/>
        <v>#N/A</v>
      </c>
      <c r="T490" s="57" t="e">
        <f t="shared" ca="1" si="99"/>
        <v>#N/A</v>
      </c>
      <c r="U490" s="57" t="e">
        <f t="shared" ca="1" si="100"/>
        <v>#N/A</v>
      </c>
      <c r="V490" s="57" t="e">
        <f t="shared" ca="1" si="101"/>
        <v>#N/A</v>
      </c>
      <c r="W490" s="57" t="e">
        <f t="shared" ca="1" si="110"/>
        <v>#N/A</v>
      </c>
      <c r="X490" t="e">
        <f t="shared" ca="1" si="102"/>
        <v>#N/A</v>
      </c>
      <c r="Y490" t="e">
        <f t="shared" ca="1" si="103"/>
        <v>#N/A</v>
      </c>
      <c r="Z490" t="e">
        <f t="shared" ca="1" si="104"/>
        <v>#N/A</v>
      </c>
      <c r="AA490" t="e">
        <f t="shared" ca="1" si="105"/>
        <v>#N/A</v>
      </c>
      <c r="AB490" s="85" t="e">
        <f ca="1"/>
        <v>#N/A</v>
      </c>
      <c r="AC490" s="57" t="e">
        <f t="shared" ca="1" si="106"/>
        <v>#N/A</v>
      </c>
      <c r="AD490" s="57" t="e">
        <f t="shared" ca="1" si="107"/>
        <v>#N/A</v>
      </c>
      <c r="AE490" s="57" t="e">
        <f t="shared" ca="1" si="108"/>
        <v>#N/A</v>
      </c>
      <c r="AF490" s="57" t="e">
        <f t="shared" ca="1" si="109"/>
        <v>#N/A</v>
      </c>
    </row>
    <row r="491" spans="18:32" x14ac:dyDescent="0.25">
      <c r="R491" s="57" t="e">
        <f ca="1"/>
        <v>#N/A</v>
      </c>
      <c r="S491" s="57" t="e">
        <f t="shared" ca="1" si="98"/>
        <v>#N/A</v>
      </c>
      <c r="T491" s="57" t="e">
        <f t="shared" ca="1" si="99"/>
        <v>#N/A</v>
      </c>
      <c r="U491" s="57" t="e">
        <f t="shared" ca="1" si="100"/>
        <v>#N/A</v>
      </c>
      <c r="V491" s="57" t="e">
        <f t="shared" ca="1" si="101"/>
        <v>#N/A</v>
      </c>
      <c r="W491" s="57" t="e">
        <f t="shared" ca="1" si="110"/>
        <v>#N/A</v>
      </c>
      <c r="X491" t="e">
        <f t="shared" ca="1" si="102"/>
        <v>#N/A</v>
      </c>
      <c r="Y491" t="e">
        <f t="shared" ca="1" si="103"/>
        <v>#N/A</v>
      </c>
      <c r="Z491" t="e">
        <f t="shared" ca="1" si="104"/>
        <v>#N/A</v>
      </c>
      <c r="AA491" t="e">
        <f t="shared" ca="1" si="105"/>
        <v>#N/A</v>
      </c>
      <c r="AB491" s="85" t="e">
        <f ca="1"/>
        <v>#N/A</v>
      </c>
      <c r="AC491" s="57" t="e">
        <f t="shared" ca="1" si="106"/>
        <v>#N/A</v>
      </c>
      <c r="AD491" s="57" t="e">
        <f t="shared" ca="1" si="107"/>
        <v>#N/A</v>
      </c>
      <c r="AE491" s="57" t="e">
        <f t="shared" ca="1" si="108"/>
        <v>#N/A</v>
      </c>
      <c r="AF491" s="57" t="e">
        <f t="shared" ca="1" si="109"/>
        <v>#N/A</v>
      </c>
    </row>
    <row r="492" spans="18:32" x14ac:dyDescent="0.25">
      <c r="R492" s="57" t="e">
        <f ca="1"/>
        <v>#N/A</v>
      </c>
      <c r="S492" s="57" t="e">
        <f t="shared" ca="1" si="98"/>
        <v>#N/A</v>
      </c>
      <c r="T492" s="57" t="e">
        <f t="shared" ca="1" si="99"/>
        <v>#N/A</v>
      </c>
      <c r="U492" s="57" t="e">
        <f t="shared" ca="1" si="100"/>
        <v>#N/A</v>
      </c>
      <c r="V492" s="57" t="e">
        <f t="shared" ca="1" si="101"/>
        <v>#N/A</v>
      </c>
      <c r="W492" s="57" t="e">
        <f t="shared" ca="1" si="110"/>
        <v>#N/A</v>
      </c>
      <c r="X492" t="e">
        <f t="shared" ca="1" si="102"/>
        <v>#N/A</v>
      </c>
      <c r="Y492" t="e">
        <f t="shared" ca="1" si="103"/>
        <v>#N/A</v>
      </c>
      <c r="Z492" t="e">
        <f t="shared" ca="1" si="104"/>
        <v>#N/A</v>
      </c>
      <c r="AA492" t="e">
        <f t="shared" ca="1" si="105"/>
        <v>#N/A</v>
      </c>
      <c r="AB492" s="85" t="e">
        <f ca="1"/>
        <v>#N/A</v>
      </c>
      <c r="AC492" s="57" t="e">
        <f t="shared" ca="1" si="106"/>
        <v>#N/A</v>
      </c>
      <c r="AD492" s="57" t="e">
        <f t="shared" ca="1" si="107"/>
        <v>#N/A</v>
      </c>
      <c r="AE492" s="57" t="e">
        <f t="shared" ca="1" si="108"/>
        <v>#N/A</v>
      </c>
      <c r="AF492" s="57" t="e">
        <f t="shared" ca="1" si="109"/>
        <v>#N/A</v>
      </c>
    </row>
    <row r="493" spans="18:32" x14ac:dyDescent="0.25">
      <c r="R493" s="57" t="e">
        <f ca="1"/>
        <v>#N/A</v>
      </c>
      <c r="S493" s="57" t="e">
        <f t="shared" ca="1" si="98"/>
        <v>#N/A</v>
      </c>
      <c r="T493" s="57" t="e">
        <f t="shared" ca="1" si="99"/>
        <v>#N/A</v>
      </c>
      <c r="U493" s="57" t="e">
        <f t="shared" ca="1" si="100"/>
        <v>#N/A</v>
      </c>
      <c r="V493" s="57" t="e">
        <f t="shared" ca="1" si="101"/>
        <v>#N/A</v>
      </c>
      <c r="W493" s="57" t="e">
        <f t="shared" ca="1" si="110"/>
        <v>#N/A</v>
      </c>
      <c r="X493" t="e">
        <f t="shared" ca="1" si="102"/>
        <v>#N/A</v>
      </c>
      <c r="Y493" t="e">
        <f t="shared" ca="1" si="103"/>
        <v>#N/A</v>
      </c>
      <c r="Z493" t="e">
        <f t="shared" ca="1" si="104"/>
        <v>#N/A</v>
      </c>
      <c r="AA493" t="e">
        <f t="shared" ca="1" si="105"/>
        <v>#N/A</v>
      </c>
      <c r="AB493" s="85" t="e">
        <f ca="1"/>
        <v>#N/A</v>
      </c>
      <c r="AC493" s="57" t="e">
        <f t="shared" ca="1" si="106"/>
        <v>#N/A</v>
      </c>
      <c r="AD493" s="57" t="e">
        <f t="shared" ca="1" si="107"/>
        <v>#N/A</v>
      </c>
      <c r="AE493" s="57" t="e">
        <f t="shared" ca="1" si="108"/>
        <v>#N/A</v>
      </c>
      <c r="AF493" s="57" t="e">
        <f t="shared" ca="1" si="109"/>
        <v>#N/A</v>
      </c>
    </row>
    <row r="494" spans="18:32" x14ac:dyDescent="0.25">
      <c r="R494" s="57" t="e">
        <f ca="1"/>
        <v>#N/A</v>
      </c>
      <c r="S494" s="57" t="e">
        <f t="shared" ca="1" si="98"/>
        <v>#N/A</v>
      </c>
      <c r="T494" s="57" t="e">
        <f t="shared" ca="1" si="99"/>
        <v>#N/A</v>
      </c>
      <c r="U494" s="57" t="e">
        <f t="shared" ca="1" si="100"/>
        <v>#N/A</v>
      </c>
      <c r="V494" s="57" t="e">
        <f t="shared" ca="1" si="101"/>
        <v>#N/A</v>
      </c>
      <c r="W494" s="57" t="e">
        <f t="shared" ca="1" si="110"/>
        <v>#N/A</v>
      </c>
      <c r="X494" t="e">
        <f t="shared" ca="1" si="102"/>
        <v>#N/A</v>
      </c>
      <c r="Y494" t="e">
        <f t="shared" ca="1" si="103"/>
        <v>#N/A</v>
      </c>
      <c r="Z494" t="e">
        <f t="shared" ca="1" si="104"/>
        <v>#N/A</v>
      </c>
      <c r="AA494" t="e">
        <f t="shared" ca="1" si="105"/>
        <v>#N/A</v>
      </c>
      <c r="AB494" s="85" t="e">
        <f ca="1"/>
        <v>#N/A</v>
      </c>
      <c r="AC494" s="57" t="e">
        <f t="shared" ca="1" si="106"/>
        <v>#N/A</v>
      </c>
      <c r="AD494" s="57" t="e">
        <f t="shared" ca="1" si="107"/>
        <v>#N/A</v>
      </c>
      <c r="AE494" s="57" t="e">
        <f t="shared" ca="1" si="108"/>
        <v>#N/A</v>
      </c>
      <c r="AF494" s="57" t="e">
        <f t="shared" ca="1" si="109"/>
        <v>#N/A</v>
      </c>
    </row>
    <row r="495" spans="18:32" x14ac:dyDescent="0.25">
      <c r="R495" s="57" t="e">
        <f ca="1"/>
        <v>#N/A</v>
      </c>
      <c r="S495" s="57" t="e">
        <f t="shared" ca="1" si="98"/>
        <v>#N/A</v>
      </c>
      <c r="T495" s="57" t="e">
        <f t="shared" ca="1" si="99"/>
        <v>#N/A</v>
      </c>
      <c r="U495" s="57" t="e">
        <f t="shared" ca="1" si="100"/>
        <v>#N/A</v>
      </c>
      <c r="V495" s="57" t="e">
        <f t="shared" ca="1" si="101"/>
        <v>#N/A</v>
      </c>
      <c r="W495" s="57" t="e">
        <f t="shared" ca="1" si="110"/>
        <v>#N/A</v>
      </c>
      <c r="X495" t="e">
        <f t="shared" ca="1" si="102"/>
        <v>#N/A</v>
      </c>
      <c r="Y495" t="e">
        <f t="shared" ca="1" si="103"/>
        <v>#N/A</v>
      </c>
      <c r="Z495" t="e">
        <f t="shared" ca="1" si="104"/>
        <v>#N/A</v>
      </c>
      <c r="AA495" t="e">
        <f t="shared" ca="1" si="105"/>
        <v>#N/A</v>
      </c>
      <c r="AB495" s="85" t="e">
        <f ca="1"/>
        <v>#N/A</v>
      </c>
      <c r="AC495" s="57" t="e">
        <f t="shared" ca="1" si="106"/>
        <v>#N/A</v>
      </c>
      <c r="AD495" s="57" t="e">
        <f t="shared" ca="1" si="107"/>
        <v>#N/A</v>
      </c>
      <c r="AE495" s="57" t="e">
        <f t="shared" ca="1" si="108"/>
        <v>#N/A</v>
      </c>
      <c r="AF495" s="57" t="e">
        <f t="shared" ca="1" si="109"/>
        <v>#N/A</v>
      </c>
    </row>
    <row r="496" spans="18:32" x14ac:dyDescent="0.25">
      <c r="R496" s="57" t="e">
        <f ca="1"/>
        <v>#N/A</v>
      </c>
      <c r="S496" s="57" t="e">
        <f t="shared" ca="1" si="98"/>
        <v>#N/A</v>
      </c>
      <c r="T496" s="57" t="e">
        <f t="shared" ca="1" si="99"/>
        <v>#N/A</v>
      </c>
      <c r="U496" s="57" t="e">
        <f t="shared" ca="1" si="100"/>
        <v>#N/A</v>
      </c>
      <c r="V496" s="57" t="e">
        <f t="shared" ca="1" si="101"/>
        <v>#N/A</v>
      </c>
      <c r="W496" s="57" t="e">
        <f t="shared" ca="1" si="110"/>
        <v>#N/A</v>
      </c>
      <c r="X496" t="e">
        <f t="shared" ca="1" si="102"/>
        <v>#N/A</v>
      </c>
      <c r="Y496" t="e">
        <f t="shared" ca="1" si="103"/>
        <v>#N/A</v>
      </c>
      <c r="Z496" t="e">
        <f t="shared" ca="1" si="104"/>
        <v>#N/A</v>
      </c>
      <c r="AA496" t="e">
        <f t="shared" ca="1" si="105"/>
        <v>#N/A</v>
      </c>
      <c r="AB496" s="85" t="e">
        <f ca="1"/>
        <v>#N/A</v>
      </c>
      <c r="AC496" s="57" t="e">
        <f t="shared" ca="1" si="106"/>
        <v>#N/A</v>
      </c>
      <c r="AD496" s="57" t="e">
        <f t="shared" ca="1" si="107"/>
        <v>#N/A</v>
      </c>
      <c r="AE496" s="57" t="e">
        <f t="shared" ca="1" si="108"/>
        <v>#N/A</v>
      </c>
      <c r="AF496" s="57" t="e">
        <f t="shared" ca="1" si="109"/>
        <v>#N/A</v>
      </c>
    </row>
    <row r="497" spans="18:32" x14ac:dyDescent="0.25">
      <c r="R497" s="57" t="e">
        <f ca="1"/>
        <v>#N/A</v>
      </c>
      <c r="S497" s="57" t="e">
        <f t="shared" ca="1" si="98"/>
        <v>#N/A</v>
      </c>
      <c r="T497" s="57" t="e">
        <f t="shared" ca="1" si="99"/>
        <v>#N/A</v>
      </c>
      <c r="U497" s="57" t="e">
        <f t="shared" ca="1" si="100"/>
        <v>#N/A</v>
      </c>
      <c r="V497" s="57" t="e">
        <f t="shared" ca="1" si="101"/>
        <v>#N/A</v>
      </c>
      <c r="W497" s="57" t="e">
        <f t="shared" ca="1" si="110"/>
        <v>#N/A</v>
      </c>
      <c r="X497" t="e">
        <f t="shared" ca="1" si="102"/>
        <v>#N/A</v>
      </c>
      <c r="Y497" t="e">
        <f t="shared" ca="1" si="103"/>
        <v>#N/A</v>
      </c>
      <c r="Z497" t="e">
        <f t="shared" ca="1" si="104"/>
        <v>#N/A</v>
      </c>
      <c r="AA497" t="e">
        <f t="shared" ca="1" si="105"/>
        <v>#N/A</v>
      </c>
      <c r="AB497" s="85" t="e">
        <f ca="1"/>
        <v>#N/A</v>
      </c>
      <c r="AC497" s="57" t="e">
        <f t="shared" ca="1" si="106"/>
        <v>#N/A</v>
      </c>
      <c r="AD497" s="57" t="e">
        <f t="shared" ca="1" si="107"/>
        <v>#N/A</v>
      </c>
      <c r="AE497" s="57" t="e">
        <f t="shared" ca="1" si="108"/>
        <v>#N/A</v>
      </c>
      <c r="AF497" s="57" t="e">
        <f t="shared" ca="1" si="109"/>
        <v>#N/A</v>
      </c>
    </row>
    <row r="498" spans="18:32" x14ac:dyDescent="0.25">
      <c r="R498" s="57" t="e">
        <f ca="1"/>
        <v>#N/A</v>
      </c>
      <c r="S498" s="57" t="e">
        <f t="shared" ca="1" si="98"/>
        <v>#N/A</v>
      </c>
      <c r="T498" s="57" t="e">
        <f t="shared" ca="1" si="99"/>
        <v>#N/A</v>
      </c>
      <c r="U498" s="57" t="e">
        <f t="shared" ca="1" si="100"/>
        <v>#N/A</v>
      </c>
      <c r="V498" s="57" t="e">
        <f t="shared" ca="1" si="101"/>
        <v>#N/A</v>
      </c>
      <c r="W498" s="57" t="e">
        <f t="shared" ca="1" si="110"/>
        <v>#N/A</v>
      </c>
      <c r="X498" t="e">
        <f t="shared" ca="1" si="102"/>
        <v>#N/A</v>
      </c>
      <c r="Y498" t="e">
        <f t="shared" ca="1" si="103"/>
        <v>#N/A</v>
      </c>
      <c r="Z498" t="e">
        <f t="shared" ca="1" si="104"/>
        <v>#N/A</v>
      </c>
      <c r="AA498" t="e">
        <f t="shared" ca="1" si="105"/>
        <v>#N/A</v>
      </c>
      <c r="AB498" s="85" t="e">
        <f ca="1"/>
        <v>#N/A</v>
      </c>
      <c r="AC498" s="57" t="e">
        <f t="shared" ca="1" si="106"/>
        <v>#N/A</v>
      </c>
      <c r="AD498" s="57" t="e">
        <f t="shared" ca="1" si="107"/>
        <v>#N/A</v>
      </c>
      <c r="AE498" s="57" t="e">
        <f t="shared" ca="1" si="108"/>
        <v>#N/A</v>
      </c>
      <c r="AF498" s="57" t="e">
        <f t="shared" ca="1" si="109"/>
        <v>#N/A</v>
      </c>
    </row>
    <row r="499" spans="18:32" x14ac:dyDescent="0.25">
      <c r="R499" s="57" t="e">
        <f ca="1"/>
        <v>#N/A</v>
      </c>
      <c r="S499" s="57" t="e">
        <f t="shared" ca="1" si="98"/>
        <v>#N/A</v>
      </c>
      <c r="T499" s="57" t="e">
        <f t="shared" ca="1" si="99"/>
        <v>#N/A</v>
      </c>
      <c r="U499" s="57" t="e">
        <f t="shared" ca="1" si="100"/>
        <v>#N/A</v>
      </c>
      <c r="V499" s="57" t="e">
        <f t="shared" ca="1" si="101"/>
        <v>#N/A</v>
      </c>
      <c r="W499" s="57" t="e">
        <f t="shared" ca="1" si="110"/>
        <v>#N/A</v>
      </c>
      <c r="X499" t="e">
        <f t="shared" ca="1" si="102"/>
        <v>#N/A</v>
      </c>
      <c r="Y499" t="e">
        <f t="shared" ca="1" si="103"/>
        <v>#N/A</v>
      </c>
      <c r="Z499" t="e">
        <f t="shared" ca="1" si="104"/>
        <v>#N/A</v>
      </c>
      <c r="AA499" t="e">
        <f t="shared" ca="1" si="105"/>
        <v>#N/A</v>
      </c>
      <c r="AB499" s="85" t="e">
        <f ca="1"/>
        <v>#N/A</v>
      </c>
      <c r="AC499" s="57" t="e">
        <f t="shared" ca="1" si="106"/>
        <v>#N/A</v>
      </c>
      <c r="AD499" s="57" t="e">
        <f t="shared" ca="1" si="107"/>
        <v>#N/A</v>
      </c>
      <c r="AE499" s="57" t="e">
        <f t="shared" ca="1" si="108"/>
        <v>#N/A</v>
      </c>
      <c r="AF499" s="57" t="e">
        <f t="shared" ca="1" si="109"/>
        <v>#N/A</v>
      </c>
    </row>
    <row r="500" spans="18:32" x14ac:dyDescent="0.25">
      <c r="R500" s="57" t="e">
        <f ca="1"/>
        <v>#N/A</v>
      </c>
      <c r="S500" s="57" t="e">
        <f t="shared" ca="1" si="98"/>
        <v>#N/A</v>
      </c>
      <c r="T500" s="57" t="e">
        <f t="shared" ca="1" si="99"/>
        <v>#N/A</v>
      </c>
      <c r="U500" s="57" t="e">
        <f t="shared" ca="1" si="100"/>
        <v>#N/A</v>
      </c>
      <c r="V500" s="57" t="e">
        <f t="shared" ca="1" si="101"/>
        <v>#N/A</v>
      </c>
      <c r="W500" s="57" t="e">
        <f t="shared" ca="1" si="110"/>
        <v>#N/A</v>
      </c>
      <c r="X500" t="e">
        <f t="shared" ca="1" si="102"/>
        <v>#N/A</v>
      </c>
      <c r="Y500" t="e">
        <f t="shared" ca="1" si="103"/>
        <v>#N/A</v>
      </c>
      <c r="Z500" t="e">
        <f t="shared" ca="1" si="104"/>
        <v>#N/A</v>
      </c>
      <c r="AA500" t="e">
        <f t="shared" ca="1" si="105"/>
        <v>#N/A</v>
      </c>
      <c r="AB500" s="85" t="e">
        <f ca="1"/>
        <v>#N/A</v>
      </c>
      <c r="AC500" s="57" t="e">
        <f t="shared" ca="1" si="106"/>
        <v>#N/A</v>
      </c>
      <c r="AD500" s="57" t="e">
        <f t="shared" ca="1" si="107"/>
        <v>#N/A</v>
      </c>
      <c r="AE500" s="57" t="e">
        <f t="shared" ca="1" si="108"/>
        <v>#N/A</v>
      </c>
      <c r="AF500" s="57" t="e">
        <f t="shared" ca="1" si="109"/>
        <v>#N/A</v>
      </c>
    </row>
    <row r="501" spans="18:32" x14ac:dyDescent="0.25">
      <c r="R501" s="57" t="e">
        <f ca="1"/>
        <v>#N/A</v>
      </c>
      <c r="S501" s="57" t="e">
        <f t="shared" ca="1" si="98"/>
        <v>#N/A</v>
      </c>
      <c r="T501" s="57" t="e">
        <f t="shared" ca="1" si="99"/>
        <v>#N/A</v>
      </c>
      <c r="U501" s="57" t="e">
        <f t="shared" ca="1" si="100"/>
        <v>#N/A</v>
      </c>
      <c r="V501" s="57" t="e">
        <f t="shared" ca="1" si="101"/>
        <v>#N/A</v>
      </c>
      <c r="W501" s="57" t="e">
        <f t="shared" ca="1" si="110"/>
        <v>#N/A</v>
      </c>
      <c r="X501" t="e">
        <f t="shared" ca="1" si="102"/>
        <v>#N/A</v>
      </c>
      <c r="Y501" t="e">
        <f t="shared" ca="1" si="103"/>
        <v>#N/A</v>
      </c>
      <c r="Z501" t="e">
        <f t="shared" ca="1" si="104"/>
        <v>#N/A</v>
      </c>
      <c r="AA501" t="e">
        <f t="shared" ca="1" si="105"/>
        <v>#N/A</v>
      </c>
      <c r="AB501" s="85" t="e">
        <f ca="1"/>
        <v>#N/A</v>
      </c>
      <c r="AC501" s="57" t="e">
        <f t="shared" ca="1" si="106"/>
        <v>#N/A</v>
      </c>
      <c r="AD501" s="57" t="e">
        <f t="shared" ca="1" si="107"/>
        <v>#N/A</v>
      </c>
      <c r="AE501" s="57" t="e">
        <f t="shared" ca="1" si="108"/>
        <v>#N/A</v>
      </c>
      <c r="AF501" s="57" t="e">
        <f t="shared" ca="1" si="109"/>
        <v>#N/A</v>
      </c>
    </row>
    <row r="502" spans="18:32" x14ac:dyDescent="0.25">
      <c r="R502" s="57" t="e">
        <f ca="1"/>
        <v>#N/A</v>
      </c>
      <c r="S502" s="57" t="e">
        <f t="shared" ca="1" si="98"/>
        <v>#N/A</v>
      </c>
      <c r="T502" s="57" t="e">
        <f t="shared" ca="1" si="99"/>
        <v>#N/A</v>
      </c>
      <c r="U502" s="57" t="e">
        <f t="shared" ca="1" si="100"/>
        <v>#N/A</v>
      </c>
      <c r="V502" s="57" t="e">
        <f t="shared" ca="1" si="101"/>
        <v>#N/A</v>
      </c>
      <c r="W502" s="57" t="e">
        <f t="shared" ca="1" si="110"/>
        <v>#N/A</v>
      </c>
      <c r="X502" t="e">
        <f t="shared" ca="1" si="102"/>
        <v>#N/A</v>
      </c>
      <c r="Y502" t="e">
        <f t="shared" ca="1" si="103"/>
        <v>#N/A</v>
      </c>
      <c r="Z502" t="e">
        <f t="shared" ca="1" si="104"/>
        <v>#N/A</v>
      </c>
      <c r="AA502" t="e">
        <f t="shared" ca="1" si="105"/>
        <v>#N/A</v>
      </c>
      <c r="AB502" s="85" t="e">
        <f ca="1"/>
        <v>#N/A</v>
      </c>
      <c r="AC502" s="57" t="e">
        <f t="shared" ca="1" si="106"/>
        <v>#N/A</v>
      </c>
      <c r="AD502" s="57" t="e">
        <f t="shared" ca="1" si="107"/>
        <v>#N/A</v>
      </c>
      <c r="AE502" s="57" t="e">
        <f t="shared" ca="1" si="108"/>
        <v>#N/A</v>
      </c>
      <c r="AF502" s="57" t="e">
        <f t="shared" ca="1" si="109"/>
        <v>#N/A</v>
      </c>
    </row>
    <row r="503" spans="18:32" x14ac:dyDescent="0.25">
      <c r="R503" s="57" t="e">
        <f ca="1"/>
        <v>#N/A</v>
      </c>
      <c r="S503" s="57" t="e">
        <f t="shared" ca="1" si="98"/>
        <v>#N/A</v>
      </c>
      <c r="T503" s="57" t="e">
        <f t="shared" ca="1" si="99"/>
        <v>#N/A</v>
      </c>
      <c r="U503" s="57" t="e">
        <f t="shared" ca="1" si="100"/>
        <v>#N/A</v>
      </c>
      <c r="V503" s="57" t="e">
        <f t="shared" ca="1" si="101"/>
        <v>#N/A</v>
      </c>
      <c r="W503" s="57" t="e">
        <f t="shared" ca="1" si="110"/>
        <v>#N/A</v>
      </c>
      <c r="X503" t="e">
        <f t="shared" ca="1" si="102"/>
        <v>#N/A</v>
      </c>
      <c r="Y503" t="e">
        <f t="shared" ca="1" si="103"/>
        <v>#N/A</v>
      </c>
      <c r="Z503" t="e">
        <f t="shared" ca="1" si="104"/>
        <v>#N/A</v>
      </c>
      <c r="AA503" t="e">
        <f t="shared" ca="1" si="105"/>
        <v>#N/A</v>
      </c>
      <c r="AB503" s="85" t="e">
        <f ca="1"/>
        <v>#N/A</v>
      </c>
      <c r="AC503" s="57" t="e">
        <f t="shared" ca="1" si="106"/>
        <v>#N/A</v>
      </c>
      <c r="AD503" s="57" t="e">
        <f t="shared" ca="1" si="107"/>
        <v>#N/A</v>
      </c>
      <c r="AE503" s="57" t="e">
        <f t="shared" ca="1" si="108"/>
        <v>#N/A</v>
      </c>
      <c r="AF503" s="57" t="e">
        <f t="shared" ca="1" si="109"/>
        <v>#N/A</v>
      </c>
    </row>
    <row r="504" spans="18:32" x14ac:dyDescent="0.25">
      <c r="R504" s="57" t="e">
        <f ca="1"/>
        <v>#N/A</v>
      </c>
      <c r="S504" s="57" t="e">
        <f t="shared" ca="1" si="98"/>
        <v>#N/A</v>
      </c>
      <c r="T504" s="57" t="e">
        <f t="shared" ca="1" si="99"/>
        <v>#N/A</v>
      </c>
      <c r="U504" s="57" t="e">
        <f t="shared" ca="1" si="100"/>
        <v>#N/A</v>
      </c>
      <c r="V504" s="57" t="e">
        <f t="shared" ca="1" si="101"/>
        <v>#N/A</v>
      </c>
      <c r="W504" s="57" t="e">
        <f t="shared" ca="1" si="110"/>
        <v>#N/A</v>
      </c>
      <c r="X504" t="e">
        <f t="shared" ca="1" si="102"/>
        <v>#N/A</v>
      </c>
      <c r="Y504" t="e">
        <f t="shared" ca="1" si="103"/>
        <v>#N/A</v>
      </c>
      <c r="Z504" t="e">
        <f t="shared" ca="1" si="104"/>
        <v>#N/A</v>
      </c>
      <c r="AA504" t="e">
        <f t="shared" ca="1" si="105"/>
        <v>#N/A</v>
      </c>
      <c r="AB504" s="85" t="e">
        <f ca="1"/>
        <v>#N/A</v>
      </c>
      <c r="AC504" s="57" t="e">
        <f t="shared" ca="1" si="106"/>
        <v>#N/A</v>
      </c>
      <c r="AD504" s="57" t="e">
        <f t="shared" ca="1" si="107"/>
        <v>#N/A</v>
      </c>
      <c r="AE504" s="57" t="e">
        <f t="shared" ca="1" si="108"/>
        <v>#N/A</v>
      </c>
      <c r="AF504" s="57" t="e">
        <f t="shared" ca="1" si="109"/>
        <v>#N/A</v>
      </c>
    </row>
    <row r="505" spans="18:32" x14ac:dyDescent="0.25">
      <c r="R505" s="57" t="e">
        <f ca="1"/>
        <v>#N/A</v>
      </c>
      <c r="S505" s="57" t="e">
        <f t="shared" ca="1" si="98"/>
        <v>#N/A</v>
      </c>
      <c r="T505" s="57" t="e">
        <f t="shared" ca="1" si="99"/>
        <v>#N/A</v>
      </c>
      <c r="U505" s="57" t="e">
        <f t="shared" ca="1" si="100"/>
        <v>#N/A</v>
      </c>
      <c r="V505" s="57" t="e">
        <f t="shared" ca="1" si="101"/>
        <v>#N/A</v>
      </c>
      <c r="W505" s="57" t="e">
        <f t="shared" ca="1" si="110"/>
        <v>#N/A</v>
      </c>
      <c r="X505" t="e">
        <f t="shared" ca="1" si="102"/>
        <v>#N/A</v>
      </c>
      <c r="Y505" t="e">
        <f t="shared" ca="1" si="103"/>
        <v>#N/A</v>
      </c>
      <c r="Z505" t="e">
        <f t="shared" ca="1" si="104"/>
        <v>#N/A</v>
      </c>
      <c r="AA505" t="e">
        <f t="shared" ca="1" si="105"/>
        <v>#N/A</v>
      </c>
      <c r="AB505" s="85" t="e">
        <f ca="1"/>
        <v>#N/A</v>
      </c>
      <c r="AC505" s="57" t="e">
        <f t="shared" ca="1" si="106"/>
        <v>#N/A</v>
      </c>
      <c r="AD505" s="57" t="e">
        <f t="shared" ca="1" si="107"/>
        <v>#N/A</v>
      </c>
      <c r="AE505" s="57" t="e">
        <f t="shared" ca="1" si="108"/>
        <v>#N/A</v>
      </c>
      <c r="AF505" s="57" t="e">
        <f t="shared" ca="1" si="109"/>
        <v>#N/A</v>
      </c>
    </row>
    <row r="506" spans="18:32" x14ac:dyDescent="0.25">
      <c r="R506" s="57" t="e">
        <f ca="1"/>
        <v>#N/A</v>
      </c>
      <c r="S506" s="57" t="e">
        <f t="shared" ca="1" si="98"/>
        <v>#N/A</v>
      </c>
      <c r="T506" s="57" t="e">
        <f t="shared" ca="1" si="99"/>
        <v>#N/A</v>
      </c>
      <c r="U506" s="57" t="e">
        <f t="shared" ca="1" si="100"/>
        <v>#N/A</v>
      </c>
      <c r="V506" s="57" t="e">
        <f t="shared" ca="1" si="101"/>
        <v>#N/A</v>
      </c>
      <c r="W506" s="57" t="e">
        <f t="shared" ca="1" si="110"/>
        <v>#N/A</v>
      </c>
      <c r="X506" t="e">
        <f t="shared" ca="1" si="102"/>
        <v>#N/A</v>
      </c>
      <c r="Y506" t="e">
        <f t="shared" ca="1" si="103"/>
        <v>#N/A</v>
      </c>
      <c r="Z506" t="e">
        <f t="shared" ca="1" si="104"/>
        <v>#N/A</v>
      </c>
      <c r="AA506" t="e">
        <f t="shared" ca="1" si="105"/>
        <v>#N/A</v>
      </c>
      <c r="AB506" s="85" t="e">
        <f ca="1"/>
        <v>#N/A</v>
      </c>
      <c r="AC506" s="57" t="e">
        <f t="shared" ca="1" si="106"/>
        <v>#N/A</v>
      </c>
      <c r="AD506" s="57" t="e">
        <f t="shared" ca="1" si="107"/>
        <v>#N/A</v>
      </c>
      <c r="AE506" s="57" t="e">
        <f t="shared" ca="1" si="108"/>
        <v>#N/A</v>
      </c>
      <c r="AF506" s="57" t="e">
        <f t="shared" ca="1" si="109"/>
        <v>#N/A</v>
      </c>
    </row>
    <row r="507" spans="18:32" x14ac:dyDescent="0.25">
      <c r="R507" s="57" t="e">
        <f ca="1"/>
        <v>#N/A</v>
      </c>
      <c r="S507" s="57" t="e">
        <f t="shared" ca="1" si="98"/>
        <v>#N/A</v>
      </c>
      <c r="T507" s="57" t="e">
        <f t="shared" ca="1" si="99"/>
        <v>#N/A</v>
      </c>
      <c r="U507" s="57" t="e">
        <f t="shared" ca="1" si="100"/>
        <v>#N/A</v>
      </c>
      <c r="V507" s="57" t="e">
        <f t="shared" ca="1" si="101"/>
        <v>#N/A</v>
      </c>
      <c r="W507" s="57" t="e">
        <f t="shared" ca="1" si="110"/>
        <v>#N/A</v>
      </c>
      <c r="X507" t="e">
        <f t="shared" ca="1" si="102"/>
        <v>#N/A</v>
      </c>
      <c r="Y507" t="e">
        <f t="shared" ca="1" si="103"/>
        <v>#N/A</v>
      </c>
      <c r="Z507" t="e">
        <f t="shared" ca="1" si="104"/>
        <v>#N/A</v>
      </c>
      <c r="AA507" t="e">
        <f t="shared" ca="1" si="105"/>
        <v>#N/A</v>
      </c>
      <c r="AB507" s="85" t="e">
        <f ca="1"/>
        <v>#N/A</v>
      </c>
      <c r="AC507" s="57" t="e">
        <f t="shared" ca="1" si="106"/>
        <v>#N/A</v>
      </c>
      <c r="AD507" s="57" t="e">
        <f t="shared" ca="1" si="107"/>
        <v>#N/A</v>
      </c>
      <c r="AE507" s="57" t="e">
        <f t="shared" ca="1" si="108"/>
        <v>#N/A</v>
      </c>
      <c r="AF507" s="57" t="e">
        <f t="shared" ca="1" si="109"/>
        <v>#N/A</v>
      </c>
    </row>
    <row r="508" spans="18:32" x14ac:dyDescent="0.25">
      <c r="R508" s="57" t="e">
        <f ca="1"/>
        <v>#N/A</v>
      </c>
      <c r="S508" s="57" t="e">
        <f t="shared" ca="1" si="98"/>
        <v>#N/A</v>
      </c>
      <c r="T508" s="57" t="e">
        <f t="shared" ca="1" si="99"/>
        <v>#N/A</v>
      </c>
      <c r="U508" s="57" t="e">
        <f t="shared" ca="1" si="100"/>
        <v>#N/A</v>
      </c>
      <c r="V508" s="57" t="e">
        <f t="shared" ca="1" si="101"/>
        <v>#N/A</v>
      </c>
      <c r="W508" s="57" t="e">
        <f t="shared" ca="1" si="110"/>
        <v>#N/A</v>
      </c>
      <c r="X508" t="e">
        <f t="shared" ca="1" si="102"/>
        <v>#N/A</v>
      </c>
      <c r="Y508" t="e">
        <f t="shared" ca="1" si="103"/>
        <v>#N/A</v>
      </c>
      <c r="Z508" t="e">
        <f t="shared" ca="1" si="104"/>
        <v>#N/A</v>
      </c>
      <c r="AA508" t="e">
        <f t="shared" ca="1" si="105"/>
        <v>#N/A</v>
      </c>
      <c r="AB508" s="85" t="e">
        <f ca="1"/>
        <v>#N/A</v>
      </c>
      <c r="AC508" s="57" t="e">
        <f t="shared" ca="1" si="106"/>
        <v>#N/A</v>
      </c>
      <c r="AD508" s="57" t="e">
        <f t="shared" ca="1" si="107"/>
        <v>#N/A</v>
      </c>
      <c r="AE508" s="57" t="e">
        <f t="shared" ca="1" si="108"/>
        <v>#N/A</v>
      </c>
      <c r="AF508" s="57" t="e">
        <f t="shared" ca="1" si="109"/>
        <v>#N/A</v>
      </c>
    </row>
    <row r="509" spans="18:32" x14ac:dyDescent="0.25">
      <c r="R509" s="57" t="e">
        <f ca="1"/>
        <v>#N/A</v>
      </c>
      <c r="S509" s="57" t="e">
        <f t="shared" ca="1" si="98"/>
        <v>#N/A</v>
      </c>
      <c r="T509" s="57" t="e">
        <f t="shared" ca="1" si="99"/>
        <v>#N/A</v>
      </c>
      <c r="U509" s="57" t="e">
        <f t="shared" ca="1" si="100"/>
        <v>#N/A</v>
      </c>
      <c r="V509" s="57" t="e">
        <f t="shared" ca="1" si="101"/>
        <v>#N/A</v>
      </c>
      <c r="W509" s="57" t="e">
        <f t="shared" ca="1" si="110"/>
        <v>#N/A</v>
      </c>
      <c r="X509" t="e">
        <f t="shared" ca="1" si="102"/>
        <v>#N/A</v>
      </c>
      <c r="Y509" t="e">
        <f t="shared" ca="1" si="103"/>
        <v>#N/A</v>
      </c>
      <c r="Z509" t="e">
        <f t="shared" ca="1" si="104"/>
        <v>#N/A</v>
      </c>
      <c r="AA509" t="e">
        <f t="shared" ca="1" si="105"/>
        <v>#N/A</v>
      </c>
      <c r="AB509" s="85" t="e">
        <f ca="1"/>
        <v>#N/A</v>
      </c>
      <c r="AC509" s="57" t="e">
        <f t="shared" ca="1" si="106"/>
        <v>#N/A</v>
      </c>
      <c r="AD509" s="57" t="e">
        <f t="shared" ca="1" si="107"/>
        <v>#N/A</v>
      </c>
      <c r="AE509" s="57" t="e">
        <f t="shared" ca="1" si="108"/>
        <v>#N/A</v>
      </c>
      <c r="AF509" s="57" t="e">
        <f t="shared" ca="1" si="109"/>
        <v>#N/A</v>
      </c>
    </row>
    <row r="510" spans="18:32" x14ac:dyDescent="0.25">
      <c r="R510" s="57" t="e">
        <f ca="1"/>
        <v>#N/A</v>
      </c>
      <c r="S510" s="57" t="e">
        <f t="shared" ca="1" si="98"/>
        <v>#N/A</v>
      </c>
      <c r="T510" s="57" t="e">
        <f t="shared" ca="1" si="99"/>
        <v>#N/A</v>
      </c>
      <c r="U510" s="57" t="e">
        <f t="shared" ca="1" si="100"/>
        <v>#N/A</v>
      </c>
      <c r="V510" s="57" t="e">
        <f t="shared" ca="1" si="101"/>
        <v>#N/A</v>
      </c>
      <c r="W510" s="57" t="e">
        <f t="shared" ca="1" si="110"/>
        <v>#N/A</v>
      </c>
      <c r="X510" t="e">
        <f t="shared" ca="1" si="102"/>
        <v>#N/A</v>
      </c>
      <c r="Y510" t="e">
        <f t="shared" ca="1" si="103"/>
        <v>#N/A</v>
      </c>
      <c r="Z510" t="e">
        <f t="shared" ca="1" si="104"/>
        <v>#N/A</v>
      </c>
      <c r="AA510" t="e">
        <f t="shared" ca="1" si="105"/>
        <v>#N/A</v>
      </c>
      <c r="AB510" s="85" t="e">
        <f ca="1"/>
        <v>#N/A</v>
      </c>
      <c r="AC510" s="57" t="e">
        <f t="shared" ca="1" si="106"/>
        <v>#N/A</v>
      </c>
      <c r="AD510" s="57" t="e">
        <f t="shared" ca="1" si="107"/>
        <v>#N/A</v>
      </c>
      <c r="AE510" s="57" t="e">
        <f t="shared" ca="1" si="108"/>
        <v>#N/A</v>
      </c>
      <c r="AF510" s="57" t="e">
        <f t="shared" ca="1" si="109"/>
        <v>#N/A</v>
      </c>
    </row>
    <row r="511" spans="18:32" x14ac:dyDescent="0.25">
      <c r="R511" s="57" t="e">
        <f ca="1"/>
        <v>#N/A</v>
      </c>
      <c r="S511" s="57" t="e">
        <f t="shared" ca="1" si="98"/>
        <v>#N/A</v>
      </c>
      <c r="T511" s="57" t="e">
        <f t="shared" ca="1" si="99"/>
        <v>#N/A</v>
      </c>
      <c r="U511" s="57" t="e">
        <f t="shared" ca="1" si="100"/>
        <v>#N/A</v>
      </c>
      <c r="V511" s="57" t="e">
        <f t="shared" ca="1" si="101"/>
        <v>#N/A</v>
      </c>
      <c r="W511" s="57" t="e">
        <f t="shared" ca="1" si="110"/>
        <v>#N/A</v>
      </c>
      <c r="X511" t="e">
        <f t="shared" ca="1" si="102"/>
        <v>#N/A</v>
      </c>
      <c r="Y511" t="e">
        <f t="shared" ca="1" si="103"/>
        <v>#N/A</v>
      </c>
      <c r="Z511" t="e">
        <f t="shared" ca="1" si="104"/>
        <v>#N/A</v>
      </c>
      <c r="AA511" t="e">
        <f t="shared" ca="1" si="105"/>
        <v>#N/A</v>
      </c>
      <c r="AB511" s="85" t="e">
        <f ca="1"/>
        <v>#N/A</v>
      </c>
      <c r="AC511" s="57" t="e">
        <f t="shared" ca="1" si="106"/>
        <v>#N/A</v>
      </c>
      <c r="AD511" s="57" t="e">
        <f t="shared" ca="1" si="107"/>
        <v>#N/A</v>
      </c>
      <c r="AE511" s="57" t="e">
        <f t="shared" ca="1" si="108"/>
        <v>#N/A</v>
      </c>
      <c r="AF511" s="57" t="e">
        <f t="shared" ca="1" si="109"/>
        <v>#N/A</v>
      </c>
    </row>
    <row r="512" spans="18:32" x14ac:dyDescent="0.25">
      <c r="R512" s="57" t="e">
        <f ca="1"/>
        <v>#N/A</v>
      </c>
      <c r="S512" s="57" t="e">
        <f t="shared" ca="1" si="98"/>
        <v>#N/A</v>
      </c>
      <c r="T512" s="57" t="e">
        <f t="shared" ca="1" si="99"/>
        <v>#N/A</v>
      </c>
      <c r="U512" s="57" t="e">
        <f t="shared" ca="1" si="100"/>
        <v>#N/A</v>
      </c>
      <c r="V512" s="57" t="e">
        <f t="shared" ca="1" si="101"/>
        <v>#N/A</v>
      </c>
      <c r="W512" s="57" t="e">
        <f t="shared" ca="1" si="110"/>
        <v>#N/A</v>
      </c>
      <c r="X512" t="e">
        <f t="shared" ca="1" si="102"/>
        <v>#N/A</v>
      </c>
      <c r="Y512" t="e">
        <f t="shared" ca="1" si="103"/>
        <v>#N/A</v>
      </c>
      <c r="Z512" t="e">
        <f t="shared" ca="1" si="104"/>
        <v>#N/A</v>
      </c>
      <c r="AA512" t="e">
        <f t="shared" ca="1" si="105"/>
        <v>#N/A</v>
      </c>
      <c r="AB512" s="85" t="e">
        <f ca="1"/>
        <v>#N/A</v>
      </c>
      <c r="AC512" s="57" t="e">
        <f t="shared" ca="1" si="106"/>
        <v>#N/A</v>
      </c>
      <c r="AD512" s="57" t="e">
        <f t="shared" ca="1" si="107"/>
        <v>#N/A</v>
      </c>
      <c r="AE512" s="57" t="e">
        <f t="shared" ca="1" si="108"/>
        <v>#N/A</v>
      </c>
      <c r="AF512" s="57" t="e">
        <f t="shared" ca="1" si="109"/>
        <v>#N/A</v>
      </c>
    </row>
    <row r="513" spans="18:32" x14ac:dyDescent="0.25">
      <c r="R513" s="57" t="e">
        <f ca="1"/>
        <v>#N/A</v>
      </c>
      <c r="S513" s="57" t="e">
        <f t="shared" ca="1" si="98"/>
        <v>#N/A</v>
      </c>
      <c r="T513" s="57" t="e">
        <f t="shared" ca="1" si="99"/>
        <v>#N/A</v>
      </c>
      <c r="U513" s="57" t="e">
        <f t="shared" ca="1" si="100"/>
        <v>#N/A</v>
      </c>
      <c r="V513" s="57" t="e">
        <f t="shared" ca="1" si="101"/>
        <v>#N/A</v>
      </c>
      <c r="W513" s="57" t="e">
        <f t="shared" ca="1" si="110"/>
        <v>#N/A</v>
      </c>
      <c r="X513" t="e">
        <f t="shared" ca="1" si="102"/>
        <v>#N/A</v>
      </c>
      <c r="Y513" t="e">
        <f t="shared" ca="1" si="103"/>
        <v>#N/A</v>
      </c>
      <c r="Z513" t="e">
        <f t="shared" ca="1" si="104"/>
        <v>#N/A</v>
      </c>
      <c r="AA513" t="e">
        <f t="shared" ca="1" si="105"/>
        <v>#N/A</v>
      </c>
      <c r="AB513" s="85" t="e">
        <f ca="1"/>
        <v>#N/A</v>
      </c>
      <c r="AC513" s="57" t="e">
        <f t="shared" ca="1" si="106"/>
        <v>#N/A</v>
      </c>
      <c r="AD513" s="57" t="e">
        <f t="shared" ca="1" si="107"/>
        <v>#N/A</v>
      </c>
      <c r="AE513" s="57" t="e">
        <f t="shared" ca="1" si="108"/>
        <v>#N/A</v>
      </c>
      <c r="AF513" s="57" t="e">
        <f t="shared" ca="1" si="109"/>
        <v>#N/A</v>
      </c>
    </row>
    <row r="514" spans="18:32" x14ac:dyDescent="0.25">
      <c r="R514" s="57" t="e">
        <f ca="1"/>
        <v>#N/A</v>
      </c>
      <c r="S514" s="57" t="e">
        <f t="shared" ca="1" si="98"/>
        <v>#N/A</v>
      </c>
      <c r="T514" s="57" t="e">
        <f t="shared" ca="1" si="99"/>
        <v>#N/A</v>
      </c>
      <c r="U514" s="57" t="e">
        <f t="shared" ca="1" si="100"/>
        <v>#N/A</v>
      </c>
      <c r="V514" s="57" t="e">
        <f t="shared" ca="1" si="101"/>
        <v>#N/A</v>
      </c>
      <c r="W514" s="57" t="e">
        <f t="shared" ca="1" si="110"/>
        <v>#N/A</v>
      </c>
      <c r="X514" t="e">
        <f t="shared" ca="1" si="102"/>
        <v>#N/A</v>
      </c>
      <c r="Y514" t="e">
        <f t="shared" ca="1" si="103"/>
        <v>#N/A</v>
      </c>
      <c r="Z514" t="e">
        <f t="shared" ca="1" si="104"/>
        <v>#N/A</v>
      </c>
      <c r="AA514" t="e">
        <f t="shared" ca="1" si="105"/>
        <v>#N/A</v>
      </c>
      <c r="AB514" s="85" t="e">
        <f ca="1"/>
        <v>#N/A</v>
      </c>
      <c r="AC514" s="57" t="e">
        <f t="shared" ca="1" si="106"/>
        <v>#N/A</v>
      </c>
      <c r="AD514" s="57" t="e">
        <f t="shared" ca="1" si="107"/>
        <v>#N/A</v>
      </c>
      <c r="AE514" s="57" t="e">
        <f t="shared" ca="1" si="108"/>
        <v>#N/A</v>
      </c>
      <c r="AF514" s="57" t="e">
        <f t="shared" ca="1" si="109"/>
        <v>#N/A</v>
      </c>
    </row>
    <row r="515" spans="18:32" x14ac:dyDescent="0.25">
      <c r="R515" s="57" t="e">
        <f ca="1"/>
        <v>#N/A</v>
      </c>
      <c r="S515" s="57" t="e">
        <f t="shared" ca="1" si="98"/>
        <v>#N/A</v>
      </c>
      <c r="T515" s="57" t="e">
        <f t="shared" ca="1" si="99"/>
        <v>#N/A</v>
      </c>
      <c r="U515" s="57" t="e">
        <f t="shared" ca="1" si="100"/>
        <v>#N/A</v>
      </c>
      <c r="V515" s="57" t="e">
        <f t="shared" ca="1" si="101"/>
        <v>#N/A</v>
      </c>
      <c r="W515" s="57" t="e">
        <f t="shared" ca="1" si="110"/>
        <v>#N/A</v>
      </c>
      <c r="X515" t="e">
        <f t="shared" ca="1" si="102"/>
        <v>#N/A</v>
      </c>
      <c r="Y515" t="e">
        <f t="shared" ca="1" si="103"/>
        <v>#N/A</v>
      </c>
      <c r="Z515" t="e">
        <f t="shared" ca="1" si="104"/>
        <v>#N/A</v>
      </c>
      <c r="AA515" t="e">
        <f t="shared" ca="1" si="105"/>
        <v>#N/A</v>
      </c>
      <c r="AB515" s="85" t="e">
        <f ca="1"/>
        <v>#N/A</v>
      </c>
      <c r="AC515" s="57" t="e">
        <f t="shared" ca="1" si="106"/>
        <v>#N/A</v>
      </c>
      <c r="AD515" s="57" t="e">
        <f t="shared" ca="1" si="107"/>
        <v>#N/A</v>
      </c>
      <c r="AE515" s="57" t="e">
        <f t="shared" ca="1" si="108"/>
        <v>#N/A</v>
      </c>
      <c r="AF515" s="57" t="e">
        <f t="shared" ca="1" si="109"/>
        <v>#N/A</v>
      </c>
    </row>
    <row r="516" spans="18:32" x14ac:dyDescent="0.25">
      <c r="R516" s="57" t="e">
        <f ca="1"/>
        <v>#N/A</v>
      </c>
      <c r="S516" s="57" t="e">
        <f t="shared" ca="1" si="98"/>
        <v>#N/A</v>
      </c>
      <c r="T516" s="57" t="e">
        <f t="shared" ca="1" si="99"/>
        <v>#N/A</v>
      </c>
      <c r="U516" s="57" t="e">
        <f t="shared" ca="1" si="100"/>
        <v>#N/A</v>
      </c>
      <c r="V516" s="57" t="e">
        <f t="shared" ca="1" si="101"/>
        <v>#N/A</v>
      </c>
      <c r="W516" s="57" t="e">
        <f t="shared" ca="1" si="110"/>
        <v>#N/A</v>
      </c>
      <c r="X516" t="e">
        <f t="shared" ca="1" si="102"/>
        <v>#N/A</v>
      </c>
      <c r="Y516" t="e">
        <f t="shared" ca="1" si="103"/>
        <v>#N/A</v>
      </c>
      <c r="Z516" t="e">
        <f t="shared" ca="1" si="104"/>
        <v>#N/A</v>
      </c>
      <c r="AA516" t="e">
        <f t="shared" ca="1" si="105"/>
        <v>#N/A</v>
      </c>
      <c r="AB516" s="85" t="e">
        <f ca="1"/>
        <v>#N/A</v>
      </c>
      <c r="AC516" s="57" t="e">
        <f t="shared" ca="1" si="106"/>
        <v>#N/A</v>
      </c>
      <c r="AD516" s="57" t="e">
        <f t="shared" ca="1" si="107"/>
        <v>#N/A</v>
      </c>
      <c r="AE516" s="57" t="e">
        <f t="shared" ca="1" si="108"/>
        <v>#N/A</v>
      </c>
      <c r="AF516" s="57" t="e">
        <f t="shared" ca="1" si="109"/>
        <v>#N/A</v>
      </c>
    </row>
    <row r="517" spans="18:32" x14ac:dyDescent="0.25">
      <c r="R517" s="57" t="e">
        <f ca="1"/>
        <v>#N/A</v>
      </c>
      <c r="S517" s="57" t="e">
        <f t="shared" ca="1" si="98"/>
        <v>#N/A</v>
      </c>
      <c r="T517" s="57" t="e">
        <f t="shared" ca="1" si="99"/>
        <v>#N/A</v>
      </c>
      <c r="U517" s="57" t="e">
        <f t="shared" ca="1" si="100"/>
        <v>#N/A</v>
      </c>
      <c r="V517" s="57" t="e">
        <f t="shared" ca="1" si="101"/>
        <v>#N/A</v>
      </c>
      <c r="W517" s="57" t="e">
        <f t="shared" ca="1" si="110"/>
        <v>#N/A</v>
      </c>
      <c r="X517" t="e">
        <f t="shared" ca="1" si="102"/>
        <v>#N/A</v>
      </c>
      <c r="Y517" t="e">
        <f t="shared" ca="1" si="103"/>
        <v>#N/A</v>
      </c>
      <c r="Z517" t="e">
        <f t="shared" ca="1" si="104"/>
        <v>#N/A</v>
      </c>
      <c r="AA517" t="e">
        <f t="shared" ca="1" si="105"/>
        <v>#N/A</v>
      </c>
      <c r="AB517" s="85" t="e">
        <f ca="1"/>
        <v>#N/A</v>
      </c>
      <c r="AC517" s="57" t="e">
        <f t="shared" ca="1" si="106"/>
        <v>#N/A</v>
      </c>
      <c r="AD517" s="57" t="e">
        <f t="shared" ca="1" si="107"/>
        <v>#N/A</v>
      </c>
      <c r="AE517" s="57" t="e">
        <f t="shared" ca="1" si="108"/>
        <v>#N/A</v>
      </c>
      <c r="AF517" s="57" t="e">
        <f t="shared" ca="1" si="109"/>
        <v>#N/A</v>
      </c>
    </row>
    <row r="518" spans="18:32" x14ac:dyDescent="0.25">
      <c r="R518" s="57" t="e">
        <f ca="1"/>
        <v>#N/A</v>
      </c>
      <c r="S518" s="57" t="e">
        <f t="shared" ca="1" si="98"/>
        <v>#N/A</v>
      </c>
      <c r="T518" s="57" t="e">
        <f t="shared" ca="1" si="99"/>
        <v>#N/A</v>
      </c>
      <c r="U518" s="57" t="e">
        <f t="shared" ca="1" si="100"/>
        <v>#N/A</v>
      </c>
      <c r="V518" s="57" t="e">
        <f t="shared" ca="1" si="101"/>
        <v>#N/A</v>
      </c>
      <c r="W518" s="57" t="e">
        <f t="shared" ca="1" si="110"/>
        <v>#N/A</v>
      </c>
      <c r="X518" t="e">
        <f t="shared" ca="1" si="102"/>
        <v>#N/A</v>
      </c>
      <c r="Y518" t="e">
        <f t="shared" ca="1" si="103"/>
        <v>#N/A</v>
      </c>
      <c r="Z518" t="e">
        <f t="shared" ca="1" si="104"/>
        <v>#N/A</v>
      </c>
      <c r="AA518" t="e">
        <f t="shared" ca="1" si="105"/>
        <v>#N/A</v>
      </c>
      <c r="AB518" s="85" t="e">
        <f ca="1"/>
        <v>#N/A</v>
      </c>
      <c r="AC518" s="57" t="e">
        <f t="shared" ca="1" si="106"/>
        <v>#N/A</v>
      </c>
      <c r="AD518" s="57" t="e">
        <f t="shared" ca="1" si="107"/>
        <v>#N/A</v>
      </c>
      <c r="AE518" s="57" t="e">
        <f t="shared" ca="1" si="108"/>
        <v>#N/A</v>
      </c>
      <c r="AF518" s="57" t="e">
        <f t="shared" ca="1" si="109"/>
        <v>#N/A</v>
      </c>
    </row>
    <row r="519" spans="18:32" x14ac:dyDescent="0.25">
      <c r="R519" s="57" t="e">
        <f ca="1"/>
        <v>#N/A</v>
      </c>
      <c r="S519" s="57" t="e">
        <f t="shared" ca="1" si="98"/>
        <v>#N/A</v>
      </c>
      <c r="T519" s="57" t="e">
        <f t="shared" ca="1" si="99"/>
        <v>#N/A</v>
      </c>
      <c r="U519" s="57" t="e">
        <f t="shared" ca="1" si="100"/>
        <v>#N/A</v>
      </c>
      <c r="V519" s="57" t="e">
        <f t="shared" ca="1" si="101"/>
        <v>#N/A</v>
      </c>
      <c r="W519" s="57" t="e">
        <f t="shared" ca="1" si="110"/>
        <v>#N/A</v>
      </c>
      <c r="X519" t="e">
        <f t="shared" ca="1" si="102"/>
        <v>#N/A</v>
      </c>
      <c r="Y519" t="e">
        <f t="shared" ca="1" si="103"/>
        <v>#N/A</v>
      </c>
      <c r="Z519" t="e">
        <f t="shared" ca="1" si="104"/>
        <v>#N/A</v>
      </c>
      <c r="AA519" t="e">
        <f t="shared" ca="1" si="105"/>
        <v>#N/A</v>
      </c>
      <c r="AB519" s="85" t="e">
        <f ca="1"/>
        <v>#N/A</v>
      </c>
      <c r="AC519" s="57" t="e">
        <f t="shared" ca="1" si="106"/>
        <v>#N/A</v>
      </c>
      <c r="AD519" s="57" t="e">
        <f t="shared" ca="1" si="107"/>
        <v>#N/A</v>
      </c>
      <c r="AE519" s="57" t="e">
        <f t="shared" ca="1" si="108"/>
        <v>#N/A</v>
      </c>
      <c r="AF519" s="57" t="e">
        <f t="shared" ca="1" si="109"/>
        <v>#N/A</v>
      </c>
    </row>
    <row r="520" spans="18:32" x14ac:dyDescent="0.25">
      <c r="R520" s="57" t="e">
        <f ca="1"/>
        <v>#N/A</v>
      </c>
      <c r="S520" s="57" t="e">
        <f t="shared" ca="1" si="98"/>
        <v>#N/A</v>
      </c>
      <c r="T520" s="57" t="e">
        <f t="shared" ca="1" si="99"/>
        <v>#N/A</v>
      </c>
      <c r="U520" s="57" t="e">
        <f t="shared" ca="1" si="100"/>
        <v>#N/A</v>
      </c>
      <c r="V520" s="57" t="e">
        <f t="shared" ca="1" si="101"/>
        <v>#N/A</v>
      </c>
      <c r="W520" s="57" t="e">
        <f t="shared" ca="1" si="110"/>
        <v>#N/A</v>
      </c>
      <c r="X520" t="e">
        <f t="shared" ca="1" si="102"/>
        <v>#N/A</v>
      </c>
      <c r="Y520" t="e">
        <f t="shared" ca="1" si="103"/>
        <v>#N/A</v>
      </c>
      <c r="Z520" t="e">
        <f t="shared" ca="1" si="104"/>
        <v>#N/A</v>
      </c>
      <c r="AA520" t="e">
        <f t="shared" ca="1" si="105"/>
        <v>#N/A</v>
      </c>
      <c r="AB520" s="85" t="e">
        <f ca="1"/>
        <v>#N/A</v>
      </c>
      <c r="AC520" s="57" t="e">
        <f t="shared" ca="1" si="106"/>
        <v>#N/A</v>
      </c>
      <c r="AD520" s="57" t="e">
        <f t="shared" ca="1" si="107"/>
        <v>#N/A</v>
      </c>
      <c r="AE520" s="57" t="e">
        <f t="shared" ca="1" si="108"/>
        <v>#N/A</v>
      </c>
      <c r="AF520" s="57" t="e">
        <f t="shared" ca="1" si="109"/>
        <v>#N/A</v>
      </c>
    </row>
    <row r="521" spans="18:32" x14ac:dyDescent="0.25">
      <c r="R521" s="57" t="e">
        <f ca="1"/>
        <v>#N/A</v>
      </c>
      <c r="S521" s="57" t="e">
        <f t="shared" ca="1" si="98"/>
        <v>#N/A</v>
      </c>
      <c r="T521" s="57" t="e">
        <f t="shared" ca="1" si="99"/>
        <v>#N/A</v>
      </c>
      <c r="U521" s="57" t="e">
        <f t="shared" ca="1" si="100"/>
        <v>#N/A</v>
      </c>
      <c r="V521" s="57" t="e">
        <f t="shared" ca="1" si="101"/>
        <v>#N/A</v>
      </c>
      <c r="W521" s="57" t="e">
        <f t="shared" ca="1" si="110"/>
        <v>#N/A</v>
      </c>
      <c r="X521" t="e">
        <f t="shared" ca="1" si="102"/>
        <v>#N/A</v>
      </c>
      <c r="Y521" t="e">
        <f t="shared" ca="1" si="103"/>
        <v>#N/A</v>
      </c>
      <c r="Z521" t="e">
        <f t="shared" ca="1" si="104"/>
        <v>#N/A</v>
      </c>
      <c r="AA521" t="e">
        <f t="shared" ca="1" si="105"/>
        <v>#N/A</v>
      </c>
      <c r="AB521" s="85" t="e">
        <f ca="1"/>
        <v>#N/A</v>
      </c>
      <c r="AC521" s="57" t="e">
        <f t="shared" ca="1" si="106"/>
        <v>#N/A</v>
      </c>
      <c r="AD521" s="57" t="e">
        <f t="shared" ca="1" si="107"/>
        <v>#N/A</v>
      </c>
      <c r="AE521" s="57" t="e">
        <f t="shared" ca="1" si="108"/>
        <v>#N/A</v>
      </c>
      <c r="AF521" s="57" t="e">
        <f t="shared" ca="1" si="109"/>
        <v>#N/A</v>
      </c>
    </row>
    <row r="522" spans="18:32" x14ac:dyDescent="0.25">
      <c r="R522" s="57" t="e">
        <f ca="1"/>
        <v>#N/A</v>
      </c>
      <c r="S522" s="57" t="e">
        <f t="shared" ca="1" si="98"/>
        <v>#N/A</v>
      </c>
      <c r="T522" s="57" t="e">
        <f t="shared" ca="1" si="99"/>
        <v>#N/A</v>
      </c>
      <c r="U522" s="57" t="e">
        <f t="shared" ca="1" si="100"/>
        <v>#N/A</v>
      </c>
      <c r="V522" s="57" t="e">
        <f t="shared" ca="1" si="101"/>
        <v>#N/A</v>
      </c>
      <c r="W522" s="57" t="e">
        <f t="shared" ca="1" si="110"/>
        <v>#N/A</v>
      </c>
      <c r="X522" t="e">
        <f t="shared" ca="1" si="102"/>
        <v>#N/A</v>
      </c>
      <c r="Y522" t="e">
        <f t="shared" ca="1" si="103"/>
        <v>#N/A</v>
      </c>
      <c r="Z522" t="e">
        <f t="shared" ca="1" si="104"/>
        <v>#N/A</v>
      </c>
      <c r="AA522" t="e">
        <f t="shared" ca="1" si="105"/>
        <v>#N/A</v>
      </c>
      <c r="AB522" s="85" t="e">
        <f ca="1"/>
        <v>#N/A</v>
      </c>
      <c r="AC522" s="57" t="e">
        <f t="shared" ca="1" si="106"/>
        <v>#N/A</v>
      </c>
      <c r="AD522" s="57" t="e">
        <f t="shared" ca="1" si="107"/>
        <v>#N/A</v>
      </c>
      <c r="AE522" s="57" t="e">
        <f t="shared" ca="1" si="108"/>
        <v>#N/A</v>
      </c>
      <c r="AF522" s="57" t="e">
        <f t="shared" ca="1" si="109"/>
        <v>#N/A</v>
      </c>
    </row>
    <row r="523" spans="18:32" x14ac:dyDescent="0.25">
      <c r="R523" s="57" t="e">
        <f ca="1"/>
        <v>#N/A</v>
      </c>
      <c r="S523" s="57" t="e">
        <f t="shared" ca="1" si="98"/>
        <v>#N/A</v>
      </c>
      <c r="T523" s="57" t="e">
        <f t="shared" ca="1" si="99"/>
        <v>#N/A</v>
      </c>
      <c r="U523" s="57" t="e">
        <f t="shared" ca="1" si="100"/>
        <v>#N/A</v>
      </c>
      <c r="V523" s="57" t="e">
        <f t="shared" ca="1" si="101"/>
        <v>#N/A</v>
      </c>
      <c r="W523" s="57" t="e">
        <f t="shared" ca="1" si="110"/>
        <v>#N/A</v>
      </c>
      <c r="X523" t="e">
        <f t="shared" ca="1" si="102"/>
        <v>#N/A</v>
      </c>
      <c r="Y523" t="e">
        <f t="shared" ca="1" si="103"/>
        <v>#N/A</v>
      </c>
      <c r="Z523" t="e">
        <f t="shared" ca="1" si="104"/>
        <v>#N/A</v>
      </c>
      <c r="AA523" t="e">
        <f t="shared" ca="1" si="105"/>
        <v>#N/A</v>
      </c>
      <c r="AB523" s="85" t="e">
        <f ca="1"/>
        <v>#N/A</v>
      </c>
      <c r="AC523" s="57" t="e">
        <f t="shared" ca="1" si="106"/>
        <v>#N/A</v>
      </c>
      <c r="AD523" s="57" t="e">
        <f t="shared" ca="1" si="107"/>
        <v>#N/A</v>
      </c>
      <c r="AE523" s="57" t="e">
        <f t="shared" ca="1" si="108"/>
        <v>#N/A</v>
      </c>
      <c r="AF523" s="57" t="e">
        <f t="shared" ca="1" si="109"/>
        <v>#N/A</v>
      </c>
    </row>
    <row r="524" spans="18:32" x14ac:dyDescent="0.25">
      <c r="R524" s="57" t="e">
        <f ca="1"/>
        <v>#N/A</v>
      </c>
      <c r="S524" s="57" t="e">
        <f t="shared" ref="S524:S587" ca="1" si="111">IF(R524&gt;1,R524,"")</f>
        <v>#N/A</v>
      </c>
      <c r="T524" s="57" t="e">
        <f t="shared" ref="T524:T587" ca="1" si="112">VLOOKUP(S524,ModelOutputs,2,FALSE)</f>
        <v>#N/A</v>
      </c>
      <c r="U524" s="57" t="e">
        <f t="shared" ref="U524:U587" ca="1" si="113">VLOOKUP(S524,ModelOutputs,7,FALSE)</f>
        <v>#N/A</v>
      </c>
      <c r="V524" s="57" t="e">
        <f t="shared" ref="V524:V587" ca="1" si="114">VLOOKUP(S524,ModelOutputs,6,FALSE)</f>
        <v>#N/A</v>
      </c>
      <c r="W524" s="57" t="e">
        <f t="shared" ca="1" si="110"/>
        <v>#N/A</v>
      </c>
      <c r="X524" t="e">
        <f t="shared" ref="X524:X587" ca="1" si="115">VLOOKUP(S524,ModelOutputs,10,FALSE)*AWC</f>
        <v>#N/A</v>
      </c>
      <c r="Y524" t="e">
        <f t="shared" ref="Y524:Y587" ca="1" si="116">VLOOKUP(S524,ModelOutputs,11,FALSE)+Y523</f>
        <v>#N/A</v>
      </c>
      <c r="Z524" t="e">
        <f t="shared" ref="Z524:Z587" ca="1" si="117">VLOOKUP(S524,ModelOutputs,12,FALSE)</f>
        <v>#N/A</v>
      </c>
      <c r="AA524" t="e">
        <f t="shared" ref="AA524:AA587" ca="1" si="118">VLOOKUP(S524,ModelOutputs,13,FALSE)</f>
        <v>#N/A</v>
      </c>
      <c r="AB524" s="85" t="e">
        <f ca="1"/>
        <v>#N/A</v>
      </c>
      <c r="AC524" s="57" t="e">
        <f t="shared" ref="AC524:AC587" ca="1" si="119">IF(AB524&gt;1,AB524,"")</f>
        <v>#N/A</v>
      </c>
      <c r="AD524" s="57" t="e">
        <f t="shared" ref="AD524:AD587" ca="1" si="120">VLOOKUP(AC524,ModelOutputs,2,FALSE)</f>
        <v>#N/A</v>
      </c>
      <c r="AE524" s="57" t="e">
        <f t="shared" ref="AE524:AE587" ca="1" si="121">VLOOKUP(AC524,ModelOutputs,7,FALSE)</f>
        <v>#N/A</v>
      </c>
      <c r="AF524" s="57" t="e">
        <f t="shared" ref="AF524:AF587" ca="1" si="122">VLOOKUP(AC524,ModelOutputs,6,FALSE)</f>
        <v>#N/A</v>
      </c>
    </row>
    <row r="525" spans="18:32" x14ac:dyDescent="0.25">
      <c r="R525" s="57" t="e">
        <f ca="1"/>
        <v>#N/A</v>
      </c>
      <c r="S525" s="57" t="e">
        <f t="shared" ca="1" si="111"/>
        <v>#N/A</v>
      </c>
      <c r="T525" s="57" t="e">
        <f t="shared" ca="1" si="112"/>
        <v>#N/A</v>
      </c>
      <c r="U525" s="57" t="e">
        <f t="shared" ca="1" si="113"/>
        <v>#N/A</v>
      </c>
      <c r="V525" s="57" t="e">
        <f t="shared" ca="1" si="114"/>
        <v>#N/A</v>
      </c>
      <c r="W525" s="57" t="e">
        <f t="shared" ca="1" si="110"/>
        <v>#N/A</v>
      </c>
      <c r="X525" t="e">
        <f t="shared" ca="1" si="115"/>
        <v>#N/A</v>
      </c>
      <c r="Y525" t="e">
        <f t="shared" ca="1" si="116"/>
        <v>#N/A</v>
      </c>
      <c r="Z525" t="e">
        <f t="shared" ca="1" si="117"/>
        <v>#N/A</v>
      </c>
      <c r="AA525" t="e">
        <f t="shared" ca="1" si="118"/>
        <v>#N/A</v>
      </c>
      <c r="AB525" s="85" t="e">
        <f ca="1"/>
        <v>#N/A</v>
      </c>
      <c r="AC525" s="57" t="e">
        <f t="shared" ca="1" si="119"/>
        <v>#N/A</v>
      </c>
      <c r="AD525" s="57" t="e">
        <f t="shared" ca="1" si="120"/>
        <v>#N/A</v>
      </c>
      <c r="AE525" s="57" t="e">
        <f t="shared" ca="1" si="121"/>
        <v>#N/A</v>
      </c>
      <c r="AF525" s="57" t="e">
        <f t="shared" ca="1" si="122"/>
        <v>#N/A</v>
      </c>
    </row>
    <row r="526" spans="18:32" x14ac:dyDescent="0.25">
      <c r="R526" s="57" t="e">
        <f ca="1"/>
        <v>#N/A</v>
      </c>
      <c r="S526" s="57" t="e">
        <f t="shared" ca="1" si="111"/>
        <v>#N/A</v>
      </c>
      <c r="T526" s="57" t="e">
        <f t="shared" ca="1" si="112"/>
        <v>#N/A</v>
      </c>
      <c r="U526" s="57" t="e">
        <f t="shared" ca="1" si="113"/>
        <v>#N/A</v>
      </c>
      <c r="V526" s="57" t="e">
        <f t="shared" ca="1" si="114"/>
        <v>#N/A</v>
      </c>
      <c r="W526" s="57" t="e">
        <f t="shared" ca="1" si="110"/>
        <v>#N/A</v>
      </c>
      <c r="X526" t="e">
        <f t="shared" ca="1" si="115"/>
        <v>#N/A</v>
      </c>
      <c r="Y526" t="e">
        <f t="shared" ca="1" si="116"/>
        <v>#N/A</v>
      </c>
      <c r="Z526" t="e">
        <f t="shared" ca="1" si="117"/>
        <v>#N/A</v>
      </c>
      <c r="AA526" t="e">
        <f t="shared" ca="1" si="118"/>
        <v>#N/A</v>
      </c>
      <c r="AB526" s="85" t="e">
        <f ca="1"/>
        <v>#N/A</v>
      </c>
      <c r="AC526" s="57" t="e">
        <f t="shared" ca="1" si="119"/>
        <v>#N/A</v>
      </c>
      <c r="AD526" s="57" t="e">
        <f t="shared" ca="1" si="120"/>
        <v>#N/A</v>
      </c>
      <c r="AE526" s="57" t="e">
        <f t="shared" ca="1" si="121"/>
        <v>#N/A</v>
      </c>
      <c r="AF526" s="57" t="e">
        <f t="shared" ca="1" si="122"/>
        <v>#N/A</v>
      </c>
    </row>
    <row r="527" spans="18:32" x14ac:dyDescent="0.25">
      <c r="R527" s="57" t="e">
        <f ca="1"/>
        <v>#N/A</v>
      </c>
      <c r="S527" s="57" t="e">
        <f t="shared" ca="1" si="111"/>
        <v>#N/A</v>
      </c>
      <c r="T527" s="57" t="e">
        <f t="shared" ca="1" si="112"/>
        <v>#N/A</v>
      </c>
      <c r="U527" s="57" t="e">
        <f t="shared" ca="1" si="113"/>
        <v>#N/A</v>
      </c>
      <c r="V527" s="57" t="e">
        <f t="shared" ca="1" si="114"/>
        <v>#N/A</v>
      </c>
      <c r="W527" s="57" t="e">
        <f t="shared" ca="1" si="110"/>
        <v>#N/A</v>
      </c>
      <c r="X527" t="e">
        <f t="shared" ca="1" si="115"/>
        <v>#N/A</v>
      </c>
      <c r="Y527" t="e">
        <f t="shared" ca="1" si="116"/>
        <v>#N/A</v>
      </c>
      <c r="Z527" t="e">
        <f t="shared" ca="1" si="117"/>
        <v>#N/A</v>
      </c>
      <c r="AA527" t="e">
        <f t="shared" ca="1" si="118"/>
        <v>#N/A</v>
      </c>
      <c r="AB527" s="85" t="e">
        <f ca="1"/>
        <v>#N/A</v>
      </c>
      <c r="AC527" s="57" t="e">
        <f t="shared" ca="1" si="119"/>
        <v>#N/A</v>
      </c>
      <c r="AD527" s="57" t="e">
        <f t="shared" ca="1" si="120"/>
        <v>#N/A</v>
      </c>
      <c r="AE527" s="57" t="e">
        <f t="shared" ca="1" si="121"/>
        <v>#N/A</v>
      </c>
      <c r="AF527" s="57" t="e">
        <f t="shared" ca="1" si="122"/>
        <v>#N/A</v>
      </c>
    </row>
    <row r="528" spans="18:32" x14ac:dyDescent="0.25">
      <c r="R528" s="57" t="e">
        <f ca="1"/>
        <v>#N/A</v>
      </c>
      <c r="S528" s="57" t="e">
        <f t="shared" ca="1" si="111"/>
        <v>#N/A</v>
      </c>
      <c r="T528" s="57" t="e">
        <f t="shared" ca="1" si="112"/>
        <v>#N/A</v>
      </c>
      <c r="U528" s="57" t="e">
        <f t="shared" ca="1" si="113"/>
        <v>#N/A</v>
      </c>
      <c r="V528" s="57" t="e">
        <f t="shared" ca="1" si="114"/>
        <v>#N/A</v>
      </c>
      <c r="W528" s="57" t="e">
        <f t="shared" ca="1" si="110"/>
        <v>#N/A</v>
      </c>
      <c r="X528" t="e">
        <f t="shared" ca="1" si="115"/>
        <v>#N/A</v>
      </c>
      <c r="Y528" t="e">
        <f t="shared" ca="1" si="116"/>
        <v>#N/A</v>
      </c>
      <c r="Z528" t="e">
        <f t="shared" ca="1" si="117"/>
        <v>#N/A</v>
      </c>
      <c r="AA528" t="e">
        <f t="shared" ca="1" si="118"/>
        <v>#N/A</v>
      </c>
      <c r="AB528" s="85" t="e">
        <f ca="1"/>
        <v>#N/A</v>
      </c>
      <c r="AC528" s="57" t="e">
        <f t="shared" ca="1" si="119"/>
        <v>#N/A</v>
      </c>
      <c r="AD528" s="57" t="e">
        <f t="shared" ca="1" si="120"/>
        <v>#N/A</v>
      </c>
      <c r="AE528" s="57" t="e">
        <f t="shared" ca="1" si="121"/>
        <v>#N/A</v>
      </c>
      <c r="AF528" s="57" t="e">
        <f t="shared" ca="1" si="122"/>
        <v>#N/A</v>
      </c>
    </row>
    <row r="529" spans="18:32" x14ac:dyDescent="0.25">
      <c r="R529" s="57" t="e">
        <f ca="1"/>
        <v>#N/A</v>
      </c>
      <c r="S529" s="57" t="e">
        <f t="shared" ca="1" si="111"/>
        <v>#N/A</v>
      </c>
      <c r="T529" s="57" t="e">
        <f t="shared" ca="1" si="112"/>
        <v>#N/A</v>
      </c>
      <c r="U529" s="57" t="e">
        <f t="shared" ca="1" si="113"/>
        <v>#N/A</v>
      </c>
      <c r="V529" s="57" t="e">
        <f t="shared" ca="1" si="114"/>
        <v>#N/A</v>
      </c>
      <c r="W529" s="57" t="e">
        <f t="shared" ca="1" si="110"/>
        <v>#N/A</v>
      </c>
      <c r="X529" t="e">
        <f t="shared" ca="1" si="115"/>
        <v>#N/A</v>
      </c>
      <c r="Y529" t="e">
        <f t="shared" ca="1" si="116"/>
        <v>#N/A</v>
      </c>
      <c r="Z529" t="e">
        <f t="shared" ca="1" si="117"/>
        <v>#N/A</v>
      </c>
      <c r="AA529" t="e">
        <f t="shared" ca="1" si="118"/>
        <v>#N/A</v>
      </c>
      <c r="AB529" s="85" t="e">
        <f ca="1"/>
        <v>#N/A</v>
      </c>
      <c r="AC529" s="57" t="e">
        <f t="shared" ca="1" si="119"/>
        <v>#N/A</v>
      </c>
      <c r="AD529" s="57" t="e">
        <f t="shared" ca="1" si="120"/>
        <v>#N/A</v>
      </c>
      <c r="AE529" s="57" t="e">
        <f t="shared" ca="1" si="121"/>
        <v>#N/A</v>
      </c>
      <c r="AF529" s="57" t="e">
        <f t="shared" ca="1" si="122"/>
        <v>#N/A</v>
      </c>
    </row>
    <row r="530" spans="18:32" x14ac:dyDescent="0.25">
      <c r="R530" s="57" t="e">
        <f ca="1"/>
        <v>#N/A</v>
      </c>
      <c r="S530" s="57" t="e">
        <f t="shared" ca="1" si="111"/>
        <v>#N/A</v>
      </c>
      <c r="T530" s="57" t="e">
        <f t="shared" ca="1" si="112"/>
        <v>#N/A</v>
      </c>
      <c r="U530" s="57" t="e">
        <f t="shared" ca="1" si="113"/>
        <v>#N/A</v>
      </c>
      <c r="V530" s="57" t="e">
        <f t="shared" ca="1" si="114"/>
        <v>#N/A</v>
      </c>
      <c r="W530" s="57" t="e">
        <f t="shared" ca="1" si="110"/>
        <v>#N/A</v>
      </c>
      <c r="X530" t="e">
        <f t="shared" ca="1" si="115"/>
        <v>#N/A</v>
      </c>
      <c r="Y530" t="e">
        <f t="shared" ca="1" si="116"/>
        <v>#N/A</v>
      </c>
      <c r="Z530" t="e">
        <f t="shared" ca="1" si="117"/>
        <v>#N/A</v>
      </c>
      <c r="AA530" t="e">
        <f t="shared" ca="1" si="118"/>
        <v>#N/A</v>
      </c>
      <c r="AB530" s="85" t="e">
        <f ca="1"/>
        <v>#N/A</v>
      </c>
      <c r="AC530" s="57" t="e">
        <f t="shared" ca="1" si="119"/>
        <v>#N/A</v>
      </c>
      <c r="AD530" s="57" t="e">
        <f t="shared" ca="1" si="120"/>
        <v>#N/A</v>
      </c>
      <c r="AE530" s="57" t="e">
        <f t="shared" ca="1" si="121"/>
        <v>#N/A</v>
      </c>
      <c r="AF530" s="57" t="e">
        <f t="shared" ca="1" si="122"/>
        <v>#N/A</v>
      </c>
    </row>
    <row r="531" spans="18:32" x14ac:dyDescent="0.25">
      <c r="R531" s="57" t="e">
        <f ca="1"/>
        <v>#N/A</v>
      </c>
      <c r="S531" s="57" t="e">
        <f t="shared" ca="1" si="111"/>
        <v>#N/A</v>
      </c>
      <c r="T531" s="57" t="e">
        <f t="shared" ca="1" si="112"/>
        <v>#N/A</v>
      </c>
      <c r="U531" s="57" t="e">
        <f t="shared" ca="1" si="113"/>
        <v>#N/A</v>
      </c>
      <c r="V531" s="57" t="e">
        <f t="shared" ca="1" si="114"/>
        <v>#N/A</v>
      </c>
      <c r="W531" s="57" t="e">
        <f t="shared" ref="W531:W594" ca="1" si="123">VLOOKUP(S531,ModelOutputs,9,FALSE)+W530</f>
        <v>#N/A</v>
      </c>
      <c r="X531" t="e">
        <f t="shared" ca="1" si="115"/>
        <v>#N/A</v>
      </c>
      <c r="Y531" t="e">
        <f t="shared" ca="1" si="116"/>
        <v>#N/A</v>
      </c>
      <c r="Z531" t="e">
        <f t="shared" ca="1" si="117"/>
        <v>#N/A</v>
      </c>
      <c r="AA531" t="e">
        <f t="shared" ca="1" si="118"/>
        <v>#N/A</v>
      </c>
      <c r="AB531" s="85" t="e">
        <f ca="1"/>
        <v>#N/A</v>
      </c>
      <c r="AC531" s="57" t="e">
        <f t="shared" ca="1" si="119"/>
        <v>#N/A</v>
      </c>
      <c r="AD531" s="57" t="e">
        <f t="shared" ca="1" si="120"/>
        <v>#N/A</v>
      </c>
      <c r="AE531" s="57" t="e">
        <f t="shared" ca="1" si="121"/>
        <v>#N/A</v>
      </c>
      <c r="AF531" s="57" t="e">
        <f t="shared" ca="1" si="122"/>
        <v>#N/A</v>
      </c>
    </row>
    <row r="532" spans="18:32" x14ac:dyDescent="0.25">
      <c r="R532" s="57" t="e">
        <f ca="1"/>
        <v>#N/A</v>
      </c>
      <c r="S532" s="57" t="e">
        <f t="shared" ca="1" si="111"/>
        <v>#N/A</v>
      </c>
      <c r="T532" s="57" t="e">
        <f t="shared" ca="1" si="112"/>
        <v>#N/A</v>
      </c>
      <c r="U532" s="57" t="e">
        <f t="shared" ca="1" si="113"/>
        <v>#N/A</v>
      </c>
      <c r="V532" s="57" t="e">
        <f t="shared" ca="1" si="114"/>
        <v>#N/A</v>
      </c>
      <c r="W532" s="57" t="e">
        <f t="shared" ca="1" si="123"/>
        <v>#N/A</v>
      </c>
      <c r="X532" t="e">
        <f t="shared" ca="1" si="115"/>
        <v>#N/A</v>
      </c>
      <c r="Y532" t="e">
        <f t="shared" ca="1" si="116"/>
        <v>#N/A</v>
      </c>
      <c r="Z532" t="e">
        <f t="shared" ca="1" si="117"/>
        <v>#N/A</v>
      </c>
      <c r="AA532" t="e">
        <f t="shared" ca="1" si="118"/>
        <v>#N/A</v>
      </c>
      <c r="AB532" s="85" t="e">
        <f ca="1"/>
        <v>#N/A</v>
      </c>
      <c r="AC532" s="57" t="e">
        <f t="shared" ca="1" si="119"/>
        <v>#N/A</v>
      </c>
      <c r="AD532" s="57" t="e">
        <f t="shared" ca="1" si="120"/>
        <v>#N/A</v>
      </c>
      <c r="AE532" s="57" t="e">
        <f t="shared" ca="1" si="121"/>
        <v>#N/A</v>
      </c>
      <c r="AF532" s="57" t="e">
        <f t="shared" ca="1" si="122"/>
        <v>#N/A</v>
      </c>
    </row>
    <row r="533" spans="18:32" x14ac:dyDescent="0.25">
      <c r="R533" s="57" t="e">
        <f ca="1"/>
        <v>#N/A</v>
      </c>
      <c r="S533" s="57" t="e">
        <f t="shared" ca="1" si="111"/>
        <v>#N/A</v>
      </c>
      <c r="T533" s="57" t="e">
        <f t="shared" ca="1" si="112"/>
        <v>#N/A</v>
      </c>
      <c r="U533" s="57" t="e">
        <f t="shared" ca="1" si="113"/>
        <v>#N/A</v>
      </c>
      <c r="V533" s="57" t="e">
        <f t="shared" ca="1" si="114"/>
        <v>#N/A</v>
      </c>
      <c r="W533" s="57" t="e">
        <f t="shared" ca="1" si="123"/>
        <v>#N/A</v>
      </c>
      <c r="X533" t="e">
        <f t="shared" ca="1" si="115"/>
        <v>#N/A</v>
      </c>
      <c r="Y533" t="e">
        <f t="shared" ca="1" si="116"/>
        <v>#N/A</v>
      </c>
      <c r="Z533" t="e">
        <f t="shared" ca="1" si="117"/>
        <v>#N/A</v>
      </c>
      <c r="AA533" t="e">
        <f t="shared" ca="1" si="118"/>
        <v>#N/A</v>
      </c>
      <c r="AB533" s="85" t="e">
        <f ca="1"/>
        <v>#N/A</v>
      </c>
      <c r="AC533" s="57" t="e">
        <f t="shared" ca="1" si="119"/>
        <v>#N/A</v>
      </c>
      <c r="AD533" s="57" t="e">
        <f t="shared" ca="1" si="120"/>
        <v>#N/A</v>
      </c>
      <c r="AE533" s="57" t="e">
        <f t="shared" ca="1" si="121"/>
        <v>#N/A</v>
      </c>
      <c r="AF533" s="57" t="e">
        <f t="shared" ca="1" si="122"/>
        <v>#N/A</v>
      </c>
    </row>
    <row r="534" spans="18:32" x14ac:dyDescent="0.25">
      <c r="R534" s="57" t="e">
        <f ca="1"/>
        <v>#N/A</v>
      </c>
      <c r="S534" s="57" t="e">
        <f t="shared" ca="1" si="111"/>
        <v>#N/A</v>
      </c>
      <c r="T534" s="57" t="e">
        <f t="shared" ca="1" si="112"/>
        <v>#N/A</v>
      </c>
      <c r="U534" s="57" t="e">
        <f t="shared" ca="1" si="113"/>
        <v>#N/A</v>
      </c>
      <c r="V534" s="57" t="e">
        <f t="shared" ca="1" si="114"/>
        <v>#N/A</v>
      </c>
      <c r="W534" s="57" t="e">
        <f t="shared" ca="1" si="123"/>
        <v>#N/A</v>
      </c>
      <c r="X534" t="e">
        <f t="shared" ca="1" si="115"/>
        <v>#N/A</v>
      </c>
      <c r="Y534" t="e">
        <f t="shared" ca="1" si="116"/>
        <v>#N/A</v>
      </c>
      <c r="Z534" t="e">
        <f t="shared" ca="1" si="117"/>
        <v>#N/A</v>
      </c>
      <c r="AA534" t="e">
        <f t="shared" ca="1" si="118"/>
        <v>#N/A</v>
      </c>
      <c r="AB534" s="85" t="e">
        <f ca="1"/>
        <v>#N/A</v>
      </c>
      <c r="AC534" s="57" t="e">
        <f t="shared" ca="1" si="119"/>
        <v>#N/A</v>
      </c>
      <c r="AD534" s="57" t="e">
        <f t="shared" ca="1" si="120"/>
        <v>#N/A</v>
      </c>
      <c r="AE534" s="57" t="e">
        <f t="shared" ca="1" si="121"/>
        <v>#N/A</v>
      </c>
      <c r="AF534" s="57" t="e">
        <f t="shared" ca="1" si="122"/>
        <v>#N/A</v>
      </c>
    </row>
    <row r="535" spans="18:32" x14ac:dyDescent="0.25">
      <c r="R535" s="57" t="e">
        <f ca="1"/>
        <v>#N/A</v>
      </c>
      <c r="S535" s="57" t="e">
        <f t="shared" ca="1" si="111"/>
        <v>#N/A</v>
      </c>
      <c r="T535" s="57" t="e">
        <f t="shared" ca="1" si="112"/>
        <v>#N/A</v>
      </c>
      <c r="U535" s="57" t="e">
        <f t="shared" ca="1" si="113"/>
        <v>#N/A</v>
      </c>
      <c r="V535" s="57" t="e">
        <f t="shared" ca="1" si="114"/>
        <v>#N/A</v>
      </c>
      <c r="W535" s="57" t="e">
        <f t="shared" ca="1" si="123"/>
        <v>#N/A</v>
      </c>
      <c r="X535" t="e">
        <f t="shared" ca="1" si="115"/>
        <v>#N/A</v>
      </c>
      <c r="Y535" t="e">
        <f t="shared" ca="1" si="116"/>
        <v>#N/A</v>
      </c>
      <c r="Z535" t="e">
        <f t="shared" ca="1" si="117"/>
        <v>#N/A</v>
      </c>
      <c r="AA535" t="e">
        <f t="shared" ca="1" si="118"/>
        <v>#N/A</v>
      </c>
      <c r="AB535" s="85" t="e">
        <f ca="1"/>
        <v>#N/A</v>
      </c>
      <c r="AC535" s="57" t="e">
        <f t="shared" ca="1" si="119"/>
        <v>#N/A</v>
      </c>
      <c r="AD535" s="57" t="e">
        <f t="shared" ca="1" si="120"/>
        <v>#N/A</v>
      </c>
      <c r="AE535" s="57" t="e">
        <f t="shared" ca="1" si="121"/>
        <v>#N/A</v>
      </c>
      <c r="AF535" s="57" t="e">
        <f t="shared" ca="1" si="122"/>
        <v>#N/A</v>
      </c>
    </row>
    <row r="536" spans="18:32" x14ac:dyDescent="0.25">
      <c r="R536" s="57" t="e">
        <f ca="1"/>
        <v>#N/A</v>
      </c>
      <c r="S536" s="57" t="e">
        <f t="shared" ca="1" si="111"/>
        <v>#N/A</v>
      </c>
      <c r="T536" s="57" t="e">
        <f t="shared" ca="1" si="112"/>
        <v>#N/A</v>
      </c>
      <c r="U536" s="57" t="e">
        <f t="shared" ca="1" si="113"/>
        <v>#N/A</v>
      </c>
      <c r="V536" s="57" t="e">
        <f t="shared" ca="1" si="114"/>
        <v>#N/A</v>
      </c>
      <c r="W536" s="57" t="e">
        <f t="shared" ca="1" si="123"/>
        <v>#N/A</v>
      </c>
      <c r="X536" t="e">
        <f t="shared" ca="1" si="115"/>
        <v>#N/A</v>
      </c>
      <c r="Y536" t="e">
        <f t="shared" ca="1" si="116"/>
        <v>#N/A</v>
      </c>
      <c r="Z536" t="e">
        <f t="shared" ca="1" si="117"/>
        <v>#N/A</v>
      </c>
      <c r="AA536" t="e">
        <f t="shared" ca="1" si="118"/>
        <v>#N/A</v>
      </c>
      <c r="AB536" s="85" t="e">
        <f ca="1"/>
        <v>#N/A</v>
      </c>
      <c r="AC536" s="57" t="e">
        <f t="shared" ca="1" si="119"/>
        <v>#N/A</v>
      </c>
      <c r="AD536" s="57" t="e">
        <f t="shared" ca="1" si="120"/>
        <v>#N/A</v>
      </c>
      <c r="AE536" s="57" t="e">
        <f t="shared" ca="1" si="121"/>
        <v>#N/A</v>
      </c>
      <c r="AF536" s="57" t="e">
        <f t="shared" ca="1" si="122"/>
        <v>#N/A</v>
      </c>
    </row>
    <row r="537" spans="18:32" x14ac:dyDescent="0.25">
      <c r="R537" s="57" t="e">
        <f ca="1"/>
        <v>#N/A</v>
      </c>
      <c r="S537" s="57" t="e">
        <f t="shared" ca="1" si="111"/>
        <v>#N/A</v>
      </c>
      <c r="T537" s="57" t="e">
        <f t="shared" ca="1" si="112"/>
        <v>#N/A</v>
      </c>
      <c r="U537" s="57" t="e">
        <f t="shared" ca="1" si="113"/>
        <v>#N/A</v>
      </c>
      <c r="V537" s="57" t="e">
        <f t="shared" ca="1" si="114"/>
        <v>#N/A</v>
      </c>
      <c r="W537" s="57" t="e">
        <f t="shared" ca="1" si="123"/>
        <v>#N/A</v>
      </c>
      <c r="X537" t="e">
        <f t="shared" ca="1" si="115"/>
        <v>#N/A</v>
      </c>
      <c r="Y537" t="e">
        <f t="shared" ca="1" si="116"/>
        <v>#N/A</v>
      </c>
      <c r="Z537" t="e">
        <f t="shared" ca="1" si="117"/>
        <v>#N/A</v>
      </c>
      <c r="AA537" t="e">
        <f t="shared" ca="1" si="118"/>
        <v>#N/A</v>
      </c>
      <c r="AB537" s="85" t="e">
        <f ca="1"/>
        <v>#N/A</v>
      </c>
      <c r="AC537" s="57" t="e">
        <f t="shared" ca="1" si="119"/>
        <v>#N/A</v>
      </c>
      <c r="AD537" s="57" t="e">
        <f t="shared" ca="1" si="120"/>
        <v>#N/A</v>
      </c>
      <c r="AE537" s="57" t="e">
        <f t="shared" ca="1" si="121"/>
        <v>#N/A</v>
      </c>
      <c r="AF537" s="57" t="e">
        <f t="shared" ca="1" si="122"/>
        <v>#N/A</v>
      </c>
    </row>
    <row r="538" spans="18:32" x14ac:dyDescent="0.25">
      <c r="R538" s="57" t="e">
        <f ca="1"/>
        <v>#N/A</v>
      </c>
      <c r="S538" s="57" t="e">
        <f t="shared" ca="1" si="111"/>
        <v>#N/A</v>
      </c>
      <c r="T538" s="57" t="e">
        <f t="shared" ca="1" si="112"/>
        <v>#N/A</v>
      </c>
      <c r="U538" s="57" t="e">
        <f t="shared" ca="1" si="113"/>
        <v>#N/A</v>
      </c>
      <c r="V538" s="57" t="e">
        <f t="shared" ca="1" si="114"/>
        <v>#N/A</v>
      </c>
      <c r="W538" s="57" t="e">
        <f t="shared" ca="1" si="123"/>
        <v>#N/A</v>
      </c>
      <c r="X538" t="e">
        <f t="shared" ca="1" si="115"/>
        <v>#N/A</v>
      </c>
      <c r="Y538" t="e">
        <f t="shared" ca="1" si="116"/>
        <v>#N/A</v>
      </c>
      <c r="Z538" t="e">
        <f t="shared" ca="1" si="117"/>
        <v>#N/A</v>
      </c>
      <c r="AA538" t="e">
        <f t="shared" ca="1" si="118"/>
        <v>#N/A</v>
      </c>
      <c r="AB538" s="85" t="e">
        <f ca="1"/>
        <v>#N/A</v>
      </c>
      <c r="AC538" s="57" t="e">
        <f t="shared" ca="1" si="119"/>
        <v>#N/A</v>
      </c>
      <c r="AD538" s="57" t="e">
        <f t="shared" ca="1" si="120"/>
        <v>#N/A</v>
      </c>
      <c r="AE538" s="57" t="e">
        <f t="shared" ca="1" si="121"/>
        <v>#N/A</v>
      </c>
      <c r="AF538" s="57" t="e">
        <f t="shared" ca="1" si="122"/>
        <v>#N/A</v>
      </c>
    </row>
    <row r="539" spans="18:32" x14ac:dyDescent="0.25">
      <c r="R539" s="57" t="e">
        <f ca="1"/>
        <v>#N/A</v>
      </c>
      <c r="S539" s="57" t="e">
        <f t="shared" ca="1" si="111"/>
        <v>#N/A</v>
      </c>
      <c r="T539" s="57" t="e">
        <f t="shared" ca="1" si="112"/>
        <v>#N/A</v>
      </c>
      <c r="U539" s="57" t="e">
        <f t="shared" ca="1" si="113"/>
        <v>#N/A</v>
      </c>
      <c r="V539" s="57" t="e">
        <f t="shared" ca="1" si="114"/>
        <v>#N/A</v>
      </c>
      <c r="W539" s="57" t="e">
        <f t="shared" ca="1" si="123"/>
        <v>#N/A</v>
      </c>
      <c r="X539" t="e">
        <f t="shared" ca="1" si="115"/>
        <v>#N/A</v>
      </c>
      <c r="Y539" t="e">
        <f t="shared" ca="1" si="116"/>
        <v>#N/A</v>
      </c>
      <c r="Z539" t="e">
        <f t="shared" ca="1" si="117"/>
        <v>#N/A</v>
      </c>
      <c r="AA539" t="e">
        <f t="shared" ca="1" si="118"/>
        <v>#N/A</v>
      </c>
      <c r="AB539" s="85" t="e">
        <f ca="1"/>
        <v>#N/A</v>
      </c>
      <c r="AC539" s="57" t="e">
        <f t="shared" ca="1" si="119"/>
        <v>#N/A</v>
      </c>
      <c r="AD539" s="57" t="e">
        <f t="shared" ca="1" si="120"/>
        <v>#N/A</v>
      </c>
      <c r="AE539" s="57" t="e">
        <f t="shared" ca="1" si="121"/>
        <v>#N/A</v>
      </c>
      <c r="AF539" s="57" t="e">
        <f t="shared" ca="1" si="122"/>
        <v>#N/A</v>
      </c>
    </row>
    <row r="540" spans="18:32" x14ac:dyDescent="0.25">
      <c r="R540" s="57" t="e">
        <f ca="1"/>
        <v>#N/A</v>
      </c>
      <c r="S540" s="57" t="e">
        <f t="shared" ca="1" si="111"/>
        <v>#N/A</v>
      </c>
      <c r="T540" s="57" t="e">
        <f t="shared" ca="1" si="112"/>
        <v>#N/A</v>
      </c>
      <c r="U540" s="57" t="e">
        <f t="shared" ca="1" si="113"/>
        <v>#N/A</v>
      </c>
      <c r="V540" s="57" t="e">
        <f t="shared" ca="1" si="114"/>
        <v>#N/A</v>
      </c>
      <c r="W540" s="57" t="e">
        <f t="shared" ca="1" si="123"/>
        <v>#N/A</v>
      </c>
      <c r="X540" t="e">
        <f t="shared" ca="1" si="115"/>
        <v>#N/A</v>
      </c>
      <c r="Y540" t="e">
        <f t="shared" ca="1" si="116"/>
        <v>#N/A</v>
      </c>
      <c r="Z540" t="e">
        <f t="shared" ca="1" si="117"/>
        <v>#N/A</v>
      </c>
      <c r="AA540" t="e">
        <f t="shared" ca="1" si="118"/>
        <v>#N/A</v>
      </c>
      <c r="AB540" s="85" t="e">
        <f ca="1"/>
        <v>#N/A</v>
      </c>
      <c r="AC540" s="57" t="e">
        <f t="shared" ca="1" si="119"/>
        <v>#N/A</v>
      </c>
      <c r="AD540" s="57" t="e">
        <f t="shared" ca="1" si="120"/>
        <v>#N/A</v>
      </c>
      <c r="AE540" s="57" t="e">
        <f t="shared" ca="1" si="121"/>
        <v>#N/A</v>
      </c>
      <c r="AF540" s="57" t="e">
        <f t="shared" ca="1" si="122"/>
        <v>#N/A</v>
      </c>
    </row>
    <row r="541" spans="18:32" x14ac:dyDescent="0.25">
      <c r="R541" s="57" t="e">
        <f ca="1"/>
        <v>#N/A</v>
      </c>
      <c r="S541" s="57" t="e">
        <f t="shared" ca="1" si="111"/>
        <v>#N/A</v>
      </c>
      <c r="T541" s="57" t="e">
        <f t="shared" ca="1" si="112"/>
        <v>#N/A</v>
      </c>
      <c r="U541" s="57" t="e">
        <f t="shared" ca="1" si="113"/>
        <v>#N/A</v>
      </c>
      <c r="V541" s="57" t="e">
        <f t="shared" ca="1" si="114"/>
        <v>#N/A</v>
      </c>
      <c r="W541" s="57" t="e">
        <f t="shared" ca="1" si="123"/>
        <v>#N/A</v>
      </c>
      <c r="X541" t="e">
        <f t="shared" ca="1" si="115"/>
        <v>#N/A</v>
      </c>
      <c r="Y541" t="e">
        <f t="shared" ca="1" si="116"/>
        <v>#N/A</v>
      </c>
      <c r="Z541" t="e">
        <f t="shared" ca="1" si="117"/>
        <v>#N/A</v>
      </c>
      <c r="AA541" t="e">
        <f t="shared" ca="1" si="118"/>
        <v>#N/A</v>
      </c>
      <c r="AB541" s="85" t="e">
        <f ca="1"/>
        <v>#N/A</v>
      </c>
      <c r="AC541" s="57" t="e">
        <f t="shared" ca="1" si="119"/>
        <v>#N/A</v>
      </c>
      <c r="AD541" s="57" t="e">
        <f t="shared" ca="1" si="120"/>
        <v>#N/A</v>
      </c>
      <c r="AE541" s="57" t="e">
        <f t="shared" ca="1" si="121"/>
        <v>#N/A</v>
      </c>
      <c r="AF541" s="57" t="e">
        <f t="shared" ca="1" si="122"/>
        <v>#N/A</v>
      </c>
    </row>
    <row r="542" spans="18:32" x14ac:dyDescent="0.25">
      <c r="R542" s="57" t="e">
        <f ca="1"/>
        <v>#N/A</v>
      </c>
      <c r="S542" s="57" t="e">
        <f t="shared" ca="1" si="111"/>
        <v>#N/A</v>
      </c>
      <c r="T542" s="57" t="e">
        <f t="shared" ca="1" si="112"/>
        <v>#N/A</v>
      </c>
      <c r="U542" s="57" t="e">
        <f t="shared" ca="1" si="113"/>
        <v>#N/A</v>
      </c>
      <c r="V542" s="57" t="e">
        <f t="shared" ca="1" si="114"/>
        <v>#N/A</v>
      </c>
      <c r="W542" s="57" t="e">
        <f t="shared" ca="1" si="123"/>
        <v>#N/A</v>
      </c>
      <c r="X542" t="e">
        <f t="shared" ca="1" si="115"/>
        <v>#N/A</v>
      </c>
      <c r="Y542" t="e">
        <f t="shared" ca="1" si="116"/>
        <v>#N/A</v>
      </c>
      <c r="Z542" t="e">
        <f t="shared" ca="1" si="117"/>
        <v>#N/A</v>
      </c>
      <c r="AA542" t="e">
        <f t="shared" ca="1" si="118"/>
        <v>#N/A</v>
      </c>
      <c r="AB542" s="85" t="e">
        <f ca="1"/>
        <v>#N/A</v>
      </c>
      <c r="AC542" s="57" t="e">
        <f t="shared" ca="1" si="119"/>
        <v>#N/A</v>
      </c>
      <c r="AD542" s="57" t="e">
        <f t="shared" ca="1" si="120"/>
        <v>#N/A</v>
      </c>
      <c r="AE542" s="57" t="e">
        <f t="shared" ca="1" si="121"/>
        <v>#N/A</v>
      </c>
      <c r="AF542" s="57" t="e">
        <f t="shared" ca="1" si="122"/>
        <v>#N/A</v>
      </c>
    </row>
    <row r="543" spans="18:32" x14ac:dyDescent="0.25">
      <c r="R543" s="57" t="e">
        <f ca="1"/>
        <v>#N/A</v>
      </c>
      <c r="S543" s="57" t="e">
        <f t="shared" ca="1" si="111"/>
        <v>#N/A</v>
      </c>
      <c r="T543" s="57" t="e">
        <f t="shared" ca="1" si="112"/>
        <v>#N/A</v>
      </c>
      <c r="U543" s="57" t="e">
        <f t="shared" ca="1" si="113"/>
        <v>#N/A</v>
      </c>
      <c r="V543" s="57" t="e">
        <f t="shared" ca="1" si="114"/>
        <v>#N/A</v>
      </c>
      <c r="W543" s="57" t="e">
        <f t="shared" ca="1" si="123"/>
        <v>#N/A</v>
      </c>
      <c r="X543" t="e">
        <f t="shared" ca="1" si="115"/>
        <v>#N/A</v>
      </c>
      <c r="Y543" t="e">
        <f t="shared" ca="1" si="116"/>
        <v>#N/A</v>
      </c>
      <c r="Z543" t="e">
        <f t="shared" ca="1" si="117"/>
        <v>#N/A</v>
      </c>
      <c r="AA543" t="e">
        <f t="shared" ca="1" si="118"/>
        <v>#N/A</v>
      </c>
      <c r="AB543" s="85" t="e">
        <f ca="1"/>
        <v>#N/A</v>
      </c>
      <c r="AC543" s="57" t="e">
        <f t="shared" ca="1" si="119"/>
        <v>#N/A</v>
      </c>
      <c r="AD543" s="57" t="e">
        <f t="shared" ca="1" si="120"/>
        <v>#N/A</v>
      </c>
      <c r="AE543" s="57" t="e">
        <f t="shared" ca="1" si="121"/>
        <v>#N/A</v>
      </c>
      <c r="AF543" s="57" t="e">
        <f t="shared" ca="1" si="122"/>
        <v>#N/A</v>
      </c>
    </row>
    <row r="544" spans="18:32" x14ac:dyDescent="0.25">
      <c r="R544" s="57" t="e">
        <f ca="1"/>
        <v>#N/A</v>
      </c>
      <c r="S544" s="57" t="e">
        <f t="shared" ca="1" si="111"/>
        <v>#N/A</v>
      </c>
      <c r="T544" s="57" t="e">
        <f t="shared" ca="1" si="112"/>
        <v>#N/A</v>
      </c>
      <c r="U544" s="57" t="e">
        <f t="shared" ca="1" si="113"/>
        <v>#N/A</v>
      </c>
      <c r="V544" s="57" t="e">
        <f t="shared" ca="1" si="114"/>
        <v>#N/A</v>
      </c>
      <c r="W544" s="57" t="e">
        <f t="shared" ca="1" si="123"/>
        <v>#N/A</v>
      </c>
      <c r="X544" t="e">
        <f t="shared" ca="1" si="115"/>
        <v>#N/A</v>
      </c>
      <c r="Y544" t="e">
        <f t="shared" ca="1" si="116"/>
        <v>#N/A</v>
      </c>
      <c r="Z544" t="e">
        <f t="shared" ca="1" si="117"/>
        <v>#N/A</v>
      </c>
      <c r="AA544" t="e">
        <f t="shared" ca="1" si="118"/>
        <v>#N/A</v>
      </c>
      <c r="AB544" s="85" t="e">
        <f ca="1"/>
        <v>#N/A</v>
      </c>
      <c r="AC544" s="57" t="e">
        <f t="shared" ca="1" si="119"/>
        <v>#N/A</v>
      </c>
      <c r="AD544" s="57" t="e">
        <f t="shared" ca="1" si="120"/>
        <v>#N/A</v>
      </c>
      <c r="AE544" s="57" t="e">
        <f t="shared" ca="1" si="121"/>
        <v>#N/A</v>
      </c>
      <c r="AF544" s="57" t="e">
        <f t="shared" ca="1" si="122"/>
        <v>#N/A</v>
      </c>
    </row>
    <row r="545" spans="18:32" x14ac:dyDescent="0.25">
      <c r="R545" s="57" t="e">
        <f ca="1"/>
        <v>#N/A</v>
      </c>
      <c r="S545" s="57" t="e">
        <f t="shared" ca="1" si="111"/>
        <v>#N/A</v>
      </c>
      <c r="T545" s="57" t="e">
        <f t="shared" ca="1" si="112"/>
        <v>#N/A</v>
      </c>
      <c r="U545" s="57" t="e">
        <f t="shared" ca="1" si="113"/>
        <v>#N/A</v>
      </c>
      <c r="V545" s="57" t="e">
        <f t="shared" ca="1" si="114"/>
        <v>#N/A</v>
      </c>
      <c r="W545" s="57" t="e">
        <f t="shared" ca="1" si="123"/>
        <v>#N/A</v>
      </c>
      <c r="X545" t="e">
        <f t="shared" ca="1" si="115"/>
        <v>#N/A</v>
      </c>
      <c r="Y545" t="e">
        <f t="shared" ca="1" si="116"/>
        <v>#N/A</v>
      </c>
      <c r="Z545" t="e">
        <f t="shared" ca="1" si="117"/>
        <v>#N/A</v>
      </c>
      <c r="AA545" t="e">
        <f t="shared" ca="1" si="118"/>
        <v>#N/A</v>
      </c>
      <c r="AB545" s="85" t="e">
        <f ca="1"/>
        <v>#N/A</v>
      </c>
      <c r="AC545" s="57" t="e">
        <f t="shared" ca="1" si="119"/>
        <v>#N/A</v>
      </c>
      <c r="AD545" s="57" t="e">
        <f t="shared" ca="1" si="120"/>
        <v>#N/A</v>
      </c>
      <c r="AE545" s="57" t="e">
        <f t="shared" ca="1" si="121"/>
        <v>#N/A</v>
      </c>
      <c r="AF545" s="57" t="e">
        <f t="shared" ca="1" si="122"/>
        <v>#N/A</v>
      </c>
    </row>
    <row r="546" spans="18:32" x14ac:dyDescent="0.25">
      <c r="R546" s="57" t="e">
        <f ca="1"/>
        <v>#N/A</v>
      </c>
      <c r="S546" s="57" t="e">
        <f t="shared" ca="1" si="111"/>
        <v>#N/A</v>
      </c>
      <c r="T546" s="57" t="e">
        <f t="shared" ca="1" si="112"/>
        <v>#N/A</v>
      </c>
      <c r="U546" s="57" t="e">
        <f t="shared" ca="1" si="113"/>
        <v>#N/A</v>
      </c>
      <c r="V546" s="57" t="e">
        <f t="shared" ca="1" si="114"/>
        <v>#N/A</v>
      </c>
      <c r="W546" s="57" t="e">
        <f t="shared" ca="1" si="123"/>
        <v>#N/A</v>
      </c>
      <c r="X546" t="e">
        <f t="shared" ca="1" si="115"/>
        <v>#N/A</v>
      </c>
      <c r="Y546" t="e">
        <f t="shared" ca="1" si="116"/>
        <v>#N/A</v>
      </c>
      <c r="Z546" t="e">
        <f t="shared" ca="1" si="117"/>
        <v>#N/A</v>
      </c>
      <c r="AA546" t="e">
        <f t="shared" ca="1" si="118"/>
        <v>#N/A</v>
      </c>
      <c r="AB546" s="85" t="e">
        <f ca="1"/>
        <v>#N/A</v>
      </c>
      <c r="AC546" s="57" t="e">
        <f t="shared" ca="1" si="119"/>
        <v>#N/A</v>
      </c>
      <c r="AD546" s="57" t="e">
        <f t="shared" ca="1" si="120"/>
        <v>#N/A</v>
      </c>
      <c r="AE546" s="57" t="e">
        <f t="shared" ca="1" si="121"/>
        <v>#N/A</v>
      </c>
      <c r="AF546" s="57" t="e">
        <f t="shared" ca="1" si="122"/>
        <v>#N/A</v>
      </c>
    </row>
    <row r="547" spans="18:32" x14ac:dyDescent="0.25">
      <c r="R547" s="57" t="e">
        <f ca="1"/>
        <v>#N/A</v>
      </c>
      <c r="S547" s="57" t="e">
        <f t="shared" ca="1" si="111"/>
        <v>#N/A</v>
      </c>
      <c r="T547" s="57" t="e">
        <f t="shared" ca="1" si="112"/>
        <v>#N/A</v>
      </c>
      <c r="U547" s="57" t="e">
        <f t="shared" ca="1" si="113"/>
        <v>#N/A</v>
      </c>
      <c r="V547" s="57" t="e">
        <f t="shared" ca="1" si="114"/>
        <v>#N/A</v>
      </c>
      <c r="W547" s="57" t="e">
        <f t="shared" ca="1" si="123"/>
        <v>#N/A</v>
      </c>
      <c r="X547" t="e">
        <f t="shared" ca="1" si="115"/>
        <v>#N/A</v>
      </c>
      <c r="Y547" t="e">
        <f t="shared" ca="1" si="116"/>
        <v>#N/A</v>
      </c>
      <c r="Z547" t="e">
        <f t="shared" ca="1" si="117"/>
        <v>#N/A</v>
      </c>
      <c r="AA547" t="e">
        <f t="shared" ca="1" si="118"/>
        <v>#N/A</v>
      </c>
      <c r="AB547" s="85" t="e">
        <f ca="1"/>
        <v>#N/A</v>
      </c>
      <c r="AC547" s="57" t="e">
        <f t="shared" ca="1" si="119"/>
        <v>#N/A</v>
      </c>
      <c r="AD547" s="57" t="e">
        <f t="shared" ca="1" si="120"/>
        <v>#N/A</v>
      </c>
      <c r="AE547" s="57" t="e">
        <f t="shared" ca="1" si="121"/>
        <v>#N/A</v>
      </c>
      <c r="AF547" s="57" t="e">
        <f t="shared" ca="1" si="122"/>
        <v>#N/A</v>
      </c>
    </row>
    <row r="548" spans="18:32" x14ac:dyDescent="0.25">
      <c r="R548" s="57" t="e">
        <f ca="1"/>
        <v>#N/A</v>
      </c>
      <c r="S548" s="57" t="e">
        <f t="shared" ca="1" si="111"/>
        <v>#N/A</v>
      </c>
      <c r="T548" s="57" t="e">
        <f t="shared" ca="1" si="112"/>
        <v>#N/A</v>
      </c>
      <c r="U548" s="57" t="e">
        <f t="shared" ca="1" si="113"/>
        <v>#N/A</v>
      </c>
      <c r="V548" s="57" t="e">
        <f t="shared" ca="1" si="114"/>
        <v>#N/A</v>
      </c>
      <c r="W548" s="57" t="e">
        <f t="shared" ca="1" si="123"/>
        <v>#N/A</v>
      </c>
      <c r="X548" t="e">
        <f t="shared" ca="1" si="115"/>
        <v>#N/A</v>
      </c>
      <c r="Y548" t="e">
        <f t="shared" ca="1" si="116"/>
        <v>#N/A</v>
      </c>
      <c r="Z548" t="e">
        <f t="shared" ca="1" si="117"/>
        <v>#N/A</v>
      </c>
      <c r="AA548" t="e">
        <f t="shared" ca="1" si="118"/>
        <v>#N/A</v>
      </c>
      <c r="AB548" s="85" t="e">
        <f ca="1"/>
        <v>#N/A</v>
      </c>
      <c r="AC548" s="57" t="e">
        <f t="shared" ca="1" si="119"/>
        <v>#N/A</v>
      </c>
      <c r="AD548" s="57" t="e">
        <f t="shared" ca="1" si="120"/>
        <v>#N/A</v>
      </c>
      <c r="AE548" s="57" t="e">
        <f t="shared" ca="1" si="121"/>
        <v>#N/A</v>
      </c>
      <c r="AF548" s="57" t="e">
        <f t="shared" ca="1" si="122"/>
        <v>#N/A</v>
      </c>
    </row>
    <row r="549" spans="18:32" x14ac:dyDescent="0.25">
      <c r="R549" s="57" t="e">
        <f ca="1"/>
        <v>#N/A</v>
      </c>
      <c r="S549" s="57" t="e">
        <f t="shared" ca="1" si="111"/>
        <v>#N/A</v>
      </c>
      <c r="T549" s="57" t="e">
        <f t="shared" ca="1" si="112"/>
        <v>#N/A</v>
      </c>
      <c r="U549" s="57" t="e">
        <f t="shared" ca="1" si="113"/>
        <v>#N/A</v>
      </c>
      <c r="V549" s="57" t="e">
        <f t="shared" ca="1" si="114"/>
        <v>#N/A</v>
      </c>
      <c r="W549" s="57" t="e">
        <f t="shared" ca="1" si="123"/>
        <v>#N/A</v>
      </c>
      <c r="X549" t="e">
        <f t="shared" ca="1" si="115"/>
        <v>#N/A</v>
      </c>
      <c r="Y549" t="e">
        <f t="shared" ca="1" si="116"/>
        <v>#N/A</v>
      </c>
      <c r="Z549" t="e">
        <f t="shared" ca="1" si="117"/>
        <v>#N/A</v>
      </c>
      <c r="AA549" t="e">
        <f t="shared" ca="1" si="118"/>
        <v>#N/A</v>
      </c>
      <c r="AB549" s="85" t="e">
        <f ca="1"/>
        <v>#N/A</v>
      </c>
      <c r="AC549" s="57" t="e">
        <f t="shared" ca="1" si="119"/>
        <v>#N/A</v>
      </c>
      <c r="AD549" s="57" t="e">
        <f t="shared" ca="1" si="120"/>
        <v>#N/A</v>
      </c>
      <c r="AE549" s="57" t="e">
        <f t="shared" ca="1" si="121"/>
        <v>#N/A</v>
      </c>
      <c r="AF549" s="57" t="e">
        <f t="shared" ca="1" si="122"/>
        <v>#N/A</v>
      </c>
    </row>
    <row r="550" spans="18:32" x14ac:dyDescent="0.25">
      <c r="R550" s="57" t="e">
        <f ca="1"/>
        <v>#N/A</v>
      </c>
      <c r="S550" s="57" t="e">
        <f t="shared" ca="1" si="111"/>
        <v>#N/A</v>
      </c>
      <c r="T550" s="57" t="e">
        <f t="shared" ca="1" si="112"/>
        <v>#N/A</v>
      </c>
      <c r="U550" s="57" t="e">
        <f t="shared" ca="1" si="113"/>
        <v>#N/A</v>
      </c>
      <c r="V550" s="57" t="e">
        <f t="shared" ca="1" si="114"/>
        <v>#N/A</v>
      </c>
      <c r="W550" s="57" t="e">
        <f t="shared" ca="1" si="123"/>
        <v>#N/A</v>
      </c>
      <c r="X550" t="e">
        <f t="shared" ca="1" si="115"/>
        <v>#N/A</v>
      </c>
      <c r="Y550" t="e">
        <f t="shared" ca="1" si="116"/>
        <v>#N/A</v>
      </c>
      <c r="Z550" t="e">
        <f t="shared" ca="1" si="117"/>
        <v>#N/A</v>
      </c>
      <c r="AA550" t="e">
        <f t="shared" ca="1" si="118"/>
        <v>#N/A</v>
      </c>
      <c r="AB550" s="85" t="e">
        <f ca="1"/>
        <v>#N/A</v>
      </c>
      <c r="AC550" s="57" t="e">
        <f t="shared" ca="1" si="119"/>
        <v>#N/A</v>
      </c>
      <c r="AD550" s="57" t="e">
        <f t="shared" ca="1" si="120"/>
        <v>#N/A</v>
      </c>
      <c r="AE550" s="57" t="e">
        <f t="shared" ca="1" si="121"/>
        <v>#N/A</v>
      </c>
      <c r="AF550" s="57" t="e">
        <f t="shared" ca="1" si="122"/>
        <v>#N/A</v>
      </c>
    </row>
    <row r="551" spans="18:32" x14ac:dyDescent="0.25">
      <c r="R551" s="57" t="e">
        <f ca="1"/>
        <v>#N/A</v>
      </c>
      <c r="S551" s="57" t="e">
        <f t="shared" ca="1" si="111"/>
        <v>#N/A</v>
      </c>
      <c r="T551" s="57" t="e">
        <f t="shared" ca="1" si="112"/>
        <v>#N/A</v>
      </c>
      <c r="U551" s="57" t="e">
        <f t="shared" ca="1" si="113"/>
        <v>#N/A</v>
      </c>
      <c r="V551" s="57" t="e">
        <f t="shared" ca="1" si="114"/>
        <v>#N/A</v>
      </c>
      <c r="W551" s="57" t="e">
        <f t="shared" ca="1" si="123"/>
        <v>#N/A</v>
      </c>
      <c r="X551" t="e">
        <f t="shared" ca="1" si="115"/>
        <v>#N/A</v>
      </c>
      <c r="Y551" t="e">
        <f t="shared" ca="1" si="116"/>
        <v>#N/A</v>
      </c>
      <c r="Z551" t="e">
        <f t="shared" ca="1" si="117"/>
        <v>#N/A</v>
      </c>
      <c r="AA551" t="e">
        <f t="shared" ca="1" si="118"/>
        <v>#N/A</v>
      </c>
      <c r="AB551" s="85" t="e">
        <f ca="1"/>
        <v>#N/A</v>
      </c>
      <c r="AC551" s="57" t="e">
        <f t="shared" ca="1" si="119"/>
        <v>#N/A</v>
      </c>
      <c r="AD551" s="57" t="e">
        <f t="shared" ca="1" si="120"/>
        <v>#N/A</v>
      </c>
      <c r="AE551" s="57" t="e">
        <f t="shared" ca="1" si="121"/>
        <v>#N/A</v>
      </c>
      <c r="AF551" s="57" t="e">
        <f t="shared" ca="1" si="122"/>
        <v>#N/A</v>
      </c>
    </row>
    <row r="552" spans="18:32" x14ac:dyDescent="0.25">
      <c r="R552" s="57" t="e">
        <f ca="1"/>
        <v>#N/A</v>
      </c>
      <c r="S552" s="57" t="e">
        <f t="shared" ca="1" si="111"/>
        <v>#N/A</v>
      </c>
      <c r="T552" s="57" t="e">
        <f t="shared" ca="1" si="112"/>
        <v>#N/A</v>
      </c>
      <c r="U552" s="57" t="e">
        <f t="shared" ca="1" si="113"/>
        <v>#N/A</v>
      </c>
      <c r="V552" s="57" t="e">
        <f t="shared" ca="1" si="114"/>
        <v>#N/A</v>
      </c>
      <c r="W552" s="57" t="e">
        <f t="shared" ca="1" si="123"/>
        <v>#N/A</v>
      </c>
      <c r="X552" t="e">
        <f t="shared" ca="1" si="115"/>
        <v>#N/A</v>
      </c>
      <c r="Y552" t="e">
        <f t="shared" ca="1" si="116"/>
        <v>#N/A</v>
      </c>
      <c r="Z552" t="e">
        <f t="shared" ca="1" si="117"/>
        <v>#N/A</v>
      </c>
      <c r="AA552" t="e">
        <f t="shared" ca="1" si="118"/>
        <v>#N/A</v>
      </c>
      <c r="AB552" s="85" t="e">
        <f ca="1"/>
        <v>#N/A</v>
      </c>
      <c r="AC552" s="57" t="e">
        <f t="shared" ca="1" si="119"/>
        <v>#N/A</v>
      </c>
      <c r="AD552" s="57" t="e">
        <f t="shared" ca="1" si="120"/>
        <v>#N/A</v>
      </c>
      <c r="AE552" s="57" t="e">
        <f t="shared" ca="1" si="121"/>
        <v>#N/A</v>
      </c>
      <c r="AF552" s="57" t="e">
        <f t="shared" ca="1" si="122"/>
        <v>#N/A</v>
      </c>
    </row>
    <row r="553" spans="18:32" x14ac:dyDescent="0.25">
      <c r="R553" s="57" t="e">
        <f ca="1"/>
        <v>#N/A</v>
      </c>
      <c r="S553" s="57" t="e">
        <f t="shared" ca="1" si="111"/>
        <v>#N/A</v>
      </c>
      <c r="T553" s="57" t="e">
        <f t="shared" ca="1" si="112"/>
        <v>#N/A</v>
      </c>
      <c r="U553" s="57" t="e">
        <f t="shared" ca="1" si="113"/>
        <v>#N/A</v>
      </c>
      <c r="V553" s="57" t="e">
        <f t="shared" ca="1" si="114"/>
        <v>#N/A</v>
      </c>
      <c r="W553" s="57" t="e">
        <f t="shared" ca="1" si="123"/>
        <v>#N/A</v>
      </c>
      <c r="X553" t="e">
        <f t="shared" ca="1" si="115"/>
        <v>#N/A</v>
      </c>
      <c r="Y553" t="e">
        <f t="shared" ca="1" si="116"/>
        <v>#N/A</v>
      </c>
      <c r="Z553" t="e">
        <f t="shared" ca="1" si="117"/>
        <v>#N/A</v>
      </c>
      <c r="AA553" t="e">
        <f t="shared" ca="1" si="118"/>
        <v>#N/A</v>
      </c>
      <c r="AB553" s="85" t="e">
        <f ca="1"/>
        <v>#N/A</v>
      </c>
      <c r="AC553" s="57" t="e">
        <f t="shared" ca="1" si="119"/>
        <v>#N/A</v>
      </c>
      <c r="AD553" s="57" t="e">
        <f t="shared" ca="1" si="120"/>
        <v>#N/A</v>
      </c>
      <c r="AE553" s="57" t="e">
        <f t="shared" ca="1" si="121"/>
        <v>#N/A</v>
      </c>
      <c r="AF553" s="57" t="e">
        <f t="shared" ca="1" si="122"/>
        <v>#N/A</v>
      </c>
    </row>
    <row r="554" spans="18:32" x14ac:dyDescent="0.25">
      <c r="R554" s="57" t="e">
        <f ca="1"/>
        <v>#N/A</v>
      </c>
      <c r="S554" s="57" t="e">
        <f t="shared" ca="1" si="111"/>
        <v>#N/A</v>
      </c>
      <c r="T554" s="57" t="e">
        <f t="shared" ca="1" si="112"/>
        <v>#N/A</v>
      </c>
      <c r="U554" s="57" t="e">
        <f t="shared" ca="1" si="113"/>
        <v>#N/A</v>
      </c>
      <c r="V554" s="57" t="e">
        <f t="shared" ca="1" si="114"/>
        <v>#N/A</v>
      </c>
      <c r="W554" s="57" t="e">
        <f t="shared" ca="1" si="123"/>
        <v>#N/A</v>
      </c>
      <c r="X554" t="e">
        <f t="shared" ca="1" si="115"/>
        <v>#N/A</v>
      </c>
      <c r="Y554" t="e">
        <f t="shared" ca="1" si="116"/>
        <v>#N/A</v>
      </c>
      <c r="Z554" t="e">
        <f t="shared" ca="1" si="117"/>
        <v>#N/A</v>
      </c>
      <c r="AA554" t="e">
        <f t="shared" ca="1" si="118"/>
        <v>#N/A</v>
      </c>
      <c r="AB554" s="85" t="e">
        <f ca="1"/>
        <v>#N/A</v>
      </c>
      <c r="AC554" s="57" t="e">
        <f t="shared" ca="1" si="119"/>
        <v>#N/A</v>
      </c>
      <c r="AD554" s="57" t="e">
        <f t="shared" ca="1" si="120"/>
        <v>#N/A</v>
      </c>
      <c r="AE554" s="57" t="e">
        <f t="shared" ca="1" si="121"/>
        <v>#N/A</v>
      </c>
      <c r="AF554" s="57" t="e">
        <f t="shared" ca="1" si="122"/>
        <v>#N/A</v>
      </c>
    </row>
    <row r="555" spans="18:32" x14ac:dyDescent="0.25">
      <c r="R555" s="57" t="e">
        <f ca="1"/>
        <v>#N/A</v>
      </c>
      <c r="S555" s="57" t="e">
        <f t="shared" ca="1" si="111"/>
        <v>#N/A</v>
      </c>
      <c r="T555" s="57" t="e">
        <f t="shared" ca="1" si="112"/>
        <v>#N/A</v>
      </c>
      <c r="U555" s="57" t="e">
        <f t="shared" ca="1" si="113"/>
        <v>#N/A</v>
      </c>
      <c r="V555" s="57" t="e">
        <f t="shared" ca="1" si="114"/>
        <v>#N/A</v>
      </c>
      <c r="W555" s="57" t="e">
        <f t="shared" ca="1" si="123"/>
        <v>#N/A</v>
      </c>
      <c r="X555" t="e">
        <f t="shared" ca="1" si="115"/>
        <v>#N/A</v>
      </c>
      <c r="Y555" t="e">
        <f t="shared" ca="1" si="116"/>
        <v>#N/A</v>
      </c>
      <c r="Z555" t="e">
        <f t="shared" ca="1" si="117"/>
        <v>#N/A</v>
      </c>
      <c r="AA555" t="e">
        <f t="shared" ca="1" si="118"/>
        <v>#N/A</v>
      </c>
      <c r="AB555" s="85" t="e">
        <f ca="1"/>
        <v>#N/A</v>
      </c>
      <c r="AC555" s="57" t="e">
        <f t="shared" ca="1" si="119"/>
        <v>#N/A</v>
      </c>
      <c r="AD555" s="57" t="e">
        <f t="shared" ca="1" si="120"/>
        <v>#N/A</v>
      </c>
      <c r="AE555" s="57" t="e">
        <f t="shared" ca="1" si="121"/>
        <v>#N/A</v>
      </c>
      <c r="AF555" s="57" t="e">
        <f t="shared" ca="1" si="122"/>
        <v>#N/A</v>
      </c>
    </row>
    <row r="556" spans="18:32" x14ac:dyDescent="0.25">
      <c r="R556" s="57" t="e">
        <f ca="1"/>
        <v>#N/A</v>
      </c>
      <c r="S556" s="57" t="e">
        <f t="shared" ca="1" si="111"/>
        <v>#N/A</v>
      </c>
      <c r="T556" s="57" t="e">
        <f t="shared" ca="1" si="112"/>
        <v>#N/A</v>
      </c>
      <c r="U556" s="57" t="e">
        <f t="shared" ca="1" si="113"/>
        <v>#N/A</v>
      </c>
      <c r="V556" s="57" t="e">
        <f t="shared" ca="1" si="114"/>
        <v>#N/A</v>
      </c>
      <c r="W556" s="57" t="e">
        <f t="shared" ca="1" si="123"/>
        <v>#N/A</v>
      </c>
      <c r="X556" t="e">
        <f t="shared" ca="1" si="115"/>
        <v>#N/A</v>
      </c>
      <c r="Y556" t="e">
        <f t="shared" ca="1" si="116"/>
        <v>#N/A</v>
      </c>
      <c r="Z556" t="e">
        <f t="shared" ca="1" si="117"/>
        <v>#N/A</v>
      </c>
      <c r="AA556" t="e">
        <f t="shared" ca="1" si="118"/>
        <v>#N/A</v>
      </c>
      <c r="AB556" s="85" t="e">
        <f ca="1"/>
        <v>#N/A</v>
      </c>
      <c r="AC556" s="57" t="e">
        <f t="shared" ca="1" si="119"/>
        <v>#N/A</v>
      </c>
      <c r="AD556" s="57" t="e">
        <f t="shared" ca="1" si="120"/>
        <v>#N/A</v>
      </c>
      <c r="AE556" s="57" t="e">
        <f t="shared" ca="1" si="121"/>
        <v>#N/A</v>
      </c>
      <c r="AF556" s="57" t="e">
        <f t="shared" ca="1" si="122"/>
        <v>#N/A</v>
      </c>
    </row>
    <row r="557" spans="18:32" x14ac:dyDescent="0.25">
      <c r="R557" s="57" t="e">
        <f ca="1"/>
        <v>#N/A</v>
      </c>
      <c r="S557" s="57" t="e">
        <f t="shared" ca="1" si="111"/>
        <v>#N/A</v>
      </c>
      <c r="T557" s="57" t="e">
        <f t="shared" ca="1" si="112"/>
        <v>#N/A</v>
      </c>
      <c r="U557" s="57" t="e">
        <f t="shared" ca="1" si="113"/>
        <v>#N/A</v>
      </c>
      <c r="V557" s="57" t="e">
        <f t="shared" ca="1" si="114"/>
        <v>#N/A</v>
      </c>
      <c r="W557" s="57" t="e">
        <f t="shared" ca="1" si="123"/>
        <v>#N/A</v>
      </c>
      <c r="X557" t="e">
        <f t="shared" ca="1" si="115"/>
        <v>#N/A</v>
      </c>
      <c r="Y557" t="e">
        <f t="shared" ca="1" si="116"/>
        <v>#N/A</v>
      </c>
      <c r="Z557" t="e">
        <f t="shared" ca="1" si="117"/>
        <v>#N/A</v>
      </c>
      <c r="AA557" t="e">
        <f t="shared" ca="1" si="118"/>
        <v>#N/A</v>
      </c>
      <c r="AB557" s="85" t="e">
        <f ca="1"/>
        <v>#N/A</v>
      </c>
      <c r="AC557" s="57" t="e">
        <f t="shared" ca="1" si="119"/>
        <v>#N/A</v>
      </c>
      <c r="AD557" s="57" t="e">
        <f t="shared" ca="1" si="120"/>
        <v>#N/A</v>
      </c>
      <c r="AE557" s="57" t="e">
        <f t="shared" ca="1" si="121"/>
        <v>#N/A</v>
      </c>
      <c r="AF557" s="57" t="e">
        <f t="shared" ca="1" si="122"/>
        <v>#N/A</v>
      </c>
    </row>
    <row r="558" spans="18:32" x14ac:dyDescent="0.25">
      <c r="R558" s="57" t="e">
        <f ca="1"/>
        <v>#N/A</v>
      </c>
      <c r="S558" s="57" t="e">
        <f t="shared" ca="1" si="111"/>
        <v>#N/A</v>
      </c>
      <c r="T558" s="57" t="e">
        <f t="shared" ca="1" si="112"/>
        <v>#N/A</v>
      </c>
      <c r="U558" s="57" t="e">
        <f t="shared" ca="1" si="113"/>
        <v>#N/A</v>
      </c>
      <c r="V558" s="57" t="e">
        <f t="shared" ca="1" si="114"/>
        <v>#N/A</v>
      </c>
      <c r="W558" s="57" t="e">
        <f t="shared" ca="1" si="123"/>
        <v>#N/A</v>
      </c>
      <c r="X558" t="e">
        <f t="shared" ca="1" si="115"/>
        <v>#N/A</v>
      </c>
      <c r="Y558" t="e">
        <f t="shared" ca="1" si="116"/>
        <v>#N/A</v>
      </c>
      <c r="Z558" t="e">
        <f t="shared" ca="1" si="117"/>
        <v>#N/A</v>
      </c>
      <c r="AA558" t="e">
        <f t="shared" ca="1" si="118"/>
        <v>#N/A</v>
      </c>
      <c r="AB558" s="85" t="e">
        <f ca="1"/>
        <v>#N/A</v>
      </c>
      <c r="AC558" s="57" t="e">
        <f t="shared" ca="1" si="119"/>
        <v>#N/A</v>
      </c>
      <c r="AD558" s="57" t="e">
        <f t="shared" ca="1" si="120"/>
        <v>#N/A</v>
      </c>
      <c r="AE558" s="57" t="e">
        <f t="shared" ca="1" si="121"/>
        <v>#N/A</v>
      </c>
      <c r="AF558" s="57" t="e">
        <f t="shared" ca="1" si="122"/>
        <v>#N/A</v>
      </c>
    </row>
    <row r="559" spans="18:32" x14ac:dyDescent="0.25">
      <c r="R559" s="57" t="e">
        <f ca="1"/>
        <v>#N/A</v>
      </c>
      <c r="S559" s="57" t="e">
        <f t="shared" ca="1" si="111"/>
        <v>#N/A</v>
      </c>
      <c r="T559" s="57" t="e">
        <f t="shared" ca="1" si="112"/>
        <v>#N/A</v>
      </c>
      <c r="U559" s="57" t="e">
        <f t="shared" ca="1" si="113"/>
        <v>#N/A</v>
      </c>
      <c r="V559" s="57" t="e">
        <f t="shared" ca="1" si="114"/>
        <v>#N/A</v>
      </c>
      <c r="W559" s="57" t="e">
        <f t="shared" ca="1" si="123"/>
        <v>#N/A</v>
      </c>
      <c r="X559" t="e">
        <f t="shared" ca="1" si="115"/>
        <v>#N/A</v>
      </c>
      <c r="Y559" t="e">
        <f t="shared" ca="1" si="116"/>
        <v>#N/A</v>
      </c>
      <c r="Z559" t="e">
        <f t="shared" ca="1" si="117"/>
        <v>#N/A</v>
      </c>
      <c r="AA559" t="e">
        <f t="shared" ca="1" si="118"/>
        <v>#N/A</v>
      </c>
      <c r="AB559" s="85" t="e">
        <f ca="1"/>
        <v>#N/A</v>
      </c>
      <c r="AC559" s="57" t="e">
        <f t="shared" ca="1" si="119"/>
        <v>#N/A</v>
      </c>
      <c r="AD559" s="57" t="e">
        <f t="shared" ca="1" si="120"/>
        <v>#N/A</v>
      </c>
      <c r="AE559" s="57" t="e">
        <f t="shared" ca="1" si="121"/>
        <v>#N/A</v>
      </c>
      <c r="AF559" s="57" t="e">
        <f t="shared" ca="1" si="122"/>
        <v>#N/A</v>
      </c>
    </row>
    <row r="560" spans="18:32" x14ac:dyDescent="0.25">
      <c r="R560" s="57" t="e">
        <f ca="1"/>
        <v>#N/A</v>
      </c>
      <c r="S560" s="57" t="e">
        <f t="shared" ca="1" si="111"/>
        <v>#N/A</v>
      </c>
      <c r="T560" s="57" t="e">
        <f t="shared" ca="1" si="112"/>
        <v>#N/A</v>
      </c>
      <c r="U560" s="57" t="e">
        <f t="shared" ca="1" si="113"/>
        <v>#N/A</v>
      </c>
      <c r="V560" s="57" t="e">
        <f t="shared" ca="1" si="114"/>
        <v>#N/A</v>
      </c>
      <c r="W560" s="57" t="e">
        <f t="shared" ca="1" si="123"/>
        <v>#N/A</v>
      </c>
      <c r="X560" t="e">
        <f t="shared" ca="1" si="115"/>
        <v>#N/A</v>
      </c>
      <c r="Y560" t="e">
        <f t="shared" ca="1" si="116"/>
        <v>#N/A</v>
      </c>
      <c r="Z560" t="e">
        <f t="shared" ca="1" si="117"/>
        <v>#N/A</v>
      </c>
      <c r="AA560" t="e">
        <f t="shared" ca="1" si="118"/>
        <v>#N/A</v>
      </c>
      <c r="AB560" s="85" t="e">
        <f ca="1"/>
        <v>#N/A</v>
      </c>
      <c r="AC560" s="57" t="e">
        <f t="shared" ca="1" si="119"/>
        <v>#N/A</v>
      </c>
      <c r="AD560" s="57" t="e">
        <f t="shared" ca="1" si="120"/>
        <v>#N/A</v>
      </c>
      <c r="AE560" s="57" t="e">
        <f t="shared" ca="1" si="121"/>
        <v>#N/A</v>
      </c>
      <c r="AF560" s="57" t="e">
        <f t="shared" ca="1" si="122"/>
        <v>#N/A</v>
      </c>
    </row>
    <row r="561" spans="18:32" x14ac:dyDescent="0.25">
      <c r="R561" s="57" t="e">
        <f ca="1"/>
        <v>#N/A</v>
      </c>
      <c r="S561" s="57" t="e">
        <f t="shared" ca="1" si="111"/>
        <v>#N/A</v>
      </c>
      <c r="T561" s="57" t="e">
        <f t="shared" ca="1" si="112"/>
        <v>#N/A</v>
      </c>
      <c r="U561" s="57" t="e">
        <f t="shared" ca="1" si="113"/>
        <v>#N/A</v>
      </c>
      <c r="V561" s="57" t="e">
        <f t="shared" ca="1" si="114"/>
        <v>#N/A</v>
      </c>
      <c r="W561" s="57" t="e">
        <f t="shared" ca="1" si="123"/>
        <v>#N/A</v>
      </c>
      <c r="X561" t="e">
        <f t="shared" ca="1" si="115"/>
        <v>#N/A</v>
      </c>
      <c r="Y561" t="e">
        <f t="shared" ca="1" si="116"/>
        <v>#N/A</v>
      </c>
      <c r="Z561" t="e">
        <f t="shared" ca="1" si="117"/>
        <v>#N/A</v>
      </c>
      <c r="AA561" t="e">
        <f t="shared" ca="1" si="118"/>
        <v>#N/A</v>
      </c>
      <c r="AB561" s="85" t="e">
        <f ca="1"/>
        <v>#N/A</v>
      </c>
      <c r="AC561" s="57" t="e">
        <f t="shared" ca="1" si="119"/>
        <v>#N/A</v>
      </c>
      <c r="AD561" s="57" t="e">
        <f t="shared" ca="1" si="120"/>
        <v>#N/A</v>
      </c>
      <c r="AE561" s="57" t="e">
        <f t="shared" ca="1" si="121"/>
        <v>#N/A</v>
      </c>
      <c r="AF561" s="57" t="e">
        <f t="shared" ca="1" si="122"/>
        <v>#N/A</v>
      </c>
    </row>
    <row r="562" spans="18:32" x14ac:dyDescent="0.25">
      <c r="R562" s="57" t="e">
        <f ca="1"/>
        <v>#N/A</v>
      </c>
      <c r="S562" s="57" t="e">
        <f t="shared" ca="1" si="111"/>
        <v>#N/A</v>
      </c>
      <c r="T562" s="57" t="e">
        <f t="shared" ca="1" si="112"/>
        <v>#N/A</v>
      </c>
      <c r="U562" s="57" t="e">
        <f t="shared" ca="1" si="113"/>
        <v>#N/A</v>
      </c>
      <c r="V562" s="57" t="e">
        <f t="shared" ca="1" si="114"/>
        <v>#N/A</v>
      </c>
      <c r="W562" s="57" t="e">
        <f t="shared" ca="1" si="123"/>
        <v>#N/A</v>
      </c>
      <c r="X562" t="e">
        <f t="shared" ca="1" si="115"/>
        <v>#N/A</v>
      </c>
      <c r="Y562" t="e">
        <f t="shared" ca="1" si="116"/>
        <v>#N/A</v>
      </c>
      <c r="Z562" t="e">
        <f t="shared" ca="1" si="117"/>
        <v>#N/A</v>
      </c>
      <c r="AA562" t="e">
        <f t="shared" ca="1" si="118"/>
        <v>#N/A</v>
      </c>
      <c r="AB562" s="85" t="e">
        <f ca="1"/>
        <v>#N/A</v>
      </c>
      <c r="AC562" s="57" t="e">
        <f t="shared" ca="1" si="119"/>
        <v>#N/A</v>
      </c>
      <c r="AD562" s="57" t="e">
        <f t="shared" ca="1" si="120"/>
        <v>#N/A</v>
      </c>
      <c r="AE562" s="57" t="e">
        <f t="shared" ca="1" si="121"/>
        <v>#N/A</v>
      </c>
      <c r="AF562" s="57" t="e">
        <f t="shared" ca="1" si="122"/>
        <v>#N/A</v>
      </c>
    </row>
    <row r="563" spans="18:32" x14ac:dyDescent="0.25">
      <c r="R563" s="57" t="e">
        <f ca="1"/>
        <v>#N/A</v>
      </c>
      <c r="S563" s="57" t="e">
        <f t="shared" ca="1" si="111"/>
        <v>#N/A</v>
      </c>
      <c r="T563" s="57" t="e">
        <f t="shared" ca="1" si="112"/>
        <v>#N/A</v>
      </c>
      <c r="U563" s="57" t="e">
        <f t="shared" ca="1" si="113"/>
        <v>#N/A</v>
      </c>
      <c r="V563" s="57" t="e">
        <f t="shared" ca="1" si="114"/>
        <v>#N/A</v>
      </c>
      <c r="W563" s="57" t="e">
        <f t="shared" ca="1" si="123"/>
        <v>#N/A</v>
      </c>
      <c r="X563" t="e">
        <f t="shared" ca="1" si="115"/>
        <v>#N/A</v>
      </c>
      <c r="Y563" t="e">
        <f t="shared" ca="1" si="116"/>
        <v>#N/A</v>
      </c>
      <c r="Z563" t="e">
        <f t="shared" ca="1" si="117"/>
        <v>#N/A</v>
      </c>
      <c r="AA563" t="e">
        <f t="shared" ca="1" si="118"/>
        <v>#N/A</v>
      </c>
      <c r="AB563" s="85" t="e">
        <f ca="1"/>
        <v>#N/A</v>
      </c>
      <c r="AC563" s="57" t="e">
        <f t="shared" ca="1" si="119"/>
        <v>#N/A</v>
      </c>
      <c r="AD563" s="57" t="e">
        <f t="shared" ca="1" si="120"/>
        <v>#N/A</v>
      </c>
      <c r="AE563" s="57" t="e">
        <f t="shared" ca="1" si="121"/>
        <v>#N/A</v>
      </c>
      <c r="AF563" s="57" t="e">
        <f t="shared" ca="1" si="122"/>
        <v>#N/A</v>
      </c>
    </row>
    <row r="564" spans="18:32" x14ac:dyDescent="0.25">
      <c r="R564" s="57" t="e">
        <f ca="1"/>
        <v>#N/A</v>
      </c>
      <c r="S564" s="57" t="e">
        <f t="shared" ca="1" si="111"/>
        <v>#N/A</v>
      </c>
      <c r="T564" s="57" t="e">
        <f t="shared" ca="1" si="112"/>
        <v>#N/A</v>
      </c>
      <c r="U564" s="57" t="e">
        <f t="shared" ca="1" si="113"/>
        <v>#N/A</v>
      </c>
      <c r="V564" s="57" t="e">
        <f t="shared" ca="1" si="114"/>
        <v>#N/A</v>
      </c>
      <c r="W564" s="57" t="e">
        <f t="shared" ca="1" si="123"/>
        <v>#N/A</v>
      </c>
      <c r="X564" t="e">
        <f t="shared" ca="1" si="115"/>
        <v>#N/A</v>
      </c>
      <c r="Y564" t="e">
        <f t="shared" ca="1" si="116"/>
        <v>#N/A</v>
      </c>
      <c r="Z564" t="e">
        <f t="shared" ca="1" si="117"/>
        <v>#N/A</v>
      </c>
      <c r="AA564" t="e">
        <f t="shared" ca="1" si="118"/>
        <v>#N/A</v>
      </c>
      <c r="AB564" s="85" t="e">
        <f ca="1"/>
        <v>#N/A</v>
      </c>
      <c r="AC564" s="57" t="e">
        <f t="shared" ca="1" si="119"/>
        <v>#N/A</v>
      </c>
      <c r="AD564" s="57" t="e">
        <f t="shared" ca="1" si="120"/>
        <v>#N/A</v>
      </c>
      <c r="AE564" s="57" t="e">
        <f t="shared" ca="1" si="121"/>
        <v>#N/A</v>
      </c>
      <c r="AF564" s="57" t="e">
        <f t="shared" ca="1" si="122"/>
        <v>#N/A</v>
      </c>
    </row>
    <row r="565" spans="18:32" x14ac:dyDescent="0.25">
      <c r="R565" s="57" t="e">
        <f ca="1"/>
        <v>#N/A</v>
      </c>
      <c r="S565" s="57" t="e">
        <f t="shared" ca="1" si="111"/>
        <v>#N/A</v>
      </c>
      <c r="T565" s="57" t="e">
        <f t="shared" ca="1" si="112"/>
        <v>#N/A</v>
      </c>
      <c r="U565" s="57" t="e">
        <f t="shared" ca="1" si="113"/>
        <v>#N/A</v>
      </c>
      <c r="V565" s="57" t="e">
        <f t="shared" ca="1" si="114"/>
        <v>#N/A</v>
      </c>
      <c r="W565" s="57" t="e">
        <f t="shared" ca="1" si="123"/>
        <v>#N/A</v>
      </c>
      <c r="X565" t="e">
        <f t="shared" ca="1" si="115"/>
        <v>#N/A</v>
      </c>
      <c r="Y565" t="e">
        <f t="shared" ca="1" si="116"/>
        <v>#N/A</v>
      </c>
      <c r="Z565" t="e">
        <f t="shared" ca="1" si="117"/>
        <v>#N/A</v>
      </c>
      <c r="AA565" t="e">
        <f t="shared" ca="1" si="118"/>
        <v>#N/A</v>
      </c>
      <c r="AB565" s="85" t="e">
        <f ca="1"/>
        <v>#N/A</v>
      </c>
      <c r="AC565" s="57" t="e">
        <f t="shared" ca="1" si="119"/>
        <v>#N/A</v>
      </c>
      <c r="AD565" s="57" t="e">
        <f t="shared" ca="1" si="120"/>
        <v>#N/A</v>
      </c>
      <c r="AE565" s="57" t="e">
        <f t="shared" ca="1" si="121"/>
        <v>#N/A</v>
      </c>
      <c r="AF565" s="57" t="e">
        <f t="shared" ca="1" si="122"/>
        <v>#N/A</v>
      </c>
    </row>
    <row r="566" spans="18:32" x14ac:dyDescent="0.25">
      <c r="R566" s="57" t="e">
        <f ca="1"/>
        <v>#N/A</v>
      </c>
      <c r="S566" s="57" t="e">
        <f t="shared" ca="1" si="111"/>
        <v>#N/A</v>
      </c>
      <c r="T566" s="57" t="e">
        <f t="shared" ca="1" si="112"/>
        <v>#N/A</v>
      </c>
      <c r="U566" s="57" t="e">
        <f t="shared" ca="1" si="113"/>
        <v>#N/A</v>
      </c>
      <c r="V566" s="57" t="e">
        <f t="shared" ca="1" si="114"/>
        <v>#N/A</v>
      </c>
      <c r="W566" s="57" t="e">
        <f t="shared" ca="1" si="123"/>
        <v>#N/A</v>
      </c>
      <c r="X566" t="e">
        <f t="shared" ca="1" si="115"/>
        <v>#N/A</v>
      </c>
      <c r="Y566" t="e">
        <f t="shared" ca="1" si="116"/>
        <v>#N/A</v>
      </c>
      <c r="Z566" t="e">
        <f t="shared" ca="1" si="117"/>
        <v>#N/A</v>
      </c>
      <c r="AA566" t="e">
        <f t="shared" ca="1" si="118"/>
        <v>#N/A</v>
      </c>
      <c r="AB566" s="85" t="e">
        <f ca="1"/>
        <v>#N/A</v>
      </c>
      <c r="AC566" s="57" t="e">
        <f t="shared" ca="1" si="119"/>
        <v>#N/A</v>
      </c>
      <c r="AD566" s="57" t="e">
        <f t="shared" ca="1" si="120"/>
        <v>#N/A</v>
      </c>
      <c r="AE566" s="57" t="e">
        <f t="shared" ca="1" si="121"/>
        <v>#N/A</v>
      </c>
      <c r="AF566" s="57" t="e">
        <f t="shared" ca="1" si="122"/>
        <v>#N/A</v>
      </c>
    </row>
    <row r="567" spans="18:32" x14ac:dyDescent="0.25">
      <c r="R567" s="57" t="e">
        <f ca="1"/>
        <v>#N/A</v>
      </c>
      <c r="S567" s="57" t="e">
        <f t="shared" ca="1" si="111"/>
        <v>#N/A</v>
      </c>
      <c r="T567" s="57" t="e">
        <f t="shared" ca="1" si="112"/>
        <v>#N/A</v>
      </c>
      <c r="U567" s="57" t="e">
        <f t="shared" ca="1" si="113"/>
        <v>#N/A</v>
      </c>
      <c r="V567" s="57" t="e">
        <f t="shared" ca="1" si="114"/>
        <v>#N/A</v>
      </c>
      <c r="W567" s="57" t="e">
        <f t="shared" ca="1" si="123"/>
        <v>#N/A</v>
      </c>
      <c r="X567" t="e">
        <f t="shared" ca="1" si="115"/>
        <v>#N/A</v>
      </c>
      <c r="Y567" t="e">
        <f t="shared" ca="1" si="116"/>
        <v>#N/A</v>
      </c>
      <c r="Z567" t="e">
        <f t="shared" ca="1" si="117"/>
        <v>#N/A</v>
      </c>
      <c r="AA567" t="e">
        <f t="shared" ca="1" si="118"/>
        <v>#N/A</v>
      </c>
      <c r="AB567" s="85" t="e">
        <f ca="1"/>
        <v>#N/A</v>
      </c>
      <c r="AC567" s="57" t="e">
        <f t="shared" ca="1" si="119"/>
        <v>#N/A</v>
      </c>
      <c r="AD567" s="57" t="e">
        <f t="shared" ca="1" si="120"/>
        <v>#N/A</v>
      </c>
      <c r="AE567" s="57" t="e">
        <f t="shared" ca="1" si="121"/>
        <v>#N/A</v>
      </c>
      <c r="AF567" s="57" t="e">
        <f t="shared" ca="1" si="122"/>
        <v>#N/A</v>
      </c>
    </row>
    <row r="568" spans="18:32" x14ac:dyDescent="0.25">
      <c r="R568" s="57" t="e">
        <f ca="1"/>
        <v>#N/A</v>
      </c>
      <c r="S568" s="57" t="e">
        <f t="shared" ca="1" si="111"/>
        <v>#N/A</v>
      </c>
      <c r="T568" s="57" t="e">
        <f t="shared" ca="1" si="112"/>
        <v>#N/A</v>
      </c>
      <c r="U568" s="57" t="e">
        <f t="shared" ca="1" si="113"/>
        <v>#N/A</v>
      </c>
      <c r="V568" s="57" t="e">
        <f t="shared" ca="1" si="114"/>
        <v>#N/A</v>
      </c>
      <c r="W568" s="57" t="e">
        <f t="shared" ca="1" si="123"/>
        <v>#N/A</v>
      </c>
      <c r="X568" t="e">
        <f t="shared" ca="1" si="115"/>
        <v>#N/A</v>
      </c>
      <c r="Y568" t="e">
        <f t="shared" ca="1" si="116"/>
        <v>#N/A</v>
      </c>
      <c r="Z568" t="e">
        <f t="shared" ca="1" si="117"/>
        <v>#N/A</v>
      </c>
      <c r="AA568" t="e">
        <f t="shared" ca="1" si="118"/>
        <v>#N/A</v>
      </c>
      <c r="AB568" s="85" t="e">
        <f ca="1"/>
        <v>#N/A</v>
      </c>
      <c r="AC568" s="57" t="e">
        <f t="shared" ca="1" si="119"/>
        <v>#N/A</v>
      </c>
      <c r="AD568" s="57" t="e">
        <f t="shared" ca="1" si="120"/>
        <v>#N/A</v>
      </c>
      <c r="AE568" s="57" t="e">
        <f t="shared" ca="1" si="121"/>
        <v>#N/A</v>
      </c>
      <c r="AF568" s="57" t="e">
        <f t="shared" ca="1" si="122"/>
        <v>#N/A</v>
      </c>
    </row>
    <row r="569" spans="18:32" x14ac:dyDescent="0.25">
      <c r="R569" s="57" t="e">
        <f ca="1"/>
        <v>#N/A</v>
      </c>
      <c r="S569" s="57" t="e">
        <f t="shared" ca="1" si="111"/>
        <v>#N/A</v>
      </c>
      <c r="T569" s="57" t="e">
        <f t="shared" ca="1" si="112"/>
        <v>#N/A</v>
      </c>
      <c r="U569" s="57" t="e">
        <f t="shared" ca="1" si="113"/>
        <v>#N/A</v>
      </c>
      <c r="V569" s="57" t="e">
        <f t="shared" ca="1" si="114"/>
        <v>#N/A</v>
      </c>
      <c r="W569" s="57" t="e">
        <f t="shared" ca="1" si="123"/>
        <v>#N/A</v>
      </c>
      <c r="X569" t="e">
        <f t="shared" ca="1" si="115"/>
        <v>#N/A</v>
      </c>
      <c r="Y569" t="e">
        <f t="shared" ca="1" si="116"/>
        <v>#N/A</v>
      </c>
      <c r="Z569" t="e">
        <f t="shared" ca="1" si="117"/>
        <v>#N/A</v>
      </c>
      <c r="AA569" t="e">
        <f t="shared" ca="1" si="118"/>
        <v>#N/A</v>
      </c>
      <c r="AB569" s="85" t="e">
        <f ca="1"/>
        <v>#N/A</v>
      </c>
      <c r="AC569" s="57" t="e">
        <f t="shared" ca="1" si="119"/>
        <v>#N/A</v>
      </c>
      <c r="AD569" s="57" t="e">
        <f t="shared" ca="1" si="120"/>
        <v>#N/A</v>
      </c>
      <c r="AE569" s="57" t="e">
        <f t="shared" ca="1" si="121"/>
        <v>#N/A</v>
      </c>
      <c r="AF569" s="57" t="e">
        <f t="shared" ca="1" si="122"/>
        <v>#N/A</v>
      </c>
    </row>
    <row r="570" spans="18:32" x14ac:dyDescent="0.25">
      <c r="R570" s="57" t="e">
        <f ca="1"/>
        <v>#N/A</v>
      </c>
      <c r="S570" s="57" t="e">
        <f t="shared" ca="1" si="111"/>
        <v>#N/A</v>
      </c>
      <c r="T570" s="57" t="e">
        <f t="shared" ca="1" si="112"/>
        <v>#N/A</v>
      </c>
      <c r="U570" s="57" t="e">
        <f t="shared" ca="1" si="113"/>
        <v>#N/A</v>
      </c>
      <c r="V570" s="57" t="e">
        <f t="shared" ca="1" si="114"/>
        <v>#N/A</v>
      </c>
      <c r="W570" s="57" t="e">
        <f t="shared" ca="1" si="123"/>
        <v>#N/A</v>
      </c>
      <c r="X570" t="e">
        <f t="shared" ca="1" si="115"/>
        <v>#N/A</v>
      </c>
      <c r="Y570" t="e">
        <f t="shared" ca="1" si="116"/>
        <v>#N/A</v>
      </c>
      <c r="Z570" t="e">
        <f t="shared" ca="1" si="117"/>
        <v>#N/A</v>
      </c>
      <c r="AA570" t="e">
        <f t="shared" ca="1" si="118"/>
        <v>#N/A</v>
      </c>
      <c r="AB570" s="85" t="e">
        <f ca="1"/>
        <v>#N/A</v>
      </c>
      <c r="AC570" s="57" t="e">
        <f t="shared" ca="1" si="119"/>
        <v>#N/A</v>
      </c>
      <c r="AD570" s="57" t="e">
        <f t="shared" ca="1" si="120"/>
        <v>#N/A</v>
      </c>
      <c r="AE570" s="57" t="e">
        <f t="shared" ca="1" si="121"/>
        <v>#N/A</v>
      </c>
      <c r="AF570" s="57" t="e">
        <f t="shared" ca="1" si="122"/>
        <v>#N/A</v>
      </c>
    </row>
    <row r="571" spans="18:32" x14ac:dyDescent="0.25">
      <c r="R571" s="57" t="e">
        <f ca="1"/>
        <v>#N/A</v>
      </c>
      <c r="S571" s="57" t="e">
        <f t="shared" ca="1" si="111"/>
        <v>#N/A</v>
      </c>
      <c r="T571" s="57" t="e">
        <f t="shared" ca="1" si="112"/>
        <v>#N/A</v>
      </c>
      <c r="U571" s="57" t="e">
        <f t="shared" ca="1" si="113"/>
        <v>#N/A</v>
      </c>
      <c r="V571" s="57" t="e">
        <f t="shared" ca="1" si="114"/>
        <v>#N/A</v>
      </c>
      <c r="W571" s="57" t="e">
        <f t="shared" ca="1" si="123"/>
        <v>#N/A</v>
      </c>
      <c r="X571" t="e">
        <f t="shared" ca="1" si="115"/>
        <v>#N/A</v>
      </c>
      <c r="Y571" t="e">
        <f t="shared" ca="1" si="116"/>
        <v>#N/A</v>
      </c>
      <c r="Z571" t="e">
        <f t="shared" ca="1" si="117"/>
        <v>#N/A</v>
      </c>
      <c r="AA571" t="e">
        <f t="shared" ca="1" si="118"/>
        <v>#N/A</v>
      </c>
      <c r="AB571" s="85" t="e">
        <f ca="1"/>
        <v>#N/A</v>
      </c>
      <c r="AC571" s="57" t="e">
        <f t="shared" ca="1" si="119"/>
        <v>#N/A</v>
      </c>
      <c r="AD571" s="57" t="e">
        <f t="shared" ca="1" si="120"/>
        <v>#N/A</v>
      </c>
      <c r="AE571" s="57" t="e">
        <f t="shared" ca="1" si="121"/>
        <v>#N/A</v>
      </c>
      <c r="AF571" s="57" t="e">
        <f t="shared" ca="1" si="122"/>
        <v>#N/A</v>
      </c>
    </row>
    <row r="572" spans="18:32" x14ac:dyDescent="0.25">
      <c r="R572" s="57" t="e">
        <f ca="1"/>
        <v>#N/A</v>
      </c>
      <c r="S572" s="57" t="e">
        <f t="shared" ca="1" si="111"/>
        <v>#N/A</v>
      </c>
      <c r="T572" s="57" t="e">
        <f t="shared" ca="1" si="112"/>
        <v>#N/A</v>
      </c>
      <c r="U572" s="57" t="e">
        <f t="shared" ca="1" si="113"/>
        <v>#N/A</v>
      </c>
      <c r="V572" s="57" t="e">
        <f t="shared" ca="1" si="114"/>
        <v>#N/A</v>
      </c>
      <c r="W572" s="57" t="e">
        <f t="shared" ca="1" si="123"/>
        <v>#N/A</v>
      </c>
      <c r="X572" t="e">
        <f t="shared" ca="1" si="115"/>
        <v>#N/A</v>
      </c>
      <c r="Y572" t="e">
        <f t="shared" ca="1" si="116"/>
        <v>#N/A</v>
      </c>
      <c r="Z572" t="e">
        <f t="shared" ca="1" si="117"/>
        <v>#N/A</v>
      </c>
      <c r="AA572" t="e">
        <f t="shared" ca="1" si="118"/>
        <v>#N/A</v>
      </c>
      <c r="AB572" s="85" t="e">
        <f ca="1"/>
        <v>#N/A</v>
      </c>
      <c r="AC572" s="57" t="e">
        <f t="shared" ca="1" si="119"/>
        <v>#N/A</v>
      </c>
      <c r="AD572" s="57" t="e">
        <f t="shared" ca="1" si="120"/>
        <v>#N/A</v>
      </c>
      <c r="AE572" s="57" t="e">
        <f t="shared" ca="1" si="121"/>
        <v>#N/A</v>
      </c>
      <c r="AF572" s="57" t="e">
        <f t="shared" ca="1" si="122"/>
        <v>#N/A</v>
      </c>
    </row>
    <row r="573" spans="18:32" x14ac:dyDescent="0.25">
      <c r="R573" s="57" t="e">
        <f ca="1"/>
        <v>#N/A</v>
      </c>
      <c r="S573" s="57" t="e">
        <f t="shared" ca="1" si="111"/>
        <v>#N/A</v>
      </c>
      <c r="T573" s="57" t="e">
        <f t="shared" ca="1" si="112"/>
        <v>#N/A</v>
      </c>
      <c r="U573" s="57" t="e">
        <f t="shared" ca="1" si="113"/>
        <v>#N/A</v>
      </c>
      <c r="V573" s="57" t="e">
        <f t="shared" ca="1" si="114"/>
        <v>#N/A</v>
      </c>
      <c r="W573" s="57" t="e">
        <f t="shared" ca="1" si="123"/>
        <v>#N/A</v>
      </c>
      <c r="X573" t="e">
        <f t="shared" ca="1" si="115"/>
        <v>#N/A</v>
      </c>
      <c r="Y573" t="e">
        <f t="shared" ca="1" si="116"/>
        <v>#N/A</v>
      </c>
      <c r="Z573" t="e">
        <f t="shared" ca="1" si="117"/>
        <v>#N/A</v>
      </c>
      <c r="AA573" t="e">
        <f t="shared" ca="1" si="118"/>
        <v>#N/A</v>
      </c>
      <c r="AB573" s="85" t="e">
        <f ca="1"/>
        <v>#N/A</v>
      </c>
      <c r="AC573" s="57" t="e">
        <f t="shared" ca="1" si="119"/>
        <v>#N/A</v>
      </c>
      <c r="AD573" s="57" t="e">
        <f t="shared" ca="1" si="120"/>
        <v>#N/A</v>
      </c>
      <c r="AE573" s="57" t="e">
        <f t="shared" ca="1" si="121"/>
        <v>#N/A</v>
      </c>
      <c r="AF573" s="57" t="e">
        <f t="shared" ca="1" si="122"/>
        <v>#N/A</v>
      </c>
    </row>
    <row r="574" spans="18:32" x14ac:dyDescent="0.25">
      <c r="R574" s="57" t="e">
        <f ca="1"/>
        <v>#N/A</v>
      </c>
      <c r="S574" s="57" t="e">
        <f t="shared" ca="1" si="111"/>
        <v>#N/A</v>
      </c>
      <c r="T574" s="57" t="e">
        <f t="shared" ca="1" si="112"/>
        <v>#N/A</v>
      </c>
      <c r="U574" s="57" t="e">
        <f t="shared" ca="1" si="113"/>
        <v>#N/A</v>
      </c>
      <c r="V574" s="57" t="e">
        <f t="shared" ca="1" si="114"/>
        <v>#N/A</v>
      </c>
      <c r="W574" s="57" t="e">
        <f t="shared" ca="1" si="123"/>
        <v>#N/A</v>
      </c>
      <c r="X574" t="e">
        <f t="shared" ca="1" si="115"/>
        <v>#N/A</v>
      </c>
      <c r="Y574" t="e">
        <f t="shared" ca="1" si="116"/>
        <v>#N/A</v>
      </c>
      <c r="Z574" t="e">
        <f t="shared" ca="1" si="117"/>
        <v>#N/A</v>
      </c>
      <c r="AA574" t="e">
        <f t="shared" ca="1" si="118"/>
        <v>#N/A</v>
      </c>
      <c r="AB574" s="85" t="e">
        <f ca="1"/>
        <v>#N/A</v>
      </c>
      <c r="AC574" s="57" t="e">
        <f t="shared" ca="1" si="119"/>
        <v>#N/A</v>
      </c>
      <c r="AD574" s="57" t="e">
        <f t="shared" ca="1" si="120"/>
        <v>#N/A</v>
      </c>
      <c r="AE574" s="57" t="e">
        <f t="shared" ca="1" si="121"/>
        <v>#N/A</v>
      </c>
      <c r="AF574" s="57" t="e">
        <f t="shared" ca="1" si="122"/>
        <v>#N/A</v>
      </c>
    </row>
    <row r="575" spans="18:32" x14ac:dyDescent="0.25">
      <c r="R575" s="57" t="e">
        <f ca="1"/>
        <v>#N/A</v>
      </c>
      <c r="S575" s="57" t="e">
        <f t="shared" ca="1" si="111"/>
        <v>#N/A</v>
      </c>
      <c r="T575" s="57" t="e">
        <f t="shared" ca="1" si="112"/>
        <v>#N/A</v>
      </c>
      <c r="U575" s="57" t="e">
        <f t="shared" ca="1" si="113"/>
        <v>#N/A</v>
      </c>
      <c r="V575" s="57" t="e">
        <f t="shared" ca="1" si="114"/>
        <v>#N/A</v>
      </c>
      <c r="W575" s="57" t="e">
        <f t="shared" ca="1" si="123"/>
        <v>#N/A</v>
      </c>
      <c r="X575" t="e">
        <f t="shared" ca="1" si="115"/>
        <v>#N/A</v>
      </c>
      <c r="Y575" t="e">
        <f t="shared" ca="1" si="116"/>
        <v>#N/A</v>
      </c>
      <c r="Z575" t="e">
        <f t="shared" ca="1" si="117"/>
        <v>#N/A</v>
      </c>
      <c r="AA575" t="e">
        <f t="shared" ca="1" si="118"/>
        <v>#N/A</v>
      </c>
      <c r="AB575" s="85" t="e">
        <f ca="1"/>
        <v>#N/A</v>
      </c>
      <c r="AC575" s="57" t="e">
        <f t="shared" ca="1" si="119"/>
        <v>#N/A</v>
      </c>
      <c r="AD575" s="57" t="e">
        <f t="shared" ca="1" si="120"/>
        <v>#N/A</v>
      </c>
      <c r="AE575" s="57" t="e">
        <f t="shared" ca="1" si="121"/>
        <v>#N/A</v>
      </c>
      <c r="AF575" s="57" t="e">
        <f t="shared" ca="1" si="122"/>
        <v>#N/A</v>
      </c>
    </row>
    <row r="576" spans="18:32" x14ac:dyDescent="0.25">
      <c r="R576" s="57" t="e">
        <f ca="1"/>
        <v>#N/A</v>
      </c>
      <c r="S576" s="57" t="e">
        <f t="shared" ca="1" si="111"/>
        <v>#N/A</v>
      </c>
      <c r="T576" s="57" t="e">
        <f t="shared" ca="1" si="112"/>
        <v>#N/A</v>
      </c>
      <c r="U576" s="57" t="e">
        <f t="shared" ca="1" si="113"/>
        <v>#N/A</v>
      </c>
      <c r="V576" s="57" t="e">
        <f t="shared" ca="1" si="114"/>
        <v>#N/A</v>
      </c>
      <c r="W576" s="57" t="e">
        <f t="shared" ca="1" si="123"/>
        <v>#N/A</v>
      </c>
      <c r="X576" t="e">
        <f t="shared" ca="1" si="115"/>
        <v>#N/A</v>
      </c>
      <c r="Y576" t="e">
        <f t="shared" ca="1" si="116"/>
        <v>#N/A</v>
      </c>
      <c r="Z576" t="e">
        <f t="shared" ca="1" si="117"/>
        <v>#N/A</v>
      </c>
      <c r="AA576" t="e">
        <f t="shared" ca="1" si="118"/>
        <v>#N/A</v>
      </c>
      <c r="AB576" s="85" t="e">
        <f ca="1"/>
        <v>#N/A</v>
      </c>
      <c r="AC576" s="57" t="e">
        <f t="shared" ca="1" si="119"/>
        <v>#N/A</v>
      </c>
      <c r="AD576" s="57" t="e">
        <f t="shared" ca="1" si="120"/>
        <v>#N/A</v>
      </c>
      <c r="AE576" s="57" t="e">
        <f t="shared" ca="1" si="121"/>
        <v>#N/A</v>
      </c>
      <c r="AF576" s="57" t="e">
        <f t="shared" ca="1" si="122"/>
        <v>#N/A</v>
      </c>
    </row>
    <row r="577" spans="18:32" x14ac:dyDescent="0.25">
      <c r="R577" s="57" t="e">
        <f ca="1"/>
        <v>#N/A</v>
      </c>
      <c r="S577" s="57" t="e">
        <f t="shared" ca="1" si="111"/>
        <v>#N/A</v>
      </c>
      <c r="T577" s="57" t="e">
        <f t="shared" ca="1" si="112"/>
        <v>#N/A</v>
      </c>
      <c r="U577" s="57" t="e">
        <f t="shared" ca="1" si="113"/>
        <v>#N/A</v>
      </c>
      <c r="V577" s="57" t="e">
        <f t="shared" ca="1" si="114"/>
        <v>#N/A</v>
      </c>
      <c r="W577" s="57" t="e">
        <f t="shared" ca="1" si="123"/>
        <v>#N/A</v>
      </c>
      <c r="X577" t="e">
        <f t="shared" ca="1" si="115"/>
        <v>#N/A</v>
      </c>
      <c r="Y577" t="e">
        <f t="shared" ca="1" si="116"/>
        <v>#N/A</v>
      </c>
      <c r="Z577" t="e">
        <f t="shared" ca="1" si="117"/>
        <v>#N/A</v>
      </c>
      <c r="AA577" t="e">
        <f t="shared" ca="1" si="118"/>
        <v>#N/A</v>
      </c>
      <c r="AB577" s="85" t="e">
        <f ca="1"/>
        <v>#N/A</v>
      </c>
      <c r="AC577" s="57" t="e">
        <f t="shared" ca="1" si="119"/>
        <v>#N/A</v>
      </c>
      <c r="AD577" s="57" t="e">
        <f t="shared" ca="1" si="120"/>
        <v>#N/A</v>
      </c>
      <c r="AE577" s="57" t="e">
        <f t="shared" ca="1" si="121"/>
        <v>#N/A</v>
      </c>
      <c r="AF577" s="57" t="e">
        <f t="shared" ca="1" si="122"/>
        <v>#N/A</v>
      </c>
    </row>
    <row r="578" spans="18:32" x14ac:dyDescent="0.25">
      <c r="R578" s="57" t="e">
        <f ca="1"/>
        <v>#N/A</v>
      </c>
      <c r="S578" s="57" t="e">
        <f t="shared" ca="1" si="111"/>
        <v>#N/A</v>
      </c>
      <c r="T578" s="57" t="e">
        <f t="shared" ca="1" si="112"/>
        <v>#N/A</v>
      </c>
      <c r="U578" s="57" t="e">
        <f t="shared" ca="1" si="113"/>
        <v>#N/A</v>
      </c>
      <c r="V578" s="57" t="e">
        <f t="shared" ca="1" si="114"/>
        <v>#N/A</v>
      </c>
      <c r="W578" s="57" t="e">
        <f t="shared" ca="1" si="123"/>
        <v>#N/A</v>
      </c>
      <c r="X578" t="e">
        <f t="shared" ca="1" si="115"/>
        <v>#N/A</v>
      </c>
      <c r="Y578" t="e">
        <f t="shared" ca="1" si="116"/>
        <v>#N/A</v>
      </c>
      <c r="Z578" t="e">
        <f t="shared" ca="1" si="117"/>
        <v>#N/A</v>
      </c>
      <c r="AA578" t="e">
        <f t="shared" ca="1" si="118"/>
        <v>#N/A</v>
      </c>
      <c r="AB578" s="85" t="e">
        <f ca="1"/>
        <v>#N/A</v>
      </c>
      <c r="AC578" s="57" t="e">
        <f t="shared" ca="1" si="119"/>
        <v>#N/A</v>
      </c>
      <c r="AD578" s="57" t="e">
        <f t="shared" ca="1" si="120"/>
        <v>#N/A</v>
      </c>
      <c r="AE578" s="57" t="e">
        <f t="shared" ca="1" si="121"/>
        <v>#N/A</v>
      </c>
      <c r="AF578" s="57" t="e">
        <f t="shared" ca="1" si="122"/>
        <v>#N/A</v>
      </c>
    </row>
    <row r="579" spans="18:32" x14ac:dyDescent="0.25">
      <c r="R579" s="57" t="e">
        <f ca="1"/>
        <v>#N/A</v>
      </c>
      <c r="S579" s="57" t="e">
        <f t="shared" ca="1" si="111"/>
        <v>#N/A</v>
      </c>
      <c r="T579" s="57" t="e">
        <f t="shared" ca="1" si="112"/>
        <v>#N/A</v>
      </c>
      <c r="U579" s="57" t="e">
        <f t="shared" ca="1" si="113"/>
        <v>#N/A</v>
      </c>
      <c r="V579" s="57" t="e">
        <f t="shared" ca="1" si="114"/>
        <v>#N/A</v>
      </c>
      <c r="W579" s="57" t="e">
        <f t="shared" ca="1" si="123"/>
        <v>#N/A</v>
      </c>
      <c r="X579" t="e">
        <f t="shared" ca="1" si="115"/>
        <v>#N/A</v>
      </c>
      <c r="Y579" t="e">
        <f t="shared" ca="1" si="116"/>
        <v>#N/A</v>
      </c>
      <c r="Z579" t="e">
        <f t="shared" ca="1" si="117"/>
        <v>#N/A</v>
      </c>
      <c r="AA579" t="e">
        <f t="shared" ca="1" si="118"/>
        <v>#N/A</v>
      </c>
      <c r="AB579" s="85" t="e">
        <f ca="1"/>
        <v>#N/A</v>
      </c>
      <c r="AC579" s="57" t="e">
        <f t="shared" ca="1" si="119"/>
        <v>#N/A</v>
      </c>
      <c r="AD579" s="57" t="e">
        <f t="shared" ca="1" si="120"/>
        <v>#N/A</v>
      </c>
      <c r="AE579" s="57" t="e">
        <f t="shared" ca="1" si="121"/>
        <v>#N/A</v>
      </c>
      <c r="AF579" s="57" t="e">
        <f t="shared" ca="1" si="122"/>
        <v>#N/A</v>
      </c>
    </row>
    <row r="580" spans="18:32" x14ac:dyDescent="0.25">
      <c r="R580" s="57" t="e">
        <f ca="1"/>
        <v>#N/A</v>
      </c>
      <c r="S580" s="57" t="e">
        <f t="shared" ca="1" si="111"/>
        <v>#N/A</v>
      </c>
      <c r="T580" s="57" t="e">
        <f t="shared" ca="1" si="112"/>
        <v>#N/A</v>
      </c>
      <c r="U580" s="57" t="e">
        <f t="shared" ca="1" si="113"/>
        <v>#N/A</v>
      </c>
      <c r="V580" s="57" t="e">
        <f t="shared" ca="1" si="114"/>
        <v>#N/A</v>
      </c>
      <c r="W580" s="57" t="e">
        <f t="shared" ca="1" si="123"/>
        <v>#N/A</v>
      </c>
      <c r="X580" t="e">
        <f t="shared" ca="1" si="115"/>
        <v>#N/A</v>
      </c>
      <c r="Y580" t="e">
        <f t="shared" ca="1" si="116"/>
        <v>#N/A</v>
      </c>
      <c r="Z580" t="e">
        <f t="shared" ca="1" si="117"/>
        <v>#N/A</v>
      </c>
      <c r="AA580" t="e">
        <f t="shared" ca="1" si="118"/>
        <v>#N/A</v>
      </c>
      <c r="AB580" s="85" t="e">
        <f ca="1"/>
        <v>#N/A</v>
      </c>
      <c r="AC580" s="57" t="e">
        <f t="shared" ca="1" si="119"/>
        <v>#N/A</v>
      </c>
      <c r="AD580" s="57" t="e">
        <f t="shared" ca="1" si="120"/>
        <v>#N/A</v>
      </c>
      <c r="AE580" s="57" t="e">
        <f t="shared" ca="1" si="121"/>
        <v>#N/A</v>
      </c>
      <c r="AF580" s="57" t="e">
        <f t="shared" ca="1" si="122"/>
        <v>#N/A</v>
      </c>
    </row>
    <row r="581" spans="18:32" x14ac:dyDescent="0.25">
      <c r="R581" s="57" t="e">
        <f ca="1"/>
        <v>#N/A</v>
      </c>
      <c r="S581" s="57" t="e">
        <f t="shared" ca="1" si="111"/>
        <v>#N/A</v>
      </c>
      <c r="T581" s="57" t="e">
        <f t="shared" ca="1" si="112"/>
        <v>#N/A</v>
      </c>
      <c r="U581" s="57" t="e">
        <f t="shared" ca="1" si="113"/>
        <v>#N/A</v>
      </c>
      <c r="V581" s="57" t="e">
        <f t="shared" ca="1" si="114"/>
        <v>#N/A</v>
      </c>
      <c r="W581" s="57" t="e">
        <f t="shared" ca="1" si="123"/>
        <v>#N/A</v>
      </c>
      <c r="X581" t="e">
        <f t="shared" ca="1" si="115"/>
        <v>#N/A</v>
      </c>
      <c r="Y581" t="e">
        <f t="shared" ca="1" si="116"/>
        <v>#N/A</v>
      </c>
      <c r="Z581" t="e">
        <f t="shared" ca="1" si="117"/>
        <v>#N/A</v>
      </c>
      <c r="AA581" t="e">
        <f t="shared" ca="1" si="118"/>
        <v>#N/A</v>
      </c>
      <c r="AB581" s="85" t="e">
        <f ca="1"/>
        <v>#N/A</v>
      </c>
      <c r="AC581" s="57" t="e">
        <f t="shared" ca="1" si="119"/>
        <v>#N/A</v>
      </c>
      <c r="AD581" s="57" t="e">
        <f t="shared" ca="1" si="120"/>
        <v>#N/A</v>
      </c>
      <c r="AE581" s="57" t="e">
        <f t="shared" ca="1" si="121"/>
        <v>#N/A</v>
      </c>
      <c r="AF581" s="57" t="e">
        <f t="shared" ca="1" si="122"/>
        <v>#N/A</v>
      </c>
    </row>
    <row r="582" spans="18:32" x14ac:dyDescent="0.25">
      <c r="R582" s="57" t="e">
        <f ca="1"/>
        <v>#N/A</v>
      </c>
      <c r="S582" s="57" t="e">
        <f t="shared" ca="1" si="111"/>
        <v>#N/A</v>
      </c>
      <c r="T582" s="57" t="e">
        <f t="shared" ca="1" si="112"/>
        <v>#N/A</v>
      </c>
      <c r="U582" s="57" t="e">
        <f t="shared" ca="1" si="113"/>
        <v>#N/A</v>
      </c>
      <c r="V582" s="57" t="e">
        <f t="shared" ca="1" si="114"/>
        <v>#N/A</v>
      </c>
      <c r="W582" s="57" t="e">
        <f t="shared" ca="1" si="123"/>
        <v>#N/A</v>
      </c>
      <c r="X582" t="e">
        <f t="shared" ca="1" si="115"/>
        <v>#N/A</v>
      </c>
      <c r="Y582" t="e">
        <f t="shared" ca="1" si="116"/>
        <v>#N/A</v>
      </c>
      <c r="Z582" t="e">
        <f t="shared" ca="1" si="117"/>
        <v>#N/A</v>
      </c>
      <c r="AA582" t="e">
        <f t="shared" ca="1" si="118"/>
        <v>#N/A</v>
      </c>
      <c r="AB582" s="85" t="e">
        <f ca="1"/>
        <v>#N/A</v>
      </c>
      <c r="AC582" s="57" t="e">
        <f t="shared" ca="1" si="119"/>
        <v>#N/A</v>
      </c>
      <c r="AD582" s="57" t="e">
        <f t="shared" ca="1" si="120"/>
        <v>#N/A</v>
      </c>
      <c r="AE582" s="57" t="e">
        <f t="shared" ca="1" si="121"/>
        <v>#N/A</v>
      </c>
      <c r="AF582" s="57" t="e">
        <f t="shared" ca="1" si="122"/>
        <v>#N/A</v>
      </c>
    </row>
    <row r="583" spans="18:32" x14ac:dyDescent="0.25">
      <c r="R583" s="57" t="e">
        <f ca="1"/>
        <v>#N/A</v>
      </c>
      <c r="S583" s="57" t="e">
        <f t="shared" ca="1" si="111"/>
        <v>#N/A</v>
      </c>
      <c r="T583" s="57" t="e">
        <f t="shared" ca="1" si="112"/>
        <v>#N/A</v>
      </c>
      <c r="U583" s="57" t="e">
        <f t="shared" ca="1" si="113"/>
        <v>#N/A</v>
      </c>
      <c r="V583" s="57" t="e">
        <f t="shared" ca="1" si="114"/>
        <v>#N/A</v>
      </c>
      <c r="W583" s="57" t="e">
        <f t="shared" ca="1" si="123"/>
        <v>#N/A</v>
      </c>
      <c r="X583" t="e">
        <f t="shared" ca="1" si="115"/>
        <v>#N/A</v>
      </c>
      <c r="Y583" t="e">
        <f t="shared" ca="1" si="116"/>
        <v>#N/A</v>
      </c>
      <c r="Z583" t="e">
        <f t="shared" ca="1" si="117"/>
        <v>#N/A</v>
      </c>
      <c r="AA583" t="e">
        <f t="shared" ca="1" si="118"/>
        <v>#N/A</v>
      </c>
      <c r="AB583" s="85" t="e">
        <f ca="1"/>
        <v>#N/A</v>
      </c>
      <c r="AC583" s="57" t="e">
        <f t="shared" ca="1" si="119"/>
        <v>#N/A</v>
      </c>
      <c r="AD583" s="57" t="e">
        <f t="shared" ca="1" si="120"/>
        <v>#N/A</v>
      </c>
      <c r="AE583" s="57" t="e">
        <f t="shared" ca="1" si="121"/>
        <v>#N/A</v>
      </c>
      <c r="AF583" s="57" t="e">
        <f t="shared" ca="1" si="122"/>
        <v>#N/A</v>
      </c>
    </row>
    <row r="584" spans="18:32" x14ac:dyDescent="0.25">
      <c r="R584" s="57" t="e">
        <f ca="1"/>
        <v>#N/A</v>
      </c>
      <c r="S584" s="57" t="e">
        <f t="shared" ca="1" si="111"/>
        <v>#N/A</v>
      </c>
      <c r="T584" s="57" t="e">
        <f t="shared" ca="1" si="112"/>
        <v>#N/A</v>
      </c>
      <c r="U584" s="57" t="e">
        <f t="shared" ca="1" si="113"/>
        <v>#N/A</v>
      </c>
      <c r="V584" s="57" t="e">
        <f t="shared" ca="1" si="114"/>
        <v>#N/A</v>
      </c>
      <c r="W584" s="57" t="e">
        <f t="shared" ca="1" si="123"/>
        <v>#N/A</v>
      </c>
      <c r="X584" t="e">
        <f t="shared" ca="1" si="115"/>
        <v>#N/A</v>
      </c>
      <c r="Y584" t="e">
        <f t="shared" ca="1" si="116"/>
        <v>#N/A</v>
      </c>
      <c r="Z584" t="e">
        <f t="shared" ca="1" si="117"/>
        <v>#N/A</v>
      </c>
      <c r="AA584" t="e">
        <f t="shared" ca="1" si="118"/>
        <v>#N/A</v>
      </c>
      <c r="AB584" s="85" t="e">
        <f ca="1"/>
        <v>#N/A</v>
      </c>
      <c r="AC584" s="57" t="e">
        <f t="shared" ca="1" si="119"/>
        <v>#N/A</v>
      </c>
      <c r="AD584" s="57" t="e">
        <f t="shared" ca="1" si="120"/>
        <v>#N/A</v>
      </c>
      <c r="AE584" s="57" t="e">
        <f t="shared" ca="1" si="121"/>
        <v>#N/A</v>
      </c>
      <c r="AF584" s="57" t="e">
        <f t="shared" ca="1" si="122"/>
        <v>#N/A</v>
      </c>
    </row>
    <row r="585" spans="18:32" x14ac:dyDescent="0.25">
      <c r="R585" s="57" t="e">
        <f ca="1"/>
        <v>#N/A</v>
      </c>
      <c r="S585" s="57" t="e">
        <f t="shared" ca="1" si="111"/>
        <v>#N/A</v>
      </c>
      <c r="T585" s="57" t="e">
        <f t="shared" ca="1" si="112"/>
        <v>#N/A</v>
      </c>
      <c r="U585" s="57" t="e">
        <f t="shared" ca="1" si="113"/>
        <v>#N/A</v>
      </c>
      <c r="V585" s="57" t="e">
        <f t="shared" ca="1" si="114"/>
        <v>#N/A</v>
      </c>
      <c r="W585" s="57" t="e">
        <f t="shared" ca="1" si="123"/>
        <v>#N/A</v>
      </c>
      <c r="X585" t="e">
        <f t="shared" ca="1" si="115"/>
        <v>#N/A</v>
      </c>
      <c r="Y585" t="e">
        <f t="shared" ca="1" si="116"/>
        <v>#N/A</v>
      </c>
      <c r="Z585" t="e">
        <f t="shared" ca="1" si="117"/>
        <v>#N/A</v>
      </c>
      <c r="AA585" t="e">
        <f t="shared" ca="1" si="118"/>
        <v>#N/A</v>
      </c>
      <c r="AB585" s="85" t="e">
        <f ca="1"/>
        <v>#N/A</v>
      </c>
      <c r="AC585" s="57" t="e">
        <f t="shared" ca="1" si="119"/>
        <v>#N/A</v>
      </c>
      <c r="AD585" s="57" t="e">
        <f t="shared" ca="1" si="120"/>
        <v>#N/A</v>
      </c>
      <c r="AE585" s="57" t="e">
        <f t="shared" ca="1" si="121"/>
        <v>#N/A</v>
      </c>
      <c r="AF585" s="57" t="e">
        <f t="shared" ca="1" si="122"/>
        <v>#N/A</v>
      </c>
    </row>
    <row r="586" spans="18:32" x14ac:dyDescent="0.25">
      <c r="R586" s="57" t="e">
        <f ca="1"/>
        <v>#N/A</v>
      </c>
      <c r="S586" s="57" t="e">
        <f t="shared" ca="1" si="111"/>
        <v>#N/A</v>
      </c>
      <c r="T586" s="57" t="e">
        <f t="shared" ca="1" si="112"/>
        <v>#N/A</v>
      </c>
      <c r="U586" s="57" t="e">
        <f t="shared" ca="1" si="113"/>
        <v>#N/A</v>
      </c>
      <c r="V586" s="57" t="e">
        <f t="shared" ca="1" si="114"/>
        <v>#N/A</v>
      </c>
      <c r="W586" s="57" t="e">
        <f t="shared" ca="1" si="123"/>
        <v>#N/A</v>
      </c>
      <c r="X586" t="e">
        <f t="shared" ca="1" si="115"/>
        <v>#N/A</v>
      </c>
      <c r="Y586" t="e">
        <f t="shared" ca="1" si="116"/>
        <v>#N/A</v>
      </c>
      <c r="Z586" t="e">
        <f t="shared" ca="1" si="117"/>
        <v>#N/A</v>
      </c>
      <c r="AA586" t="e">
        <f t="shared" ca="1" si="118"/>
        <v>#N/A</v>
      </c>
      <c r="AB586" s="85" t="e">
        <f ca="1"/>
        <v>#N/A</v>
      </c>
      <c r="AC586" s="57" t="e">
        <f t="shared" ca="1" si="119"/>
        <v>#N/A</v>
      </c>
      <c r="AD586" s="57" t="e">
        <f t="shared" ca="1" si="120"/>
        <v>#N/A</v>
      </c>
      <c r="AE586" s="57" t="e">
        <f t="shared" ca="1" si="121"/>
        <v>#N/A</v>
      </c>
      <c r="AF586" s="57" t="e">
        <f t="shared" ca="1" si="122"/>
        <v>#N/A</v>
      </c>
    </row>
    <row r="587" spans="18:32" x14ac:dyDescent="0.25">
      <c r="R587" s="57" t="e">
        <f ca="1"/>
        <v>#N/A</v>
      </c>
      <c r="S587" s="57" t="e">
        <f t="shared" ca="1" si="111"/>
        <v>#N/A</v>
      </c>
      <c r="T587" s="57" t="e">
        <f t="shared" ca="1" si="112"/>
        <v>#N/A</v>
      </c>
      <c r="U587" s="57" t="e">
        <f t="shared" ca="1" si="113"/>
        <v>#N/A</v>
      </c>
      <c r="V587" s="57" t="e">
        <f t="shared" ca="1" si="114"/>
        <v>#N/A</v>
      </c>
      <c r="W587" s="57" t="e">
        <f t="shared" ca="1" si="123"/>
        <v>#N/A</v>
      </c>
      <c r="X587" t="e">
        <f t="shared" ca="1" si="115"/>
        <v>#N/A</v>
      </c>
      <c r="Y587" t="e">
        <f t="shared" ca="1" si="116"/>
        <v>#N/A</v>
      </c>
      <c r="Z587" t="e">
        <f t="shared" ca="1" si="117"/>
        <v>#N/A</v>
      </c>
      <c r="AA587" t="e">
        <f t="shared" ca="1" si="118"/>
        <v>#N/A</v>
      </c>
      <c r="AB587" s="85" t="e">
        <f ca="1"/>
        <v>#N/A</v>
      </c>
      <c r="AC587" s="57" t="e">
        <f t="shared" ca="1" si="119"/>
        <v>#N/A</v>
      </c>
      <c r="AD587" s="57" t="e">
        <f t="shared" ca="1" si="120"/>
        <v>#N/A</v>
      </c>
      <c r="AE587" s="57" t="e">
        <f t="shared" ca="1" si="121"/>
        <v>#N/A</v>
      </c>
      <c r="AF587" s="57" t="e">
        <f t="shared" ca="1" si="122"/>
        <v>#N/A</v>
      </c>
    </row>
    <row r="588" spans="18:32" x14ac:dyDescent="0.25">
      <c r="R588" s="57" t="e">
        <f ca="1"/>
        <v>#N/A</v>
      </c>
      <c r="S588" s="57" t="e">
        <f t="shared" ref="S588:S651" ca="1" si="124">IF(R588&gt;1,R588,"")</f>
        <v>#N/A</v>
      </c>
      <c r="T588" s="57" t="e">
        <f t="shared" ref="T588:T651" ca="1" si="125">VLOOKUP(S588,ModelOutputs,2,FALSE)</f>
        <v>#N/A</v>
      </c>
      <c r="U588" s="57" t="e">
        <f t="shared" ref="U588:U651" ca="1" si="126">VLOOKUP(S588,ModelOutputs,7,FALSE)</f>
        <v>#N/A</v>
      </c>
      <c r="V588" s="57" t="e">
        <f t="shared" ref="V588:V651" ca="1" si="127">VLOOKUP(S588,ModelOutputs,6,FALSE)</f>
        <v>#N/A</v>
      </c>
      <c r="W588" s="57" t="e">
        <f t="shared" ca="1" si="123"/>
        <v>#N/A</v>
      </c>
      <c r="X588" t="e">
        <f t="shared" ref="X588:X651" ca="1" si="128">VLOOKUP(S588,ModelOutputs,10,FALSE)*AWC</f>
        <v>#N/A</v>
      </c>
      <c r="Y588" t="e">
        <f t="shared" ref="Y588:Y651" ca="1" si="129">VLOOKUP(S588,ModelOutputs,11,FALSE)+Y587</f>
        <v>#N/A</v>
      </c>
      <c r="Z588" t="e">
        <f t="shared" ref="Z588:Z651" ca="1" si="130">VLOOKUP(S588,ModelOutputs,12,FALSE)</f>
        <v>#N/A</v>
      </c>
      <c r="AA588" t="e">
        <f t="shared" ref="AA588:AA651" ca="1" si="131">VLOOKUP(S588,ModelOutputs,13,FALSE)</f>
        <v>#N/A</v>
      </c>
      <c r="AB588" s="85" t="e">
        <f ca="1"/>
        <v>#N/A</v>
      </c>
      <c r="AC588" s="57" t="e">
        <f t="shared" ref="AC588:AC651" ca="1" si="132">IF(AB588&gt;1,AB588,"")</f>
        <v>#N/A</v>
      </c>
      <c r="AD588" s="57" t="e">
        <f t="shared" ref="AD588:AD651" ca="1" si="133">VLOOKUP(AC588,ModelOutputs,2,FALSE)</f>
        <v>#N/A</v>
      </c>
      <c r="AE588" s="57" t="e">
        <f t="shared" ref="AE588:AE651" ca="1" si="134">VLOOKUP(AC588,ModelOutputs,7,FALSE)</f>
        <v>#N/A</v>
      </c>
      <c r="AF588" s="57" t="e">
        <f t="shared" ref="AF588:AF651" ca="1" si="135">VLOOKUP(AC588,ModelOutputs,6,FALSE)</f>
        <v>#N/A</v>
      </c>
    </row>
    <row r="589" spans="18:32" x14ac:dyDescent="0.25">
      <c r="R589" s="57" t="e">
        <f ca="1"/>
        <v>#N/A</v>
      </c>
      <c r="S589" s="57" t="e">
        <f t="shared" ca="1" si="124"/>
        <v>#N/A</v>
      </c>
      <c r="T589" s="57" t="e">
        <f t="shared" ca="1" si="125"/>
        <v>#N/A</v>
      </c>
      <c r="U589" s="57" t="e">
        <f t="shared" ca="1" si="126"/>
        <v>#N/A</v>
      </c>
      <c r="V589" s="57" t="e">
        <f t="shared" ca="1" si="127"/>
        <v>#N/A</v>
      </c>
      <c r="W589" s="57" t="e">
        <f t="shared" ca="1" si="123"/>
        <v>#N/A</v>
      </c>
      <c r="X589" t="e">
        <f t="shared" ca="1" si="128"/>
        <v>#N/A</v>
      </c>
      <c r="Y589" t="e">
        <f t="shared" ca="1" si="129"/>
        <v>#N/A</v>
      </c>
      <c r="Z589" t="e">
        <f t="shared" ca="1" si="130"/>
        <v>#N/A</v>
      </c>
      <c r="AA589" t="e">
        <f t="shared" ca="1" si="131"/>
        <v>#N/A</v>
      </c>
      <c r="AB589" s="85" t="e">
        <f ca="1"/>
        <v>#N/A</v>
      </c>
      <c r="AC589" s="57" t="e">
        <f t="shared" ca="1" si="132"/>
        <v>#N/A</v>
      </c>
      <c r="AD589" s="57" t="e">
        <f t="shared" ca="1" si="133"/>
        <v>#N/A</v>
      </c>
      <c r="AE589" s="57" t="e">
        <f t="shared" ca="1" si="134"/>
        <v>#N/A</v>
      </c>
      <c r="AF589" s="57" t="e">
        <f t="shared" ca="1" si="135"/>
        <v>#N/A</v>
      </c>
    </row>
    <row r="590" spans="18:32" x14ac:dyDescent="0.25">
      <c r="R590" s="57" t="e">
        <f ca="1"/>
        <v>#N/A</v>
      </c>
      <c r="S590" s="57" t="e">
        <f t="shared" ca="1" si="124"/>
        <v>#N/A</v>
      </c>
      <c r="T590" s="57" t="e">
        <f t="shared" ca="1" si="125"/>
        <v>#N/A</v>
      </c>
      <c r="U590" s="57" t="e">
        <f t="shared" ca="1" si="126"/>
        <v>#N/A</v>
      </c>
      <c r="V590" s="57" t="e">
        <f t="shared" ca="1" si="127"/>
        <v>#N/A</v>
      </c>
      <c r="W590" s="57" t="e">
        <f t="shared" ca="1" si="123"/>
        <v>#N/A</v>
      </c>
      <c r="X590" t="e">
        <f t="shared" ca="1" si="128"/>
        <v>#N/A</v>
      </c>
      <c r="Y590" t="e">
        <f t="shared" ca="1" si="129"/>
        <v>#N/A</v>
      </c>
      <c r="Z590" t="e">
        <f t="shared" ca="1" si="130"/>
        <v>#N/A</v>
      </c>
      <c r="AA590" t="e">
        <f t="shared" ca="1" si="131"/>
        <v>#N/A</v>
      </c>
      <c r="AB590" s="85" t="e">
        <f ca="1"/>
        <v>#N/A</v>
      </c>
      <c r="AC590" s="57" t="e">
        <f t="shared" ca="1" si="132"/>
        <v>#N/A</v>
      </c>
      <c r="AD590" s="57" t="e">
        <f t="shared" ca="1" si="133"/>
        <v>#N/A</v>
      </c>
      <c r="AE590" s="57" t="e">
        <f t="shared" ca="1" si="134"/>
        <v>#N/A</v>
      </c>
      <c r="AF590" s="57" t="e">
        <f t="shared" ca="1" si="135"/>
        <v>#N/A</v>
      </c>
    </row>
    <row r="591" spans="18:32" x14ac:dyDescent="0.25">
      <c r="R591" s="57" t="e">
        <f ca="1"/>
        <v>#N/A</v>
      </c>
      <c r="S591" s="57" t="e">
        <f t="shared" ca="1" si="124"/>
        <v>#N/A</v>
      </c>
      <c r="T591" s="57" t="e">
        <f t="shared" ca="1" si="125"/>
        <v>#N/A</v>
      </c>
      <c r="U591" s="57" t="e">
        <f t="shared" ca="1" si="126"/>
        <v>#N/A</v>
      </c>
      <c r="V591" s="57" t="e">
        <f t="shared" ca="1" si="127"/>
        <v>#N/A</v>
      </c>
      <c r="W591" s="57" t="e">
        <f t="shared" ca="1" si="123"/>
        <v>#N/A</v>
      </c>
      <c r="X591" t="e">
        <f t="shared" ca="1" si="128"/>
        <v>#N/A</v>
      </c>
      <c r="Y591" t="e">
        <f t="shared" ca="1" si="129"/>
        <v>#N/A</v>
      </c>
      <c r="Z591" t="e">
        <f t="shared" ca="1" si="130"/>
        <v>#N/A</v>
      </c>
      <c r="AA591" t="e">
        <f t="shared" ca="1" si="131"/>
        <v>#N/A</v>
      </c>
      <c r="AB591" s="85" t="e">
        <f ca="1"/>
        <v>#N/A</v>
      </c>
      <c r="AC591" s="57" t="e">
        <f t="shared" ca="1" si="132"/>
        <v>#N/A</v>
      </c>
      <c r="AD591" s="57" t="e">
        <f t="shared" ca="1" si="133"/>
        <v>#N/A</v>
      </c>
      <c r="AE591" s="57" t="e">
        <f t="shared" ca="1" si="134"/>
        <v>#N/A</v>
      </c>
      <c r="AF591" s="57" t="e">
        <f t="shared" ca="1" si="135"/>
        <v>#N/A</v>
      </c>
    </row>
    <row r="592" spans="18:32" x14ac:dyDescent="0.25">
      <c r="R592" s="57" t="e">
        <f ca="1"/>
        <v>#N/A</v>
      </c>
      <c r="S592" s="57" t="e">
        <f t="shared" ca="1" si="124"/>
        <v>#N/A</v>
      </c>
      <c r="T592" s="57" t="e">
        <f t="shared" ca="1" si="125"/>
        <v>#N/A</v>
      </c>
      <c r="U592" s="57" t="e">
        <f t="shared" ca="1" si="126"/>
        <v>#N/A</v>
      </c>
      <c r="V592" s="57" t="e">
        <f t="shared" ca="1" si="127"/>
        <v>#N/A</v>
      </c>
      <c r="W592" s="57" t="e">
        <f t="shared" ca="1" si="123"/>
        <v>#N/A</v>
      </c>
      <c r="X592" t="e">
        <f t="shared" ca="1" si="128"/>
        <v>#N/A</v>
      </c>
      <c r="Y592" t="e">
        <f t="shared" ca="1" si="129"/>
        <v>#N/A</v>
      </c>
      <c r="Z592" t="e">
        <f t="shared" ca="1" si="130"/>
        <v>#N/A</v>
      </c>
      <c r="AA592" t="e">
        <f t="shared" ca="1" si="131"/>
        <v>#N/A</v>
      </c>
      <c r="AB592" s="85" t="e">
        <f ca="1"/>
        <v>#N/A</v>
      </c>
      <c r="AC592" s="57" t="e">
        <f t="shared" ca="1" si="132"/>
        <v>#N/A</v>
      </c>
      <c r="AD592" s="57" t="e">
        <f t="shared" ca="1" si="133"/>
        <v>#N/A</v>
      </c>
      <c r="AE592" s="57" t="e">
        <f t="shared" ca="1" si="134"/>
        <v>#N/A</v>
      </c>
      <c r="AF592" s="57" t="e">
        <f t="shared" ca="1" si="135"/>
        <v>#N/A</v>
      </c>
    </row>
    <row r="593" spans="18:32" x14ac:dyDescent="0.25">
      <c r="R593" s="57" t="e">
        <f ca="1"/>
        <v>#N/A</v>
      </c>
      <c r="S593" s="57" t="e">
        <f t="shared" ca="1" si="124"/>
        <v>#N/A</v>
      </c>
      <c r="T593" s="57" t="e">
        <f t="shared" ca="1" si="125"/>
        <v>#N/A</v>
      </c>
      <c r="U593" s="57" t="e">
        <f t="shared" ca="1" si="126"/>
        <v>#N/A</v>
      </c>
      <c r="V593" s="57" t="e">
        <f t="shared" ca="1" si="127"/>
        <v>#N/A</v>
      </c>
      <c r="W593" s="57" t="e">
        <f t="shared" ca="1" si="123"/>
        <v>#N/A</v>
      </c>
      <c r="X593" t="e">
        <f t="shared" ca="1" si="128"/>
        <v>#N/A</v>
      </c>
      <c r="Y593" t="e">
        <f t="shared" ca="1" si="129"/>
        <v>#N/A</v>
      </c>
      <c r="Z593" t="e">
        <f t="shared" ca="1" si="130"/>
        <v>#N/A</v>
      </c>
      <c r="AA593" t="e">
        <f t="shared" ca="1" si="131"/>
        <v>#N/A</v>
      </c>
      <c r="AB593" s="85" t="e">
        <f ca="1"/>
        <v>#N/A</v>
      </c>
      <c r="AC593" s="57" t="e">
        <f t="shared" ca="1" si="132"/>
        <v>#N/A</v>
      </c>
      <c r="AD593" s="57" t="e">
        <f t="shared" ca="1" si="133"/>
        <v>#N/A</v>
      </c>
      <c r="AE593" s="57" t="e">
        <f t="shared" ca="1" si="134"/>
        <v>#N/A</v>
      </c>
      <c r="AF593" s="57" t="e">
        <f t="shared" ca="1" si="135"/>
        <v>#N/A</v>
      </c>
    </row>
    <row r="594" spans="18:32" x14ac:dyDescent="0.25">
      <c r="R594" s="57" t="e">
        <f ca="1"/>
        <v>#N/A</v>
      </c>
      <c r="S594" s="57" t="e">
        <f t="shared" ca="1" si="124"/>
        <v>#N/A</v>
      </c>
      <c r="T594" s="57" t="e">
        <f t="shared" ca="1" si="125"/>
        <v>#N/A</v>
      </c>
      <c r="U594" s="57" t="e">
        <f t="shared" ca="1" si="126"/>
        <v>#N/A</v>
      </c>
      <c r="V594" s="57" t="e">
        <f t="shared" ca="1" si="127"/>
        <v>#N/A</v>
      </c>
      <c r="W594" s="57" t="e">
        <f t="shared" ca="1" si="123"/>
        <v>#N/A</v>
      </c>
      <c r="X594" t="e">
        <f t="shared" ca="1" si="128"/>
        <v>#N/A</v>
      </c>
      <c r="Y594" t="e">
        <f t="shared" ca="1" si="129"/>
        <v>#N/A</v>
      </c>
      <c r="Z594" t="e">
        <f t="shared" ca="1" si="130"/>
        <v>#N/A</v>
      </c>
      <c r="AA594" t="e">
        <f t="shared" ca="1" si="131"/>
        <v>#N/A</v>
      </c>
      <c r="AB594" s="85" t="e">
        <f ca="1"/>
        <v>#N/A</v>
      </c>
      <c r="AC594" s="57" t="e">
        <f t="shared" ca="1" si="132"/>
        <v>#N/A</v>
      </c>
      <c r="AD594" s="57" t="e">
        <f t="shared" ca="1" si="133"/>
        <v>#N/A</v>
      </c>
      <c r="AE594" s="57" t="e">
        <f t="shared" ca="1" si="134"/>
        <v>#N/A</v>
      </c>
      <c r="AF594" s="57" t="e">
        <f t="shared" ca="1" si="135"/>
        <v>#N/A</v>
      </c>
    </row>
    <row r="595" spans="18:32" x14ac:dyDescent="0.25">
      <c r="R595" s="57" t="e">
        <f ca="1"/>
        <v>#N/A</v>
      </c>
      <c r="S595" s="57" t="e">
        <f t="shared" ca="1" si="124"/>
        <v>#N/A</v>
      </c>
      <c r="T595" s="57" t="e">
        <f t="shared" ca="1" si="125"/>
        <v>#N/A</v>
      </c>
      <c r="U595" s="57" t="e">
        <f t="shared" ca="1" si="126"/>
        <v>#N/A</v>
      </c>
      <c r="V595" s="57" t="e">
        <f t="shared" ca="1" si="127"/>
        <v>#N/A</v>
      </c>
      <c r="W595" s="57" t="e">
        <f t="shared" ref="W595:W662" ca="1" si="136">VLOOKUP(S595,ModelOutputs,9,FALSE)+W594</f>
        <v>#N/A</v>
      </c>
      <c r="X595" t="e">
        <f t="shared" ca="1" si="128"/>
        <v>#N/A</v>
      </c>
      <c r="Y595" t="e">
        <f t="shared" ca="1" si="129"/>
        <v>#N/A</v>
      </c>
      <c r="Z595" t="e">
        <f t="shared" ca="1" si="130"/>
        <v>#N/A</v>
      </c>
      <c r="AA595" t="e">
        <f t="shared" ca="1" si="131"/>
        <v>#N/A</v>
      </c>
      <c r="AB595" s="85" t="e">
        <f ca="1"/>
        <v>#N/A</v>
      </c>
      <c r="AC595" s="57" t="e">
        <f t="shared" ca="1" si="132"/>
        <v>#N/A</v>
      </c>
      <c r="AD595" s="57" t="e">
        <f t="shared" ca="1" si="133"/>
        <v>#N/A</v>
      </c>
      <c r="AE595" s="57" t="e">
        <f t="shared" ca="1" si="134"/>
        <v>#N/A</v>
      </c>
      <c r="AF595" s="57" t="e">
        <f t="shared" ca="1" si="135"/>
        <v>#N/A</v>
      </c>
    </row>
    <row r="596" spans="18:32" x14ac:dyDescent="0.25">
      <c r="R596" s="57" t="e">
        <f ca="1"/>
        <v>#N/A</v>
      </c>
      <c r="S596" s="57" t="e">
        <f t="shared" ca="1" si="124"/>
        <v>#N/A</v>
      </c>
      <c r="T596" s="57" t="e">
        <f t="shared" ca="1" si="125"/>
        <v>#N/A</v>
      </c>
      <c r="U596" s="57" t="e">
        <f t="shared" ca="1" si="126"/>
        <v>#N/A</v>
      </c>
      <c r="V596" s="57" t="e">
        <f t="shared" ca="1" si="127"/>
        <v>#N/A</v>
      </c>
      <c r="W596" s="57" t="e">
        <f t="shared" ca="1" si="136"/>
        <v>#N/A</v>
      </c>
      <c r="X596" t="e">
        <f t="shared" ca="1" si="128"/>
        <v>#N/A</v>
      </c>
      <c r="Y596" t="e">
        <f t="shared" ca="1" si="129"/>
        <v>#N/A</v>
      </c>
      <c r="Z596" t="e">
        <f t="shared" ca="1" si="130"/>
        <v>#N/A</v>
      </c>
      <c r="AA596" t="e">
        <f t="shared" ca="1" si="131"/>
        <v>#N/A</v>
      </c>
      <c r="AB596" s="85" t="e">
        <f ca="1"/>
        <v>#N/A</v>
      </c>
      <c r="AC596" s="57" t="e">
        <f t="shared" ca="1" si="132"/>
        <v>#N/A</v>
      </c>
      <c r="AD596" s="57" t="e">
        <f t="shared" ca="1" si="133"/>
        <v>#N/A</v>
      </c>
      <c r="AE596" s="57" t="e">
        <f t="shared" ca="1" si="134"/>
        <v>#N/A</v>
      </c>
      <c r="AF596" s="57" t="e">
        <f t="shared" ca="1" si="135"/>
        <v>#N/A</v>
      </c>
    </row>
    <row r="597" spans="18:32" x14ac:dyDescent="0.25">
      <c r="R597" s="57" t="e">
        <f ca="1"/>
        <v>#N/A</v>
      </c>
      <c r="S597" s="57" t="e">
        <f t="shared" ca="1" si="124"/>
        <v>#N/A</v>
      </c>
      <c r="T597" s="57" t="e">
        <f t="shared" ca="1" si="125"/>
        <v>#N/A</v>
      </c>
      <c r="U597" s="57" t="e">
        <f t="shared" ca="1" si="126"/>
        <v>#N/A</v>
      </c>
      <c r="V597" s="57" t="e">
        <f t="shared" ca="1" si="127"/>
        <v>#N/A</v>
      </c>
      <c r="W597" s="57" t="e">
        <f t="shared" ca="1" si="136"/>
        <v>#N/A</v>
      </c>
      <c r="X597" t="e">
        <f t="shared" ca="1" si="128"/>
        <v>#N/A</v>
      </c>
      <c r="Y597" t="e">
        <f t="shared" ca="1" si="129"/>
        <v>#N/A</v>
      </c>
      <c r="Z597" t="e">
        <f t="shared" ca="1" si="130"/>
        <v>#N/A</v>
      </c>
      <c r="AA597" t="e">
        <f t="shared" ca="1" si="131"/>
        <v>#N/A</v>
      </c>
      <c r="AB597" s="85" t="e">
        <f ca="1"/>
        <v>#N/A</v>
      </c>
      <c r="AC597" s="57" t="e">
        <f t="shared" ca="1" si="132"/>
        <v>#N/A</v>
      </c>
      <c r="AD597" s="57" t="e">
        <f t="shared" ca="1" si="133"/>
        <v>#N/A</v>
      </c>
      <c r="AE597" s="57" t="e">
        <f t="shared" ca="1" si="134"/>
        <v>#N/A</v>
      </c>
      <c r="AF597" s="57" t="e">
        <f t="shared" ca="1" si="135"/>
        <v>#N/A</v>
      </c>
    </row>
    <row r="598" spans="18:32" x14ac:dyDescent="0.25">
      <c r="R598" s="57" t="e">
        <f ca="1"/>
        <v>#N/A</v>
      </c>
      <c r="S598" s="57" t="e">
        <f t="shared" ca="1" si="124"/>
        <v>#N/A</v>
      </c>
      <c r="T598" s="57" t="e">
        <f t="shared" ca="1" si="125"/>
        <v>#N/A</v>
      </c>
      <c r="U598" s="57" t="e">
        <f t="shared" ca="1" si="126"/>
        <v>#N/A</v>
      </c>
      <c r="V598" s="57" t="e">
        <f t="shared" ca="1" si="127"/>
        <v>#N/A</v>
      </c>
      <c r="W598" s="57" t="e">
        <f t="shared" ca="1" si="136"/>
        <v>#N/A</v>
      </c>
      <c r="X598" t="e">
        <f t="shared" ca="1" si="128"/>
        <v>#N/A</v>
      </c>
      <c r="Y598" t="e">
        <f t="shared" ca="1" si="129"/>
        <v>#N/A</v>
      </c>
      <c r="Z598" t="e">
        <f t="shared" ca="1" si="130"/>
        <v>#N/A</v>
      </c>
      <c r="AA598" t="e">
        <f t="shared" ca="1" si="131"/>
        <v>#N/A</v>
      </c>
      <c r="AB598" s="85" t="e">
        <f ca="1"/>
        <v>#N/A</v>
      </c>
      <c r="AC598" s="57" t="e">
        <f t="shared" ca="1" si="132"/>
        <v>#N/A</v>
      </c>
      <c r="AD598" s="57" t="e">
        <f t="shared" ca="1" si="133"/>
        <v>#N/A</v>
      </c>
      <c r="AE598" s="57" t="e">
        <f t="shared" ca="1" si="134"/>
        <v>#N/A</v>
      </c>
      <c r="AF598" s="57" t="e">
        <f t="shared" ca="1" si="135"/>
        <v>#N/A</v>
      </c>
    </row>
    <row r="599" spans="18:32" x14ac:dyDescent="0.25">
      <c r="R599" s="57" t="e">
        <f ca="1"/>
        <v>#N/A</v>
      </c>
      <c r="S599" s="57" t="e">
        <f t="shared" ca="1" si="124"/>
        <v>#N/A</v>
      </c>
      <c r="T599" s="57" t="e">
        <f t="shared" ca="1" si="125"/>
        <v>#N/A</v>
      </c>
      <c r="U599" s="57" t="e">
        <f t="shared" ca="1" si="126"/>
        <v>#N/A</v>
      </c>
      <c r="V599" s="57" t="e">
        <f t="shared" ca="1" si="127"/>
        <v>#N/A</v>
      </c>
      <c r="W599" s="57" t="e">
        <f t="shared" ca="1" si="136"/>
        <v>#N/A</v>
      </c>
      <c r="X599" t="e">
        <f t="shared" ca="1" si="128"/>
        <v>#N/A</v>
      </c>
      <c r="Y599" t="e">
        <f t="shared" ca="1" si="129"/>
        <v>#N/A</v>
      </c>
      <c r="Z599" t="e">
        <f t="shared" ca="1" si="130"/>
        <v>#N/A</v>
      </c>
      <c r="AA599" t="e">
        <f t="shared" ca="1" si="131"/>
        <v>#N/A</v>
      </c>
      <c r="AB599" s="85" t="e">
        <f ca="1"/>
        <v>#N/A</v>
      </c>
      <c r="AC599" s="57" t="e">
        <f t="shared" ca="1" si="132"/>
        <v>#N/A</v>
      </c>
      <c r="AD599" s="57" t="e">
        <f t="shared" ca="1" si="133"/>
        <v>#N/A</v>
      </c>
      <c r="AE599" s="57" t="e">
        <f t="shared" ca="1" si="134"/>
        <v>#N/A</v>
      </c>
      <c r="AF599" s="57" t="e">
        <f t="shared" ca="1" si="135"/>
        <v>#N/A</v>
      </c>
    </row>
    <row r="600" spans="18:32" x14ac:dyDescent="0.25">
      <c r="R600" s="57" t="e">
        <f ca="1"/>
        <v>#N/A</v>
      </c>
      <c r="S600" s="57" t="e">
        <f t="shared" ca="1" si="124"/>
        <v>#N/A</v>
      </c>
      <c r="T600" s="57" t="e">
        <f t="shared" ca="1" si="125"/>
        <v>#N/A</v>
      </c>
      <c r="U600" s="57" t="e">
        <f t="shared" ca="1" si="126"/>
        <v>#N/A</v>
      </c>
      <c r="V600" s="57" t="e">
        <f t="shared" ca="1" si="127"/>
        <v>#N/A</v>
      </c>
      <c r="W600" s="57" t="e">
        <f t="shared" ca="1" si="136"/>
        <v>#N/A</v>
      </c>
      <c r="X600" t="e">
        <f t="shared" ca="1" si="128"/>
        <v>#N/A</v>
      </c>
      <c r="Y600" t="e">
        <f t="shared" ca="1" si="129"/>
        <v>#N/A</v>
      </c>
      <c r="Z600" t="e">
        <f t="shared" ca="1" si="130"/>
        <v>#N/A</v>
      </c>
      <c r="AA600" t="e">
        <f t="shared" ca="1" si="131"/>
        <v>#N/A</v>
      </c>
      <c r="AB600" s="85" t="e">
        <f ca="1"/>
        <v>#N/A</v>
      </c>
      <c r="AC600" s="57" t="e">
        <f t="shared" ca="1" si="132"/>
        <v>#N/A</v>
      </c>
      <c r="AD600" s="57" t="e">
        <f t="shared" ca="1" si="133"/>
        <v>#N/A</v>
      </c>
      <c r="AE600" s="57" t="e">
        <f t="shared" ca="1" si="134"/>
        <v>#N/A</v>
      </c>
      <c r="AF600" s="57" t="e">
        <f t="shared" ca="1" si="135"/>
        <v>#N/A</v>
      </c>
    </row>
    <row r="601" spans="18:32" x14ac:dyDescent="0.25">
      <c r="R601" s="57" t="e">
        <f ca="1"/>
        <v>#N/A</v>
      </c>
      <c r="S601" s="57" t="e">
        <f t="shared" ca="1" si="124"/>
        <v>#N/A</v>
      </c>
      <c r="T601" s="57" t="e">
        <f t="shared" ca="1" si="125"/>
        <v>#N/A</v>
      </c>
      <c r="U601" s="57" t="e">
        <f t="shared" ca="1" si="126"/>
        <v>#N/A</v>
      </c>
      <c r="V601" s="57" t="e">
        <f t="shared" ca="1" si="127"/>
        <v>#N/A</v>
      </c>
      <c r="W601" s="57" t="e">
        <f t="shared" ca="1" si="136"/>
        <v>#N/A</v>
      </c>
      <c r="X601" t="e">
        <f t="shared" ca="1" si="128"/>
        <v>#N/A</v>
      </c>
      <c r="Y601" t="e">
        <f t="shared" ca="1" si="129"/>
        <v>#N/A</v>
      </c>
      <c r="Z601" t="e">
        <f t="shared" ca="1" si="130"/>
        <v>#N/A</v>
      </c>
      <c r="AA601" t="e">
        <f t="shared" ca="1" si="131"/>
        <v>#N/A</v>
      </c>
      <c r="AB601" s="85" t="e">
        <f ca="1"/>
        <v>#N/A</v>
      </c>
      <c r="AC601" s="57" t="e">
        <f t="shared" ca="1" si="132"/>
        <v>#N/A</v>
      </c>
      <c r="AD601" s="57" t="e">
        <f t="shared" ca="1" si="133"/>
        <v>#N/A</v>
      </c>
      <c r="AE601" s="57" t="e">
        <f t="shared" ca="1" si="134"/>
        <v>#N/A</v>
      </c>
      <c r="AF601" s="57" t="e">
        <f t="shared" ca="1" si="135"/>
        <v>#N/A</v>
      </c>
    </row>
    <row r="602" spans="18:32" x14ac:dyDescent="0.25">
      <c r="R602" s="57" t="e">
        <f ca="1"/>
        <v>#N/A</v>
      </c>
      <c r="S602" s="57" t="e">
        <f t="shared" ca="1" si="124"/>
        <v>#N/A</v>
      </c>
      <c r="T602" s="57" t="e">
        <f t="shared" ca="1" si="125"/>
        <v>#N/A</v>
      </c>
      <c r="U602" s="57" t="e">
        <f t="shared" ca="1" si="126"/>
        <v>#N/A</v>
      </c>
      <c r="V602" s="57" t="e">
        <f t="shared" ca="1" si="127"/>
        <v>#N/A</v>
      </c>
      <c r="W602" s="57" t="e">
        <f t="shared" ca="1" si="136"/>
        <v>#N/A</v>
      </c>
      <c r="X602" t="e">
        <f t="shared" ca="1" si="128"/>
        <v>#N/A</v>
      </c>
      <c r="Y602" t="e">
        <f t="shared" ca="1" si="129"/>
        <v>#N/A</v>
      </c>
      <c r="Z602" t="e">
        <f t="shared" ca="1" si="130"/>
        <v>#N/A</v>
      </c>
      <c r="AA602" t="e">
        <f t="shared" ca="1" si="131"/>
        <v>#N/A</v>
      </c>
      <c r="AB602" s="85" t="e">
        <f ca="1"/>
        <v>#N/A</v>
      </c>
      <c r="AC602" s="57" t="e">
        <f t="shared" ca="1" si="132"/>
        <v>#N/A</v>
      </c>
      <c r="AD602" s="57" t="e">
        <f t="shared" ca="1" si="133"/>
        <v>#N/A</v>
      </c>
      <c r="AE602" s="57" t="e">
        <f t="shared" ca="1" si="134"/>
        <v>#N/A</v>
      </c>
      <c r="AF602" s="57" t="e">
        <f t="shared" ca="1" si="135"/>
        <v>#N/A</v>
      </c>
    </row>
    <row r="603" spans="18:32" x14ac:dyDescent="0.25">
      <c r="R603" s="57" t="e">
        <f ca="1"/>
        <v>#N/A</v>
      </c>
      <c r="S603" s="57" t="e">
        <f t="shared" ca="1" si="124"/>
        <v>#N/A</v>
      </c>
      <c r="T603" s="57" t="e">
        <f t="shared" ca="1" si="125"/>
        <v>#N/A</v>
      </c>
      <c r="U603" s="57" t="e">
        <f t="shared" ca="1" si="126"/>
        <v>#N/A</v>
      </c>
      <c r="V603" s="57" t="e">
        <f t="shared" ca="1" si="127"/>
        <v>#N/A</v>
      </c>
      <c r="W603" s="57" t="e">
        <f t="shared" ca="1" si="136"/>
        <v>#N/A</v>
      </c>
      <c r="X603" t="e">
        <f t="shared" ca="1" si="128"/>
        <v>#N/A</v>
      </c>
      <c r="Y603" t="e">
        <f t="shared" ca="1" si="129"/>
        <v>#N/A</v>
      </c>
      <c r="Z603" t="e">
        <f t="shared" ca="1" si="130"/>
        <v>#N/A</v>
      </c>
      <c r="AA603" t="e">
        <f t="shared" ca="1" si="131"/>
        <v>#N/A</v>
      </c>
      <c r="AB603" s="85" t="e">
        <f ca="1"/>
        <v>#N/A</v>
      </c>
      <c r="AC603" s="57" t="e">
        <f t="shared" ca="1" si="132"/>
        <v>#N/A</v>
      </c>
      <c r="AD603" s="57" t="e">
        <f t="shared" ca="1" si="133"/>
        <v>#N/A</v>
      </c>
      <c r="AE603" s="57" t="e">
        <f t="shared" ca="1" si="134"/>
        <v>#N/A</v>
      </c>
      <c r="AF603" s="57" t="e">
        <f t="shared" ca="1" si="135"/>
        <v>#N/A</v>
      </c>
    </row>
    <row r="604" spans="18:32" x14ac:dyDescent="0.25">
      <c r="R604" s="57" t="e">
        <f ca="1"/>
        <v>#N/A</v>
      </c>
      <c r="S604" s="57" t="e">
        <f t="shared" ca="1" si="124"/>
        <v>#N/A</v>
      </c>
      <c r="T604" s="57" t="e">
        <f t="shared" ca="1" si="125"/>
        <v>#N/A</v>
      </c>
      <c r="U604" s="57" t="e">
        <f t="shared" ca="1" si="126"/>
        <v>#N/A</v>
      </c>
      <c r="V604" s="57" t="e">
        <f t="shared" ca="1" si="127"/>
        <v>#N/A</v>
      </c>
      <c r="W604" s="57" t="e">
        <f t="shared" ca="1" si="136"/>
        <v>#N/A</v>
      </c>
      <c r="X604" t="e">
        <f t="shared" ca="1" si="128"/>
        <v>#N/A</v>
      </c>
      <c r="Y604" t="e">
        <f t="shared" ca="1" si="129"/>
        <v>#N/A</v>
      </c>
      <c r="Z604" t="e">
        <f t="shared" ca="1" si="130"/>
        <v>#N/A</v>
      </c>
      <c r="AA604" t="e">
        <f t="shared" ca="1" si="131"/>
        <v>#N/A</v>
      </c>
      <c r="AB604" s="85" t="e">
        <f ca="1"/>
        <v>#N/A</v>
      </c>
      <c r="AC604" s="57" t="e">
        <f t="shared" ca="1" si="132"/>
        <v>#N/A</v>
      </c>
      <c r="AD604" s="57" t="e">
        <f t="shared" ca="1" si="133"/>
        <v>#N/A</v>
      </c>
      <c r="AE604" s="57" t="e">
        <f t="shared" ca="1" si="134"/>
        <v>#N/A</v>
      </c>
      <c r="AF604" s="57" t="e">
        <f t="shared" ca="1" si="135"/>
        <v>#N/A</v>
      </c>
    </row>
    <row r="605" spans="18:32" x14ac:dyDescent="0.25">
      <c r="R605" s="57" t="e">
        <f ca="1"/>
        <v>#N/A</v>
      </c>
      <c r="S605" s="57" t="e">
        <f t="shared" ca="1" si="124"/>
        <v>#N/A</v>
      </c>
      <c r="T605" s="57" t="e">
        <f t="shared" ca="1" si="125"/>
        <v>#N/A</v>
      </c>
      <c r="U605" s="57" t="e">
        <f t="shared" ca="1" si="126"/>
        <v>#N/A</v>
      </c>
      <c r="V605" s="57" t="e">
        <f t="shared" ca="1" si="127"/>
        <v>#N/A</v>
      </c>
      <c r="W605" s="57" t="e">
        <f t="shared" ca="1" si="136"/>
        <v>#N/A</v>
      </c>
      <c r="X605" t="e">
        <f t="shared" ca="1" si="128"/>
        <v>#N/A</v>
      </c>
      <c r="Y605" t="e">
        <f t="shared" ca="1" si="129"/>
        <v>#N/A</v>
      </c>
      <c r="Z605" t="e">
        <f t="shared" ca="1" si="130"/>
        <v>#N/A</v>
      </c>
      <c r="AA605" t="e">
        <f t="shared" ca="1" si="131"/>
        <v>#N/A</v>
      </c>
      <c r="AB605" s="85" t="e">
        <f ca="1"/>
        <v>#N/A</v>
      </c>
      <c r="AC605" s="57" t="e">
        <f t="shared" ca="1" si="132"/>
        <v>#N/A</v>
      </c>
      <c r="AD605" s="57" t="e">
        <f t="shared" ca="1" si="133"/>
        <v>#N/A</v>
      </c>
      <c r="AE605" s="57" t="e">
        <f t="shared" ca="1" si="134"/>
        <v>#N/A</v>
      </c>
      <c r="AF605" s="57" t="e">
        <f t="shared" ca="1" si="135"/>
        <v>#N/A</v>
      </c>
    </row>
    <row r="606" spans="18:32" x14ac:dyDescent="0.25">
      <c r="R606" s="57" t="e">
        <f ca="1"/>
        <v>#N/A</v>
      </c>
      <c r="S606" s="57" t="e">
        <f t="shared" ca="1" si="124"/>
        <v>#N/A</v>
      </c>
      <c r="T606" s="57" t="e">
        <f t="shared" ca="1" si="125"/>
        <v>#N/A</v>
      </c>
      <c r="U606" s="57" t="e">
        <f t="shared" ca="1" si="126"/>
        <v>#N/A</v>
      </c>
      <c r="V606" s="57" t="e">
        <f t="shared" ca="1" si="127"/>
        <v>#N/A</v>
      </c>
      <c r="W606" s="57" t="e">
        <f t="shared" ca="1" si="136"/>
        <v>#N/A</v>
      </c>
      <c r="X606" t="e">
        <f t="shared" ca="1" si="128"/>
        <v>#N/A</v>
      </c>
      <c r="Y606" t="e">
        <f t="shared" ca="1" si="129"/>
        <v>#N/A</v>
      </c>
      <c r="Z606" t="e">
        <f t="shared" ca="1" si="130"/>
        <v>#N/A</v>
      </c>
      <c r="AA606" t="e">
        <f t="shared" ca="1" si="131"/>
        <v>#N/A</v>
      </c>
      <c r="AB606" s="85" t="e">
        <f ca="1"/>
        <v>#N/A</v>
      </c>
      <c r="AC606" s="57" t="e">
        <f t="shared" ca="1" si="132"/>
        <v>#N/A</v>
      </c>
      <c r="AD606" s="57" t="e">
        <f t="shared" ca="1" si="133"/>
        <v>#N/A</v>
      </c>
      <c r="AE606" s="57" t="e">
        <f t="shared" ca="1" si="134"/>
        <v>#N/A</v>
      </c>
      <c r="AF606" s="57" t="e">
        <f t="shared" ca="1" si="135"/>
        <v>#N/A</v>
      </c>
    </row>
    <row r="607" spans="18:32" x14ac:dyDescent="0.25">
      <c r="R607" s="57" t="e">
        <f ca="1"/>
        <v>#N/A</v>
      </c>
      <c r="S607" s="57" t="e">
        <f t="shared" ca="1" si="124"/>
        <v>#N/A</v>
      </c>
      <c r="T607" s="57" t="e">
        <f t="shared" ca="1" si="125"/>
        <v>#N/A</v>
      </c>
      <c r="U607" s="57" t="e">
        <f t="shared" ca="1" si="126"/>
        <v>#N/A</v>
      </c>
      <c r="V607" s="57" t="e">
        <f t="shared" ca="1" si="127"/>
        <v>#N/A</v>
      </c>
      <c r="W607" s="57" t="e">
        <f t="shared" ca="1" si="136"/>
        <v>#N/A</v>
      </c>
      <c r="X607" t="e">
        <f t="shared" ca="1" si="128"/>
        <v>#N/A</v>
      </c>
      <c r="Y607" t="e">
        <f t="shared" ca="1" si="129"/>
        <v>#N/A</v>
      </c>
      <c r="Z607" t="e">
        <f t="shared" ca="1" si="130"/>
        <v>#N/A</v>
      </c>
      <c r="AA607" t="e">
        <f t="shared" ca="1" si="131"/>
        <v>#N/A</v>
      </c>
      <c r="AB607" s="85" t="e">
        <f ca="1"/>
        <v>#N/A</v>
      </c>
      <c r="AC607" s="57" t="e">
        <f t="shared" ca="1" si="132"/>
        <v>#N/A</v>
      </c>
      <c r="AD607" s="57" t="e">
        <f t="shared" ca="1" si="133"/>
        <v>#N/A</v>
      </c>
      <c r="AE607" s="57" t="e">
        <f t="shared" ca="1" si="134"/>
        <v>#N/A</v>
      </c>
      <c r="AF607" s="57" t="e">
        <f t="shared" ca="1" si="135"/>
        <v>#N/A</v>
      </c>
    </row>
    <row r="608" spans="18:32" x14ac:dyDescent="0.25">
      <c r="R608" s="57" t="e">
        <f ca="1"/>
        <v>#N/A</v>
      </c>
      <c r="S608" s="57" t="e">
        <f t="shared" ca="1" si="124"/>
        <v>#N/A</v>
      </c>
      <c r="T608" s="57" t="e">
        <f t="shared" ca="1" si="125"/>
        <v>#N/A</v>
      </c>
      <c r="U608" s="57" t="e">
        <f t="shared" ca="1" si="126"/>
        <v>#N/A</v>
      </c>
      <c r="V608" s="57" t="e">
        <f t="shared" ca="1" si="127"/>
        <v>#N/A</v>
      </c>
      <c r="W608" s="57" t="e">
        <f t="shared" ca="1" si="136"/>
        <v>#N/A</v>
      </c>
      <c r="X608" t="e">
        <f t="shared" ca="1" si="128"/>
        <v>#N/A</v>
      </c>
      <c r="Y608" t="e">
        <f t="shared" ca="1" si="129"/>
        <v>#N/A</v>
      </c>
      <c r="Z608" t="e">
        <f t="shared" ca="1" si="130"/>
        <v>#N/A</v>
      </c>
      <c r="AA608" t="e">
        <f t="shared" ca="1" si="131"/>
        <v>#N/A</v>
      </c>
      <c r="AB608" s="85" t="e">
        <f ca="1"/>
        <v>#N/A</v>
      </c>
      <c r="AC608" s="57" t="e">
        <f t="shared" ca="1" si="132"/>
        <v>#N/A</v>
      </c>
      <c r="AD608" s="57" t="e">
        <f t="shared" ca="1" si="133"/>
        <v>#N/A</v>
      </c>
      <c r="AE608" s="57" t="e">
        <f t="shared" ca="1" si="134"/>
        <v>#N/A</v>
      </c>
      <c r="AF608" s="57" t="e">
        <f t="shared" ca="1" si="135"/>
        <v>#N/A</v>
      </c>
    </row>
    <row r="609" spans="18:32" x14ac:dyDescent="0.25">
      <c r="R609" s="57" t="e">
        <f ca="1"/>
        <v>#N/A</v>
      </c>
      <c r="S609" s="57" t="e">
        <f t="shared" ca="1" si="124"/>
        <v>#N/A</v>
      </c>
      <c r="T609" s="57" t="e">
        <f t="shared" ca="1" si="125"/>
        <v>#N/A</v>
      </c>
      <c r="U609" s="57" t="e">
        <f t="shared" ca="1" si="126"/>
        <v>#N/A</v>
      </c>
      <c r="V609" s="57" t="e">
        <f t="shared" ca="1" si="127"/>
        <v>#N/A</v>
      </c>
      <c r="W609" s="57" t="e">
        <f t="shared" ca="1" si="136"/>
        <v>#N/A</v>
      </c>
      <c r="X609" t="e">
        <f t="shared" ca="1" si="128"/>
        <v>#N/A</v>
      </c>
      <c r="Y609" t="e">
        <f t="shared" ca="1" si="129"/>
        <v>#N/A</v>
      </c>
      <c r="Z609" t="e">
        <f t="shared" ca="1" si="130"/>
        <v>#N/A</v>
      </c>
      <c r="AA609" t="e">
        <f t="shared" ca="1" si="131"/>
        <v>#N/A</v>
      </c>
      <c r="AB609" s="85" t="e">
        <f ca="1"/>
        <v>#N/A</v>
      </c>
      <c r="AC609" s="57" t="e">
        <f t="shared" ca="1" si="132"/>
        <v>#N/A</v>
      </c>
      <c r="AD609" s="57" t="e">
        <f t="shared" ca="1" si="133"/>
        <v>#N/A</v>
      </c>
      <c r="AE609" s="57" t="e">
        <f t="shared" ca="1" si="134"/>
        <v>#N/A</v>
      </c>
      <c r="AF609" s="57" t="e">
        <f t="shared" ca="1" si="135"/>
        <v>#N/A</v>
      </c>
    </row>
    <row r="610" spans="18:32" x14ac:dyDescent="0.25">
      <c r="R610" s="57" t="e">
        <f ca="1"/>
        <v>#N/A</v>
      </c>
      <c r="S610" s="57" t="e">
        <f t="shared" ca="1" si="124"/>
        <v>#N/A</v>
      </c>
      <c r="T610" s="57" t="e">
        <f t="shared" ca="1" si="125"/>
        <v>#N/A</v>
      </c>
      <c r="U610" s="57" t="e">
        <f t="shared" ca="1" si="126"/>
        <v>#N/A</v>
      </c>
      <c r="V610" s="57" t="e">
        <f t="shared" ca="1" si="127"/>
        <v>#N/A</v>
      </c>
      <c r="W610" s="57" t="e">
        <f t="shared" ca="1" si="136"/>
        <v>#N/A</v>
      </c>
      <c r="X610" t="e">
        <f t="shared" ca="1" si="128"/>
        <v>#N/A</v>
      </c>
      <c r="Y610" t="e">
        <f t="shared" ca="1" si="129"/>
        <v>#N/A</v>
      </c>
      <c r="Z610" t="e">
        <f t="shared" ca="1" si="130"/>
        <v>#N/A</v>
      </c>
      <c r="AA610" t="e">
        <f t="shared" ca="1" si="131"/>
        <v>#N/A</v>
      </c>
      <c r="AB610" s="85" t="e">
        <f ca="1"/>
        <v>#N/A</v>
      </c>
      <c r="AC610" s="57" t="e">
        <f t="shared" ca="1" si="132"/>
        <v>#N/A</v>
      </c>
      <c r="AD610" s="57" t="e">
        <f t="shared" ca="1" si="133"/>
        <v>#N/A</v>
      </c>
      <c r="AE610" s="57" t="e">
        <f t="shared" ca="1" si="134"/>
        <v>#N/A</v>
      </c>
      <c r="AF610" s="57" t="e">
        <f t="shared" ca="1" si="135"/>
        <v>#N/A</v>
      </c>
    </row>
    <row r="611" spans="18:32" x14ac:dyDescent="0.25">
      <c r="R611" s="57" t="e">
        <f ca="1"/>
        <v>#N/A</v>
      </c>
      <c r="S611" s="57" t="e">
        <f t="shared" ca="1" si="124"/>
        <v>#N/A</v>
      </c>
      <c r="T611" s="57" t="e">
        <f t="shared" ca="1" si="125"/>
        <v>#N/A</v>
      </c>
      <c r="U611" s="57" t="e">
        <f t="shared" ca="1" si="126"/>
        <v>#N/A</v>
      </c>
      <c r="V611" s="57" t="e">
        <f t="shared" ca="1" si="127"/>
        <v>#N/A</v>
      </c>
      <c r="W611" s="57" t="e">
        <f t="shared" ca="1" si="136"/>
        <v>#N/A</v>
      </c>
      <c r="X611" t="e">
        <f t="shared" ca="1" si="128"/>
        <v>#N/A</v>
      </c>
      <c r="Y611" t="e">
        <f t="shared" ca="1" si="129"/>
        <v>#N/A</v>
      </c>
      <c r="Z611" t="e">
        <f t="shared" ca="1" si="130"/>
        <v>#N/A</v>
      </c>
      <c r="AA611" t="e">
        <f t="shared" ca="1" si="131"/>
        <v>#N/A</v>
      </c>
      <c r="AB611" s="85" t="e">
        <f ca="1"/>
        <v>#N/A</v>
      </c>
      <c r="AC611" s="57" t="e">
        <f t="shared" ca="1" si="132"/>
        <v>#N/A</v>
      </c>
      <c r="AD611" s="57" t="e">
        <f t="shared" ca="1" si="133"/>
        <v>#N/A</v>
      </c>
      <c r="AE611" s="57" t="e">
        <f t="shared" ca="1" si="134"/>
        <v>#N/A</v>
      </c>
      <c r="AF611" s="57" t="e">
        <f t="shared" ca="1" si="135"/>
        <v>#N/A</v>
      </c>
    </row>
    <row r="612" spans="18:32" x14ac:dyDescent="0.25">
      <c r="R612" s="57" t="e">
        <f ca="1"/>
        <v>#N/A</v>
      </c>
      <c r="S612" s="57" t="e">
        <f t="shared" ca="1" si="124"/>
        <v>#N/A</v>
      </c>
      <c r="T612" s="57" t="e">
        <f t="shared" ca="1" si="125"/>
        <v>#N/A</v>
      </c>
      <c r="U612" s="57" t="e">
        <f t="shared" ca="1" si="126"/>
        <v>#N/A</v>
      </c>
      <c r="V612" s="57" t="e">
        <f t="shared" ca="1" si="127"/>
        <v>#N/A</v>
      </c>
      <c r="W612" s="57" t="e">
        <f t="shared" ca="1" si="136"/>
        <v>#N/A</v>
      </c>
      <c r="X612" t="e">
        <f t="shared" ca="1" si="128"/>
        <v>#N/A</v>
      </c>
      <c r="Y612" t="e">
        <f t="shared" ca="1" si="129"/>
        <v>#N/A</v>
      </c>
      <c r="Z612" t="e">
        <f t="shared" ca="1" si="130"/>
        <v>#N/A</v>
      </c>
      <c r="AA612" t="e">
        <f t="shared" ca="1" si="131"/>
        <v>#N/A</v>
      </c>
      <c r="AB612" s="85" t="e">
        <f ca="1"/>
        <v>#N/A</v>
      </c>
      <c r="AC612" s="57" t="e">
        <f t="shared" ca="1" si="132"/>
        <v>#N/A</v>
      </c>
      <c r="AD612" s="57" t="e">
        <f t="shared" ca="1" si="133"/>
        <v>#N/A</v>
      </c>
      <c r="AE612" s="57" t="e">
        <f t="shared" ca="1" si="134"/>
        <v>#N/A</v>
      </c>
      <c r="AF612" s="57" t="e">
        <f t="shared" ca="1" si="135"/>
        <v>#N/A</v>
      </c>
    </row>
    <row r="613" spans="18:32" x14ac:dyDescent="0.25">
      <c r="R613" s="57" t="e">
        <f ca="1"/>
        <v>#N/A</v>
      </c>
      <c r="S613" s="57" t="e">
        <f t="shared" ca="1" si="124"/>
        <v>#N/A</v>
      </c>
      <c r="T613" s="57" t="e">
        <f t="shared" ca="1" si="125"/>
        <v>#N/A</v>
      </c>
      <c r="U613" s="57" t="e">
        <f t="shared" ca="1" si="126"/>
        <v>#N/A</v>
      </c>
      <c r="V613" s="57" t="e">
        <f t="shared" ca="1" si="127"/>
        <v>#N/A</v>
      </c>
      <c r="W613" s="57" t="e">
        <f t="shared" ca="1" si="136"/>
        <v>#N/A</v>
      </c>
      <c r="X613" t="e">
        <f t="shared" ca="1" si="128"/>
        <v>#N/A</v>
      </c>
      <c r="Y613" t="e">
        <f t="shared" ca="1" si="129"/>
        <v>#N/A</v>
      </c>
      <c r="Z613" t="e">
        <f t="shared" ca="1" si="130"/>
        <v>#N/A</v>
      </c>
      <c r="AA613" t="e">
        <f t="shared" ca="1" si="131"/>
        <v>#N/A</v>
      </c>
      <c r="AB613" s="85" t="e">
        <f ca="1"/>
        <v>#N/A</v>
      </c>
      <c r="AC613" s="57" t="e">
        <f t="shared" ca="1" si="132"/>
        <v>#N/A</v>
      </c>
      <c r="AD613" s="57" t="e">
        <f t="shared" ca="1" si="133"/>
        <v>#N/A</v>
      </c>
      <c r="AE613" s="57" t="e">
        <f t="shared" ca="1" si="134"/>
        <v>#N/A</v>
      </c>
      <c r="AF613" s="57" t="e">
        <f t="shared" ca="1" si="135"/>
        <v>#N/A</v>
      </c>
    </row>
    <row r="614" spans="18:32" x14ac:dyDescent="0.25">
      <c r="R614" s="57" t="e">
        <f ca="1"/>
        <v>#N/A</v>
      </c>
      <c r="S614" s="57" t="e">
        <f t="shared" ca="1" si="124"/>
        <v>#N/A</v>
      </c>
      <c r="T614" s="57" t="e">
        <f t="shared" ca="1" si="125"/>
        <v>#N/A</v>
      </c>
      <c r="U614" s="57" t="e">
        <f t="shared" ca="1" si="126"/>
        <v>#N/A</v>
      </c>
      <c r="V614" s="57" t="e">
        <f t="shared" ca="1" si="127"/>
        <v>#N/A</v>
      </c>
      <c r="W614" s="57" t="e">
        <f t="shared" ca="1" si="136"/>
        <v>#N/A</v>
      </c>
      <c r="X614" t="e">
        <f t="shared" ca="1" si="128"/>
        <v>#N/A</v>
      </c>
      <c r="Y614" t="e">
        <f t="shared" ca="1" si="129"/>
        <v>#N/A</v>
      </c>
      <c r="Z614" t="e">
        <f t="shared" ca="1" si="130"/>
        <v>#N/A</v>
      </c>
      <c r="AA614" t="e">
        <f t="shared" ca="1" si="131"/>
        <v>#N/A</v>
      </c>
      <c r="AB614" s="85" t="e">
        <f ca="1"/>
        <v>#N/A</v>
      </c>
      <c r="AC614" s="57" t="e">
        <f t="shared" ca="1" si="132"/>
        <v>#N/A</v>
      </c>
      <c r="AD614" s="57" t="e">
        <f t="shared" ca="1" si="133"/>
        <v>#N/A</v>
      </c>
      <c r="AE614" s="57" t="e">
        <f t="shared" ca="1" si="134"/>
        <v>#N/A</v>
      </c>
      <c r="AF614" s="57" t="e">
        <f t="shared" ca="1" si="135"/>
        <v>#N/A</v>
      </c>
    </row>
    <row r="615" spans="18:32" x14ac:dyDescent="0.25">
      <c r="R615" s="57" t="e">
        <f ca="1"/>
        <v>#N/A</v>
      </c>
      <c r="S615" s="57" t="e">
        <f t="shared" ca="1" si="124"/>
        <v>#N/A</v>
      </c>
      <c r="T615" s="57" t="e">
        <f t="shared" ca="1" si="125"/>
        <v>#N/A</v>
      </c>
      <c r="U615" s="57" t="e">
        <f t="shared" ca="1" si="126"/>
        <v>#N/A</v>
      </c>
      <c r="V615" s="57" t="e">
        <f t="shared" ca="1" si="127"/>
        <v>#N/A</v>
      </c>
      <c r="W615" s="57" t="e">
        <f t="shared" ca="1" si="136"/>
        <v>#N/A</v>
      </c>
      <c r="X615" t="e">
        <f t="shared" ca="1" si="128"/>
        <v>#N/A</v>
      </c>
      <c r="Y615" t="e">
        <f t="shared" ca="1" si="129"/>
        <v>#N/A</v>
      </c>
      <c r="Z615" t="e">
        <f t="shared" ca="1" si="130"/>
        <v>#N/A</v>
      </c>
      <c r="AA615" t="e">
        <f t="shared" ca="1" si="131"/>
        <v>#N/A</v>
      </c>
      <c r="AB615" s="85" t="e">
        <f ca="1"/>
        <v>#N/A</v>
      </c>
      <c r="AC615" s="57" t="e">
        <f t="shared" ca="1" si="132"/>
        <v>#N/A</v>
      </c>
      <c r="AD615" s="57" t="e">
        <f t="shared" ca="1" si="133"/>
        <v>#N/A</v>
      </c>
      <c r="AE615" s="57" t="e">
        <f t="shared" ca="1" si="134"/>
        <v>#N/A</v>
      </c>
      <c r="AF615" s="57" t="e">
        <f t="shared" ca="1" si="135"/>
        <v>#N/A</v>
      </c>
    </row>
    <row r="616" spans="18:32" x14ac:dyDescent="0.25">
      <c r="R616" s="57" t="e">
        <f ca="1"/>
        <v>#N/A</v>
      </c>
      <c r="S616" s="57" t="e">
        <f t="shared" ca="1" si="124"/>
        <v>#N/A</v>
      </c>
      <c r="T616" s="57" t="e">
        <f t="shared" ca="1" si="125"/>
        <v>#N/A</v>
      </c>
      <c r="U616" s="57" t="e">
        <f t="shared" ca="1" si="126"/>
        <v>#N/A</v>
      </c>
      <c r="V616" s="57" t="e">
        <f t="shared" ca="1" si="127"/>
        <v>#N/A</v>
      </c>
      <c r="W616" s="57" t="e">
        <f t="shared" ca="1" si="136"/>
        <v>#N/A</v>
      </c>
      <c r="X616" t="e">
        <f t="shared" ca="1" si="128"/>
        <v>#N/A</v>
      </c>
      <c r="Y616" t="e">
        <f t="shared" ca="1" si="129"/>
        <v>#N/A</v>
      </c>
      <c r="Z616" t="e">
        <f t="shared" ca="1" si="130"/>
        <v>#N/A</v>
      </c>
      <c r="AA616" t="e">
        <f t="shared" ca="1" si="131"/>
        <v>#N/A</v>
      </c>
      <c r="AB616" s="85" t="e">
        <f ca="1"/>
        <v>#N/A</v>
      </c>
      <c r="AC616" s="57" t="e">
        <f t="shared" ca="1" si="132"/>
        <v>#N/A</v>
      </c>
      <c r="AD616" s="57" t="e">
        <f t="shared" ca="1" si="133"/>
        <v>#N/A</v>
      </c>
      <c r="AE616" s="57" t="e">
        <f t="shared" ca="1" si="134"/>
        <v>#N/A</v>
      </c>
      <c r="AF616" s="57" t="e">
        <f t="shared" ca="1" si="135"/>
        <v>#N/A</v>
      </c>
    </row>
    <row r="617" spans="18:32" x14ac:dyDescent="0.25">
      <c r="R617" s="57" t="e">
        <f ca="1"/>
        <v>#N/A</v>
      </c>
      <c r="S617" s="57" t="e">
        <f t="shared" ca="1" si="124"/>
        <v>#N/A</v>
      </c>
      <c r="T617" s="57" t="e">
        <f t="shared" ca="1" si="125"/>
        <v>#N/A</v>
      </c>
      <c r="U617" s="57" t="e">
        <f t="shared" ca="1" si="126"/>
        <v>#N/A</v>
      </c>
      <c r="V617" s="57" t="e">
        <f t="shared" ca="1" si="127"/>
        <v>#N/A</v>
      </c>
      <c r="W617" s="57" t="e">
        <f t="shared" ca="1" si="136"/>
        <v>#N/A</v>
      </c>
      <c r="X617" t="e">
        <f t="shared" ca="1" si="128"/>
        <v>#N/A</v>
      </c>
      <c r="Y617" t="e">
        <f t="shared" ca="1" si="129"/>
        <v>#N/A</v>
      </c>
      <c r="Z617" t="e">
        <f t="shared" ca="1" si="130"/>
        <v>#N/A</v>
      </c>
      <c r="AA617" t="e">
        <f t="shared" ca="1" si="131"/>
        <v>#N/A</v>
      </c>
      <c r="AB617" s="85" t="e">
        <f ca="1"/>
        <v>#N/A</v>
      </c>
      <c r="AC617" s="57" t="e">
        <f t="shared" ca="1" si="132"/>
        <v>#N/A</v>
      </c>
      <c r="AD617" s="57" t="e">
        <f t="shared" ca="1" si="133"/>
        <v>#N/A</v>
      </c>
      <c r="AE617" s="57" t="e">
        <f t="shared" ca="1" si="134"/>
        <v>#N/A</v>
      </c>
      <c r="AF617" s="57" t="e">
        <f t="shared" ca="1" si="135"/>
        <v>#N/A</v>
      </c>
    </row>
    <row r="618" spans="18:32" x14ac:dyDescent="0.25">
      <c r="R618" s="57" t="e">
        <f ca="1"/>
        <v>#N/A</v>
      </c>
      <c r="S618" s="57" t="e">
        <f t="shared" ca="1" si="124"/>
        <v>#N/A</v>
      </c>
      <c r="T618" s="57" t="e">
        <f t="shared" ca="1" si="125"/>
        <v>#N/A</v>
      </c>
      <c r="U618" s="57" t="e">
        <f t="shared" ca="1" si="126"/>
        <v>#N/A</v>
      </c>
      <c r="V618" s="57" t="e">
        <f t="shared" ca="1" si="127"/>
        <v>#N/A</v>
      </c>
      <c r="W618" s="57" t="e">
        <f t="shared" ca="1" si="136"/>
        <v>#N/A</v>
      </c>
      <c r="X618" t="e">
        <f t="shared" ca="1" si="128"/>
        <v>#N/A</v>
      </c>
      <c r="Y618" t="e">
        <f t="shared" ca="1" si="129"/>
        <v>#N/A</v>
      </c>
      <c r="Z618" t="e">
        <f t="shared" ca="1" si="130"/>
        <v>#N/A</v>
      </c>
      <c r="AA618" t="e">
        <f t="shared" ca="1" si="131"/>
        <v>#N/A</v>
      </c>
      <c r="AB618" s="85" t="e">
        <f ca="1"/>
        <v>#N/A</v>
      </c>
      <c r="AC618" s="57" t="e">
        <f t="shared" ca="1" si="132"/>
        <v>#N/A</v>
      </c>
      <c r="AD618" s="57" t="e">
        <f t="shared" ca="1" si="133"/>
        <v>#N/A</v>
      </c>
      <c r="AE618" s="57" t="e">
        <f t="shared" ca="1" si="134"/>
        <v>#N/A</v>
      </c>
      <c r="AF618" s="57" t="e">
        <f t="shared" ca="1" si="135"/>
        <v>#N/A</v>
      </c>
    </row>
    <row r="619" spans="18:32" x14ac:dyDescent="0.25">
      <c r="R619" s="57" t="e">
        <f ca="1"/>
        <v>#N/A</v>
      </c>
      <c r="S619" s="57" t="e">
        <f t="shared" ca="1" si="124"/>
        <v>#N/A</v>
      </c>
      <c r="T619" s="57" t="e">
        <f t="shared" ca="1" si="125"/>
        <v>#N/A</v>
      </c>
      <c r="U619" s="57" t="e">
        <f t="shared" ca="1" si="126"/>
        <v>#N/A</v>
      </c>
      <c r="V619" s="57" t="e">
        <f t="shared" ca="1" si="127"/>
        <v>#N/A</v>
      </c>
      <c r="W619" s="57" t="e">
        <f t="shared" ca="1" si="136"/>
        <v>#N/A</v>
      </c>
      <c r="X619" t="e">
        <f t="shared" ca="1" si="128"/>
        <v>#N/A</v>
      </c>
      <c r="Y619" t="e">
        <f t="shared" ca="1" si="129"/>
        <v>#N/A</v>
      </c>
      <c r="Z619" t="e">
        <f t="shared" ca="1" si="130"/>
        <v>#N/A</v>
      </c>
      <c r="AA619" t="e">
        <f t="shared" ca="1" si="131"/>
        <v>#N/A</v>
      </c>
      <c r="AB619" s="85" t="e">
        <f ca="1"/>
        <v>#N/A</v>
      </c>
      <c r="AC619" s="57" t="e">
        <f t="shared" ca="1" si="132"/>
        <v>#N/A</v>
      </c>
      <c r="AD619" s="57" t="e">
        <f t="shared" ca="1" si="133"/>
        <v>#N/A</v>
      </c>
      <c r="AE619" s="57" t="e">
        <f t="shared" ca="1" si="134"/>
        <v>#N/A</v>
      </c>
      <c r="AF619" s="57" t="e">
        <f t="shared" ca="1" si="135"/>
        <v>#N/A</v>
      </c>
    </row>
    <row r="620" spans="18:32" x14ac:dyDescent="0.25">
      <c r="R620" s="57" t="e">
        <f ca="1"/>
        <v>#N/A</v>
      </c>
      <c r="S620" s="57" t="e">
        <f t="shared" ca="1" si="124"/>
        <v>#N/A</v>
      </c>
      <c r="T620" s="57" t="e">
        <f t="shared" ca="1" si="125"/>
        <v>#N/A</v>
      </c>
      <c r="U620" s="57" t="e">
        <f t="shared" ca="1" si="126"/>
        <v>#N/A</v>
      </c>
      <c r="V620" s="57" t="e">
        <f t="shared" ca="1" si="127"/>
        <v>#N/A</v>
      </c>
      <c r="W620" s="57" t="e">
        <f t="shared" ca="1" si="136"/>
        <v>#N/A</v>
      </c>
      <c r="X620" t="e">
        <f t="shared" ca="1" si="128"/>
        <v>#N/A</v>
      </c>
      <c r="Y620" t="e">
        <f t="shared" ca="1" si="129"/>
        <v>#N/A</v>
      </c>
      <c r="Z620" t="e">
        <f t="shared" ca="1" si="130"/>
        <v>#N/A</v>
      </c>
      <c r="AA620" t="e">
        <f t="shared" ca="1" si="131"/>
        <v>#N/A</v>
      </c>
      <c r="AB620" s="85" t="e">
        <f ca="1"/>
        <v>#N/A</v>
      </c>
      <c r="AC620" s="57" t="e">
        <f t="shared" ca="1" si="132"/>
        <v>#N/A</v>
      </c>
      <c r="AD620" s="57" t="e">
        <f t="shared" ca="1" si="133"/>
        <v>#N/A</v>
      </c>
      <c r="AE620" s="57" t="e">
        <f t="shared" ca="1" si="134"/>
        <v>#N/A</v>
      </c>
      <c r="AF620" s="57" t="e">
        <f t="shared" ca="1" si="135"/>
        <v>#N/A</v>
      </c>
    </row>
    <row r="621" spans="18:32" x14ac:dyDescent="0.25">
      <c r="R621" s="57" t="e">
        <f ca="1"/>
        <v>#N/A</v>
      </c>
      <c r="S621" s="57" t="e">
        <f t="shared" ca="1" si="124"/>
        <v>#N/A</v>
      </c>
      <c r="T621" s="57" t="e">
        <f t="shared" ca="1" si="125"/>
        <v>#N/A</v>
      </c>
      <c r="U621" s="57" t="e">
        <f t="shared" ca="1" si="126"/>
        <v>#N/A</v>
      </c>
      <c r="V621" s="57" t="e">
        <f t="shared" ca="1" si="127"/>
        <v>#N/A</v>
      </c>
      <c r="W621" s="57" t="e">
        <f t="shared" ca="1" si="136"/>
        <v>#N/A</v>
      </c>
      <c r="X621" t="e">
        <f t="shared" ca="1" si="128"/>
        <v>#N/A</v>
      </c>
      <c r="Y621" t="e">
        <f t="shared" ca="1" si="129"/>
        <v>#N/A</v>
      </c>
      <c r="Z621" t="e">
        <f t="shared" ca="1" si="130"/>
        <v>#N/A</v>
      </c>
      <c r="AA621" t="e">
        <f t="shared" ca="1" si="131"/>
        <v>#N/A</v>
      </c>
      <c r="AB621" s="85" t="e">
        <f ca="1"/>
        <v>#N/A</v>
      </c>
      <c r="AC621" s="57" t="e">
        <f t="shared" ca="1" si="132"/>
        <v>#N/A</v>
      </c>
      <c r="AD621" s="57" t="e">
        <f t="shared" ca="1" si="133"/>
        <v>#N/A</v>
      </c>
      <c r="AE621" s="57" t="e">
        <f t="shared" ca="1" si="134"/>
        <v>#N/A</v>
      </c>
      <c r="AF621" s="57" t="e">
        <f t="shared" ca="1" si="135"/>
        <v>#N/A</v>
      </c>
    </row>
    <row r="622" spans="18:32" x14ac:dyDescent="0.25">
      <c r="R622" s="57" t="e">
        <f ca="1"/>
        <v>#N/A</v>
      </c>
      <c r="S622" s="57" t="e">
        <f t="shared" ca="1" si="124"/>
        <v>#N/A</v>
      </c>
      <c r="T622" s="57" t="e">
        <f t="shared" ca="1" si="125"/>
        <v>#N/A</v>
      </c>
      <c r="U622" s="57" t="e">
        <f t="shared" ca="1" si="126"/>
        <v>#N/A</v>
      </c>
      <c r="V622" s="57" t="e">
        <f t="shared" ca="1" si="127"/>
        <v>#N/A</v>
      </c>
      <c r="W622" s="57" t="e">
        <f t="shared" ca="1" si="136"/>
        <v>#N/A</v>
      </c>
      <c r="X622" t="e">
        <f t="shared" ca="1" si="128"/>
        <v>#N/A</v>
      </c>
      <c r="Y622" t="e">
        <f t="shared" ca="1" si="129"/>
        <v>#N/A</v>
      </c>
      <c r="Z622" t="e">
        <f t="shared" ca="1" si="130"/>
        <v>#N/A</v>
      </c>
      <c r="AA622" t="e">
        <f t="shared" ca="1" si="131"/>
        <v>#N/A</v>
      </c>
      <c r="AB622" s="85" t="e">
        <f ca="1"/>
        <v>#N/A</v>
      </c>
      <c r="AC622" s="57" t="e">
        <f t="shared" ca="1" si="132"/>
        <v>#N/A</v>
      </c>
      <c r="AD622" s="57" t="e">
        <f t="shared" ca="1" si="133"/>
        <v>#N/A</v>
      </c>
      <c r="AE622" s="57" t="e">
        <f t="shared" ca="1" si="134"/>
        <v>#N/A</v>
      </c>
      <c r="AF622" s="57" t="e">
        <f t="shared" ca="1" si="135"/>
        <v>#N/A</v>
      </c>
    </row>
    <row r="623" spans="18:32" x14ac:dyDescent="0.25">
      <c r="R623" s="57" t="e">
        <f ca="1"/>
        <v>#N/A</v>
      </c>
      <c r="S623" s="57" t="e">
        <f t="shared" ca="1" si="124"/>
        <v>#N/A</v>
      </c>
      <c r="T623" s="57" t="e">
        <f t="shared" ca="1" si="125"/>
        <v>#N/A</v>
      </c>
      <c r="U623" s="57" t="e">
        <f t="shared" ca="1" si="126"/>
        <v>#N/A</v>
      </c>
      <c r="V623" s="57" t="e">
        <f t="shared" ca="1" si="127"/>
        <v>#N/A</v>
      </c>
      <c r="W623" s="57" t="e">
        <f t="shared" ca="1" si="136"/>
        <v>#N/A</v>
      </c>
      <c r="X623" t="e">
        <f t="shared" ca="1" si="128"/>
        <v>#N/A</v>
      </c>
      <c r="Y623" t="e">
        <f t="shared" ca="1" si="129"/>
        <v>#N/A</v>
      </c>
      <c r="Z623" t="e">
        <f t="shared" ca="1" si="130"/>
        <v>#N/A</v>
      </c>
      <c r="AA623" t="e">
        <f t="shared" ca="1" si="131"/>
        <v>#N/A</v>
      </c>
      <c r="AB623" s="85" t="e">
        <f ca="1"/>
        <v>#N/A</v>
      </c>
      <c r="AC623" s="57" t="e">
        <f t="shared" ca="1" si="132"/>
        <v>#N/A</v>
      </c>
      <c r="AD623" s="57" t="e">
        <f t="shared" ca="1" si="133"/>
        <v>#N/A</v>
      </c>
      <c r="AE623" s="57" t="e">
        <f t="shared" ca="1" si="134"/>
        <v>#N/A</v>
      </c>
      <c r="AF623" s="57" t="e">
        <f t="shared" ca="1" si="135"/>
        <v>#N/A</v>
      </c>
    </row>
    <row r="624" spans="18:32" x14ac:dyDescent="0.25">
      <c r="R624" s="57" t="e">
        <f ca="1"/>
        <v>#N/A</v>
      </c>
      <c r="S624" s="57" t="e">
        <f t="shared" ca="1" si="124"/>
        <v>#N/A</v>
      </c>
      <c r="T624" s="57" t="e">
        <f t="shared" ca="1" si="125"/>
        <v>#N/A</v>
      </c>
      <c r="U624" s="57" t="e">
        <f t="shared" ca="1" si="126"/>
        <v>#N/A</v>
      </c>
      <c r="V624" s="57" t="e">
        <f t="shared" ca="1" si="127"/>
        <v>#N/A</v>
      </c>
      <c r="W624" s="57" t="e">
        <f t="shared" ca="1" si="136"/>
        <v>#N/A</v>
      </c>
      <c r="X624" t="e">
        <f t="shared" ca="1" si="128"/>
        <v>#N/A</v>
      </c>
      <c r="Y624" t="e">
        <f t="shared" ca="1" si="129"/>
        <v>#N/A</v>
      </c>
      <c r="Z624" t="e">
        <f t="shared" ca="1" si="130"/>
        <v>#N/A</v>
      </c>
      <c r="AA624" t="e">
        <f t="shared" ca="1" si="131"/>
        <v>#N/A</v>
      </c>
      <c r="AB624" s="85" t="e">
        <f ca="1"/>
        <v>#N/A</v>
      </c>
      <c r="AC624" s="57" t="e">
        <f t="shared" ca="1" si="132"/>
        <v>#N/A</v>
      </c>
      <c r="AD624" s="57" t="e">
        <f t="shared" ca="1" si="133"/>
        <v>#N/A</v>
      </c>
      <c r="AE624" s="57" t="e">
        <f t="shared" ca="1" si="134"/>
        <v>#N/A</v>
      </c>
      <c r="AF624" s="57" t="e">
        <f t="shared" ca="1" si="135"/>
        <v>#N/A</v>
      </c>
    </row>
    <row r="625" spans="18:32" x14ac:dyDescent="0.25">
      <c r="R625" s="57" t="e">
        <f ca="1"/>
        <v>#N/A</v>
      </c>
      <c r="S625" s="57" t="e">
        <f t="shared" ca="1" si="124"/>
        <v>#N/A</v>
      </c>
      <c r="T625" s="57" t="e">
        <f t="shared" ca="1" si="125"/>
        <v>#N/A</v>
      </c>
      <c r="U625" s="57" t="e">
        <f t="shared" ca="1" si="126"/>
        <v>#N/A</v>
      </c>
      <c r="V625" s="57" t="e">
        <f t="shared" ca="1" si="127"/>
        <v>#N/A</v>
      </c>
      <c r="W625" s="57" t="e">
        <f t="shared" ca="1" si="136"/>
        <v>#N/A</v>
      </c>
      <c r="X625" t="e">
        <f t="shared" ca="1" si="128"/>
        <v>#N/A</v>
      </c>
      <c r="Y625" t="e">
        <f t="shared" ca="1" si="129"/>
        <v>#N/A</v>
      </c>
      <c r="Z625" t="e">
        <f t="shared" ca="1" si="130"/>
        <v>#N/A</v>
      </c>
      <c r="AA625" t="e">
        <f t="shared" ca="1" si="131"/>
        <v>#N/A</v>
      </c>
      <c r="AB625" s="85" t="e">
        <f ca="1"/>
        <v>#N/A</v>
      </c>
      <c r="AC625" s="57" t="e">
        <f t="shared" ca="1" si="132"/>
        <v>#N/A</v>
      </c>
      <c r="AD625" s="57" t="e">
        <f t="shared" ca="1" si="133"/>
        <v>#N/A</v>
      </c>
      <c r="AE625" s="57" t="e">
        <f t="shared" ca="1" si="134"/>
        <v>#N/A</v>
      </c>
      <c r="AF625" s="57" t="e">
        <f t="shared" ca="1" si="135"/>
        <v>#N/A</v>
      </c>
    </row>
    <row r="626" spans="18:32" x14ac:dyDescent="0.25">
      <c r="R626" s="57" t="e">
        <f ca="1"/>
        <v>#N/A</v>
      </c>
      <c r="S626" s="57" t="e">
        <f t="shared" ca="1" si="124"/>
        <v>#N/A</v>
      </c>
      <c r="T626" s="57" t="e">
        <f t="shared" ca="1" si="125"/>
        <v>#N/A</v>
      </c>
      <c r="U626" s="57" t="e">
        <f t="shared" ca="1" si="126"/>
        <v>#N/A</v>
      </c>
      <c r="V626" s="57" t="e">
        <f t="shared" ca="1" si="127"/>
        <v>#N/A</v>
      </c>
      <c r="W626" s="57" t="e">
        <f t="shared" ca="1" si="136"/>
        <v>#N/A</v>
      </c>
      <c r="X626" t="e">
        <f t="shared" ca="1" si="128"/>
        <v>#N/A</v>
      </c>
      <c r="Y626" t="e">
        <f t="shared" ca="1" si="129"/>
        <v>#N/A</v>
      </c>
      <c r="Z626" t="e">
        <f t="shared" ca="1" si="130"/>
        <v>#N/A</v>
      </c>
      <c r="AA626" t="e">
        <f t="shared" ca="1" si="131"/>
        <v>#N/A</v>
      </c>
      <c r="AB626" s="85" t="e">
        <f ca="1"/>
        <v>#N/A</v>
      </c>
      <c r="AC626" s="57" t="e">
        <f t="shared" ca="1" si="132"/>
        <v>#N/A</v>
      </c>
      <c r="AD626" s="57" t="e">
        <f t="shared" ca="1" si="133"/>
        <v>#N/A</v>
      </c>
      <c r="AE626" s="57" t="e">
        <f t="shared" ca="1" si="134"/>
        <v>#N/A</v>
      </c>
      <c r="AF626" s="57" t="e">
        <f t="shared" ca="1" si="135"/>
        <v>#N/A</v>
      </c>
    </row>
    <row r="627" spans="18:32" x14ac:dyDescent="0.25">
      <c r="R627" s="57" t="e">
        <f ca="1"/>
        <v>#N/A</v>
      </c>
      <c r="S627" s="57" t="e">
        <f t="shared" ca="1" si="124"/>
        <v>#N/A</v>
      </c>
      <c r="T627" s="57" t="e">
        <f t="shared" ca="1" si="125"/>
        <v>#N/A</v>
      </c>
      <c r="U627" s="57" t="e">
        <f t="shared" ca="1" si="126"/>
        <v>#N/A</v>
      </c>
      <c r="V627" s="57" t="e">
        <f t="shared" ca="1" si="127"/>
        <v>#N/A</v>
      </c>
      <c r="W627" s="57" t="e">
        <f t="shared" ca="1" si="136"/>
        <v>#N/A</v>
      </c>
      <c r="X627" t="e">
        <f t="shared" ca="1" si="128"/>
        <v>#N/A</v>
      </c>
      <c r="Y627" t="e">
        <f t="shared" ca="1" si="129"/>
        <v>#N/A</v>
      </c>
      <c r="Z627" t="e">
        <f t="shared" ca="1" si="130"/>
        <v>#N/A</v>
      </c>
      <c r="AA627" t="e">
        <f t="shared" ca="1" si="131"/>
        <v>#N/A</v>
      </c>
      <c r="AB627" s="85" t="e">
        <f ca="1"/>
        <v>#N/A</v>
      </c>
      <c r="AC627" s="57" t="e">
        <f t="shared" ca="1" si="132"/>
        <v>#N/A</v>
      </c>
      <c r="AD627" s="57" t="e">
        <f t="shared" ca="1" si="133"/>
        <v>#N/A</v>
      </c>
      <c r="AE627" s="57" t="e">
        <f t="shared" ca="1" si="134"/>
        <v>#N/A</v>
      </c>
      <c r="AF627" s="57" t="e">
        <f t="shared" ca="1" si="135"/>
        <v>#N/A</v>
      </c>
    </row>
    <row r="628" spans="18:32" x14ac:dyDescent="0.25">
      <c r="R628" s="57" t="e">
        <f ca="1"/>
        <v>#N/A</v>
      </c>
      <c r="S628" s="57" t="e">
        <f t="shared" ca="1" si="124"/>
        <v>#N/A</v>
      </c>
      <c r="T628" s="57" t="e">
        <f t="shared" ca="1" si="125"/>
        <v>#N/A</v>
      </c>
      <c r="U628" s="57" t="e">
        <f t="shared" ca="1" si="126"/>
        <v>#N/A</v>
      </c>
      <c r="V628" s="57" t="e">
        <f t="shared" ca="1" si="127"/>
        <v>#N/A</v>
      </c>
      <c r="W628" s="57" t="e">
        <f t="shared" ca="1" si="136"/>
        <v>#N/A</v>
      </c>
      <c r="X628" t="e">
        <f t="shared" ca="1" si="128"/>
        <v>#N/A</v>
      </c>
      <c r="Y628" t="e">
        <f t="shared" ca="1" si="129"/>
        <v>#N/A</v>
      </c>
      <c r="Z628" t="e">
        <f t="shared" ca="1" si="130"/>
        <v>#N/A</v>
      </c>
      <c r="AA628" t="e">
        <f t="shared" ca="1" si="131"/>
        <v>#N/A</v>
      </c>
      <c r="AB628" s="85" t="e">
        <f ca="1"/>
        <v>#N/A</v>
      </c>
      <c r="AC628" s="57" t="e">
        <f t="shared" ca="1" si="132"/>
        <v>#N/A</v>
      </c>
      <c r="AD628" s="57" t="e">
        <f t="shared" ca="1" si="133"/>
        <v>#N/A</v>
      </c>
      <c r="AE628" s="57" t="e">
        <f t="shared" ca="1" si="134"/>
        <v>#N/A</v>
      </c>
      <c r="AF628" s="57" t="e">
        <f t="shared" ca="1" si="135"/>
        <v>#N/A</v>
      </c>
    </row>
    <row r="629" spans="18:32" x14ac:dyDescent="0.25">
      <c r="R629" s="57" t="e">
        <f ca="1"/>
        <v>#N/A</v>
      </c>
      <c r="S629" s="57" t="e">
        <f t="shared" ca="1" si="124"/>
        <v>#N/A</v>
      </c>
      <c r="T629" s="57" t="e">
        <f t="shared" ca="1" si="125"/>
        <v>#N/A</v>
      </c>
      <c r="U629" s="57" t="e">
        <f t="shared" ca="1" si="126"/>
        <v>#N/A</v>
      </c>
      <c r="V629" s="57" t="e">
        <f t="shared" ca="1" si="127"/>
        <v>#N/A</v>
      </c>
      <c r="W629" s="57" t="e">
        <f t="shared" ca="1" si="136"/>
        <v>#N/A</v>
      </c>
      <c r="X629" t="e">
        <f t="shared" ca="1" si="128"/>
        <v>#N/A</v>
      </c>
      <c r="Y629" t="e">
        <f t="shared" ca="1" si="129"/>
        <v>#N/A</v>
      </c>
      <c r="Z629" t="e">
        <f t="shared" ca="1" si="130"/>
        <v>#N/A</v>
      </c>
      <c r="AA629" t="e">
        <f t="shared" ca="1" si="131"/>
        <v>#N/A</v>
      </c>
      <c r="AB629" s="85" t="e">
        <f ca="1"/>
        <v>#N/A</v>
      </c>
      <c r="AC629" s="57" t="e">
        <f t="shared" ca="1" si="132"/>
        <v>#N/A</v>
      </c>
      <c r="AD629" s="57" t="e">
        <f t="shared" ca="1" si="133"/>
        <v>#N/A</v>
      </c>
      <c r="AE629" s="57" t="e">
        <f t="shared" ca="1" si="134"/>
        <v>#N/A</v>
      </c>
      <c r="AF629" s="57" t="e">
        <f t="shared" ca="1" si="135"/>
        <v>#N/A</v>
      </c>
    </row>
    <row r="630" spans="18:32" x14ac:dyDescent="0.25">
      <c r="R630" s="57" t="e">
        <f ca="1"/>
        <v>#N/A</v>
      </c>
      <c r="S630" s="57" t="e">
        <f t="shared" ca="1" si="124"/>
        <v>#N/A</v>
      </c>
      <c r="T630" s="57" t="e">
        <f t="shared" ca="1" si="125"/>
        <v>#N/A</v>
      </c>
      <c r="U630" s="57" t="e">
        <f t="shared" ca="1" si="126"/>
        <v>#N/A</v>
      </c>
      <c r="V630" s="57" t="e">
        <f t="shared" ca="1" si="127"/>
        <v>#N/A</v>
      </c>
      <c r="W630" s="57" t="e">
        <f t="shared" ca="1" si="136"/>
        <v>#N/A</v>
      </c>
      <c r="X630" t="e">
        <f t="shared" ca="1" si="128"/>
        <v>#N/A</v>
      </c>
      <c r="Y630" t="e">
        <f t="shared" ca="1" si="129"/>
        <v>#N/A</v>
      </c>
      <c r="Z630" t="e">
        <f t="shared" ca="1" si="130"/>
        <v>#N/A</v>
      </c>
      <c r="AA630" t="e">
        <f t="shared" ca="1" si="131"/>
        <v>#N/A</v>
      </c>
      <c r="AB630" s="85" t="e">
        <f ca="1"/>
        <v>#N/A</v>
      </c>
      <c r="AC630" s="57" t="e">
        <f t="shared" ca="1" si="132"/>
        <v>#N/A</v>
      </c>
      <c r="AD630" s="57" t="e">
        <f t="shared" ca="1" si="133"/>
        <v>#N/A</v>
      </c>
      <c r="AE630" s="57" t="e">
        <f t="shared" ca="1" si="134"/>
        <v>#N/A</v>
      </c>
      <c r="AF630" s="57" t="e">
        <f t="shared" ca="1" si="135"/>
        <v>#N/A</v>
      </c>
    </row>
    <row r="631" spans="18:32" x14ac:dyDescent="0.25">
      <c r="R631" s="57" t="e">
        <f ca="1"/>
        <v>#N/A</v>
      </c>
      <c r="S631" s="57" t="e">
        <f t="shared" ca="1" si="124"/>
        <v>#N/A</v>
      </c>
      <c r="T631" s="57" t="e">
        <f t="shared" ca="1" si="125"/>
        <v>#N/A</v>
      </c>
      <c r="U631" s="57" t="e">
        <f t="shared" ca="1" si="126"/>
        <v>#N/A</v>
      </c>
      <c r="V631" s="57" t="e">
        <f t="shared" ca="1" si="127"/>
        <v>#N/A</v>
      </c>
      <c r="W631" s="57" t="e">
        <f t="shared" ca="1" si="136"/>
        <v>#N/A</v>
      </c>
      <c r="X631" t="e">
        <f t="shared" ca="1" si="128"/>
        <v>#N/A</v>
      </c>
      <c r="Y631" t="e">
        <f t="shared" ca="1" si="129"/>
        <v>#N/A</v>
      </c>
      <c r="Z631" t="e">
        <f t="shared" ca="1" si="130"/>
        <v>#N/A</v>
      </c>
      <c r="AA631" t="e">
        <f t="shared" ca="1" si="131"/>
        <v>#N/A</v>
      </c>
      <c r="AB631" s="85" t="e">
        <f ca="1"/>
        <v>#N/A</v>
      </c>
      <c r="AC631" s="57" t="e">
        <f t="shared" ca="1" si="132"/>
        <v>#N/A</v>
      </c>
      <c r="AD631" s="57" t="e">
        <f t="shared" ca="1" si="133"/>
        <v>#N/A</v>
      </c>
      <c r="AE631" s="57" t="e">
        <f t="shared" ca="1" si="134"/>
        <v>#N/A</v>
      </c>
      <c r="AF631" s="57" t="e">
        <f t="shared" ca="1" si="135"/>
        <v>#N/A</v>
      </c>
    </row>
    <row r="632" spans="18:32" x14ac:dyDescent="0.25">
      <c r="R632" s="57" t="e">
        <f ca="1"/>
        <v>#N/A</v>
      </c>
      <c r="S632" s="57" t="e">
        <f t="shared" ca="1" si="124"/>
        <v>#N/A</v>
      </c>
      <c r="T632" s="57" t="e">
        <f t="shared" ca="1" si="125"/>
        <v>#N/A</v>
      </c>
      <c r="U632" s="57" t="e">
        <f t="shared" ca="1" si="126"/>
        <v>#N/A</v>
      </c>
      <c r="V632" s="57" t="e">
        <f t="shared" ca="1" si="127"/>
        <v>#N/A</v>
      </c>
      <c r="W632" s="57" t="e">
        <f t="shared" ca="1" si="136"/>
        <v>#N/A</v>
      </c>
      <c r="X632" t="e">
        <f t="shared" ca="1" si="128"/>
        <v>#N/A</v>
      </c>
      <c r="Y632" t="e">
        <f t="shared" ca="1" si="129"/>
        <v>#N/A</v>
      </c>
      <c r="Z632" t="e">
        <f t="shared" ca="1" si="130"/>
        <v>#N/A</v>
      </c>
      <c r="AA632" t="e">
        <f t="shared" ca="1" si="131"/>
        <v>#N/A</v>
      </c>
      <c r="AB632" s="85" t="e">
        <f ca="1"/>
        <v>#N/A</v>
      </c>
      <c r="AC632" s="57" t="e">
        <f t="shared" ca="1" si="132"/>
        <v>#N/A</v>
      </c>
      <c r="AD632" s="57" t="e">
        <f t="shared" ca="1" si="133"/>
        <v>#N/A</v>
      </c>
      <c r="AE632" s="57" t="e">
        <f t="shared" ca="1" si="134"/>
        <v>#N/A</v>
      </c>
      <c r="AF632" s="57" t="e">
        <f t="shared" ca="1" si="135"/>
        <v>#N/A</v>
      </c>
    </row>
    <row r="633" spans="18:32" x14ac:dyDescent="0.25">
      <c r="R633" s="57" t="e">
        <f ca="1"/>
        <v>#N/A</v>
      </c>
      <c r="S633" s="57" t="e">
        <f t="shared" ca="1" si="124"/>
        <v>#N/A</v>
      </c>
      <c r="T633" s="57" t="e">
        <f t="shared" ca="1" si="125"/>
        <v>#N/A</v>
      </c>
      <c r="U633" s="57" t="e">
        <f t="shared" ca="1" si="126"/>
        <v>#N/A</v>
      </c>
      <c r="V633" s="57" t="e">
        <f t="shared" ca="1" si="127"/>
        <v>#N/A</v>
      </c>
      <c r="W633" s="57" t="e">
        <f t="shared" ca="1" si="136"/>
        <v>#N/A</v>
      </c>
      <c r="X633" t="e">
        <f t="shared" ca="1" si="128"/>
        <v>#N/A</v>
      </c>
      <c r="Y633" t="e">
        <f t="shared" ca="1" si="129"/>
        <v>#N/A</v>
      </c>
      <c r="Z633" t="e">
        <f t="shared" ca="1" si="130"/>
        <v>#N/A</v>
      </c>
      <c r="AA633" t="e">
        <f t="shared" ca="1" si="131"/>
        <v>#N/A</v>
      </c>
      <c r="AB633" s="85" t="e">
        <f ca="1"/>
        <v>#N/A</v>
      </c>
      <c r="AC633" s="57" t="e">
        <f t="shared" ca="1" si="132"/>
        <v>#N/A</v>
      </c>
      <c r="AD633" s="57" t="e">
        <f t="shared" ca="1" si="133"/>
        <v>#N/A</v>
      </c>
      <c r="AE633" s="57" t="e">
        <f t="shared" ca="1" si="134"/>
        <v>#N/A</v>
      </c>
      <c r="AF633" s="57" t="e">
        <f t="shared" ca="1" si="135"/>
        <v>#N/A</v>
      </c>
    </row>
    <row r="634" spans="18:32" x14ac:dyDescent="0.25">
      <c r="R634" s="57" t="e">
        <f ca="1"/>
        <v>#N/A</v>
      </c>
      <c r="S634" s="57" t="e">
        <f t="shared" ca="1" si="124"/>
        <v>#N/A</v>
      </c>
      <c r="T634" s="57" t="e">
        <f t="shared" ca="1" si="125"/>
        <v>#N/A</v>
      </c>
      <c r="U634" s="57" t="e">
        <f t="shared" ca="1" si="126"/>
        <v>#N/A</v>
      </c>
      <c r="V634" s="57" t="e">
        <f t="shared" ca="1" si="127"/>
        <v>#N/A</v>
      </c>
      <c r="W634" s="57" t="e">
        <f t="shared" ca="1" si="136"/>
        <v>#N/A</v>
      </c>
      <c r="X634" t="e">
        <f t="shared" ca="1" si="128"/>
        <v>#N/A</v>
      </c>
      <c r="Y634" t="e">
        <f t="shared" ca="1" si="129"/>
        <v>#N/A</v>
      </c>
      <c r="Z634" t="e">
        <f t="shared" ca="1" si="130"/>
        <v>#N/A</v>
      </c>
      <c r="AA634" t="e">
        <f t="shared" ca="1" si="131"/>
        <v>#N/A</v>
      </c>
      <c r="AB634" s="85" t="e">
        <f ca="1"/>
        <v>#N/A</v>
      </c>
      <c r="AC634" s="57" t="e">
        <f t="shared" ca="1" si="132"/>
        <v>#N/A</v>
      </c>
      <c r="AD634" s="57" t="e">
        <f t="shared" ca="1" si="133"/>
        <v>#N/A</v>
      </c>
      <c r="AE634" s="57" t="e">
        <f t="shared" ca="1" si="134"/>
        <v>#N/A</v>
      </c>
      <c r="AF634" s="57" t="e">
        <f t="shared" ca="1" si="135"/>
        <v>#N/A</v>
      </c>
    </row>
    <row r="635" spans="18:32" x14ac:dyDescent="0.25">
      <c r="R635" s="57" t="e">
        <f ca="1"/>
        <v>#N/A</v>
      </c>
      <c r="S635" s="57" t="e">
        <f t="shared" ca="1" si="124"/>
        <v>#N/A</v>
      </c>
      <c r="T635" s="57" t="e">
        <f t="shared" ca="1" si="125"/>
        <v>#N/A</v>
      </c>
      <c r="U635" s="57" t="e">
        <f t="shared" ca="1" si="126"/>
        <v>#N/A</v>
      </c>
      <c r="V635" s="57" t="e">
        <f t="shared" ca="1" si="127"/>
        <v>#N/A</v>
      </c>
      <c r="W635" s="57" t="e">
        <f t="shared" ca="1" si="136"/>
        <v>#N/A</v>
      </c>
      <c r="X635" t="e">
        <f t="shared" ca="1" si="128"/>
        <v>#N/A</v>
      </c>
      <c r="Y635" t="e">
        <f t="shared" ca="1" si="129"/>
        <v>#N/A</v>
      </c>
      <c r="Z635" t="e">
        <f t="shared" ca="1" si="130"/>
        <v>#N/A</v>
      </c>
      <c r="AA635" t="e">
        <f t="shared" ca="1" si="131"/>
        <v>#N/A</v>
      </c>
      <c r="AB635" s="85" t="e">
        <f ca="1"/>
        <v>#N/A</v>
      </c>
      <c r="AC635" s="57" t="e">
        <f t="shared" ca="1" si="132"/>
        <v>#N/A</v>
      </c>
      <c r="AD635" s="57" t="e">
        <f t="shared" ca="1" si="133"/>
        <v>#N/A</v>
      </c>
      <c r="AE635" s="57" t="e">
        <f t="shared" ca="1" si="134"/>
        <v>#N/A</v>
      </c>
      <c r="AF635" s="57" t="e">
        <f t="shared" ca="1" si="135"/>
        <v>#N/A</v>
      </c>
    </row>
    <row r="636" spans="18:32" x14ac:dyDescent="0.25">
      <c r="R636" s="57" t="e">
        <f ca="1"/>
        <v>#N/A</v>
      </c>
      <c r="S636" s="57" t="e">
        <f t="shared" ca="1" si="124"/>
        <v>#N/A</v>
      </c>
      <c r="T636" s="57" t="e">
        <f t="shared" ca="1" si="125"/>
        <v>#N/A</v>
      </c>
      <c r="U636" s="57" t="e">
        <f t="shared" ca="1" si="126"/>
        <v>#N/A</v>
      </c>
      <c r="V636" s="57" t="e">
        <f t="shared" ca="1" si="127"/>
        <v>#N/A</v>
      </c>
      <c r="W636" s="57" t="e">
        <f t="shared" ca="1" si="136"/>
        <v>#N/A</v>
      </c>
      <c r="X636" t="e">
        <f t="shared" ca="1" si="128"/>
        <v>#N/A</v>
      </c>
      <c r="Y636" t="e">
        <f t="shared" ca="1" si="129"/>
        <v>#N/A</v>
      </c>
      <c r="Z636" t="e">
        <f t="shared" ca="1" si="130"/>
        <v>#N/A</v>
      </c>
      <c r="AA636" t="e">
        <f t="shared" ca="1" si="131"/>
        <v>#N/A</v>
      </c>
      <c r="AB636" s="85" t="e">
        <f ca="1"/>
        <v>#N/A</v>
      </c>
      <c r="AC636" s="57" t="e">
        <f t="shared" ca="1" si="132"/>
        <v>#N/A</v>
      </c>
      <c r="AD636" s="57" t="e">
        <f t="shared" ca="1" si="133"/>
        <v>#N/A</v>
      </c>
      <c r="AE636" s="57" t="e">
        <f t="shared" ca="1" si="134"/>
        <v>#N/A</v>
      </c>
      <c r="AF636" s="57" t="e">
        <f t="shared" ca="1" si="135"/>
        <v>#N/A</v>
      </c>
    </row>
    <row r="637" spans="18:32" x14ac:dyDescent="0.25">
      <c r="R637" s="57" t="e">
        <f ca="1"/>
        <v>#N/A</v>
      </c>
      <c r="S637" s="57" t="e">
        <f t="shared" ca="1" si="124"/>
        <v>#N/A</v>
      </c>
      <c r="T637" s="57" t="e">
        <f t="shared" ca="1" si="125"/>
        <v>#N/A</v>
      </c>
      <c r="U637" s="57" t="e">
        <f t="shared" ca="1" si="126"/>
        <v>#N/A</v>
      </c>
      <c r="V637" s="57" t="e">
        <f t="shared" ca="1" si="127"/>
        <v>#N/A</v>
      </c>
      <c r="W637" s="57" t="e">
        <f t="shared" ca="1" si="136"/>
        <v>#N/A</v>
      </c>
      <c r="X637" t="e">
        <f t="shared" ca="1" si="128"/>
        <v>#N/A</v>
      </c>
      <c r="Y637" t="e">
        <f t="shared" ca="1" si="129"/>
        <v>#N/A</v>
      </c>
      <c r="Z637" t="e">
        <f t="shared" ca="1" si="130"/>
        <v>#N/A</v>
      </c>
      <c r="AA637" t="e">
        <f t="shared" ca="1" si="131"/>
        <v>#N/A</v>
      </c>
      <c r="AB637" s="85" t="e">
        <f ca="1"/>
        <v>#N/A</v>
      </c>
      <c r="AC637" s="57" t="e">
        <f t="shared" ca="1" si="132"/>
        <v>#N/A</v>
      </c>
      <c r="AD637" s="57" t="e">
        <f t="shared" ca="1" si="133"/>
        <v>#N/A</v>
      </c>
      <c r="AE637" s="57" t="e">
        <f t="shared" ca="1" si="134"/>
        <v>#N/A</v>
      </c>
      <c r="AF637" s="57" t="e">
        <f t="shared" ca="1" si="135"/>
        <v>#N/A</v>
      </c>
    </row>
    <row r="638" spans="18:32" x14ac:dyDescent="0.25">
      <c r="R638" s="57" t="e">
        <f ca="1"/>
        <v>#N/A</v>
      </c>
      <c r="S638" s="57" t="e">
        <f t="shared" ca="1" si="124"/>
        <v>#N/A</v>
      </c>
      <c r="T638" s="57" t="e">
        <f t="shared" ca="1" si="125"/>
        <v>#N/A</v>
      </c>
      <c r="U638" s="57" t="e">
        <f t="shared" ca="1" si="126"/>
        <v>#N/A</v>
      </c>
      <c r="V638" s="57" t="e">
        <f t="shared" ca="1" si="127"/>
        <v>#N/A</v>
      </c>
      <c r="W638" s="57" t="e">
        <f t="shared" ca="1" si="136"/>
        <v>#N/A</v>
      </c>
      <c r="X638" t="e">
        <f t="shared" ca="1" si="128"/>
        <v>#N/A</v>
      </c>
      <c r="Y638" t="e">
        <f t="shared" ca="1" si="129"/>
        <v>#N/A</v>
      </c>
      <c r="Z638" t="e">
        <f t="shared" ca="1" si="130"/>
        <v>#N/A</v>
      </c>
      <c r="AA638" t="e">
        <f t="shared" ca="1" si="131"/>
        <v>#N/A</v>
      </c>
      <c r="AB638" s="85" t="e">
        <f ca="1"/>
        <v>#N/A</v>
      </c>
      <c r="AC638" s="57" t="e">
        <f t="shared" ca="1" si="132"/>
        <v>#N/A</v>
      </c>
      <c r="AD638" s="57" t="e">
        <f t="shared" ca="1" si="133"/>
        <v>#N/A</v>
      </c>
      <c r="AE638" s="57" t="e">
        <f t="shared" ca="1" si="134"/>
        <v>#N/A</v>
      </c>
      <c r="AF638" s="57" t="e">
        <f t="shared" ca="1" si="135"/>
        <v>#N/A</v>
      </c>
    </row>
    <row r="639" spans="18:32" x14ac:dyDescent="0.25">
      <c r="R639" s="57" t="e">
        <f ca="1"/>
        <v>#N/A</v>
      </c>
      <c r="S639" s="57" t="e">
        <f t="shared" ca="1" si="124"/>
        <v>#N/A</v>
      </c>
      <c r="T639" s="57" t="e">
        <f t="shared" ca="1" si="125"/>
        <v>#N/A</v>
      </c>
      <c r="U639" s="57" t="e">
        <f t="shared" ca="1" si="126"/>
        <v>#N/A</v>
      </c>
      <c r="V639" s="57" t="e">
        <f t="shared" ca="1" si="127"/>
        <v>#N/A</v>
      </c>
      <c r="W639" s="57" t="e">
        <f t="shared" ca="1" si="136"/>
        <v>#N/A</v>
      </c>
      <c r="X639" t="e">
        <f t="shared" ca="1" si="128"/>
        <v>#N/A</v>
      </c>
      <c r="Y639" t="e">
        <f t="shared" ca="1" si="129"/>
        <v>#N/A</v>
      </c>
      <c r="Z639" t="e">
        <f t="shared" ca="1" si="130"/>
        <v>#N/A</v>
      </c>
      <c r="AA639" t="e">
        <f t="shared" ca="1" si="131"/>
        <v>#N/A</v>
      </c>
      <c r="AB639" s="85" t="e">
        <f ca="1"/>
        <v>#N/A</v>
      </c>
      <c r="AC639" s="57" t="e">
        <f t="shared" ca="1" si="132"/>
        <v>#N/A</v>
      </c>
      <c r="AD639" s="57" t="e">
        <f t="shared" ca="1" si="133"/>
        <v>#N/A</v>
      </c>
      <c r="AE639" s="57" t="e">
        <f t="shared" ca="1" si="134"/>
        <v>#N/A</v>
      </c>
      <c r="AF639" s="57" t="e">
        <f t="shared" ca="1" si="135"/>
        <v>#N/A</v>
      </c>
    </row>
    <row r="640" spans="18:32" x14ac:dyDescent="0.25">
      <c r="R640" s="57" t="e">
        <f ca="1"/>
        <v>#N/A</v>
      </c>
      <c r="S640" s="57" t="e">
        <f t="shared" ca="1" si="124"/>
        <v>#N/A</v>
      </c>
      <c r="T640" s="57" t="e">
        <f t="shared" ca="1" si="125"/>
        <v>#N/A</v>
      </c>
      <c r="U640" s="57" t="e">
        <f t="shared" ca="1" si="126"/>
        <v>#N/A</v>
      </c>
      <c r="V640" s="57" t="e">
        <f t="shared" ca="1" si="127"/>
        <v>#N/A</v>
      </c>
      <c r="W640" s="57" t="e">
        <f t="shared" ca="1" si="136"/>
        <v>#N/A</v>
      </c>
      <c r="X640" t="e">
        <f t="shared" ca="1" si="128"/>
        <v>#N/A</v>
      </c>
      <c r="Y640" t="e">
        <f t="shared" ca="1" si="129"/>
        <v>#N/A</v>
      </c>
      <c r="Z640" t="e">
        <f t="shared" ca="1" si="130"/>
        <v>#N/A</v>
      </c>
      <c r="AA640" t="e">
        <f t="shared" ca="1" si="131"/>
        <v>#N/A</v>
      </c>
      <c r="AB640" s="85" t="e">
        <f ca="1"/>
        <v>#N/A</v>
      </c>
      <c r="AC640" s="57" t="e">
        <f t="shared" ca="1" si="132"/>
        <v>#N/A</v>
      </c>
      <c r="AD640" s="57" t="e">
        <f t="shared" ca="1" si="133"/>
        <v>#N/A</v>
      </c>
      <c r="AE640" s="57" t="e">
        <f t="shared" ca="1" si="134"/>
        <v>#N/A</v>
      </c>
      <c r="AF640" s="57" t="e">
        <f t="shared" ca="1" si="135"/>
        <v>#N/A</v>
      </c>
    </row>
    <row r="641" spans="18:32" x14ac:dyDescent="0.25">
      <c r="R641" s="57" t="e">
        <f ca="1"/>
        <v>#N/A</v>
      </c>
      <c r="S641" s="57" t="e">
        <f t="shared" ca="1" si="124"/>
        <v>#N/A</v>
      </c>
      <c r="T641" s="57" t="e">
        <f t="shared" ca="1" si="125"/>
        <v>#N/A</v>
      </c>
      <c r="U641" s="57" t="e">
        <f t="shared" ca="1" si="126"/>
        <v>#N/A</v>
      </c>
      <c r="V641" s="57" t="e">
        <f t="shared" ca="1" si="127"/>
        <v>#N/A</v>
      </c>
      <c r="W641" s="57" t="e">
        <f t="shared" ca="1" si="136"/>
        <v>#N/A</v>
      </c>
      <c r="X641" t="e">
        <f t="shared" ca="1" si="128"/>
        <v>#N/A</v>
      </c>
      <c r="Y641" t="e">
        <f t="shared" ca="1" si="129"/>
        <v>#N/A</v>
      </c>
      <c r="Z641" t="e">
        <f t="shared" ca="1" si="130"/>
        <v>#N/A</v>
      </c>
      <c r="AA641" t="e">
        <f t="shared" ca="1" si="131"/>
        <v>#N/A</v>
      </c>
      <c r="AB641" s="85" t="e">
        <f ca="1"/>
        <v>#N/A</v>
      </c>
      <c r="AC641" s="57" t="e">
        <f t="shared" ca="1" si="132"/>
        <v>#N/A</v>
      </c>
      <c r="AD641" s="57" t="e">
        <f t="shared" ca="1" si="133"/>
        <v>#N/A</v>
      </c>
      <c r="AE641" s="57" t="e">
        <f t="shared" ca="1" si="134"/>
        <v>#N/A</v>
      </c>
      <c r="AF641" s="57" t="e">
        <f t="shared" ca="1" si="135"/>
        <v>#N/A</v>
      </c>
    </row>
    <row r="642" spans="18:32" x14ac:dyDescent="0.25">
      <c r="R642" s="57" t="e">
        <f ca="1"/>
        <v>#N/A</v>
      </c>
      <c r="S642" s="57" t="e">
        <f t="shared" ca="1" si="124"/>
        <v>#N/A</v>
      </c>
      <c r="T642" s="57" t="e">
        <f t="shared" ca="1" si="125"/>
        <v>#N/A</v>
      </c>
      <c r="U642" s="57" t="e">
        <f t="shared" ca="1" si="126"/>
        <v>#N/A</v>
      </c>
      <c r="V642" s="57" t="e">
        <f t="shared" ca="1" si="127"/>
        <v>#N/A</v>
      </c>
      <c r="W642" s="57" t="e">
        <f t="shared" ca="1" si="136"/>
        <v>#N/A</v>
      </c>
      <c r="X642" t="e">
        <f t="shared" ca="1" si="128"/>
        <v>#N/A</v>
      </c>
      <c r="Y642" t="e">
        <f t="shared" ca="1" si="129"/>
        <v>#N/A</v>
      </c>
      <c r="Z642" t="e">
        <f t="shared" ca="1" si="130"/>
        <v>#N/A</v>
      </c>
      <c r="AA642" t="e">
        <f t="shared" ca="1" si="131"/>
        <v>#N/A</v>
      </c>
      <c r="AB642" s="85" t="e">
        <f ca="1"/>
        <v>#N/A</v>
      </c>
      <c r="AC642" s="57" t="e">
        <f t="shared" ca="1" si="132"/>
        <v>#N/A</v>
      </c>
      <c r="AD642" s="57" t="e">
        <f t="shared" ca="1" si="133"/>
        <v>#N/A</v>
      </c>
      <c r="AE642" s="57" t="e">
        <f t="shared" ca="1" si="134"/>
        <v>#N/A</v>
      </c>
      <c r="AF642" s="57" t="e">
        <f t="shared" ca="1" si="135"/>
        <v>#N/A</v>
      </c>
    </row>
    <row r="643" spans="18:32" x14ac:dyDescent="0.25">
      <c r="R643" s="57" t="e">
        <f ca="1"/>
        <v>#N/A</v>
      </c>
      <c r="S643" s="57" t="e">
        <f t="shared" ca="1" si="124"/>
        <v>#N/A</v>
      </c>
      <c r="T643" s="57" t="e">
        <f t="shared" ca="1" si="125"/>
        <v>#N/A</v>
      </c>
      <c r="U643" s="57" t="e">
        <f t="shared" ca="1" si="126"/>
        <v>#N/A</v>
      </c>
      <c r="V643" s="57" t="e">
        <f t="shared" ca="1" si="127"/>
        <v>#N/A</v>
      </c>
      <c r="W643" s="57" t="e">
        <f t="shared" ca="1" si="136"/>
        <v>#N/A</v>
      </c>
      <c r="X643" t="e">
        <f t="shared" ca="1" si="128"/>
        <v>#N/A</v>
      </c>
      <c r="Y643" t="e">
        <f t="shared" ca="1" si="129"/>
        <v>#N/A</v>
      </c>
      <c r="Z643" t="e">
        <f t="shared" ca="1" si="130"/>
        <v>#N/A</v>
      </c>
      <c r="AA643" t="e">
        <f t="shared" ca="1" si="131"/>
        <v>#N/A</v>
      </c>
      <c r="AB643" s="85" t="e">
        <f ca="1"/>
        <v>#N/A</v>
      </c>
      <c r="AC643" s="57" t="e">
        <f t="shared" ca="1" si="132"/>
        <v>#N/A</v>
      </c>
      <c r="AD643" s="57" t="e">
        <f t="shared" ca="1" si="133"/>
        <v>#N/A</v>
      </c>
      <c r="AE643" s="57" t="e">
        <f t="shared" ca="1" si="134"/>
        <v>#N/A</v>
      </c>
      <c r="AF643" s="57" t="e">
        <f t="shared" ca="1" si="135"/>
        <v>#N/A</v>
      </c>
    </row>
    <row r="644" spans="18:32" x14ac:dyDescent="0.25">
      <c r="R644" s="57" t="e">
        <f ca="1"/>
        <v>#N/A</v>
      </c>
      <c r="S644" s="57" t="e">
        <f t="shared" ca="1" si="124"/>
        <v>#N/A</v>
      </c>
      <c r="T644" s="57" t="e">
        <f t="shared" ca="1" si="125"/>
        <v>#N/A</v>
      </c>
      <c r="U644" s="57" t="e">
        <f t="shared" ca="1" si="126"/>
        <v>#N/A</v>
      </c>
      <c r="V644" s="57" t="e">
        <f t="shared" ca="1" si="127"/>
        <v>#N/A</v>
      </c>
      <c r="W644" s="57" t="e">
        <f t="shared" ca="1" si="136"/>
        <v>#N/A</v>
      </c>
      <c r="X644" t="e">
        <f t="shared" ca="1" si="128"/>
        <v>#N/A</v>
      </c>
      <c r="Y644" t="e">
        <f t="shared" ca="1" si="129"/>
        <v>#N/A</v>
      </c>
      <c r="Z644" t="e">
        <f t="shared" ca="1" si="130"/>
        <v>#N/A</v>
      </c>
      <c r="AA644" t="e">
        <f t="shared" ca="1" si="131"/>
        <v>#N/A</v>
      </c>
      <c r="AB644" s="85" t="e">
        <f ca="1"/>
        <v>#N/A</v>
      </c>
      <c r="AC644" s="57" t="e">
        <f t="shared" ca="1" si="132"/>
        <v>#N/A</v>
      </c>
      <c r="AD644" s="57" t="e">
        <f t="shared" ca="1" si="133"/>
        <v>#N/A</v>
      </c>
      <c r="AE644" s="57" t="e">
        <f t="shared" ca="1" si="134"/>
        <v>#N/A</v>
      </c>
      <c r="AF644" s="57" t="e">
        <f t="shared" ca="1" si="135"/>
        <v>#N/A</v>
      </c>
    </row>
    <row r="645" spans="18:32" x14ac:dyDescent="0.25">
      <c r="R645" s="57" t="e">
        <f ca="1"/>
        <v>#N/A</v>
      </c>
      <c r="S645" s="57" t="e">
        <f t="shared" ca="1" si="124"/>
        <v>#N/A</v>
      </c>
      <c r="T645" s="57" t="e">
        <f t="shared" ca="1" si="125"/>
        <v>#N/A</v>
      </c>
      <c r="U645" s="57" t="e">
        <f t="shared" ca="1" si="126"/>
        <v>#N/A</v>
      </c>
      <c r="V645" s="57" t="e">
        <f t="shared" ca="1" si="127"/>
        <v>#N/A</v>
      </c>
      <c r="W645" s="57" t="e">
        <f t="shared" ca="1" si="136"/>
        <v>#N/A</v>
      </c>
      <c r="X645" t="e">
        <f t="shared" ca="1" si="128"/>
        <v>#N/A</v>
      </c>
      <c r="Y645" t="e">
        <f t="shared" ca="1" si="129"/>
        <v>#N/A</v>
      </c>
      <c r="Z645" t="e">
        <f t="shared" ca="1" si="130"/>
        <v>#N/A</v>
      </c>
      <c r="AA645" t="e">
        <f t="shared" ca="1" si="131"/>
        <v>#N/A</v>
      </c>
      <c r="AB645" s="85" t="e">
        <f ca="1"/>
        <v>#N/A</v>
      </c>
      <c r="AC645" s="57" t="e">
        <f t="shared" ca="1" si="132"/>
        <v>#N/A</v>
      </c>
      <c r="AD645" s="57" t="e">
        <f t="shared" ca="1" si="133"/>
        <v>#N/A</v>
      </c>
      <c r="AE645" s="57" t="e">
        <f t="shared" ca="1" si="134"/>
        <v>#N/A</v>
      </c>
      <c r="AF645" s="57" t="e">
        <f t="shared" ca="1" si="135"/>
        <v>#N/A</v>
      </c>
    </row>
    <row r="646" spans="18:32" x14ac:dyDescent="0.25">
      <c r="R646" s="57" t="e">
        <f ca="1"/>
        <v>#N/A</v>
      </c>
      <c r="S646" s="57" t="e">
        <f t="shared" ca="1" si="124"/>
        <v>#N/A</v>
      </c>
      <c r="T646" s="57" t="e">
        <f t="shared" ca="1" si="125"/>
        <v>#N/A</v>
      </c>
      <c r="U646" s="57" t="e">
        <f t="shared" ca="1" si="126"/>
        <v>#N/A</v>
      </c>
      <c r="V646" s="57" t="e">
        <f t="shared" ca="1" si="127"/>
        <v>#N/A</v>
      </c>
      <c r="W646" s="57" t="e">
        <f t="shared" ca="1" si="136"/>
        <v>#N/A</v>
      </c>
      <c r="X646" t="e">
        <f t="shared" ca="1" si="128"/>
        <v>#N/A</v>
      </c>
      <c r="Y646" t="e">
        <f t="shared" ca="1" si="129"/>
        <v>#N/A</v>
      </c>
      <c r="Z646" t="e">
        <f t="shared" ca="1" si="130"/>
        <v>#N/A</v>
      </c>
      <c r="AA646" t="e">
        <f t="shared" ca="1" si="131"/>
        <v>#N/A</v>
      </c>
      <c r="AB646" s="85" t="e">
        <f ca="1"/>
        <v>#N/A</v>
      </c>
      <c r="AC646" s="57" t="e">
        <f t="shared" ca="1" si="132"/>
        <v>#N/A</v>
      </c>
      <c r="AD646" s="57" t="e">
        <f t="shared" ca="1" si="133"/>
        <v>#N/A</v>
      </c>
      <c r="AE646" s="57" t="e">
        <f t="shared" ca="1" si="134"/>
        <v>#N/A</v>
      </c>
      <c r="AF646" s="57" t="e">
        <f t="shared" ca="1" si="135"/>
        <v>#N/A</v>
      </c>
    </row>
    <row r="647" spans="18:32" x14ac:dyDescent="0.25">
      <c r="R647" s="57" t="e">
        <f ca="1"/>
        <v>#N/A</v>
      </c>
      <c r="S647" s="57" t="e">
        <f t="shared" ca="1" si="124"/>
        <v>#N/A</v>
      </c>
      <c r="T647" s="57" t="e">
        <f t="shared" ca="1" si="125"/>
        <v>#N/A</v>
      </c>
      <c r="U647" s="57" t="e">
        <f t="shared" ca="1" si="126"/>
        <v>#N/A</v>
      </c>
      <c r="V647" s="57" t="e">
        <f t="shared" ca="1" si="127"/>
        <v>#N/A</v>
      </c>
      <c r="W647" s="57" t="e">
        <f t="shared" ca="1" si="136"/>
        <v>#N/A</v>
      </c>
      <c r="X647" t="e">
        <f t="shared" ca="1" si="128"/>
        <v>#N/A</v>
      </c>
      <c r="Y647" t="e">
        <f t="shared" ca="1" si="129"/>
        <v>#N/A</v>
      </c>
      <c r="Z647" t="e">
        <f t="shared" ca="1" si="130"/>
        <v>#N/A</v>
      </c>
      <c r="AA647" t="e">
        <f t="shared" ca="1" si="131"/>
        <v>#N/A</v>
      </c>
      <c r="AB647" s="85" t="e">
        <f ca="1"/>
        <v>#N/A</v>
      </c>
      <c r="AC647" s="57" t="e">
        <f t="shared" ca="1" si="132"/>
        <v>#N/A</v>
      </c>
      <c r="AD647" s="57" t="e">
        <f t="shared" ca="1" si="133"/>
        <v>#N/A</v>
      </c>
      <c r="AE647" s="57" t="e">
        <f t="shared" ca="1" si="134"/>
        <v>#N/A</v>
      </c>
      <c r="AF647" s="57" t="e">
        <f t="shared" ca="1" si="135"/>
        <v>#N/A</v>
      </c>
    </row>
    <row r="648" spans="18:32" x14ac:dyDescent="0.25">
      <c r="R648" s="57" t="e">
        <f ca="1"/>
        <v>#N/A</v>
      </c>
      <c r="S648" s="57" t="e">
        <f t="shared" ca="1" si="124"/>
        <v>#N/A</v>
      </c>
      <c r="T648" s="57" t="e">
        <f t="shared" ca="1" si="125"/>
        <v>#N/A</v>
      </c>
      <c r="U648" s="57" t="e">
        <f t="shared" ca="1" si="126"/>
        <v>#N/A</v>
      </c>
      <c r="V648" s="57" t="e">
        <f t="shared" ca="1" si="127"/>
        <v>#N/A</v>
      </c>
      <c r="W648" s="57" t="e">
        <f t="shared" ca="1" si="136"/>
        <v>#N/A</v>
      </c>
      <c r="X648" t="e">
        <f t="shared" ca="1" si="128"/>
        <v>#N/A</v>
      </c>
      <c r="Y648" t="e">
        <f t="shared" ca="1" si="129"/>
        <v>#N/A</v>
      </c>
      <c r="Z648" t="e">
        <f t="shared" ca="1" si="130"/>
        <v>#N/A</v>
      </c>
      <c r="AA648" t="e">
        <f t="shared" ca="1" si="131"/>
        <v>#N/A</v>
      </c>
      <c r="AB648" s="85" t="e">
        <f ca="1"/>
        <v>#N/A</v>
      </c>
      <c r="AC648" s="57" t="e">
        <f t="shared" ca="1" si="132"/>
        <v>#N/A</v>
      </c>
      <c r="AD648" s="57" t="e">
        <f t="shared" ca="1" si="133"/>
        <v>#N/A</v>
      </c>
      <c r="AE648" s="57" t="e">
        <f t="shared" ca="1" si="134"/>
        <v>#N/A</v>
      </c>
      <c r="AF648" s="57" t="e">
        <f t="shared" ca="1" si="135"/>
        <v>#N/A</v>
      </c>
    </row>
    <row r="649" spans="18:32" x14ac:dyDescent="0.25">
      <c r="R649" s="57" t="e">
        <f ca="1"/>
        <v>#N/A</v>
      </c>
      <c r="S649" s="57" t="e">
        <f t="shared" ca="1" si="124"/>
        <v>#N/A</v>
      </c>
      <c r="T649" s="57" t="e">
        <f t="shared" ca="1" si="125"/>
        <v>#N/A</v>
      </c>
      <c r="U649" s="57" t="e">
        <f t="shared" ca="1" si="126"/>
        <v>#N/A</v>
      </c>
      <c r="V649" s="57" t="e">
        <f t="shared" ca="1" si="127"/>
        <v>#N/A</v>
      </c>
      <c r="W649" s="57" t="e">
        <f t="shared" ca="1" si="136"/>
        <v>#N/A</v>
      </c>
      <c r="X649" t="e">
        <f t="shared" ca="1" si="128"/>
        <v>#N/A</v>
      </c>
      <c r="Y649" t="e">
        <f t="shared" ca="1" si="129"/>
        <v>#N/A</v>
      </c>
      <c r="Z649" t="e">
        <f t="shared" ca="1" si="130"/>
        <v>#N/A</v>
      </c>
      <c r="AA649" t="e">
        <f t="shared" ca="1" si="131"/>
        <v>#N/A</v>
      </c>
      <c r="AB649" s="85" t="e">
        <f ca="1"/>
        <v>#N/A</v>
      </c>
      <c r="AC649" s="57" t="e">
        <f t="shared" ca="1" si="132"/>
        <v>#N/A</v>
      </c>
      <c r="AD649" s="57" t="e">
        <f t="shared" ca="1" si="133"/>
        <v>#N/A</v>
      </c>
      <c r="AE649" s="57" t="e">
        <f t="shared" ca="1" si="134"/>
        <v>#N/A</v>
      </c>
      <c r="AF649" s="57" t="e">
        <f t="shared" ca="1" si="135"/>
        <v>#N/A</v>
      </c>
    </row>
    <row r="650" spans="18:32" x14ac:dyDescent="0.25">
      <c r="R650" s="57" t="e">
        <f ca="1"/>
        <v>#N/A</v>
      </c>
      <c r="S650" s="57" t="e">
        <f t="shared" ca="1" si="124"/>
        <v>#N/A</v>
      </c>
      <c r="T650" s="57" t="e">
        <f t="shared" ca="1" si="125"/>
        <v>#N/A</v>
      </c>
      <c r="U650" s="57" t="e">
        <f t="shared" ca="1" si="126"/>
        <v>#N/A</v>
      </c>
      <c r="V650" s="57" t="e">
        <f t="shared" ca="1" si="127"/>
        <v>#N/A</v>
      </c>
      <c r="W650" s="57" t="e">
        <f t="shared" ca="1" si="136"/>
        <v>#N/A</v>
      </c>
      <c r="X650" t="e">
        <f t="shared" ca="1" si="128"/>
        <v>#N/A</v>
      </c>
      <c r="Y650" t="e">
        <f t="shared" ca="1" si="129"/>
        <v>#N/A</v>
      </c>
      <c r="Z650" t="e">
        <f t="shared" ca="1" si="130"/>
        <v>#N/A</v>
      </c>
      <c r="AA650" t="e">
        <f t="shared" ca="1" si="131"/>
        <v>#N/A</v>
      </c>
      <c r="AB650" s="85" t="e">
        <f ca="1"/>
        <v>#N/A</v>
      </c>
      <c r="AC650" s="57" t="e">
        <f t="shared" ca="1" si="132"/>
        <v>#N/A</v>
      </c>
      <c r="AD650" s="57" t="e">
        <f t="shared" ca="1" si="133"/>
        <v>#N/A</v>
      </c>
      <c r="AE650" s="57" t="e">
        <f t="shared" ca="1" si="134"/>
        <v>#N/A</v>
      </c>
      <c r="AF650" s="57" t="e">
        <f t="shared" ca="1" si="135"/>
        <v>#N/A</v>
      </c>
    </row>
    <row r="651" spans="18:32" x14ac:dyDescent="0.25">
      <c r="R651" s="57" t="e">
        <f ca="1"/>
        <v>#N/A</v>
      </c>
      <c r="S651" s="57" t="e">
        <f t="shared" ca="1" si="124"/>
        <v>#N/A</v>
      </c>
      <c r="T651" s="57" t="e">
        <f t="shared" ca="1" si="125"/>
        <v>#N/A</v>
      </c>
      <c r="U651" s="57" t="e">
        <f t="shared" ca="1" si="126"/>
        <v>#N/A</v>
      </c>
      <c r="V651" s="57" t="e">
        <f t="shared" ca="1" si="127"/>
        <v>#N/A</v>
      </c>
      <c r="W651" s="57" t="e">
        <f t="shared" ca="1" si="136"/>
        <v>#N/A</v>
      </c>
      <c r="X651" t="e">
        <f t="shared" ca="1" si="128"/>
        <v>#N/A</v>
      </c>
      <c r="Y651" t="e">
        <f t="shared" ca="1" si="129"/>
        <v>#N/A</v>
      </c>
      <c r="Z651" t="e">
        <f t="shared" ca="1" si="130"/>
        <v>#N/A</v>
      </c>
      <c r="AA651" t="e">
        <f t="shared" ca="1" si="131"/>
        <v>#N/A</v>
      </c>
      <c r="AB651" s="85" t="e">
        <f ca="1"/>
        <v>#N/A</v>
      </c>
      <c r="AC651" s="57" t="e">
        <f t="shared" ca="1" si="132"/>
        <v>#N/A</v>
      </c>
      <c r="AD651" s="57" t="e">
        <f t="shared" ca="1" si="133"/>
        <v>#N/A</v>
      </c>
      <c r="AE651" s="57" t="e">
        <f t="shared" ca="1" si="134"/>
        <v>#N/A</v>
      </c>
      <c r="AF651" s="57" t="e">
        <f t="shared" ca="1" si="135"/>
        <v>#N/A</v>
      </c>
    </row>
    <row r="652" spans="18:32" x14ac:dyDescent="0.25">
      <c r="R652" s="57" t="e">
        <f ca="1"/>
        <v>#N/A</v>
      </c>
      <c r="S652" s="57" t="e">
        <f t="shared" ref="S652:S662" ca="1" si="137">IF(R652&gt;1,R652,"")</f>
        <v>#N/A</v>
      </c>
      <c r="T652" s="57" t="e">
        <f t="shared" ref="T652:T662" ca="1" si="138">VLOOKUP(S652,ModelOutputs,2,FALSE)</f>
        <v>#N/A</v>
      </c>
      <c r="U652" s="57" t="e">
        <f t="shared" ref="U652:U662" ca="1" si="139">VLOOKUP(S652,ModelOutputs,7,FALSE)</f>
        <v>#N/A</v>
      </c>
      <c r="V652" s="57" t="e">
        <f t="shared" ref="V652:V662" ca="1" si="140">VLOOKUP(S652,ModelOutputs,6,FALSE)</f>
        <v>#N/A</v>
      </c>
      <c r="W652" s="57" t="e">
        <f t="shared" ca="1" si="136"/>
        <v>#N/A</v>
      </c>
      <c r="X652" t="e">
        <f t="shared" ref="X652:X662" ca="1" si="141">VLOOKUP(S652,ModelOutputs,10,FALSE)*AWC</f>
        <v>#N/A</v>
      </c>
      <c r="Y652" t="e">
        <f t="shared" ref="Y652:Y662" ca="1" si="142">VLOOKUP(S652,ModelOutputs,11,FALSE)+Y651</f>
        <v>#N/A</v>
      </c>
      <c r="Z652" t="e">
        <f t="shared" ref="Z652:Z662" ca="1" si="143">VLOOKUP(S652,ModelOutputs,12,FALSE)</f>
        <v>#N/A</v>
      </c>
      <c r="AA652" t="e">
        <f t="shared" ref="AA652:AA662" ca="1" si="144">VLOOKUP(S652,ModelOutputs,13,FALSE)</f>
        <v>#N/A</v>
      </c>
      <c r="AB652" s="85" t="e">
        <f ca="1"/>
        <v>#N/A</v>
      </c>
      <c r="AC652" s="57" t="e">
        <f t="shared" ref="AC652:AC662" ca="1" si="145">IF(AB652&gt;1,AB652,"")</f>
        <v>#N/A</v>
      </c>
      <c r="AD652" s="57" t="e">
        <f t="shared" ref="AD652:AD662" ca="1" si="146">VLOOKUP(AC652,ModelOutputs,2,FALSE)</f>
        <v>#N/A</v>
      </c>
      <c r="AE652" s="57" t="e">
        <f t="shared" ref="AE652:AE662" ca="1" si="147">VLOOKUP(AC652,ModelOutputs,7,FALSE)</f>
        <v>#N/A</v>
      </c>
      <c r="AF652" s="57" t="e">
        <f t="shared" ref="AF652:AF662" ca="1" si="148">VLOOKUP(AC652,ModelOutputs,6,FALSE)</f>
        <v>#N/A</v>
      </c>
    </row>
    <row r="653" spans="18:32" x14ac:dyDescent="0.25">
      <c r="R653" s="57" t="e">
        <f ca="1"/>
        <v>#N/A</v>
      </c>
      <c r="S653" s="57" t="e">
        <f t="shared" ca="1" si="137"/>
        <v>#N/A</v>
      </c>
      <c r="T653" s="57" t="e">
        <f t="shared" ca="1" si="138"/>
        <v>#N/A</v>
      </c>
      <c r="U653" s="57" t="e">
        <f t="shared" ca="1" si="139"/>
        <v>#N/A</v>
      </c>
      <c r="V653" s="57" t="e">
        <f t="shared" ca="1" si="140"/>
        <v>#N/A</v>
      </c>
      <c r="W653" s="57" t="e">
        <f t="shared" ca="1" si="136"/>
        <v>#N/A</v>
      </c>
      <c r="X653" t="e">
        <f t="shared" ca="1" si="141"/>
        <v>#N/A</v>
      </c>
      <c r="Y653" t="e">
        <f t="shared" ca="1" si="142"/>
        <v>#N/A</v>
      </c>
      <c r="Z653" t="e">
        <f t="shared" ca="1" si="143"/>
        <v>#N/A</v>
      </c>
      <c r="AA653" t="e">
        <f t="shared" ca="1" si="144"/>
        <v>#N/A</v>
      </c>
      <c r="AB653" s="85" t="e">
        <f ca="1"/>
        <v>#N/A</v>
      </c>
      <c r="AC653" s="57" t="e">
        <f t="shared" ca="1" si="145"/>
        <v>#N/A</v>
      </c>
      <c r="AD653" s="57" t="e">
        <f t="shared" ca="1" si="146"/>
        <v>#N/A</v>
      </c>
      <c r="AE653" s="57" t="e">
        <f t="shared" ca="1" si="147"/>
        <v>#N/A</v>
      </c>
      <c r="AF653" s="57" t="e">
        <f t="shared" ca="1" si="148"/>
        <v>#N/A</v>
      </c>
    </row>
    <row r="654" spans="18:32" x14ac:dyDescent="0.25">
      <c r="R654" s="57" t="e">
        <f ca="1"/>
        <v>#N/A</v>
      </c>
      <c r="S654" s="57" t="e">
        <f t="shared" ca="1" si="137"/>
        <v>#N/A</v>
      </c>
      <c r="T654" s="57" t="e">
        <f t="shared" ca="1" si="138"/>
        <v>#N/A</v>
      </c>
      <c r="U654" s="57" t="e">
        <f t="shared" ca="1" si="139"/>
        <v>#N/A</v>
      </c>
      <c r="V654" s="57" t="e">
        <f t="shared" ca="1" si="140"/>
        <v>#N/A</v>
      </c>
      <c r="W654" s="57" t="e">
        <f t="shared" ca="1" si="136"/>
        <v>#N/A</v>
      </c>
      <c r="X654" t="e">
        <f t="shared" ca="1" si="141"/>
        <v>#N/A</v>
      </c>
      <c r="Y654" t="e">
        <f t="shared" ca="1" si="142"/>
        <v>#N/A</v>
      </c>
      <c r="Z654" t="e">
        <f t="shared" ca="1" si="143"/>
        <v>#N/A</v>
      </c>
      <c r="AA654" t="e">
        <f t="shared" ca="1" si="144"/>
        <v>#N/A</v>
      </c>
      <c r="AB654" s="85" t="e">
        <f ca="1"/>
        <v>#N/A</v>
      </c>
      <c r="AC654" s="57" t="e">
        <f t="shared" ca="1" si="145"/>
        <v>#N/A</v>
      </c>
      <c r="AD654" s="57" t="e">
        <f t="shared" ca="1" si="146"/>
        <v>#N/A</v>
      </c>
      <c r="AE654" s="57" t="e">
        <f t="shared" ca="1" si="147"/>
        <v>#N/A</v>
      </c>
      <c r="AF654" s="57" t="e">
        <f t="shared" ca="1" si="148"/>
        <v>#N/A</v>
      </c>
    </row>
    <row r="655" spans="18:32" x14ac:dyDescent="0.25">
      <c r="R655" s="57" t="e">
        <f ca="1"/>
        <v>#N/A</v>
      </c>
      <c r="S655" s="57" t="e">
        <f t="shared" ca="1" si="137"/>
        <v>#N/A</v>
      </c>
      <c r="T655" s="57" t="e">
        <f t="shared" ca="1" si="138"/>
        <v>#N/A</v>
      </c>
      <c r="U655" s="57" t="e">
        <f t="shared" ca="1" si="139"/>
        <v>#N/A</v>
      </c>
      <c r="V655" s="57" t="e">
        <f t="shared" ca="1" si="140"/>
        <v>#N/A</v>
      </c>
      <c r="W655" s="57" t="e">
        <f t="shared" ca="1" si="136"/>
        <v>#N/A</v>
      </c>
      <c r="X655" t="e">
        <f t="shared" ca="1" si="141"/>
        <v>#N/A</v>
      </c>
      <c r="Y655" t="e">
        <f t="shared" ca="1" si="142"/>
        <v>#N/A</v>
      </c>
      <c r="Z655" t="e">
        <f t="shared" ca="1" si="143"/>
        <v>#N/A</v>
      </c>
      <c r="AA655" t="e">
        <f t="shared" ca="1" si="144"/>
        <v>#N/A</v>
      </c>
      <c r="AB655" s="85" t="e">
        <f ca="1"/>
        <v>#N/A</v>
      </c>
      <c r="AC655" s="57" t="e">
        <f t="shared" ca="1" si="145"/>
        <v>#N/A</v>
      </c>
      <c r="AD655" s="57" t="e">
        <f t="shared" ca="1" si="146"/>
        <v>#N/A</v>
      </c>
      <c r="AE655" s="57" t="e">
        <f t="shared" ca="1" si="147"/>
        <v>#N/A</v>
      </c>
      <c r="AF655" s="57" t="e">
        <f t="shared" ca="1" si="148"/>
        <v>#N/A</v>
      </c>
    </row>
    <row r="656" spans="18:32" x14ac:dyDescent="0.25">
      <c r="R656" s="57" t="e">
        <f ca="1"/>
        <v>#N/A</v>
      </c>
      <c r="S656" s="57" t="e">
        <f t="shared" ca="1" si="137"/>
        <v>#N/A</v>
      </c>
      <c r="T656" s="57" t="e">
        <f t="shared" ca="1" si="138"/>
        <v>#N/A</v>
      </c>
      <c r="U656" s="57" t="e">
        <f t="shared" ca="1" si="139"/>
        <v>#N/A</v>
      </c>
      <c r="V656" s="57" t="e">
        <f t="shared" ca="1" si="140"/>
        <v>#N/A</v>
      </c>
      <c r="W656" s="57" t="e">
        <f t="shared" ca="1" si="136"/>
        <v>#N/A</v>
      </c>
      <c r="X656" t="e">
        <f t="shared" ca="1" si="141"/>
        <v>#N/A</v>
      </c>
      <c r="Y656" t="e">
        <f t="shared" ca="1" si="142"/>
        <v>#N/A</v>
      </c>
      <c r="Z656" t="e">
        <f t="shared" ca="1" si="143"/>
        <v>#N/A</v>
      </c>
      <c r="AA656" t="e">
        <f t="shared" ca="1" si="144"/>
        <v>#N/A</v>
      </c>
      <c r="AB656" s="85" t="e">
        <f ca="1"/>
        <v>#N/A</v>
      </c>
      <c r="AC656" s="57" t="e">
        <f t="shared" ca="1" si="145"/>
        <v>#N/A</v>
      </c>
      <c r="AD656" s="57" t="e">
        <f t="shared" ca="1" si="146"/>
        <v>#N/A</v>
      </c>
      <c r="AE656" s="57" t="e">
        <f t="shared" ca="1" si="147"/>
        <v>#N/A</v>
      </c>
      <c r="AF656" s="57" t="e">
        <f t="shared" ca="1" si="148"/>
        <v>#N/A</v>
      </c>
    </row>
    <row r="657" spans="18:32" x14ac:dyDescent="0.25">
      <c r="R657" s="57" t="e">
        <f ca="1"/>
        <v>#N/A</v>
      </c>
      <c r="S657" s="57" t="e">
        <f t="shared" ca="1" si="137"/>
        <v>#N/A</v>
      </c>
      <c r="T657" s="57" t="e">
        <f t="shared" ca="1" si="138"/>
        <v>#N/A</v>
      </c>
      <c r="U657" s="57" t="e">
        <f t="shared" ca="1" si="139"/>
        <v>#N/A</v>
      </c>
      <c r="V657" s="57" t="e">
        <f t="shared" ca="1" si="140"/>
        <v>#N/A</v>
      </c>
      <c r="W657" s="57" t="e">
        <f t="shared" ca="1" si="136"/>
        <v>#N/A</v>
      </c>
      <c r="X657" t="e">
        <f t="shared" ca="1" si="141"/>
        <v>#N/A</v>
      </c>
      <c r="Y657" t="e">
        <f t="shared" ca="1" si="142"/>
        <v>#N/A</v>
      </c>
      <c r="Z657" t="e">
        <f t="shared" ca="1" si="143"/>
        <v>#N/A</v>
      </c>
      <c r="AA657" t="e">
        <f t="shared" ca="1" si="144"/>
        <v>#N/A</v>
      </c>
      <c r="AB657" s="85" t="e">
        <f ca="1"/>
        <v>#N/A</v>
      </c>
      <c r="AC657" s="57" t="e">
        <f t="shared" ca="1" si="145"/>
        <v>#N/A</v>
      </c>
      <c r="AD657" s="57" t="e">
        <f t="shared" ca="1" si="146"/>
        <v>#N/A</v>
      </c>
      <c r="AE657" s="57" t="e">
        <f t="shared" ca="1" si="147"/>
        <v>#N/A</v>
      </c>
      <c r="AF657" s="57" t="e">
        <f t="shared" ca="1" si="148"/>
        <v>#N/A</v>
      </c>
    </row>
    <row r="658" spans="18:32" x14ac:dyDescent="0.25">
      <c r="R658" s="57" t="e">
        <f ca="1"/>
        <v>#N/A</v>
      </c>
      <c r="S658" s="57" t="e">
        <f t="shared" ca="1" si="137"/>
        <v>#N/A</v>
      </c>
      <c r="T658" s="57" t="e">
        <f t="shared" ca="1" si="138"/>
        <v>#N/A</v>
      </c>
      <c r="U658" s="57" t="e">
        <f t="shared" ca="1" si="139"/>
        <v>#N/A</v>
      </c>
      <c r="V658" s="57" t="e">
        <f t="shared" ca="1" si="140"/>
        <v>#N/A</v>
      </c>
      <c r="W658" s="57" t="e">
        <f t="shared" ca="1" si="136"/>
        <v>#N/A</v>
      </c>
      <c r="X658" t="e">
        <f t="shared" ca="1" si="141"/>
        <v>#N/A</v>
      </c>
      <c r="Y658" t="e">
        <f t="shared" ca="1" si="142"/>
        <v>#N/A</v>
      </c>
      <c r="Z658" t="e">
        <f t="shared" ca="1" si="143"/>
        <v>#N/A</v>
      </c>
      <c r="AA658" t="e">
        <f t="shared" ca="1" si="144"/>
        <v>#N/A</v>
      </c>
      <c r="AB658" s="85" t="e">
        <f ca="1"/>
        <v>#N/A</v>
      </c>
      <c r="AC658" s="57" t="e">
        <f t="shared" ca="1" si="145"/>
        <v>#N/A</v>
      </c>
      <c r="AD658" s="57" t="e">
        <f t="shared" ca="1" si="146"/>
        <v>#N/A</v>
      </c>
      <c r="AE658" s="57" t="e">
        <f t="shared" ca="1" si="147"/>
        <v>#N/A</v>
      </c>
      <c r="AF658" s="57" t="e">
        <f t="shared" ca="1" si="148"/>
        <v>#N/A</v>
      </c>
    </row>
    <row r="659" spans="18:32" x14ac:dyDescent="0.25">
      <c r="R659" s="57" t="e">
        <f ca="1"/>
        <v>#N/A</v>
      </c>
      <c r="S659" s="57" t="e">
        <f t="shared" ca="1" si="137"/>
        <v>#N/A</v>
      </c>
      <c r="T659" s="57" t="e">
        <f t="shared" ca="1" si="138"/>
        <v>#N/A</v>
      </c>
      <c r="U659" s="57" t="e">
        <f t="shared" ca="1" si="139"/>
        <v>#N/A</v>
      </c>
      <c r="V659" s="57" t="e">
        <f t="shared" ca="1" si="140"/>
        <v>#N/A</v>
      </c>
      <c r="W659" s="57" t="e">
        <f t="shared" ca="1" si="136"/>
        <v>#N/A</v>
      </c>
      <c r="X659" t="e">
        <f t="shared" ca="1" si="141"/>
        <v>#N/A</v>
      </c>
      <c r="Y659" t="e">
        <f t="shared" ca="1" si="142"/>
        <v>#N/A</v>
      </c>
      <c r="Z659" t="e">
        <f t="shared" ca="1" si="143"/>
        <v>#N/A</v>
      </c>
      <c r="AA659" t="e">
        <f t="shared" ca="1" si="144"/>
        <v>#N/A</v>
      </c>
      <c r="AB659" s="85" t="e">
        <f ca="1"/>
        <v>#N/A</v>
      </c>
      <c r="AC659" s="57" t="e">
        <f t="shared" ca="1" si="145"/>
        <v>#N/A</v>
      </c>
      <c r="AD659" s="57" t="e">
        <f t="shared" ca="1" si="146"/>
        <v>#N/A</v>
      </c>
      <c r="AE659" s="57" t="e">
        <f t="shared" ca="1" si="147"/>
        <v>#N/A</v>
      </c>
      <c r="AF659" s="57" t="e">
        <f t="shared" ca="1" si="148"/>
        <v>#N/A</v>
      </c>
    </row>
    <row r="660" spans="18:32" x14ac:dyDescent="0.25">
      <c r="R660" s="57" t="e">
        <f ca="1"/>
        <v>#N/A</v>
      </c>
      <c r="S660" s="57" t="e">
        <f t="shared" ca="1" si="137"/>
        <v>#N/A</v>
      </c>
      <c r="T660" s="57" t="e">
        <f t="shared" ca="1" si="138"/>
        <v>#N/A</v>
      </c>
      <c r="U660" s="57" t="e">
        <f t="shared" ca="1" si="139"/>
        <v>#N/A</v>
      </c>
      <c r="V660" s="57" t="e">
        <f t="shared" ca="1" si="140"/>
        <v>#N/A</v>
      </c>
      <c r="W660" s="57" t="e">
        <f t="shared" ca="1" si="136"/>
        <v>#N/A</v>
      </c>
      <c r="X660" t="e">
        <f t="shared" ca="1" si="141"/>
        <v>#N/A</v>
      </c>
      <c r="Y660" t="e">
        <f t="shared" ca="1" si="142"/>
        <v>#N/A</v>
      </c>
      <c r="Z660" t="e">
        <f t="shared" ca="1" si="143"/>
        <v>#N/A</v>
      </c>
      <c r="AA660" t="e">
        <f t="shared" ca="1" si="144"/>
        <v>#N/A</v>
      </c>
      <c r="AB660" s="85" t="e">
        <f ca="1"/>
        <v>#N/A</v>
      </c>
      <c r="AC660" s="57" t="e">
        <f t="shared" ca="1" si="145"/>
        <v>#N/A</v>
      </c>
      <c r="AD660" s="57" t="e">
        <f t="shared" ca="1" si="146"/>
        <v>#N/A</v>
      </c>
      <c r="AE660" s="57" t="e">
        <f t="shared" ca="1" si="147"/>
        <v>#N/A</v>
      </c>
      <c r="AF660" s="57" t="e">
        <f t="shared" ca="1" si="148"/>
        <v>#N/A</v>
      </c>
    </row>
    <row r="661" spans="18:32" x14ac:dyDescent="0.25">
      <c r="R661" s="57" t="e">
        <f ca="1"/>
        <v>#N/A</v>
      </c>
      <c r="S661" s="57" t="e">
        <f t="shared" ca="1" si="137"/>
        <v>#N/A</v>
      </c>
      <c r="T661" s="57" t="e">
        <f t="shared" ca="1" si="138"/>
        <v>#N/A</v>
      </c>
      <c r="U661" s="57" t="e">
        <f t="shared" ca="1" si="139"/>
        <v>#N/A</v>
      </c>
      <c r="V661" s="57" t="e">
        <f t="shared" ca="1" si="140"/>
        <v>#N/A</v>
      </c>
      <c r="W661" s="57" t="e">
        <f t="shared" ca="1" si="136"/>
        <v>#N/A</v>
      </c>
      <c r="X661" t="e">
        <f t="shared" ca="1" si="141"/>
        <v>#N/A</v>
      </c>
      <c r="Y661" t="e">
        <f t="shared" ca="1" si="142"/>
        <v>#N/A</v>
      </c>
      <c r="Z661" t="e">
        <f t="shared" ca="1" si="143"/>
        <v>#N/A</v>
      </c>
      <c r="AA661" t="e">
        <f t="shared" ca="1" si="144"/>
        <v>#N/A</v>
      </c>
      <c r="AB661" s="85" t="e">
        <f ca="1"/>
        <v>#N/A</v>
      </c>
      <c r="AC661" s="57" t="e">
        <f t="shared" ca="1" si="145"/>
        <v>#N/A</v>
      </c>
      <c r="AD661" s="57" t="e">
        <f t="shared" ca="1" si="146"/>
        <v>#N/A</v>
      </c>
      <c r="AE661" s="57" t="e">
        <f t="shared" ca="1" si="147"/>
        <v>#N/A</v>
      </c>
      <c r="AF661" s="57" t="e">
        <f t="shared" ca="1" si="148"/>
        <v>#N/A</v>
      </c>
    </row>
    <row r="662" spans="18:32" x14ac:dyDescent="0.25">
      <c r="R662" s="57" t="e">
        <f ca="1"/>
        <v>#N/A</v>
      </c>
      <c r="S662" s="57" t="e">
        <f t="shared" ca="1" si="137"/>
        <v>#N/A</v>
      </c>
      <c r="T662" s="57" t="e">
        <f t="shared" ca="1" si="138"/>
        <v>#N/A</v>
      </c>
      <c r="U662" s="57" t="e">
        <f t="shared" ca="1" si="139"/>
        <v>#N/A</v>
      </c>
      <c r="V662" s="57" t="e">
        <f t="shared" ca="1" si="140"/>
        <v>#N/A</v>
      </c>
      <c r="W662" s="57" t="e">
        <f t="shared" ca="1" si="136"/>
        <v>#N/A</v>
      </c>
      <c r="X662" t="e">
        <f t="shared" ca="1" si="141"/>
        <v>#N/A</v>
      </c>
      <c r="Y662" t="e">
        <f t="shared" ca="1" si="142"/>
        <v>#N/A</v>
      </c>
      <c r="Z662" t="e">
        <f t="shared" ca="1" si="143"/>
        <v>#N/A</v>
      </c>
      <c r="AA662" t="e">
        <f t="shared" ca="1" si="144"/>
        <v>#N/A</v>
      </c>
      <c r="AB662" s="85" t="e">
        <f ca="1"/>
        <v>#N/A</v>
      </c>
      <c r="AC662" s="57" t="e">
        <f t="shared" ca="1" si="145"/>
        <v>#N/A</v>
      </c>
      <c r="AD662" s="57" t="e">
        <f t="shared" ca="1" si="146"/>
        <v>#N/A</v>
      </c>
      <c r="AE662" s="57" t="e">
        <f t="shared" ca="1" si="147"/>
        <v>#N/A</v>
      </c>
      <c r="AF662" s="57" t="e">
        <f t="shared" ca="1" si="14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X15:AA15"/>
    <mergeCell ref="AB15:AF15"/>
    <mergeCell ref="R15:V15"/>
    <mergeCell ref="D1:H1"/>
    <mergeCell ref="D2:H2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 C12 C14:D14 D13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C65" zoomScale="105" workbookViewId="0">
      <selection activeCell="U74" sqref="U74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46" t="s">
        <v>115</v>
      </c>
      <c r="B1" s="147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.75" thickBot="1" x14ac:dyDescent="0.3">
      <c r="A2" s="5" t="s">
        <v>18</v>
      </c>
      <c r="B2" s="6">
        <f>ConceptDemo!D69</f>
        <v>150</v>
      </c>
      <c r="D2" s="41" t="str">
        <f>ConceptDemo!C27</f>
        <v>Fertiliser already applied or planned</v>
      </c>
      <c r="E2" s="42"/>
      <c r="O2" s="14" t="s">
        <v>0</v>
      </c>
      <c r="P2" s="30">
        <f ca="1">InitialDate</f>
        <v>45357</v>
      </c>
      <c r="Q2" s="3">
        <f ca="1">VLOOKUP(P2-1,ModelOutputs,2,FALSE)</f>
        <v>141.4763531049322</v>
      </c>
      <c r="R2" s="3"/>
      <c r="S2" s="3">
        <f ca="1">SUMIF($O$6:$O$999,TRUE,S6:S999)</f>
        <v>4.8118522739811427</v>
      </c>
      <c r="T2" s="3">
        <f ca="1">SUMIF($O$6:$O$999,TRUE,T6:T999)</f>
        <v>0</v>
      </c>
      <c r="U2" s="3">
        <f ca="1">SUMIF($O$6:$O$999,TRUE,U6:U999)</f>
        <v>215.89597042327873</v>
      </c>
      <c r="V2" s="3"/>
      <c r="X2" s="15"/>
      <c r="AC2" s="3">
        <f ca="1">MAX(0,AD3-AD2)</f>
        <v>37.743579979699859</v>
      </c>
      <c r="AD2" s="3">
        <f ca="1">SUM(Q2:X2)</f>
        <v>362.18417580219204</v>
      </c>
      <c r="AG2" s="3"/>
    </row>
    <row r="3" spans="1:37" ht="15.75" thickBot="1" x14ac:dyDescent="0.3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1">
        <f ca="1">B33</f>
        <v>45482</v>
      </c>
      <c r="Q3" s="26">
        <f ca="1">VLOOKUP(P3,ModelOutputs,2,FALSE)</f>
        <v>6.1236850358190793</v>
      </c>
      <c r="R3" s="29"/>
      <c r="S3" s="27"/>
      <c r="T3" s="27"/>
      <c r="U3" s="27"/>
      <c r="V3" s="26">
        <f ca="1">(VLOOKUP($P$3,ModelOutputs,V4,FALSE)-VLOOKUP($P$2+1,ModelOutputs,V4,FALSE))-W3</f>
        <v>171.42684055117914</v>
      </c>
      <c r="W3" s="28">
        <f ca="1">VLOOKUP($P$3,ModelOutputs,W4,FALSE)-VLOOKUP($P$2+1,ModelOutputs,W4,FALSE)</f>
        <v>58.475044736116409</v>
      </c>
      <c r="X3" s="29">
        <f ca="1">SUMIF($O$6:$O$999,TRUE,X6:X999)</f>
        <v>163.90218545877727</v>
      </c>
      <c r="Y3" s="3"/>
      <c r="Z3" s="3"/>
      <c r="AA3" s="3"/>
      <c r="AB3" s="3"/>
      <c r="AC3" s="3">
        <f ca="1">MAX(0,AD2-AD3)</f>
        <v>0</v>
      </c>
      <c r="AD3" s="3">
        <f ca="1">SUM(Q3:X3)</f>
        <v>399.9277557818919</v>
      </c>
    </row>
    <row r="4" spans="1:37" ht="15.75" thickBot="1" x14ac:dyDescent="0.3">
      <c r="A4" s="14" t="s">
        <v>222</v>
      </c>
      <c r="B4" s="15" t="str">
        <f>SampleDepth</f>
        <v>0-30cm</v>
      </c>
      <c r="D4" s="39">
        <f>IF(ConceptDemo!C29="","",ConceptDemo!C29)</f>
        <v>45383</v>
      </c>
      <c r="E4" s="40">
        <f>IF(ConceptDemo!D29="","",ConceptDemo!D29)</f>
        <v>0</v>
      </c>
      <c r="H4" t="str">
        <f>ConceptDemo!D4</f>
        <v>Levin</v>
      </c>
      <c r="I4" t="s">
        <v>212</v>
      </c>
      <c r="J4">
        <f>VLOOKUP(InCropRain,ListMembers!$Z$7:$AA$11,2,FALSE)</f>
        <v>1.7</v>
      </c>
      <c r="R4">
        <f ca="1">SUMIF(N6:N999,FALSE,R6:R999)</f>
        <v>151.38088890360117</v>
      </c>
      <c r="S4">
        <f ca="1">SUMIF(N6:N999,TRUE,S6:S999)</f>
        <v>-6.3763804398794122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6</v>
      </c>
      <c r="H6" s="97">
        <f ca="1">B20-1</f>
        <v>45296</v>
      </c>
      <c r="I6" s="121">
        <f ca="1">HLOOKUP($H$4,'Met Data'!$A$2:$F$368,G6,FALSE)</f>
        <v>16.4166666666666</v>
      </c>
      <c r="J6" s="121">
        <f ca="1">HLOOKUP($H$4,'Met Data'!$H$2:$M$368,G6,FALSE)*L6</f>
        <v>2.9833333333333298</v>
      </c>
      <c r="K6" s="98">
        <f ca="1">HLOOKUP($H$4,'Met Data'!$O$2:$T$368,G6,FALSE)</f>
        <v>4.0957861961112103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45341</v>
      </c>
      <c r="Q6">
        <f ca="1"/>
        <v>0</v>
      </c>
      <c r="R6">
        <f ca="1"/>
        <v>3.2690333030168102</v>
      </c>
      <c r="S6">
        <f ca="1"/>
        <v>0</v>
      </c>
      <c r="T6" s="4">
        <f ca="1"/>
        <v>0</v>
      </c>
      <c r="U6">
        <f ca="1"/>
        <v>0</v>
      </c>
      <c r="V6">
        <f ca="1"/>
        <v>119.03647994831699</v>
      </c>
      <c r="W6">
        <f ca="1"/>
        <v>108.896335360127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0.99999039063429696</v>
      </c>
      <c r="AD6" s="2">
        <f t="shared" ref="AD6:AD69" ca="1" si="2">IFERROR(P6,$AD$4)</f>
        <v>45341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50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7</v>
      </c>
      <c r="H7" s="97">
        <f ca="1">H6+1</f>
        <v>45297</v>
      </c>
      <c r="I7" s="121">
        <f ca="1">HLOOKUP($H$4,'Met Data'!$A$2:$F$368,G7,FALSE)</f>
        <v>17.629166666666599</v>
      </c>
      <c r="J7" s="121">
        <f ca="1">HLOOKUP($H$4,'Met Data'!$H$2:$M$368,G7,FALSE)*L7</f>
        <v>0.43333333333333302</v>
      </c>
      <c r="K7" s="98">
        <f ca="1">HLOOKUP($H$4,'Met Data'!$O$2:$T$368,G7,FALSE)</f>
        <v>4.0765351917680999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45342</v>
      </c>
      <c r="Q7">
        <f ca="1"/>
        <v>146.25227158576939</v>
      </c>
      <c r="R7">
        <f ca="1"/>
        <v>3.0886398734562301</v>
      </c>
      <c r="S7">
        <f ca="1"/>
        <v>-0.65908854077436363</v>
      </c>
      <c r="T7" s="4">
        <f ca="1"/>
        <v>0</v>
      </c>
      <c r="U7">
        <f ca="1"/>
        <v>0</v>
      </c>
      <c r="V7">
        <f ca="1"/>
        <v>122.125119821773</v>
      </c>
      <c r="W7">
        <f ca="1"/>
        <v>111.72186887399199</v>
      </c>
      <c r="X7">
        <f ca="1"/>
        <v>0</v>
      </c>
      <c r="Y7">
        <f ca="1"/>
        <v>0.87863025313200505</v>
      </c>
      <c r="Z7">
        <f ca="1"/>
        <v>0</v>
      </c>
      <c r="AA7">
        <f ca="1"/>
        <v>0</v>
      </c>
      <c r="AB7">
        <f ca="1"/>
        <v>0.99999350482483895</v>
      </c>
      <c r="AD7" s="2">
        <f t="shared" ca="1" si="2"/>
        <v>45342</v>
      </c>
      <c r="AE7">
        <f t="shared" ca="1" si="3"/>
        <v>0</v>
      </c>
      <c r="AF7" s="3"/>
      <c r="AG7" s="65">
        <f ca="1">Q6+S7+T7+U7</f>
        <v>-0.65908854077436363</v>
      </c>
      <c r="AH7" s="65">
        <f ca="1">Q7+R7+X7</f>
        <v>149.34091145922562</v>
      </c>
      <c r="AI7" s="3">
        <f ca="1">AH7-AG7</f>
        <v>150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8</v>
      </c>
      <c r="H8" s="97">
        <f t="shared" ref="H8:H71" ca="1" si="6">H7+1</f>
        <v>45298</v>
      </c>
      <c r="I8" s="121">
        <f ca="1">HLOOKUP($H$4,'Met Data'!$A$2:$F$368,G8,FALSE)</f>
        <v>17.004166666666599</v>
      </c>
      <c r="J8" s="121">
        <f ca="1">HLOOKUP($H$4,'Met Data'!$H$2:$M$368,G8,FALSE)*L8</f>
        <v>2.7833333333333301</v>
      </c>
      <c r="K8" s="98">
        <f ca="1">HLOOKUP($H$4,'Met Data'!$O$2:$T$368,G8,FALSE)</f>
        <v>3.5869881049730998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45343</v>
      </c>
      <c r="Q8">
        <f ca="1"/>
        <v>145.66296129905379</v>
      </c>
      <c r="R8">
        <f ca="1"/>
        <v>0</v>
      </c>
      <c r="S8">
        <f ca="1"/>
        <v>-0.58931028671561192</v>
      </c>
      <c r="T8" s="4">
        <f ca="1"/>
        <v>0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0.86236054992222411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45343</v>
      </c>
      <c r="AE8">
        <f t="shared" ca="1" si="3"/>
        <v>0</v>
      </c>
      <c r="AG8" s="65">
        <f t="shared" ref="AG8:AG71" ca="1" si="7">Q7+S8+T8+U8</f>
        <v>145.66296129905379</v>
      </c>
      <c r="AH8" s="65">
        <f t="shared" ref="AH8:AH71" ca="1" si="8">Q8+R8+X8</f>
        <v>145.66296129905379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9</v>
      </c>
      <c r="H9" s="97">
        <f t="shared" ca="1" si="6"/>
        <v>45299</v>
      </c>
      <c r="I9" s="121">
        <f ca="1">HLOOKUP($H$4,'Met Data'!$A$2:$F$368,G9,FALSE)</f>
        <v>17.433333333333302</v>
      </c>
      <c r="J9" s="121">
        <f ca="1">HLOOKUP($H$4,'Met Data'!$H$2:$M$368,G9,FALSE)*L9</f>
        <v>2.3833333333333302</v>
      </c>
      <c r="K9" s="98">
        <f ca="1">HLOOKUP($H$4,'Met Data'!$O$2:$T$368,G9,FALSE)</f>
        <v>4.2605807421289903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45344</v>
      </c>
      <c r="Q9">
        <f ca="1"/>
        <v>145.09564084741419</v>
      </c>
      <c r="R9">
        <f ca="1"/>
        <v>0</v>
      </c>
      <c r="S9">
        <f ca="1"/>
        <v>-0.56732045163960043</v>
      </c>
      <c r="T9" s="4">
        <f ca="1"/>
        <v>0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0.8918769741994661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45344</v>
      </c>
      <c r="AE9">
        <f t="shared" ca="1" si="3"/>
        <v>0</v>
      </c>
      <c r="AG9" s="65">
        <f t="shared" ca="1" si="7"/>
        <v>145.09564084741419</v>
      </c>
      <c r="AH9" s="65">
        <f t="shared" ca="1" si="8"/>
        <v>145.09564084741419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2</v>
      </c>
      <c r="G10" s="3">
        <f t="shared" ca="1" si="4"/>
        <v>10</v>
      </c>
      <c r="H10" s="97">
        <f t="shared" ca="1" si="6"/>
        <v>45300</v>
      </c>
      <c r="I10" s="121">
        <f ca="1">HLOOKUP($H$4,'Met Data'!$A$2:$F$368,G10,FALSE)</f>
        <v>17.0208333333333</v>
      </c>
      <c r="J10" s="121">
        <f ca="1">HLOOKUP($H$4,'Met Data'!$H$2:$M$368,G10,FALSE)*L10</f>
        <v>0.3</v>
      </c>
      <c r="K10" s="98">
        <f ca="1">HLOOKUP($H$4,'Met Data'!$O$2:$T$368,G10,FALSE)</f>
        <v>4.14669035003873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45345</v>
      </c>
      <c r="Q10">
        <f ca="1"/>
        <v>144.62468666852237</v>
      </c>
      <c r="R10">
        <f ca="1"/>
        <v>0</v>
      </c>
      <c r="S10">
        <f ca="1"/>
        <v>-0.47095417889181057</v>
      </c>
      <c r="T10" s="4">
        <f ca="1"/>
        <v>0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0.86991553536228849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45345</v>
      </c>
      <c r="AE10">
        <f t="shared" ca="1" si="3"/>
        <v>0</v>
      </c>
      <c r="AG10" s="65">
        <f t="shared" ca="1" si="7"/>
        <v>144.62468666852237</v>
      </c>
      <c r="AH10" s="65">
        <f t="shared" ca="1" si="8"/>
        <v>144.62468666852237</v>
      </c>
      <c r="AI10" s="3">
        <f t="shared" ca="1" si="9"/>
        <v>0</v>
      </c>
    </row>
    <row r="11" spans="1:37" x14ac:dyDescent="0.25">
      <c r="A11" s="14" t="s">
        <v>214</v>
      </c>
      <c r="B11" s="15">
        <f>AWC</f>
        <v>120</v>
      </c>
      <c r="D11" s="144" t="str">
        <f>ConceptDemo!C36</f>
        <v>Soil Mineral N Test Results</v>
      </c>
      <c r="E11" s="145"/>
      <c r="G11" s="3">
        <f t="shared" ca="1" si="4"/>
        <v>11</v>
      </c>
      <c r="H11" s="97">
        <f t="shared" ca="1" si="6"/>
        <v>45301</v>
      </c>
      <c r="I11" s="121">
        <f ca="1">HLOOKUP($H$4,'Met Data'!$A$2:$F$368,G11,FALSE)</f>
        <v>17.6041666666666</v>
      </c>
      <c r="J11" s="121">
        <f ca="1">HLOOKUP($H$4,'Met Data'!$H$2:$M$368,G11,FALSE)*L11</f>
        <v>0.88333333333333297</v>
      </c>
      <c r="K11" s="98">
        <f ca="1">HLOOKUP($H$4,'Met Data'!$O$2:$T$368,G11,FALSE)</f>
        <v>3.4815515936566799</v>
      </c>
      <c r="L11">
        <f t="shared" ca="1" si="0"/>
        <v>1</v>
      </c>
      <c r="N11" t="b">
        <f t="shared" ca="1" si="5"/>
        <v>1</v>
      </c>
      <c r="O11" t="b">
        <f ca="1">AND(IF(P11&gt;($P$2-1),TRUE,FALSE),IF(P11&lt;($P$3+1),TRUE,FALSE))</f>
        <v>0</v>
      </c>
      <c r="P11" s="2">
        <f ca="1"/>
        <v>45346</v>
      </c>
      <c r="Q11">
        <f ca="1"/>
        <v>144.21635551490115</v>
      </c>
      <c r="R11">
        <f ca="1"/>
        <v>0</v>
      </c>
      <c r="S11">
        <f ca="1"/>
        <v>-0.40833115362122019</v>
      </c>
      <c r="T11" s="4">
        <f ca="1"/>
        <v>0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0.85738077443369198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45346</v>
      </c>
      <c r="AE11">
        <f t="shared" ca="1" si="3"/>
        <v>0</v>
      </c>
      <c r="AG11" s="65">
        <f t="shared" ca="1" si="7"/>
        <v>144.21635551490115</v>
      </c>
      <c r="AH11" s="65">
        <f t="shared" ca="1" si="8"/>
        <v>144.21635551490115</v>
      </c>
      <c r="AI11" s="3">
        <f t="shared" ca="1" si="9"/>
        <v>0</v>
      </c>
    </row>
    <row r="12" spans="1:37" ht="15.75" thickBot="1" x14ac:dyDescent="0.3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12</v>
      </c>
      <c r="H12" s="97">
        <f t="shared" ca="1" si="6"/>
        <v>45302</v>
      </c>
      <c r="I12" s="121">
        <f ca="1">HLOOKUP($H$4,'Met Data'!$A$2:$F$368,G12,FALSE)</f>
        <v>17.654166666666601</v>
      </c>
      <c r="J12" s="121">
        <f ca="1">HLOOKUP($H$4,'Met Data'!$H$2:$M$368,G12,FALSE)*L12</f>
        <v>0.33333333333333298</v>
      </c>
      <c r="K12" s="98">
        <f ca="1">HLOOKUP($H$4,'Met Data'!$O$2:$T$368,G12,FALSE)</f>
        <v>4.1035718910061201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45347</v>
      </c>
      <c r="Q12">
        <f ca="1"/>
        <v>143.82586608175501</v>
      </c>
      <c r="R12">
        <f ca="1"/>
        <v>0</v>
      </c>
      <c r="S12">
        <f ca="1"/>
        <v>-0.3904894331461497</v>
      </c>
      <c r="T12" s="4">
        <f ca="1"/>
        <v>0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0.83919822531528654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45347</v>
      </c>
      <c r="AE12">
        <f t="shared" ca="1" si="3"/>
        <v>0</v>
      </c>
      <c r="AG12" s="65">
        <f t="shared" ca="1" si="7"/>
        <v>143.82586608175501</v>
      </c>
      <c r="AH12" s="65">
        <f t="shared" ca="1" si="8"/>
        <v>143.82586608175501</v>
      </c>
      <c r="AI12" s="3">
        <f t="shared" ca="1" si="9"/>
        <v>0</v>
      </c>
    </row>
    <row r="13" spans="1:37" x14ac:dyDescent="0.25">
      <c r="A13" s="14" t="s">
        <v>212</v>
      </c>
      <c r="B13" s="15" t="str">
        <f>InCropRain</f>
        <v>Very Wet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13</v>
      </c>
      <c r="H13" s="97">
        <f t="shared" ca="1" si="6"/>
        <v>45303</v>
      </c>
      <c r="I13" s="121">
        <f ca="1">HLOOKUP($H$4,'Met Data'!$A$2:$F$368,G13,FALSE)</f>
        <v>18.175000000000001</v>
      </c>
      <c r="J13" s="121">
        <f ca="1">HLOOKUP($H$4,'Met Data'!$H$2:$M$368,G13,FALSE)*L13</f>
        <v>0.96666666666666601</v>
      </c>
      <c r="K13" s="98">
        <f ca="1">HLOOKUP($H$4,'Met Data'!$O$2:$T$368,G13,FALSE)</f>
        <v>3.7942004669494902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45348</v>
      </c>
      <c r="Q13">
        <f ca="1"/>
        <v>143.48202991546918</v>
      </c>
      <c r="R13">
        <f ca="1"/>
        <v>0</v>
      </c>
      <c r="S13">
        <f ca="1"/>
        <v>-0.34383616628581937</v>
      </c>
      <c r="T13" s="4">
        <f ca="1"/>
        <v>0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0.82172827832709627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45348</v>
      </c>
      <c r="AE13">
        <f t="shared" ca="1" si="3"/>
        <v>0</v>
      </c>
      <c r="AG13" s="65">
        <f t="shared" ca="1" si="7"/>
        <v>143.48202991546918</v>
      </c>
      <c r="AH13" s="65">
        <f t="shared" ca="1" si="8"/>
        <v>143.48202991546918</v>
      </c>
      <c r="AI13" s="3">
        <f t="shared" ca="1" si="9"/>
        <v>0</v>
      </c>
    </row>
    <row r="14" spans="1:37" ht="15.75" thickBot="1" x14ac:dyDescent="0.3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14</v>
      </c>
      <c r="H14" s="97">
        <f t="shared" ca="1" si="6"/>
        <v>45304</v>
      </c>
      <c r="I14" s="121">
        <f ca="1">HLOOKUP($H$4,'Met Data'!$A$2:$F$368,G14,FALSE)</f>
        <v>17.883333333333301</v>
      </c>
      <c r="J14" s="121">
        <f ca="1">HLOOKUP($H$4,'Met Data'!$H$2:$M$368,G14,FALSE)*L14</f>
        <v>3.0333333333333301</v>
      </c>
      <c r="K14" s="98">
        <f ca="1">HLOOKUP($H$4,'Met Data'!$O$2:$T$368,G14,FALSE)</f>
        <v>3.9941259720520699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45349</v>
      </c>
      <c r="Q14">
        <f ca="1"/>
        <v>143.17033649925699</v>
      </c>
      <c r="R14">
        <f ca="1"/>
        <v>0</v>
      </c>
      <c r="S14">
        <f ca="1"/>
        <v>-0.31169341621219271</v>
      </c>
      <c r="T14" s="4">
        <f ca="1"/>
        <v>0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0.80003319506286097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45349</v>
      </c>
      <c r="AE14">
        <f t="shared" ca="1" si="3"/>
        <v>0</v>
      </c>
      <c r="AG14" s="65">
        <f t="shared" ca="1" si="7"/>
        <v>143.17033649925699</v>
      </c>
      <c r="AH14" s="65">
        <f t="shared" ca="1" si="8"/>
        <v>143.17033649925699</v>
      </c>
      <c r="AI14" s="3">
        <f t="shared" ca="1" si="9"/>
        <v>0</v>
      </c>
    </row>
    <row r="15" spans="1:37" x14ac:dyDescent="0.25">
      <c r="A15" s="7" t="s">
        <v>147</v>
      </c>
      <c r="B15" s="33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15</v>
      </c>
      <c r="H15" s="97">
        <f t="shared" ca="1" si="6"/>
        <v>45305</v>
      </c>
      <c r="I15" s="121">
        <f ca="1">HLOOKUP($H$4,'Met Data'!$A$2:$F$368,G15,FALSE)</f>
        <v>17.279166666666601</v>
      </c>
      <c r="J15" s="121">
        <f ca="1">HLOOKUP($H$4,'Met Data'!$H$2:$M$368,G15,FALSE)*L15</f>
        <v>2.8833333333333302</v>
      </c>
      <c r="K15" s="98">
        <f ca="1">HLOOKUP($H$4,'Met Data'!$O$2:$T$368,G15,FALSE)</f>
        <v>4.3919546564694203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45350</v>
      </c>
      <c r="Q15">
        <f ca="1"/>
        <v>142.86952177916032</v>
      </c>
      <c r="R15">
        <f ca="1"/>
        <v>0</v>
      </c>
      <c r="S15">
        <f ca="1"/>
        <v>-0.30081472009665511</v>
      </c>
      <c r="T15" s="4">
        <f ca="1"/>
        <v>0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0.77857773106786154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45350</v>
      </c>
      <c r="AE15">
        <f t="shared" ca="1" si="3"/>
        <v>0</v>
      </c>
      <c r="AG15" s="65">
        <f t="shared" ca="1" si="7"/>
        <v>142.86952177916032</v>
      </c>
      <c r="AH15" s="65">
        <f t="shared" ca="1" si="8"/>
        <v>142.86952177916032</v>
      </c>
      <c r="AI15" s="3">
        <f t="shared" ca="1" si="9"/>
        <v>0</v>
      </c>
    </row>
    <row r="16" spans="1:37" x14ac:dyDescent="0.25">
      <c r="A16" s="8" t="s">
        <v>117</v>
      </c>
      <c r="B16" s="34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16</v>
      </c>
      <c r="H16" s="97">
        <f t="shared" ca="1" si="6"/>
        <v>45306</v>
      </c>
      <c r="I16" s="121">
        <f ca="1">HLOOKUP($H$4,'Met Data'!$A$2:$F$368,G16,FALSE)</f>
        <v>17.5208333333333</v>
      </c>
      <c r="J16" s="121">
        <f ca="1">HLOOKUP($H$4,'Met Data'!$H$2:$M$368,G16,FALSE)*L16</f>
        <v>2.5833333333333299</v>
      </c>
      <c r="K16" s="98">
        <f ca="1">HLOOKUP($H$4,'Met Data'!$O$2:$T$368,G16,FALSE)</f>
        <v>4.2128718222508397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45351</v>
      </c>
      <c r="Q16">
        <f ca="1"/>
        <v>142.5961790047821</v>
      </c>
      <c r="R16">
        <f ca="1"/>
        <v>0</v>
      </c>
      <c r="S16">
        <f ca="1"/>
        <v>-0.27334277437823218</v>
      </c>
      <c r="T16" s="4">
        <f ca="1"/>
        <v>0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0.77493791791898714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45351</v>
      </c>
      <c r="AE16">
        <f t="shared" ca="1" si="3"/>
        <v>0</v>
      </c>
      <c r="AG16" s="65">
        <f t="shared" ca="1" si="7"/>
        <v>142.5961790047821</v>
      </c>
      <c r="AH16" s="65">
        <f t="shared" ca="1" si="8"/>
        <v>142.5961790047821</v>
      </c>
      <c r="AI16" s="3">
        <f t="shared" ca="1" si="9"/>
        <v>0</v>
      </c>
    </row>
    <row r="17" spans="1:35" x14ac:dyDescent="0.25">
      <c r="A17" s="8" t="s">
        <v>118</v>
      </c>
      <c r="B17" s="34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17</v>
      </c>
      <c r="H17" s="97">
        <f t="shared" ca="1" si="6"/>
        <v>45307</v>
      </c>
      <c r="I17" s="121">
        <f ca="1">HLOOKUP($H$4,'Met Data'!$A$2:$F$368,G17,FALSE)</f>
        <v>17.970833333333299</v>
      </c>
      <c r="J17" s="121">
        <f ca="1">HLOOKUP($H$4,'Met Data'!$H$2:$M$368,G17,FALSE)*L17</f>
        <v>0.266666666666666</v>
      </c>
      <c r="K17" s="98">
        <f ca="1">HLOOKUP($H$4,'Met Data'!$O$2:$T$368,G17,FALSE)</f>
        <v>4.0252286180437302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45352</v>
      </c>
      <c r="Q17">
        <f ca="1"/>
        <v>142.34081769275355</v>
      </c>
      <c r="R17">
        <f ca="1"/>
        <v>0</v>
      </c>
      <c r="S17">
        <f ca="1"/>
        <v>-0.25536131202855028</v>
      </c>
      <c r="T17" s="4">
        <f ca="1"/>
        <v>0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0.77331974175801388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45352</v>
      </c>
      <c r="AE17">
        <f t="shared" ca="1" si="3"/>
        <v>0</v>
      </c>
      <c r="AG17" s="65">
        <f t="shared" ca="1" si="7"/>
        <v>142.34081769275355</v>
      </c>
      <c r="AH17" s="65">
        <f t="shared" ca="1" si="8"/>
        <v>142.34081769275355</v>
      </c>
      <c r="AI17" s="3">
        <f t="shared" ca="1" si="9"/>
        <v>0</v>
      </c>
    </row>
    <row r="18" spans="1:35" ht="15.75" thickBot="1" x14ac:dyDescent="0.3">
      <c r="A18" s="8" t="s">
        <v>119</v>
      </c>
      <c r="B18" s="34">
        <f>PriorDressingLoss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18</v>
      </c>
      <c r="H18" s="97">
        <f t="shared" ca="1" si="6"/>
        <v>45308</v>
      </c>
      <c r="I18" s="121">
        <f ca="1">HLOOKUP($H$4,'Met Data'!$A$2:$F$368,G18,FALSE)</f>
        <v>18.2708333333333</v>
      </c>
      <c r="J18" s="121">
        <f ca="1">HLOOKUP($H$4,'Met Data'!$H$2:$M$368,G18,FALSE)*L18</f>
        <v>1.81666666666666</v>
      </c>
      <c r="K18" s="98">
        <f ca="1">HLOOKUP($H$4,'Met Data'!$O$2:$T$368,G18,FALSE)</f>
        <v>4.3125410240098896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45353</v>
      </c>
      <c r="Q18">
        <f ca="1"/>
        <v>142.10211565649524</v>
      </c>
      <c r="R18">
        <f ca="1"/>
        <v>0</v>
      </c>
      <c r="S18">
        <f ca="1"/>
        <v>-0.23870203625831454</v>
      </c>
      <c r="T18" s="4">
        <f ca="1"/>
        <v>0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0.75773253737523549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45353</v>
      </c>
      <c r="AE18">
        <f t="shared" ca="1" si="3"/>
        <v>0</v>
      </c>
      <c r="AG18" s="65">
        <f t="shared" ca="1" si="7"/>
        <v>142.10211565649524</v>
      </c>
      <c r="AH18" s="65">
        <f t="shared" ca="1" si="8"/>
        <v>142.10211565649524</v>
      </c>
      <c r="AI18" s="3">
        <f t="shared" ca="1" si="9"/>
        <v>0</v>
      </c>
    </row>
    <row r="19" spans="1:35" x14ac:dyDescent="0.25">
      <c r="A19" s="8" t="s">
        <v>120</v>
      </c>
      <c r="B19" s="34">
        <f>PriorMoistureContent</f>
        <v>0</v>
      </c>
      <c r="G19" s="3">
        <f t="shared" ca="1" si="4"/>
        <v>19</v>
      </c>
      <c r="H19" s="97">
        <f t="shared" ca="1" si="6"/>
        <v>45309</v>
      </c>
      <c r="I19" s="121">
        <f ca="1">HLOOKUP($H$4,'Met Data'!$A$2:$F$368,G19,FALSE)</f>
        <v>17.954166666666602</v>
      </c>
      <c r="J19" s="121">
        <f ca="1">HLOOKUP($H$4,'Met Data'!$H$2:$M$368,G19,FALSE)*L19</f>
        <v>4.1499999999999897</v>
      </c>
      <c r="K19" s="98">
        <f ca="1">HLOOKUP($H$4,'Met Data'!$O$2:$T$368,G19,FALSE)</f>
        <v>3.9046074195490301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45354</v>
      </c>
      <c r="Q19">
        <f ca="1"/>
        <v>141.88363407863906</v>
      </c>
      <c r="R19">
        <f ca="1"/>
        <v>0</v>
      </c>
      <c r="S19">
        <f ca="1"/>
        <v>-0.21848157785618216</v>
      </c>
      <c r="T19" s="4">
        <f ca="1"/>
        <v>0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0.76419562236140526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45354</v>
      </c>
      <c r="AE19">
        <f t="shared" ca="1" si="3"/>
        <v>0</v>
      </c>
      <c r="AG19" s="65">
        <f t="shared" ca="1" si="7"/>
        <v>141.88363407863906</v>
      </c>
      <c r="AH19" s="65">
        <f t="shared" ca="1" si="8"/>
        <v>141.88363407863906</v>
      </c>
      <c r="AI19" s="3">
        <f t="shared" ca="1" si="9"/>
        <v>0</v>
      </c>
    </row>
    <row r="20" spans="1:35" x14ac:dyDescent="0.25">
      <c r="A20" s="8" t="s">
        <v>121</v>
      </c>
      <c r="B20" s="36">
        <f ca="1">PriorEstablishDate</f>
        <v>45297</v>
      </c>
      <c r="G20" s="3">
        <f t="shared" ca="1" si="4"/>
        <v>20</v>
      </c>
      <c r="H20" s="97">
        <f t="shared" ca="1" si="6"/>
        <v>45310</v>
      </c>
      <c r="I20" s="121">
        <f ca="1">HLOOKUP($H$4,'Met Data'!$A$2:$F$368,G20,FALSE)</f>
        <v>18.454166666666602</v>
      </c>
      <c r="J20" s="121">
        <f ca="1">HLOOKUP($H$4,'Met Data'!$H$2:$M$368,G20,FALSE)*L20</f>
        <v>2.5166666666666599</v>
      </c>
      <c r="K20" s="98">
        <f ca="1">HLOOKUP($H$4,'Met Data'!$O$2:$T$368,G20,FALSE)</f>
        <v>4.0894627552594898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45355</v>
      </c>
      <c r="Q20">
        <f ca="1"/>
        <v>141.6699367791386</v>
      </c>
      <c r="R20">
        <f ca="1"/>
        <v>0</v>
      </c>
      <c r="S20">
        <f ca="1"/>
        <v>-0.21369729950047045</v>
      </c>
      <c r="T20" s="4">
        <f ca="1"/>
        <v>0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0.77371201713618376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45355</v>
      </c>
      <c r="AE20">
        <f t="shared" ca="1" si="3"/>
        <v>0</v>
      </c>
      <c r="AG20" s="65">
        <f t="shared" ca="1" si="7"/>
        <v>141.6699367791386</v>
      </c>
      <c r="AH20" s="65">
        <f t="shared" ca="1" si="8"/>
        <v>141.6699367791386</v>
      </c>
      <c r="AI20" s="3">
        <f t="shared" ca="1" si="9"/>
        <v>0</v>
      </c>
    </row>
    <row r="21" spans="1:35" x14ac:dyDescent="0.25">
      <c r="A21" s="8" t="s">
        <v>122</v>
      </c>
      <c r="B21" s="34" t="str">
        <f>PriorEstablishStage</f>
        <v>Seed</v>
      </c>
      <c r="G21" s="3">
        <f t="shared" ca="1" si="4"/>
        <v>21</v>
      </c>
      <c r="H21" s="97">
        <f t="shared" ca="1" si="6"/>
        <v>45311</v>
      </c>
      <c r="I21" s="121">
        <f ca="1">HLOOKUP($H$4,'Met Data'!$A$2:$F$368,G21,FALSE)</f>
        <v>18.125</v>
      </c>
      <c r="J21" s="121">
        <f ca="1">HLOOKUP($H$4,'Met Data'!$H$2:$M$368,G21,FALSE)*L21</f>
        <v>3.3333333333333299</v>
      </c>
      <c r="K21" s="98">
        <f ca="1">HLOOKUP($H$4,'Met Data'!$O$2:$T$368,G21,FALSE)</f>
        <v>4.4627747616983804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45356</v>
      </c>
      <c r="Q21">
        <f ca="1"/>
        <v>141.4763531049322</v>
      </c>
      <c r="R21">
        <f ca="1"/>
        <v>0</v>
      </c>
      <c r="S21">
        <f ca="1"/>
        <v>-0.19358367420639588</v>
      </c>
      <c r="T21" s="4">
        <f ca="1"/>
        <v>0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0.77390244359818361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45356</v>
      </c>
      <c r="AE21">
        <f t="shared" ca="1" si="3"/>
        <v>0</v>
      </c>
      <c r="AG21" s="65">
        <f t="shared" ca="1" si="7"/>
        <v>141.4763531049322</v>
      </c>
      <c r="AH21" s="65">
        <f t="shared" ca="1" si="8"/>
        <v>141.4763531049322</v>
      </c>
      <c r="AI21" s="3">
        <f t="shared" ca="1" si="9"/>
        <v>0</v>
      </c>
    </row>
    <row r="22" spans="1:35" x14ac:dyDescent="0.25">
      <c r="A22" s="8" t="s">
        <v>123</v>
      </c>
      <c r="B22" s="36">
        <f ca="1">PriorHarvestDate</f>
        <v>45342</v>
      </c>
      <c r="G22" s="3">
        <f t="shared" ca="1" si="4"/>
        <v>22</v>
      </c>
      <c r="H22" s="97">
        <f t="shared" ca="1" si="6"/>
        <v>45312</v>
      </c>
      <c r="I22" s="121">
        <f ca="1">HLOOKUP($H$4,'Met Data'!$A$2:$F$368,G22,FALSE)</f>
        <v>17.6791666666666</v>
      </c>
      <c r="J22" s="121">
        <f ca="1">HLOOKUP($H$4,'Met Data'!$H$2:$M$368,G22,FALSE)*L22</f>
        <v>2.4</v>
      </c>
      <c r="K22" s="98">
        <f ca="1">HLOOKUP($H$4,'Met Data'!$O$2:$T$368,G22,FALSE)</f>
        <v>3.8954755691343999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45357</v>
      </c>
      <c r="Q22">
        <f ca="1"/>
        <v>141.27076925422242</v>
      </c>
      <c r="R22">
        <f ca="1"/>
        <v>0</v>
      </c>
      <c r="S22">
        <f ca="1"/>
        <v>-0.20558385070977714</v>
      </c>
      <c r="T22" s="4">
        <f ca="1"/>
        <v>0</v>
      </c>
      <c r="U22">
        <f ca="1"/>
        <v>0</v>
      </c>
      <c r="V22">
        <f ca="1"/>
        <v>7.7964229469430402</v>
      </c>
      <c r="W22">
        <f ca="1"/>
        <v>1.9830032278094301</v>
      </c>
      <c r="X22">
        <f ca="1"/>
        <v>0</v>
      </c>
      <c r="Y22">
        <f ca="1"/>
        <v>0.88322871504747735</v>
      </c>
      <c r="Z22">
        <f ca="1"/>
        <v>0</v>
      </c>
      <c r="AA22">
        <f ca="1"/>
        <v>0</v>
      </c>
      <c r="AB22">
        <f ca="1"/>
        <v>8.7878750318873197E-3</v>
      </c>
      <c r="AD22" s="2">
        <f t="shared" ca="1" si="2"/>
        <v>45357</v>
      </c>
      <c r="AE22">
        <f t="shared" ca="1" si="3"/>
        <v>0</v>
      </c>
      <c r="AG22" s="65">
        <f t="shared" ca="1" si="7"/>
        <v>141.27076925422242</v>
      </c>
      <c r="AH22" s="65">
        <f t="shared" ca="1" si="8"/>
        <v>141.27076925422242</v>
      </c>
      <c r="AI22" s="3">
        <f t="shared" ca="1" si="9"/>
        <v>0</v>
      </c>
    </row>
    <row r="23" spans="1:35" x14ac:dyDescent="0.25">
      <c r="A23" s="8" t="s">
        <v>124</v>
      </c>
      <c r="B23" s="34" t="str">
        <f>PriorHarvestStage</f>
        <v>EarlyReproductive</v>
      </c>
      <c r="G23" s="3">
        <f t="shared" ca="1" si="4"/>
        <v>23</v>
      </c>
      <c r="H23" s="97">
        <f t="shared" ca="1" si="6"/>
        <v>45313</v>
      </c>
      <c r="I23" s="121">
        <f ca="1">HLOOKUP($H$4,'Met Data'!$A$2:$F$368,G23,FALSE)</f>
        <v>17.350000000000001</v>
      </c>
      <c r="J23" s="121">
        <f ca="1">HLOOKUP($H$4,'Met Data'!$H$2:$M$368,G23,FALSE)*L23</f>
        <v>2.6333333333333302</v>
      </c>
      <c r="K23" s="98">
        <f ca="1">HLOOKUP($H$4,'Met Data'!$O$2:$T$368,G23,FALSE)</f>
        <v>3.2997711779398098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45358</v>
      </c>
      <c r="Q23">
        <f ca="1"/>
        <v>140.72964165034668</v>
      </c>
      <c r="R23">
        <f ca="1"/>
        <v>0.34427692212640598</v>
      </c>
      <c r="S23">
        <f ca="1"/>
        <v>-0.19685068174934717</v>
      </c>
      <c r="T23" s="4">
        <f ca="1"/>
        <v>0</v>
      </c>
      <c r="U23">
        <f ca="1"/>
        <v>0</v>
      </c>
      <c r="V23">
        <f ca="1"/>
        <v>8.1406998690694508</v>
      </c>
      <c r="W23">
        <f ca="1"/>
        <v>2.0705693145241901</v>
      </c>
      <c r="X23">
        <f ca="1"/>
        <v>0</v>
      </c>
      <c r="Y23">
        <f ca="1"/>
        <v>0.90110090717394298</v>
      </c>
      <c r="Z23">
        <f ca="1"/>
        <v>0</v>
      </c>
      <c r="AA23">
        <f ca="1"/>
        <v>0</v>
      </c>
      <c r="AB23">
        <f ca="1"/>
        <v>1.1541447356609599E-2</v>
      </c>
      <c r="AD23" s="2">
        <f t="shared" ca="1" si="2"/>
        <v>45358</v>
      </c>
      <c r="AE23">
        <f t="shared" ca="1" si="3"/>
        <v>0</v>
      </c>
      <c r="AG23" s="65">
        <f t="shared" ca="1" si="7"/>
        <v>141.07391857247308</v>
      </c>
      <c r="AH23" s="65">
        <f t="shared" ca="1" si="8"/>
        <v>141.07391857247308</v>
      </c>
      <c r="AI23" s="3">
        <f t="shared" ca="1" si="9"/>
        <v>0</v>
      </c>
    </row>
    <row r="24" spans="1:35" x14ac:dyDescent="0.25">
      <c r="A24" s="8" t="s">
        <v>173</v>
      </c>
      <c r="B24" s="34" t="str">
        <f>PriorResidueRemoval</f>
        <v>None removed</v>
      </c>
      <c r="G24" s="3">
        <f t="shared" ca="1" si="4"/>
        <v>24</v>
      </c>
      <c r="H24" s="97">
        <f t="shared" ca="1" si="6"/>
        <v>45314</v>
      </c>
      <c r="I24" s="121">
        <f ca="1">HLOOKUP($H$4,'Met Data'!$A$2:$F$368,G24,FALSE)</f>
        <v>17.504166666666599</v>
      </c>
      <c r="J24" s="121">
        <f ca="1">HLOOKUP($H$4,'Met Data'!$H$2:$M$368,G24,FALSE)*L24</f>
        <v>5.5166666666666604</v>
      </c>
      <c r="K24" s="98">
        <f ca="1">HLOOKUP($H$4,'Met Data'!$O$2:$T$368,G24,FALSE)</f>
        <v>3.46570930270954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45359</v>
      </c>
      <c r="Q24">
        <f ca="1"/>
        <v>140.19832146289821</v>
      </c>
      <c r="R24">
        <f ca="1"/>
        <v>0.35403960468359202</v>
      </c>
      <c r="S24">
        <f ca="1"/>
        <v>-0.17728058276489023</v>
      </c>
      <c r="T24" s="4">
        <f ca="1"/>
        <v>0</v>
      </c>
      <c r="U24">
        <f ca="1"/>
        <v>0</v>
      </c>
      <c r="V24">
        <f ca="1"/>
        <v>8.4947394737530395</v>
      </c>
      <c r="W24">
        <f ca="1"/>
        <v>2.16061851832414</v>
      </c>
      <c r="X24">
        <f ca="1"/>
        <v>0</v>
      </c>
      <c r="Y24">
        <f ca="1"/>
        <v>0.88910954683184495</v>
      </c>
      <c r="Z24">
        <f ca="1"/>
        <v>0</v>
      </c>
      <c r="AA24">
        <f ca="1"/>
        <v>0</v>
      </c>
      <c r="AB24">
        <f ca="1"/>
        <v>1.5087367353501101E-2</v>
      </c>
      <c r="AD24" s="2">
        <f t="shared" ca="1" si="2"/>
        <v>45359</v>
      </c>
      <c r="AE24">
        <f t="shared" ca="1" si="3"/>
        <v>0</v>
      </c>
      <c r="AG24" s="65">
        <f t="shared" ca="1" si="7"/>
        <v>140.55236106758178</v>
      </c>
      <c r="AH24" s="65">
        <f t="shared" ca="1" si="8"/>
        <v>140.55236106758178</v>
      </c>
      <c r="AI24" s="3">
        <f t="shared" ca="1" si="9"/>
        <v>0</v>
      </c>
    </row>
    <row r="25" spans="1:35" ht="15.75" thickBot="1" x14ac:dyDescent="0.3">
      <c r="A25" s="8" t="s">
        <v>176</v>
      </c>
      <c r="B25" s="103" t="str">
        <f>PriorResidueIncorporation</f>
        <v>Full (Plough)</v>
      </c>
      <c r="G25" s="3">
        <f t="shared" ca="1" si="4"/>
        <v>25</v>
      </c>
      <c r="H25" s="97">
        <f t="shared" ca="1" si="6"/>
        <v>45315</v>
      </c>
      <c r="I25" s="121">
        <f ca="1">HLOOKUP($H$4,'Met Data'!$A$2:$F$368,G25,FALSE)</f>
        <v>17.713636363636301</v>
      </c>
      <c r="J25" s="121">
        <f ca="1">HLOOKUP($H$4,'Met Data'!$H$2:$M$368,G25,FALSE)*L25</f>
        <v>1.3818181818181801</v>
      </c>
      <c r="K25" s="98">
        <f ca="1">HLOOKUP($H$4,'Met Data'!$O$2:$T$368,G25,FALSE)</f>
        <v>4.0186876239346203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45360</v>
      </c>
      <c r="Q25">
        <f ca="1"/>
        <v>139.64248726059182</v>
      </c>
      <c r="R25">
        <f ca="1"/>
        <v>0.37959138176775697</v>
      </c>
      <c r="S25">
        <f ca="1"/>
        <v>-0.17624282053861684</v>
      </c>
      <c r="T25" s="4">
        <f ca="1"/>
        <v>0</v>
      </c>
      <c r="U25">
        <f ca="1"/>
        <v>0</v>
      </c>
      <c r="V25">
        <f ca="1"/>
        <v>8.8743308555207996</v>
      </c>
      <c r="W25">
        <f ca="1"/>
        <v>2.2571667610781199</v>
      </c>
      <c r="X25">
        <f ca="1"/>
        <v>0</v>
      </c>
      <c r="Y25">
        <f ca="1"/>
        <v>0.91442950157390157</v>
      </c>
      <c r="Z25">
        <f ca="1"/>
        <v>0</v>
      </c>
      <c r="AA25">
        <f ca="1"/>
        <v>0</v>
      </c>
      <c r="AB25">
        <f ca="1"/>
        <v>1.9847410132795801E-2</v>
      </c>
      <c r="AD25" s="2">
        <f t="shared" ca="1" si="2"/>
        <v>45360</v>
      </c>
      <c r="AE25">
        <f t="shared" ca="1" si="3"/>
        <v>0</v>
      </c>
      <c r="AG25" s="65">
        <f t="shared" ca="1" si="7"/>
        <v>140.02207864235959</v>
      </c>
      <c r="AH25" s="65">
        <f t="shared" ca="1" si="8"/>
        <v>140.02207864235959</v>
      </c>
      <c r="AI25" s="3">
        <f t="shared" ca="1" si="9"/>
        <v>0</v>
      </c>
    </row>
    <row r="26" spans="1:35" ht="15.75" thickBot="1" x14ac:dyDescent="0.3">
      <c r="A26" s="10" t="s">
        <v>148</v>
      </c>
      <c r="B26" s="13" t="str">
        <f>CurrentCropNameFull</f>
        <v>Broccoli Vegetable General</v>
      </c>
      <c r="G26" s="3">
        <f t="shared" ca="1" si="4"/>
        <v>26</v>
      </c>
      <c r="H26" s="97">
        <f t="shared" ca="1" si="6"/>
        <v>45316</v>
      </c>
      <c r="I26" s="121">
        <f ca="1">HLOOKUP($H$4,'Met Data'!$A$2:$F$368,G26,FALSE)</f>
        <v>17.8541666666666</v>
      </c>
      <c r="J26" s="121">
        <f ca="1">HLOOKUP($H$4,'Met Data'!$H$2:$M$368,G26,FALSE)*L26</f>
        <v>0.46666666666666601</v>
      </c>
      <c r="K26" s="98">
        <f ca="1">HLOOKUP($H$4,'Met Data'!$O$2:$T$368,G26,FALSE)</f>
        <v>4.1496250953293998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45361</v>
      </c>
      <c r="Q26">
        <f ca="1"/>
        <v>139.08723761420504</v>
      </c>
      <c r="R26">
        <f ca="1"/>
        <v>0.38744847661447301</v>
      </c>
      <c r="S26">
        <f ca="1"/>
        <v>-0.16780116977230186</v>
      </c>
      <c r="T26" s="4">
        <f ca="1"/>
        <v>0</v>
      </c>
      <c r="U26">
        <f ca="1"/>
        <v>0</v>
      </c>
      <c r="V26">
        <f ca="1"/>
        <v>9.2617793321352693</v>
      </c>
      <c r="W26">
        <f ca="1"/>
        <v>2.3557134388257102</v>
      </c>
      <c r="X26">
        <f ca="1"/>
        <v>0</v>
      </c>
      <c r="Y26">
        <f ca="1"/>
        <v>0.97796783552810618</v>
      </c>
      <c r="Z26">
        <f ca="1"/>
        <v>0</v>
      </c>
      <c r="AA26">
        <f ca="1"/>
        <v>0</v>
      </c>
      <c r="AB26">
        <f ca="1"/>
        <v>2.59172076944474E-2</v>
      </c>
      <c r="AD26" s="2">
        <f t="shared" ca="1" si="2"/>
        <v>45361</v>
      </c>
      <c r="AE26">
        <f t="shared" ca="1" si="3"/>
        <v>0</v>
      </c>
      <c r="AG26" s="65">
        <f t="shared" ca="1" si="7"/>
        <v>139.47468609081952</v>
      </c>
      <c r="AH26" s="65">
        <f t="shared" ca="1" si="8"/>
        <v>139.47468609081952</v>
      </c>
      <c r="AI26" s="3">
        <f t="shared" ca="1" si="9"/>
        <v>0</v>
      </c>
    </row>
    <row r="27" spans="1:35" x14ac:dyDescent="0.25">
      <c r="A27" s="11" t="s">
        <v>125</v>
      </c>
      <c r="B27" s="13">
        <f>CurrentYield_tperHa</f>
        <v>20</v>
      </c>
      <c r="G27" s="3">
        <f t="shared" ca="1" si="4"/>
        <v>27</v>
      </c>
      <c r="H27" s="97">
        <f t="shared" ca="1" si="6"/>
        <v>45317</v>
      </c>
      <c r="I27" s="121">
        <f ca="1">HLOOKUP($H$4,'Met Data'!$A$2:$F$368,G27,FALSE)</f>
        <v>18.933333333333302</v>
      </c>
      <c r="J27" s="121">
        <f ca="1">HLOOKUP($H$4,'Met Data'!$H$2:$M$368,G27,FALSE)*L27</f>
        <v>1.8</v>
      </c>
      <c r="K27" s="98">
        <f ca="1">HLOOKUP($H$4,'Met Data'!$O$2:$T$368,G27,FALSE)</f>
        <v>4.1034832888531598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45362</v>
      </c>
      <c r="Q27">
        <f ca="1"/>
        <v>138.5234604836094</v>
      </c>
      <c r="R27">
        <f ca="1"/>
        <v>0.40744875986373202</v>
      </c>
      <c r="S27">
        <f ca="1"/>
        <v>-0.15632837073190142</v>
      </c>
      <c r="T27" s="4">
        <f ca="1"/>
        <v>0</v>
      </c>
      <c r="U27">
        <f ca="1"/>
        <v>0</v>
      </c>
      <c r="V27">
        <f ca="1"/>
        <v>9.6692280919990008</v>
      </c>
      <c r="W27">
        <f ca="1"/>
        <v>2.4593471451388802</v>
      </c>
      <c r="X27">
        <f ca="1"/>
        <v>0</v>
      </c>
      <c r="Y27">
        <f ca="1"/>
        <v>0.99284594695395223</v>
      </c>
      <c r="Z27">
        <f ca="1"/>
        <v>0</v>
      </c>
      <c r="AA27">
        <f ca="1"/>
        <v>0</v>
      </c>
      <c r="AB27">
        <f ca="1"/>
        <v>3.3854727000134303E-2</v>
      </c>
      <c r="AD27" s="2">
        <f t="shared" ca="1" si="2"/>
        <v>45362</v>
      </c>
      <c r="AE27">
        <f t="shared" ca="1" si="3"/>
        <v>0</v>
      </c>
      <c r="AG27" s="65">
        <f t="shared" ca="1" si="7"/>
        <v>138.93090924347314</v>
      </c>
      <c r="AH27" s="65">
        <f t="shared" ca="1" si="8"/>
        <v>138.93090924347314</v>
      </c>
      <c r="AI27" s="3">
        <f t="shared" ca="1" si="9"/>
        <v>0</v>
      </c>
    </row>
    <row r="28" spans="1:35" x14ac:dyDescent="0.25">
      <c r="A28" s="11" t="s">
        <v>126</v>
      </c>
      <c r="B28" s="12">
        <f>CurrentFieldLoss</f>
        <v>0</v>
      </c>
      <c r="G28" s="3">
        <f t="shared" ca="1" si="4"/>
        <v>28</v>
      </c>
      <c r="H28" s="97">
        <f t="shared" ca="1" si="6"/>
        <v>45318</v>
      </c>
      <c r="I28" s="121">
        <f ca="1">HLOOKUP($H$4,'Met Data'!$A$2:$F$368,G28,FALSE)</f>
        <v>18.524999999999999</v>
      </c>
      <c r="J28" s="121">
        <f ca="1">HLOOKUP($H$4,'Met Data'!$H$2:$M$368,G28,FALSE)*L28</f>
        <v>4.2166666666666597</v>
      </c>
      <c r="K28" s="98">
        <f ca="1">HLOOKUP($H$4,'Met Data'!$O$2:$T$368,G28,FALSE)</f>
        <v>3.2920480795367801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45363</v>
      </c>
      <c r="Q28">
        <f ca="1"/>
        <v>137.8186392879563</v>
      </c>
      <c r="R28">
        <f ca="1"/>
        <v>0.39642230967622699</v>
      </c>
      <c r="S28">
        <f ca="1"/>
        <v>-0.13223943651963932</v>
      </c>
      <c r="T28" s="4">
        <f ca="1"/>
        <v>0</v>
      </c>
      <c r="U28">
        <f ca="1"/>
        <v>0</v>
      </c>
      <c r="V28">
        <f ca="1"/>
        <v>10.0656504016752</v>
      </c>
      <c r="W28">
        <f ca="1"/>
        <v>2.5601762978173901</v>
      </c>
      <c r="X28">
        <f ca="1"/>
        <v>0.17615944945723241</v>
      </c>
      <c r="Y28">
        <f ca="1"/>
        <v>1</v>
      </c>
      <c r="Z28">
        <f ca="1"/>
        <v>0.40364133702095728</v>
      </c>
      <c r="AA28">
        <f ca="1"/>
        <v>0</v>
      </c>
      <c r="AB28">
        <f ca="1"/>
        <v>4.33555766799784E-2</v>
      </c>
      <c r="AD28" s="2">
        <f t="shared" ca="1" si="2"/>
        <v>45363</v>
      </c>
      <c r="AE28">
        <f t="shared" ca="1" si="3"/>
        <v>0</v>
      </c>
      <c r="AG28" s="65">
        <f t="shared" ca="1" si="7"/>
        <v>138.39122104708977</v>
      </c>
      <c r="AH28" s="65">
        <f t="shared" ca="1" si="8"/>
        <v>138.39122104708977</v>
      </c>
      <c r="AI28" s="3">
        <f t="shared" ca="1" si="9"/>
        <v>0</v>
      </c>
    </row>
    <row r="29" spans="1:35" x14ac:dyDescent="0.25">
      <c r="A29" s="11" t="s">
        <v>127</v>
      </c>
      <c r="B29" s="12">
        <f>CurrentDressingLoss</f>
        <v>0</v>
      </c>
      <c r="G29" s="3">
        <f t="shared" ca="1" si="4"/>
        <v>29</v>
      </c>
      <c r="H29" s="97">
        <f t="shared" ca="1" si="6"/>
        <v>45319</v>
      </c>
      <c r="I29" s="121">
        <f ca="1">HLOOKUP($H$4,'Met Data'!$A$2:$F$368,G29,FALSE)</f>
        <v>18.283333333333299</v>
      </c>
      <c r="J29" s="121">
        <f ca="1">HLOOKUP($H$4,'Met Data'!$H$2:$M$368,G29,FALSE)*L29</f>
        <v>0.96666666666666601</v>
      </c>
      <c r="K29" s="98">
        <f ca="1">HLOOKUP($H$4,'Met Data'!$O$2:$T$368,G29,FALSE)</f>
        <v>3.7580315328576899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45364</v>
      </c>
      <c r="Q29">
        <f ca="1"/>
        <v>137.26522229033787</v>
      </c>
      <c r="R29">
        <f ca="1"/>
        <v>0.42620777795040599</v>
      </c>
      <c r="S29">
        <f ca="1"/>
        <v>-0.12720921966803367</v>
      </c>
      <c r="T29" s="4">
        <f ca="1"/>
        <v>0</v>
      </c>
      <c r="U29">
        <f ca="1"/>
        <v>0</v>
      </c>
      <c r="V29">
        <f ca="1"/>
        <v>10.4918581796256</v>
      </c>
      <c r="W29">
        <f ca="1"/>
        <v>2.6685813196004302</v>
      </c>
      <c r="X29">
        <f ca="1"/>
        <v>0</v>
      </c>
      <c r="Y29">
        <f ca="1"/>
        <v>0.98670207673498889</v>
      </c>
      <c r="Z29">
        <f ca="1"/>
        <v>0</v>
      </c>
      <c r="AA29">
        <f ca="1"/>
        <v>0</v>
      </c>
      <c r="AB29">
        <f ca="1"/>
        <v>5.5817891039824798E-2</v>
      </c>
      <c r="AD29" s="2">
        <f t="shared" ca="1" si="2"/>
        <v>45364</v>
      </c>
      <c r="AE29">
        <f t="shared" ca="1" si="3"/>
        <v>0</v>
      </c>
      <c r="AG29" s="65">
        <f t="shared" ca="1" si="7"/>
        <v>137.69143006828827</v>
      </c>
      <c r="AH29" s="65">
        <f t="shared" ca="1" si="8"/>
        <v>137.69143006828827</v>
      </c>
      <c r="AI29" s="3">
        <f t="shared" ca="1" si="9"/>
        <v>0</v>
      </c>
    </row>
    <row r="30" spans="1:35" x14ac:dyDescent="0.25">
      <c r="A30" s="11" t="s">
        <v>128</v>
      </c>
      <c r="B30" s="12">
        <f>CurrentMoistureContent</f>
        <v>89</v>
      </c>
      <c r="G30" s="3">
        <f t="shared" ca="1" si="4"/>
        <v>30</v>
      </c>
      <c r="H30" s="97">
        <f t="shared" ca="1" si="6"/>
        <v>45320</v>
      </c>
      <c r="I30" s="121">
        <f ca="1">HLOOKUP($H$4,'Met Data'!$A$2:$F$368,G30,FALSE)</f>
        <v>18.95</v>
      </c>
      <c r="J30" s="121">
        <f ca="1">HLOOKUP($H$4,'Met Data'!$H$2:$M$368,G30,FALSE)*L30</f>
        <v>0.233333333333333</v>
      </c>
      <c r="K30" s="98">
        <f ca="1">HLOOKUP($H$4,'Met Data'!$O$2:$T$368,G30,FALSE)</f>
        <v>4.4825712398856101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45365</v>
      </c>
      <c r="Q30">
        <f ca="1"/>
        <v>136.66151052281739</v>
      </c>
      <c r="R30">
        <f ca="1"/>
        <v>0.47622320103122301</v>
      </c>
      <c r="S30">
        <f ca="1"/>
        <v>-0.12748856648927376</v>
      </c>
      <c r="T30" s="4">
        <f ca="1"/>
        <v>0</v>
      </c>
      <c r="U30">
        <f ca="1"/>
        <v>0</v>
      </c>
      <c r="V30">
        <f ca="1"/>
        <v>10.9680813806569</v>
      </c>
      <c r="W30">
        <f ca="1"/>
        <v>2.7897076555149001</v>
      </c>
      <c r="X30">
        <f ca="1"/>
        <v>0</v>
      </c>
      <c r="Y30">
        <f ca="1"/>
        <v>0.97035619507335735</v>
      </c>
      <c r="Z30">
        <f ca="1"/>
        <v>0</v>
      </c>
      <c r="AA30">
        <f ca="1"/>
        <v>0</v>
      </c>
      <c r="AB30">
        <f ca="1"/>
        <v>7.2869164415116802E-2</v>
      </c>
      <c r="AD30" s="2">
        <f t="shared" ca="1" si="2"/>
        <v>45365</v>
      </c>
      <c r="AE30">
        <f t="shared" ca="1" si="3"/>
        <v>0</v>
      </c>
      <c r="AG30" s="65">
        <f t="shared" ca="1" si="7"/>
        <v>137.13773372384861</v>
      </c>
      <c r="AH30" s="65">
        <f t="shared" ca="1" si="8"/>
        <v>137.13773372384861</v>
      </c>
      <c r="AI30" s="3">
        <f t="shared" ca="1" si="9"/>
        <v>0</v>
      </c>
    </row>
    <row r="31" spans="1:35" x14ac:dyDescent="0.25">
      <c r="A31" s="11" t="s">
        <v>129</v>
      </c>
      <c r="B31" s="38">
        <f ca="1">CurrentEstablishDate</f>
        <v>45357</v>
      </c>
      <c r="G31" s="3">
        <f t="shared" ca="1" si="4"/>
        <v>31</v>
      </c>
      <c r="H31" s="97">
        <f t="shared" ca="1" si="6"/>
        <v>45321</v>
      </c>
      <c r="I31" s="121">
        <f ca="1">HLOOKUP($H$4,'Met Data'!$A$2:$F$368,G31,FALSE)</f>
        <v>19.070833333333301</v>
      </c>
      <c r="J31" s="121">
        <f ca="1">HLOOKUP($H$4,'Met Data'!$H$2:$M$368,G31,FALSE)*L31</f>
        <v>1.45</v>
      </c>
      <c r="K31" s="98">
        <f ca="1">HLOOKUP($H$4,'Met Data'!$O$2:$T$368,G31,FALSE)</f>
        <v>4.1485395322845697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45366</v>
      </c>
      <c r="Q31">
        <f ca="1"/>
        <v>135.74208659608712</v>
      </c>
      <c r="R31">
        <f ca="1"/>
        <v>0.52120437537998898</v>
      </c>
      <c r="S31">
        <f ca="1"/>
        <v>-0.1230428634767593</v>
      </c>
      <c r="T31" s="4">
        <f ca="1"/>
        <v>0</v>
      </c>
      <c r="U31">
        <f ca="1"/>
        <v>0</v>
      </c>
      <c r="V31">
        <f ca="1"/>
        <v>11.4892857560368</v>
      </c>
      <c r="W31">
        <f ca="1"/>
        <v>2.9222748553398099</v>
      </c>
      <c r="X31">
        <f ca="1"/>
        <v>0.27517668787352023</v>
      </c>
      <c r="Y31">
        <f ca="1"/>
        <v>1</v>
      </c>
      <c r="Z31">
        <f ca="1"/>
        <v>0.64016918859009309</v>
      </c>
      <c r="AA31">
        <f ca="1"/>
        <v>0</v>
      </c>
      <c r="AB31">
        <f ca="1"/>
        <v>9.5763859910000096E-2</v>
      </c>
      <c r="AD31" s="2">
        <f t="shared" ca="1" si="2"/>
        <v>45366</v>
      </c>
      <c r="AE31">
        <f t="shared" ca="1" si="3"/>
        <v>0</v>
      </c>
      <c r="AG31" s="65">
        <f t="shared" ca="1" si="7"/>
        <v>136.53846765934063</v>
      </c>
      <c r="AH31" s="65">
        <f t="shared" ca="1" si="8"/>
        <v>136.53846765934063</v>
      </c>
      <c r="AI31" s="3">
        <f t="shared" ca="1" si="9"/>
        <v>0</v>
      </c>
    </row>
    <row r="32" spans="1:35" x14ac:dyDescent="0.25">
      <c r="A32" s="11" t="s">
        <v>130</v>
      </c>
      <c r="B32" s="12" t="str">
        <f>CurrentEstablishStage</f>
        <v>Seedling</v>
      </c>
      <c r="G32" s="3">
        <f t="shared" ca="1" si="4"/>
        <v>32</v>
      </c>
      <c r="H32" s="97">
        <f t="shared" ca="1" si="6"/>
        <v>45322</v>
      </c>
      <c r="I32" s="121">
        <f ca="1">HLOOKUP($H$4,'Met Data'!$A$2:$F$368,G32,FALSE)</f>
        <v>18.716666666666601</v>
      </c>
      <c r="J32" s="121">
        <f ca="1">HLOOKUP($H$4,'Met Data'!$H$2:$M$368,G32,FALSE)*L32</f>
        <v>1.6666666666666601E-2</v>
      </c>
      <c r="K32" s="98">
        <f ca="1">HLOOKUP($H$4,'Met Data'!$O$2:$T$368,G32,FALSE)</f>
        <v>3.9002627778438899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45367</v>
      </c>
      <c r="Q32">
        <f ca="1"/>
        <v>134.6095597840297</v>
      </c>
      <c r="R32">
        <f ca="1"/>
        <v>0.493037837126444</v>
      </c>
      <c r="S32">
        <f ca="1"/>
        <v>-9.8103533084031191E-2</v>
      </c>
      <c r="T32" s="4">
        <f ca="1"/>
        <v>0</v>
      </c>
      <c r="U32">
        <f ca="1"/>
        <v>0</v>
      </c>
      <c r="V32">
        <f ca="1"/>
        <v>11.982323593163301</v>
      </c>
      <c r="W32">
        <f ca="1"/>
        <v>3.0476779573915298</v>
      </c>
      <c r="X32">
        <f ca="1"/>
        <v>0.54138544184693538</v>
      </c>
      <c r="Y32">
        <f ca="1"/>
        <v>1</v>
      </c>
      <c r="Z32">
        <f ca="1"/>
        <v>1.2700719325985119</v>
      </c>
      <c r="AA32">
        <f ca="1"/>
        <v>0</v>
      </c>
      <c r="AB32">
        <f ca="1"/>
        <v>0.121857430597941</v>
      </c>
      <c r="AD32" s="2">
        <f t="shared" ca="1" si="2"/>
        <v>45367</v>
      </c>
      <c r="AE32">
        <f t="shared" ca="1" si="3"/>
        <v>0</v>
      </c>
      <c r="AG32" s="65">
        <f t="shared" ca="1" si="7"/>
        <v>135.64398306300308</v>
      </c>
      <c r="AH32" s="65">
        <f t="shared" ca="1" si="8"/>
        <v>135.64398306300308</v>
      </c>
      <c r="AI32" s="3">
        <f t="shared" ca="1" si="9"/>
        <v>0</v>
      </c>
    </row>
    <row r="33" spans="1:35" x14ac:dyDescent="0.25">
      <c r="A33" s="11" t="s">
        <v>131</v>
      </c>
      <c r="B33" s="38">
        <f ca="1">CurrentHarvestDate</f>
        <v>45482</v>
      </c>
      <c r="G33" s="3">
        <f t="shared" ca="1" si="4"/>
        <v>33</v>
      </c>
      <c r="H33" s="97">
        <f t="shared" ca="1" si="6"/>
        <v>45323</v>
      </c>
      <c r="I33" s="121">
        <f ca="1">HLOOKUP($H$4,'Met Data'!$A$2:$F$368,G33,FALSE)</f>
        <v>18.720833333333299</v>
      </c>
      <c r="J33" s="121">
        <f ca="1">HLOOKUP($H$4,'Met Data'!$H$2:$M$368,G33,FALSE)*L33</f>
        <v>5.1333333333333302</v>
      </c>
      <c r="K33" s="98">
        <f ca="1">HLOOKUP($H$4,'Met Data'!$O$2:$T$368,G33,FALSE)</f>
        <v>3.3425533464765702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45368</v>
      </c>
      <c r="Q33">
        <f ca="1"/>
        <v>130.75209912209669</v>
      </c>
      <c r="R33">
        <f ca="1"/>
        <v>0.49009878395631801</v>
      </c>
      <c r="S33">
        <f ca="1"/>
        <v>-8.4536654538100997E-2</v>
      </c>
      <c r="T33" s="4">
        <f ca="1"/>
        <v>0</v>
      </c>
      <c r="U33">
        <f ca="1"/>
        <v>0</v>
      </c>
      <c r="V33">
        <f ca="1"/>
        <v>12.472422377119599</v>
      </c>
      <c r="W33">
        <f ca="1"/>
        <v>3.17233351765868</v>
      </c>
      <c r="X33">
        <f ca="1"/>
        <v>3.2828252234385871</v>
      </c>
      <c r="Y33">
        <f ca="1"/>
        <v>1</v>
      </c>
      <c r="Z33">
        <f ca="1"/>
        <v>7.9286042554381169</v>
      </c>
      <c r="AA33">
        <f ca="1"/>
        <v>0</v>
      </c>
      <c r="AB33">
        <f ca="1"/>
        <v>0.15228266226928699</v>
      </c>
      <c r="AD33" s="2">
        <f t="shared" ca="1" si="2"/>
        <v>45368</v>
      </c>
      <c r="AE33">
        <f t="shared" ca="1" si="3"/>
        <v>0</v>
      </c>
      <c r="AG33" s="65">
        <f t="shared" ca="1" si="7"/>
        <v>134.52502312949159</v>
      </c>
      <c r="AH33" s="65">
        <f t="shared" ca="1" si="8"/>
        <v>134.52502312949159</v>
      </c>
      <c r="AI33" s="3">
        <f t="shared" ca="1" si="9"/>
        <v>0</v>
      </c>
    </row>
    <row r="34" spans="1:35" x14ac:dyDescent="0.25">
      <c r="A34" s="11" t="s">
        <v>132</v>
      </c>
      <c r="B34" s="12" t="str">
        <f>CurrentHarvestStage</f>
        <v>EarlyReproductive</v>
      </c>
      <c r="G34" s="3">
        <f t="shared" ca="1" si="4"/>
        <v>34</v>
      </c>
      <c r="H34" s="97">
        <f t="shared" ca="1" si="6"/>
        <v>45324</v>
      </c>
      <c r="I34" s="121">
        <f ca="1">HLOOKUP($H$4,'Met Data'!$A$2:$F$368,G34,FALSE)</f>
        <v>18.558333333333302</v>
      </c>
      <c r="J34" s="121">
        <f ca="1">HLOOKUP($H$4,'Met Data'!$H$2:$M$368,G34,FALSE)*L34</f>
        <v>5.1666666666666599</v>
      </c>
      <c r="K34" s="98">
        <f ca="1">HLOOKUP($H$4,'Met Data'!$O$2:$T$368,G34,FALSE)</f>
        <v>3.37031285883524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45369</v>
      </c>
      <c r="Q34">
        <f ca="1"/>
        <v>130.14627058725392</v>
      </c>
      <c r="R34">
        <f ca="1"/>
        <v>0.52569304503823799</v>
      </c>
      <c r="S34">
        <f ca="1"/>
        <v>-8.0135489804533222E-2</v>
      </c>
      <c r="T34" s="4">
        <f ca="1"/>
        <v>0</v>
      </c>
      <c r="U34">
        <f ca="1"/>
        <v>0</v>
      </c>
      <c r="V34">
        <f ca="1"/>
        <v>12.998115422157801</v>
      </c>
      <c r="W34">
        <f ca="1"/>
        <v>3.3060424008531899</v>
      </c>
      <c r="X34">
        <f ca="1"/>
        <v>0</v>
      </c>
      <c r="Y34">
        <f ca="1"/>
        <v>0.99695744723939839</v>
      </c>
      <c r="Z34">
        <f ca="1"/>
        <v>0</v>
      </c>
      <c r="AA34">
        <f ca="1"/>
        <v>0</v>
      </c>
      <c r="AB34">
        <f ca="1"/>
        <v>0.18990656865452599</v>
      </c>
      <c r="AD34" s="2">
        <f t="shared" ca="1" si="2"/>
        <v>45369</v>
      </c>
      <c r="AE34">
        <f t="shared" ca="1" si="3"/>
        <v>0</v>
      </c>
      <c r="AG34" s="65">
        <f t="shared" ca="1" si="7"/>
        <v>130.67196363229215</v>
      </c>
      <c r="AH34" s="65">
        <f t="shared" ca="1" si="8"/>
        <v>130.67196363229215</v>
      </c>
      <c r="AI34" s="3">
        <f t="shared" ca="1" si="9"/>
        <v>0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35</v>
      </c>
      <c r="H35" s="97">
        <f t="shared" ca="1" si="6"/>
        <v>45325</v>
      </c>
      <c r="I35" s="121">
        <f ca="1">HLOOKUP($H$4,'Met Data'!$A$2:$F$368,G35,FALSE)</f>
        <v>18.841666666666601</v>
      </c>
      <c r="J35" s="121">
        <f ca="1">HLOOKUP($H$4,'Met Data'!$H$2:$M$368,G35,FALSE)*L35</f>
        <v>0.483333333333333</v>
      </c>
      <c r="K35" s="98">
        <f ca="1">HLOOKUP($H$4,'Met Data'!$O$2:$T$368,G35,FALSE)</f>
        <v>4.5373745966907704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45370</v>
      </c>
      <c r="Q35">
        <f ca="1"/>
        <v>129.51184189890421</v>
      </c>
      <c r="R35">
        <f ca="1"/>
        <v>0.55972087088822597</v>
      </c>
      <c r="S35">
        <f ca="1"/>
        <v>-7.4707817461510118E-2</v>
      </c>
      <c r="T35" s="4">
        <f ca="1"/>
        <v>0</v>
      </c>
      <c r="U35">
        <f ca="1"/>
        <v>0</v>
      </c>
      <c r="V35">
        <f ca="1"/>
        <v>13.557836293046099</v>
      </c>
      <c r="W35">
        <f ca="1"/>
        <v>3.4484061875791099</v>
      </c>
      <c r="X35">
        <f ca="1"/>
        <v>0</v>
      </c>
      <c r="Y35">
        <f ca="1"/>
        <v>0.97610064080828984</v>
      </c>
      <c r="Z35">
        <f ca="1"/>
        <v>0</v>
      </c>
      <c r="AA35">
        <f ca="1"/>
        <v>0</v>
      </c>
      <c r="AB35">
        <f ca="1"/>
        <v>0.23533800705371799</v>
      </c>
      <c r="AD35" s="2">
        <f t="shared" ca="1" si="2"/>
        <v>45370</v>
      </c>
      <c r="AE35">
        <f t="shared" ca="1" si="3"/>
        <v>0</v>
      </c>
      <c r="AG35" s="65">
        <f t="shared" ca="1" si="7"/>
        <v>130.07156276979242</v>
      </c>
      <c r="AH35" s="65">
        <f t="shared" ca="1" si="8"/>
        <v>130.07156276979242</v>
      </c>
      <c r="AI35" s="3">
        <f t="shared" ca="1" si="9"/>
        <v>0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36</v>
      </c>
      <c r="H36" s="97">
        <f t="shared" ca="1" si="6"/>
        <v>45326</v>
      </c>
      <c r="I36" s="121">
        <f ca="1">HLOOKUP($H$4,'Met Data'!$A$2:$F$368,G36,FALSE)</f>
        <v>18.441666666666599</v>
      </c>
      <c r="J36" s="121">
        <f ca="1">HLOOKUP($H$4,'Met Data'!$H$2:$M$368,G36,FALSE)*L36</f>
        <v>4.8</v>
      </c>
      <c r="K36" s="98">
        <f ca="1">HLOOKUP($H$4,'Met Data'!$O$2:$T$368,G36,FALSE)</f>
        <v>3.5125215918157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45371</v>
      </c>
      <c r="Q36">
        <f ca="1"/>
        <v>128.85039977602074</v>
      </c>
      <c r="R36">
        <f ca="1"/>
        <v>0.59276171657127796</v>
      </c>
      <c r="S36">
        <f ca="1"/>
        <v>-6.8680406312193298E-2</v>
      </c>
      <c r="T36">
        <f ca="1"/>
        <v>0</v>
      </c>
      <c r="U36">
        <f ca="1"/>
        <v>0</v>
      </c>
      <c r="V36">
        <f ca="1"/>
        <v>14.150598009617401</v>
      </c>
      <c r="W36">
        <f ca="1"/>
        <v>3.5991738415765901</v>
      </c>
      <c r="X36">
        <f ca="1"/>
        <v>0</v>
      </c>
      <c r="Y36">
        <f ca="1"/>
        <v>0.98145554345780539</v>
      </c>
      <c r="Z36">
        <f ca="1"/>
        <v>0</v>
      </c>
      <c r="AA36">
        <f ca="1"/>
        <v>0</v>
      </c>
      <c r="AB36">
        <f ca="1"/>
        <v>0.288695391199917</v>
      </c>
      <c r="AD36" s="2">
        <f t="shared" ca="1" si="2"/>
        <v>45371</v>
      </c>
      <c r="AE36">
        <f t="shared" ca="1" si="3"/>
        <v>0</v>
      </c>
      <c r="AG36" s="65">
        <f t="shared" ca="1" si="7"/>
        <v>129.44316149259203</v>
      </c>
      <c r="AH36" s="65">
        <f t="shared" ca="1" si="8"/>
        <v>129.44316149259203</v>
      </c>
      <c r="AI36" s="3">
        <f t="shared" ca="1" si="9"/>
        <v>0</v>
      </c>
    </row>
    <row r="37" spans="1:35" x14ac:dyDescent="0.25">
      <c r="A37" s="7" t="s">
        <v>149</v>
      </c>
      <c r="B37" s="33" t="str">
        <f>FollowingCropFullName</f>
        <v>Oat Fodder General</v>
      </c>
      <c r="G37" s="3">
        <f t="shared" ca="1" si="4"/>
        <v>37</v>
      </c>
      <c r="H37" s="97">
        <f t="shared" ca="1" si="6"/>
        <v>45327</v>
      </c>
      <c r="I37" s="121">
        <f ca="1">HLOOKUP($H$4,'Met Data'!$A$2:$F$368,G37,FALSE)</f>
        <v>17.975000000000001</v>
      </c>
      <c r="J37" s="121">
        <f ca="1">HLOOKUP($H$4,'Met Data'!$H$2:$M$368,G37,FALSE)*L37</f>
        <v>2.0166666666666599</v>
      </c>
      <c r="K37" s="98">
        <f ca="1">HLOOKUP($H$4,'Met Data'!$O$2:$T$368,G37,FALSE)</f>
        <v>3.7922889429532498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45372</v>
      </c>
      <c r="Q37">
        <f ca="1"/>
        <v>128.08904515263288</v>
      </c>
      <c r="R37">
        <f ca="1"/>
        <v>0.625217765356615</v>
      </c>
      <c r="S37">
        <f ca="1"/>
        <v>-6.2363265576361293E-2</v>
      </c>
      <c r="T37">
        <f ca="1"/>
        <v>0</v>
      </c>
      <c r="U37">
        <f ca="1"/>
        <v>0</v>
      </c>
      <c r="V37">
        <f ca="1"/>
        <v>14.775815774973999</v>
      </c>
      <c r="W37">
        <f ca="1"/>
        <v>3.7581966210259901</v>
      </c>
      <c r="X37">
        <f ca="1"/>
        <v>7.3773592454909984E-2</v>
      </c>
      <c r="Y37">
        <f ca="1"/>
        <v>1</v>
      </c>
      <c r="Z37">
        <f ca="1"/>
        <v>0.1818806901508907</v>
      </c>
      <c r="AA37">
        <f ca="1"/>
        <v>0</v>
      </c>
      <c r="AB37">
        <f ca="1"/>
        <v>0.34938149759798798</v>
      </c>
      <c r="AD37" s="2">
        <f t="shared" ca="1" si="2"/>
        <v>45372</v>
      </c>
      <c r="AE37">
        <f t="shared" ca="1" si="3"/>
        <v>0</v>
      </c>
      <c r="AG37" s="65">
        <f t="shared" ca="1" si="7"/>
        <v>128.78803651044439</v>
      </c>
      <c r="AH37" s="65">
        <f t="shared" ca="1" si="8"/>
        <v>128.78803651044439</v>
      </c>
      <c r="AI37" s="3">
        <f t="shared" ca="1" si="9"/>
        <v>0</v>
      </c>
    </row>
    <row r="38" spans="1:35" x14ac:dyDescent="0.25">
      <c r="A38" s="8" t="s">
        <v>133</v>
      </c>
      <c r="B38" s="34">
        <f>FollowingYield_tperHa</f>
        <v>10</v>
      </c>
      <c r="G38" s="3">
        <f t="shared" ca="1" si="4"/>
        <v>38</v>
      </c>
      <c r="H38" s="97">
        <f t="shared" ca="1" si="6"/>
        <v>45328</v>
      </c>
      <c r="I38" s="121">
        <f ca="1">HLOOKUP($H$4,'Met Data'!$A$2:$F$368,G38,FALSE)</f>
        <v>17.383333333333301</v>
      </c>
      <c r="J38" s="121">
        <f ca="1">HLOOKUP($H$4,'Met Data'!$H$2:$M$368,G38,FALSE)*L38</f>
        <v>0.15</v>
      </c>
      <c r="K38" s="98">
        <f ca="1">HLOOKUP($H$4,'Met Data'!$O$2:$T$368,G38,FALSE)</f>
        <v>3.67022287265541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45373</v>
      </c>
      <c r="Q38">
        <f ca="1"/>
        <v>125.82461505300206</v>
      </c>
      <c r="R38">
        <f ca="1"/>
        <v>0.65660041576308503</v>
      </c>
      <c r="S38">
        <f ca="1"/>
        <v>-5.5898712016540841E-2</v>
      </c>
      <c r="T38">
        <f ca="1"/>
        <v>0</v>
      </c>
      <c r="U38">
        <f ca="1"/>
        <v>0</v>
      </c>
      <c r="V38">
        <f ca="1"/>
        <v>15.432416190737101</v>
      </c>
      <c r="W38">
        <f ca="1"/>
        <v>3.9252015093831201</v>
      </c>
      <c r="X38">
        <f ca="1"/>
        <v>1.5519309718512091</v>
      </c>
      <c r="Y38">
        <f ca="1"/>
        <v>1</v>
      </c>
      <c r="Z38">
        <f ca="1"/>
        <v>3.8949728921378153</v>
      </c>
      <c r="AA38">
        <f ca="1"/>
        <v>0</v>
      </c>
      <c r="AB38">
        <f ca="1"/>
        <v>0.41586750381331999</v>
      </c>
      <c r="AD38" s="2">
        <f t="shared" ca="1" si="2"/>
        <v>45373</v>
      </c>
      <c r="AE38">
        <f t="shared" ca="1" si="3"/>
        <v>0</v>
      </c>
      <c r="AG38" s="65">
        <f t="shared" ca="1" si="7"/>
        <v>128.03314644061635</v>
      </c>
      <c r="AH38" s="65">
        <f t="shared" ca="1" si="8"/>
        <v>128.03314644061635</v>
      </c>
      <c r="AI38" s="3">
        <f t="shared" ca="1" si="9"/>
        <v>0</v>
      </c>
    </row>
    <row r="39" spans="1:35" x14ac:dyDescent="0.25">
      <c r="A39" s="8" t="s">
        <v>134</v>
      </c>
      <c r="B39" s="34">
        <f>FollowingFieldLoss</f>
        <v>0</v>
      </c>
      <c r="G39" s="3">
        <f t="shared" ca="1" si="4"/>
        <v>39</v>
      </c>
      <c r="H39" s="97">
        <f t="shared" ca="1" si="6"/>
        <v>45329</v>
      </c>
      <c r="I39" s="121">
        <f ca="1">HLOOKUP($H$4,'Met Data'!$A$2:$F$368,G39,FALSE)</f>
        <v>17.0416666666666</v>
      </c>
      <c r="J39" s="121">
        <f ca="1">HLOOKUP($H$4,'Met Data'!$H$2:$M$368,G39,FALSE)*L39</f>
        <v>3.0166666666666599</v>
      </c>
      <c r="K39" s="98">
        <f ca="1">HLOOKUP($H$4,'Met Data'!$O$2:$T$368,G39,FALSE)</f>
        <v>3.8754357428809398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45374</v>
      </c>
      <c r="Q39">
        <f ca="1"/>
        <v>121.72591601574884</v>
      </c>
      <c r="R39">
        <f ca="1"/>
        <v>0.66121708758942099</v>
      </c>
      <c r="S39">
        <f ca="1"/>
        <v>-4.7267425337422786E-2</v>
      </c>
      <c r="T39">
        <f ca="1"/>
        <v>0</v>
      </c>
      <c r="U39">
        <f ca="1"/>
        <v>0</v>
      </c>
      <c r="V39">
        <f ca="1"/>
        <v>16.0936332783265</v>
      </c>
      <c r="W39">
        <f ca="1"/>
        <v>4.0933806381830404</v>
      </c>
      <c r="X39">
        <f ca="1"/>
        <v>3.3902145243263764</v>
      </c>
      <c r="Y39">
        <f ca="1"/>
        <v>1</v>
      </c>
      <c r="Z39">
        <f ca="1"/>
        <v>8.7951201794618612</v>
      </c>
      <c r="AA39">
        <f ca="1"/>
        <v>0</v>
      </c>
      <c r="AB39">
        <f ca="1"/>
        <v>0.483205037646043</v>
      </c>
      <c r="AD39" s="2">
        <f t="shared" ca="1" si="2"/>
        <v>45374</v>
      </c>
      <c r="AE39">
        <f t="shared" ca="1" si="3"/>
        <v>0</v>
      </c>
      <c r="AG39" s="65">
        <f t="shared" ca="1" si="7"/>
        <v>125.77734762766464</v>
      </c>
      <c r="AH39" s="65">
        <f t="shared" ca="1" si="8"/>
        <v>125.77734762766464</v>
      </c>
      <c r="AI39" s="3">
        <f t="shared" ca="1" si="9"/>
        <v>0</v>
      </c>
    </row>
    <row r="40" spans="1:35" x14ac:dyDescent="0.25">
      <c r="A40" s="8" t="s">
        <v>135</v>
      </c>
      <c r="B40" s="34">
        <f>FollowingDressingLoss</f>
        <v>0</v>
      </c>
      <c r="G40" s="3">
        <f t="shared" ca="1" si="4"/>
        <v>40</v>
      </c>
      <c r="H40" s="97">
        <f t="shared" ca="1" si="6"/>
        <v>45330</v>
      </c>
      <c r="I40" s="121">
        <f ca="1">HLOOKUP($H$4,'Met Data'!$A$2:$F$368,G40,FALSE)</f>
        <v>17.483333333333299</v>
      </c>
      <c r="J40" s="121">
        <f ca="1">HLOOKUP($H$4,'Met Data'!$H$2:$M$368,G40,FALSE)*L40</f>
        <v>2.69999999999999</v>
      </c>
      <c r="K40" s="98">
        <f ca="1">HLOOKUP($H$4,'Met Data'!$O$2:$T$368,G40,FALSE)</f>
        <v>3.8024866154372199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45375</v>
      </c>
      <c r="Q40">
        <f ca="1"/>
        <v>118.72924604882988</v>
      </c>
      <c r="R40">
        <f ca="1"/>
        <v>0.71595146877040206</v>
      </c>
      <c r="S40">
        <f ca="1"/>
        <v>-4.3588821797094113E-2</v>
      </c>
      <c r="T40">
        <f ca="1"/>
        <v>0</v>
      </c>
      <c r="U40">
        <f ca="1"/>
        <v>0</v>
      </c>
      <c r="V40">
        <f ca="1"/>
        <v>16.809584747096899</v>
      </c>
      <c r="W40">
        <f ca="1"/>
        <v>4.2754813378485501</v>
      </c>
      <c r="X40">
        <f ca="1"/>
        <v>2.2371296763514703</v>
      </c>
      <c r="Y40">
        <f ca="1"/>
        <v>1</v>
      </c>
      <c r="Z40">
        <f ca="1"/>
        <v>5.95019362599011</v>
      </c>
      <c r="AA40">
        <f ca="1"/>
        <v>0</v>
      </c>
      <c r="AB40">
        <f ca="1"/>
        <v>0.55380379157423598</v>
      </c>
      <c r="AD40" s="2">
        <f t="shared" ca="1" si="2"/>
        <v>45375</v>
      </c>
      <c r="AE40">
        <f t="shared" ca="1" si="3"/>
        <v>0</v>
      </c>
      <c r="AG40" s="65">
        <f t="shared" ca="1" si="7"/>
        <v>121.68232719395175</v>
      </c>
      <c r="AH40" s="65">
        <f t="shared" ca="1" si="8"/>
        <v>121.68232719395175</v>
      </c>
      <c r="AI40" s="3">
        <f t="shared" ca="1" si="9"/>
        <v>0</v>
      </c>
    </row>
    <row r="41" spans="1:35" x14ac:dyDescent="0.25">
      <c r="A41" s="8" t="s">
        <v>136</v>
      </c>
      <c r="B41" s="34">
        <f>FollowingMoistureLoss</f>
        <v>0</v>
      </c>
      <c r="G41" s="3">
        <f t="shared" ca="1" si="4"/>
        <v>41</v>
      </c>
      <c r="H41" s="97">
        <f t="shared" ca="1" si="6"/>
        <v>45331</v>
      </c>
      <c r="I41" s="121">
        <f ca="1">HLOOKUP($H$4,'Met Data'!$A$2:$F$368,G41,FALSE)</f>
        <v>17.5625</v>
      </c>
      <c r="J41" s="121">
        <f ca="1">HLOOKUP($H$4,'Met Data'!$H$2:$M$368,G41,FALSE)*L41</f>
        <v>0.51666666666666605</v>
      </c>
      <c r="K41" s="98">
        <f ca="1">HLOOKUP($H$4,'Met Data'!$O$2:$T$368,G41,FALSE)</f>
        <v>3.9226252937625699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45376</v>
      </c>
      <c r="Q41">
        <f ca="1"/>
        <v>114.88111061292088</v>
      </c>
      <c r="R41">
        <f ca="1"/>
        <v>0.753175313432767</v>
      </c>
      <c r="S41">
        <f ca="1"/>
        <v>-3.8147333071936629E-2</v>
      </c>
      <c r="T41">
        <f ca="1"/>
        <v>0</v>
      </c>
      <c r="U41">
        <f ca="1"/>
        <v>0</v>
      </c>
      <c r="V41">
        <f ca="1"/>
        <v>17.562760060529602</v>
      </c>
      <c r="W41">
        <f ca="1"/>
        <v>4.4670498414825399</v>
      </c>
      <c r="X41">
        <f ca="1"/>
        <v>3.0568127894043076</v>
      </c>
      <c r="Y41">
        <f ca="1"/>
        <v>1</v>
      </c>
      <c r="Z41">
        <f ca="1"/>
        <v>8.4026807955369804</v>
      </c>
      <c r="AA41">
        <f ca="1"/>
        <v>0</v>
      </c>
      <c r="AB41">
        <f ca="1"/>
        <v>0.62288842619228002</v>
      </c>
      <c r="AD41" s="2">
        <f t="shared" ca="1" si="2"/>
        <v>45376</v>
      </c>
      <c r="AE41">
        <f t="shared" ca="1" si="3"/>
        <v>0</v>
      </c>
      <c r="AG41" s="65">
        <f t="shared" ca="1" si="7"/>
        <v>118.69109871575795</v>
      </c>
      <c r="AH41" s="65">
        <f t="shared" ca="1" si="8"/>
        <v>118.69109871575795</v>
      </c>
      <c r="AI41" s="3">
        <f t="shared" ca="1" si="9"/>
        <v>0</v>
      </c>
    </row>
    <row r="42" spans="1:35" x14ac:dyDescent="0.25">
      <c r="A42" s="8" t="s">
        <v>137</v>
      </c>
      <c r="B42" s="36">
        <f ca="1">FollowingEstablishDate</f>
        <v>45497</v>
      </c>
      <c r="G42" s="3">
        <f t="shared" ca="1" si="4"/>
        <v>42</v>
      </c>
      <c r="H42" s="97">
        <f t="shared" ca="1" si="6"/>
        <v>45332</v>
      </c>
      <c r="I42" s="121">
        <f ca="1">HLOOKUP($H$4,'Met Data'!$A$2:$F$368,G42,FALSE)</f>
        <v>17.7083333333333</v>
      </c>
      <c r="J42" s="121">
        <f ca="1">HLOOKUP($H$4,'Met Data'!$H$2:$M$368,G42,FALSE)*L42</f>
        <v>2.7333333333333298</v>
      </c>
      <c r="K42" s="98">
        <f ca="1">HLOOKUP($H$4,'Met Data'!$O$2:$T$368,G42,FALSE)</f>
        <v>3.6312925833969301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45377</v>
      </c>
      <c r="Q42">
        <f ca="1"/>
        <v>112.99857616533484</v>
      </c>
      <c r="R42">
        <f ca="1"/>
        <v>0.79832478012123398</v>
      </c>
      <c r="S42">
        <f ca="1"/>
        <v>-3.3210825728994919E-2</v>
      </c>
      <c r="T42">
        <f ca="1"/>
        <v>0</v>
      </c>
      <c r="U42">
        <f ca="1"/>
        <v>0</v>
      </c>
      <c r="V42">
        <f ca="1"/>
        <v>18.3610848406509</v>
      </c>
      <c r="W42">
        <f ca="1"/>
        <v>4.6701020138177203</v>
      </c>
      <c r="X42">
        <f ca="1"/>
        <v>1.0509988417358023</v>
      </c>
      <c r="Y42">
        <f ca="1"/>
        <v>1</v>
      </c>
      <c r="Z42">
        <f ca="1"/>
        <v>2.9371553371508838</v>
      </c>
      <c r="AA42">
        <f ca="1"/>
        <v>0</v>
      </c>
      <c r="AB42">
        <f ca="1"/>
        <v>0.68830716436719097</v>
      </c>
      <c r="AD42" s="2">
        <f t="shared" ca="1" si="2"/>
        <v>45377</v>
      </c>
      <c r="AE42">
        <f t="shared" ca="1" si="3"/>
        <v>0</v>
      </c>
      <c r="AG42" s="65">
        <f t="shared" ca="1" si="7"/>
        <v>114.84789978719188</v>
      </c>
      <c r="AH42" s="65">
        <f t="shared" ca="1" si="8"/>
        <v>114.84789978719188</v>
      </c>
      <c r="AI42" s="3">
        <f t="shared" ca="1" si="9"/>
        <v>0</v>
      </c>
    </row>
    <row r="43" spans="1:35" x14ac:dyDescent="0.25">
      <c r="A43" s="8" t="s">
        <v>138</v>
      </c>
      <c r="B43" s="34" t="str">
        <f>FollowingEstablishStage</f>
        <v>Seed</v>
      </c>
      <c r="G43" s="3">
        <f t="shared" ca="1" si="4"/>
        <v>43</v>
      </c>
      <c r="H43" s="97">
        <f t="shared" ca="1" si="6"/>
        <v>45333</v>
      </c>
      <c r="I43" s="121">
        <f ca="1">HLOOKUP($H$4,'Met Data'!$A$2:$F$368,G43,FALSE)</f>
        <v>17.654166666666601</v>
      </c>
      <c r="J43" s="121">
        <f ca="1">HLOOKUP($H$4,'Met Data'!$H$2:$M$368,G43,FALSE)*L43</f>
        <v>5.3166666666666602</v>
      </c>
      <c r="K43" s="98">
        <f ca="1">HLOOKUP($H$4,'Met Data'!$O$2:$T$368,G43,FALSE)</f>
        <v>3.7825096271499201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45378</v>
      </c>
      <c r="Q43">
        <f ca="1"/>
        <v>111.75176497568926</v>
      </c>
      <c r="R43">
        <f ca="1"/>
        <v>0.76822997288230999</v>
      </c>
      <c r="S43">
        <f ca="1"/>
        <v>-2.5297991017675159E-2</v>
      </c>
      <c r="T43">
        <f ca="1"/>
        <v>0</v>
      </c>
      <c r="U43">
        <f ca="1"/>
        <v>0</v>
      </c>
      <c r="V43">
        <f ca="1"/>
        <v>19.129314813533199</v>
      </c>
      <c r="W43">
        <f ca="1"/>
        <v>4.86549963735518</v>
      </c>
      <c r="X43">
        <f ca="1"/>
        <v>0.45328322574559243</v>
      </c>
      <c r="Y43">
        <f ca="1"/>
        <v>1</v>
      </c>
      <c r="Z43">
        <f ca="1"/>
        <v>1.2808931592196444</v>
      </c>
      <c r="AA43">
        <f ca="1"/>
        <v>0</v>
      </c>
      <c r="AB43">
        <f ca="1"/>
        <v>0.742787355238688</v>
      </c>
      <c r="AD43" s="2">
        <f t="shared" ca="1" si="2"/>
        <v>45378</v>
      </c>
      <c r="AE43">
        <f t="shared" ca="1" si="3"/>
        <v>0</v>
      </c>
      <c r="AG43" s="65">
        <f t="shared" ca="1" si="7"/>
        <v>112.97327817431716</v>
      </c>
      <c r="AH43" s="65">
        <f t="shared" ca="1" si="8"/>
        <v>112.97327817431716</v>
      </c>
      <c r="AI43" s="3">
        <f t="shared" ca="1" si="9"/>
        <v>0</v>
      </c>
    </row>
    <row r="44" spans="1:35" x14ac:dyDescent="0.25">
      <c r="A44" s="8" t="s">
        <v>139</v>
      </c>
      <c r="B44" s="36">
        <f ca="1">FollowingHarvestDate</f>
        <v>45617</v>
      </c>
      <c r="G44" s="3">
        <f t="shared" ca="1" si="4"/>
        <v>44</v>
      </c>
      <c r="H44" s="97">
        <f t="shared" ca="1" si="6"/>
        <v>45334</v>
      </c>
      <c r="I44" s="121">
        <f ca="1">HLOOKUP($H$4,'Met Data'!$A$2:$F$368,G44,FALSE)</f>
        <v>18.245833333333302</v>
      </c>
      <c r="J44" s="121">
        <f ca="1">HLOOKUP($H$4,'Met Data'!$H$2:$M$368,G44,FALSE)*L44</f>
        <v>1.8</v>
      </c>
      <c r="K44" s="98">
        <f ca="1">HLOOKUP($H$4,'Met Data'!$O$2:$T$368,G44,FALSE)</f>
        <v>3.5345089397679601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45379</v>
      </c>
      <c r="Q44">
        <f ca="1"/>
        <v>109.38658670261613</v>
      </c>
      <c r="R44">
        <f ca="1"/>
        <v>0.82021177243321797</v>
      </c>
      <c r="S44">
        <f ca="1"/>
        <v>-2.183864081407183E-2</v>
      </c>
      <c r="T44">
        <f ca="1"/>
        <v>0</v>
      </c>
      <c r="U44">
        <f ca="1"/>
        <v>0</v>
      </c>
      <c r="V44">
        <f ca="1"/>
        <v>19.949526585966399</v>
      </c>
      <c r="W44">
        <f ca="1"/>
        <v>5.0741187186044998</v>
      </c>
      <c r="X44">
        <f ca="1"/>
        <v>1.5231278598258493</v>
      </c>
      <c r="Y44">
        <f ca="1"/>
        <v>1</v>
      </c>
      <c r="Z44">
        <f ca="1"/>
        <v>4.3971364287634316</v>
      </c>
      <c r="AA44">
        <f ca="1"/>
        <v>0</v>
      </c>
      <c r="AB44">
        <f ca="1"/>
        <v>0.79180833550265095</v>
      </c>
      <c r="AD44" s="2">
        <f t="shared" ca="1" si="2"/>
        <v>45379</v>
      </c>
      <c r="AE44">
        <f t="shared" ca="1" si="3"/>
        <v>0</v>
      </c>
      <c r="AG44" s="65">
        <f t="shared" ca="1" si="7"/>
        <v>111.72992633487519</v>
      </c>
      <c r="AH44" s="65">
        <f t="shared" ca="1" si="8"/>
        <v>111.72992633487519</v>
      </c>
      <c r="AI44" s="3">
        <f t="shared" ca="1" si="9"/>
        <v>0</v>
      </c>
    </row>
    <row r="45" spans="1:35" x14ac:dyDescent="0.25">
      <c r="A45" s="8" t="s">
        <v>140</v>
      </c>
      <c r="B45" s="34" t="str">
        <f>FollowingHarvestStage</f>
        <v>EarlyReproductive</v>
      </c>
      <c r="G45" s="3">
        <f t="shared" ca="1" si="4"/>
        <v>45</v>
      </c>
      <c r="H45" s="97">
        <f t="shared" ca="1" si="6"/>
        <v>45335</v>
      </c>
      <c r="I45" s="121">
        <f ca="1">HLOOKUP($H$4,'Met Data'!$A$2:$F$368,G45,FALSE)</f>
        <v>18.674999999999901</v>
      </c>
      <c r="J45" s="121">
        <f ca="1">HLOOKUP($H$4,'Met Data'!$H$2:$M$368,G45,FALSE)*L45</f>
        <v>0.44999999999999901</v>
      </c>
      <c r="K45" s="98">
        <f ca="1">HLOOKUP($H$4,'Met Data'!$O$2:$T$368,G45,FALSE)</f>
        <v>3.2860966338213999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45380</v>
      </c>
      <c r="Q45">
        <f ca="1"/>
        <v>107.17228881344899</v>
      </c>
      <c r="R45">
        <f ca="1"/>
        <v>0.86547716809397501</v>
      </c>
      <c r="S45">
        <f ca="1"/>
        <v>-1.8018424952551904E-2</v>
      </c>
      <c r="T45">
        <f ca="1"/>
        <v>0</v>
      </c>
      <c r="U45">
        <f ca="1"/>
        <v>0</v>
      </c>
      <c r="V45">
        <f ca="1"/>
        <v>20.815003754060399</v>
      </c>
      <c r="W45">
        <f ca="1"/>
        <v>5.2942509548371</v>
      </c>
      <c r="X45">
        <f ca="1"/>
        <v>1.3308022961206103</v>
      </c>
      <c r="Y45">
        <f ca="1"/>
        <v>1</v>
      </c>
      <c r="Z45">
        <f ca="1"/>
        <v>3.9212875018577478</v>
      </c>
      <c r="AA45">
        <f ca="1"/>
        <v>0</v>
      </c>
      <c r="AB45">
        <f ca="1"/>
        <v>0.83410311187687602</v>
      </c>
      <c r="AD45" s="2">
        <f t="shared" ca="1" si="2"/>
        <v>45380</v>
      </c>
      <c r="AE45">
        <f t="shared" ca="1" si="3"/>
        <v>0</v>
      </c>
      <c r="AG45" s="65">
        <f t="shared" ca="1" si="7"/>
        <v>109.36856827766357</v>
      </c>
      <c r="AH45" s="65">
        <f t="shared" ca="1" si="8"/>
        <v>109.36856827766357</v>
      </c>
      <c r="AI45" s="3">
        <f t="shared" ca="1" si="9"/>
        <v>0</v>
      </c>
    </row>
    <row r="46" spans="1:35" ht="15.75" thickBot="1" x14ac:dyDescent="0.3">
      <c r="A46" s="9" t="s">
        <v>175</v>
      </c>
      <c r="B46" s="35" t="str">
        <f>FollowingResidueRemoval</f>
        <v>None removed</v>
      </c>
      <c r="G46" s="3">
        <f t="shared" ca="1" si="4"/>
        <v>46</v>
      </c>
      <c r="H46" s="97">
        <f t="shared" ca="1" si="6"/>
        <v>45336</v>
      </c>
      <c r="I46" s="121">
        <f ca="1">HLOOKUP($H$4,'Met Data'!$A$2:$F$368,G46,FALSE)</f>
        <v>18.670833333333299</v>
      </c>
      <c r="J46" s="121">
        <f ca="1">HLOOKUP($H$4,'Met Data'!$H$2:$M$368,G46,FALSE)*L46</f>
        <v>1.13333333333333</v>
      </c>
      <c r="K46" s="98">
        <f ca="1">HLOOKUP($H$4,'Met Data'!$O$2:$T$368,G46,FALSE)</f>
        <v>3.8932908527116399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45381</v>
      </c>
      <c r="Q46">
        <f ca="1"/>
        <v>105.10319153482496</v>
      </c>
      <c r="R46">
        <f ca="1"/>
        <v>0.87242201359126204</v>
      </c>
      <c r="S46">
        <f ca="1"/>
        <v>-1.3570222474001525E-2</v>
      </c>
      <c r="T46">
        <f ca="1"/>
        <v>0</v>
      </c>
      <c r="U46">
        <f ca="1"/>
        <v>0</v>
      </c>
      <c r="V46">
        <f ca="1"/>
        <v>21.6874257676516</v>
      </c>
      <c r="W46">
        <f ca="1"/>
        <v>5.5161495974244401</v>
      </c>
      <c r="X46">
        <f ca="1"/>
        <v>1.1831050425587653</v>
      </c>
      <c r="Y46">
        <f ca="1"/>
        <v>1</v>
      </c>
      <c r="Z46">
        <f ca="1"/>
        <v>3.5547171617426585</v>
      </c>
      <c r="AA46">
        <f ca="1"/>
        <v>0</v>
      </c>
      <c r="AB46">
        <f ca="1"/>
        <v>0.868235686664526</v>
      </c>
      <c r="AD46" s="2">
        <f t="shared" ca="1" si="2"/>
        <v>45381</v>
      </c>
      <c r="AE46">
        <f t="shared" ca="1" si="3"/>
        <v>0</v>
      </c>
      <c r="AG46" s="65">
        <f t="shared" ca="1" si="7"/>
        <v>107.15871859097498</v>
      </c>
      <c r="AH46" s="65">
        <f t="shared" ca="1" si="8"/>
        <v>107.15871859097498</v>
      </c>
      <c r="AI46" s="3">
        <f t="shared" ca="1" si="9"/>
        <v>0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47</v>
      </c>
      <c r="H47" s="97">
        <f t="shared" ca="1" si="6"/>
        <v>45337</v>
      </c>
      <c r="I47" s="121">
        <f ca="1">HLOOKUP($H$4,'Met Data'!$A$2:$F$368,G47,FALSE)</f>
        <v>18.1666666666666</v>
      </c>
      <c r="J47" s="121">
        <f ca="1">HLOOKUP($H$4,'Met Data'!$H$2:$M$368,G47,FALSE)*L47</f>
        <v>1.7333333333333301</v>
      </c>
      <c r="K47" s="98">
        <f ca="1">HLOOKUP($H$4,'Met Data'!$O$2:$T$368,G47,FALSE)</f>
        <v>3.7918051722380999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45382</v>
      </c>
      <c r="Q47">
        <f ca="1"/>
        <v>103.6962822224676</v>
      </c>
      <c r="R47">
        <f ca="1"/>
        <v>0.89255249472655196</v>
      </c>
      <c r="S47">
        <f ca="1"/>
        <v>-9.9992902824528329E-3</v>
      </c>
      <c r="T47">
        <f ca="1"/>
        <v>0</v>
      </c>
      <c r="U47">
        <f ca="1"/>
        <v>0</v>
      </c>
      <c r="V47">
        <f ca="1"/>
        <v>22.579978262378201</v>
      </c>
      <c r="W47">
        <f ca="1"/>
        <v>5.7431683841266299</v>
      </c>
      <c r="X47">
        <f ca="1"/>
        <v>0.50435752734834338</v>
      </c>
      <c r="Y47">
        <f ca="1"/>
        <v>1</v>
      </c>
      <c r="Z47">
        <f ca="1"/>
        <v>1.5359354713248763</v>
      </c>
      <c r="AA47">
        <f ca="1"/>
        <v>0</v>
      </c>
      <c r="AB47">
        <f ca="1"/>
        <v>0.89582844144074503</v>
      </c>
      <c r="AD47" s="2">
        <f t="shared" ca="1" si="2"/>
        <v>45382</v>
      </c>
      <c r="AE47">
        <f t="shared" ca="1" si="3"/>
        <v>0</v>
      </c>
      <c r="AG47" s="65">
        <f t="shared" ca="1" si="7"/>
        <v>105.09319224454251</v>
      </c>
      <c r="AH47" s="65">
        <f t="shared" ca="1" si="8"/>
        <v>105.09319224454251</v>
      </c>
      <c r="AI47" s="3">
        <f t="shared" ca="1" si="9"/>
        <v>0</v>
      </c>
    </row>
    <row r="48" spans="1:35" x14ac:dyDescent="0.25">
      <c r="A48" s="14"/>
      <c r="B48" s="15"/>
      <c r="G48" s="3">
        <f t="shared" ca="1" si="4"/>
        <v>48</v>
      </c>
      <c r="H48" s="97">
        <f t="shared" ca="1" si="6"/>
        <v>45338</v>
      </c>
      <c r="I48" s="121">
        <f ca="1">HLOOKUP($H$4,'Met Data'!$A$2:$F$368,G48,FALSE)</f>
        <v>17.879166666666599</v>
      </c>
      <c r="J48" s="121">
        <f ca="1">HLOOKUP($H$4,'Met Data'!$H$2:$M$368,G48,FALSE)*L48</f>
        <v>0.73333333333333295</v>
      </c>
      <c r="K48" s="98">
        <f ca="1">HLOOKUP($H$4,'Met Data'!$O$2:$T$368,G48,FALSE)</f>
        <v>3.8813294167315999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45383</v>
      </c>
      <c r="Q48">
        <f ca="1"/>
        <v>102.79596856451059</v>
      </c>
      <c r="R48">
        <f ca="1"/>
        <v>0.89361222676141205</v>
      </c>
      <c r="S48">
        <f ca="1"/>
        <v>-6.7014311956157258E-3</v>
      </c>
      <c r="T48">
        <f ca="1"/>
        <v>0</v>
      </c>
      <c r="U48">
        <f ca="1"/>
        <v>0</v>
      </c>
      <c r="V48">
        <f ca="1"/>
        <v>23.4735904891396</v>
      </c>
      <c r="W48">
        <f ca="1"/>
        <v>5.9704567113681204</v>
      </c>
      <c r="X48">
        <f ca="1"/>
        <v>0</v>
      </c>
      <c r="Y48">
        <f ca="1"/>
        <v>0.99107115901385912</v>
      </c>
      <c r="Z48">
        <f ca="1"/>
        <v>0</v>
      </c>
      <c r="AA48">
        <f ca="1"/>
        <v>0</v>
      </c>
      <c r="AB48">
        <f ca="1"/>
        <v>0.91747539606032202</v>
      </c>
      <c r="AD48" s="2">
        <f t="shared" ca="1" si="2"/>
        <v>45383</v>
      </c>
      <c r="AE48">
        <f t="shared" ca="1" si="3"/>
        <v>0</v>
      </c>
      <c r="AG48" s="65">
        <f t="shared" ca="1" si="7"/>
        <v>103.68958079127199</v>
      </c>
      <c r="AH48" s="65">
        <f t="shared" ca="1" si="8"/>
        <v>103.68958079127199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ca="1" si="4"/>
        <v>49</v>
      </c>
      <c r="H49" s="97">
        <f t="shared" ca="1" si="6"/>
        <v>45339</v>
      </c>
      <c r="I49" s="121">
        <f ca="1">HLOOKUP($H$4,'Met Data'!$A$2:$F$368,G49,FALSE)</f>
        <v>18.2083333333333</v>
      </c>
      <c r="J49" s="121">
        <f ca="1">HLOOKUP($H$4,'Met Data'!$H$2:$M$368,G49,FALSE)*L49</f>
        <v>2.8833333333333302</v>
      </c>
      <c r="K49" s="98">
        <f ca="1">HLOOKUP($H$4,'Met Data'!$O$2:$T$368,G49,FALSE)</f>
        <v>3.5062121478789399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45384</v>
      </c>
      <c r="Q49">
        <f ca="1"/>
        <v>98.875987367019604</v>
      </c>
      <c r="R49">
        <f ca="1"/>
        <v>0.98647224424879798</v>
      </c>
      <c r="S49">
        <f ca="1"/>
        <v>-4.3215148093747047E-3</v>
      </c>
      <c r="T49">
        <f ca="1"/>
        <v>0</v>
      </c>
      <c r="U49">
        <f ca="1"/>
        <v>0</v>
      </c>
      <c r="V49">
        <f ca="1"/>
        <v>24.460062733388401</v>
      </c>
      <c r="W49">
        <f ca="1"/>
        <v>6.22136378218792</v>
      </c>
      <c r="X49">
        <f ca="1"/>
        <v>2.929187438432804</v>
      </c>
      <c r="Y49">
        <f ca="1"/>
        <v>1</v>
      </c>
      <c r="Z49">
        <f ca="1"/>
        <v>9.3552194434382443</v>
      </c>
      <c r="AA49">
        <f ca="1"/>
        <v>0</v>
      </c>
      <c r="AB49">
        <f ca="1"/>
        <v>0.93593062395403603</v>
      </c>
      <c r="AD49" s="2">
        <f t="shared" ca="1" si="2"/>
        <v>45384</v>
      </c>
      <c r="AE49">
        <f t="shared" ca="1" si="3"/>
        <v>0</v>
      </c>
      <c r="AG49" s="65">
        <f t="shared" ca="1" si="7"/>
        <v>102.79164704970121</v>
      </c>
      <c r="AH49" s="65">
        <f t="shared" ca="1" si="8"/>
        <v>102.79164704970121</v>
      </c>
      <c r="AI49" s="3">
        <f t="shared" ca="1" si="9"/>
        <v>0</v>
      </c>
    </row>
    <row r="50" spans="1:35" x14ac:dyDescent="0.25">
      <c r="G50" s="3">
        <f t="shared" ca="1" si="4"/>
        <v>50</v>
      </c>
      <c r="H50" s="97">
        <f t="shared" ca="1" si="6"/>
        <v>45340</v>
      </c>
      <c r="I50" s="121">
        <f ca="1">HLOOKUP($H$4,'Met Data'!$A$2:$F$368,G50,FALSE)</f>
        <v>18.529166666666601</v>
      </c>
      <c r="J50" s="121">
        <f ca="1">HLOOKUP($H$4,'Met Data'!$H$2:$M$368,G50,FALSE)*L50</f>
        <v>2.85</v>
      </c>
      <c r="K50" s="98">
        <f ca="1">HLOOKUP($H$4,'Met Data'!$O$2:$T$368,G50,FALSE)</f>
        <v>3.5342235016405201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45385</v>
      </c>
      <c r="Q50">
        <f ca="1"/>
        <v>93.726363972869706</v>
      </c>
      <c r="R50">
        <f ca="1"/>
        <v>1.00863989151769</v>
      </c>
      <c r="S50">
        <f ca="1"/>
        <v>-1.4876769554028613E-3</v>
      </c>
      <c r="T50">
        <f ca="1"/>
        <v>0</v>
      </c>
      <c r="U50">
        <f ca="1"/>
        <v>0</v>
      </c>
      <c r="V50">
        <f ca="1"/>
        <v>25.468702624906101</v>
      </c>
      <c r="W50">
        <f ca="1"/>
        <v>6.4779091459000302</v>
      </c>
      <c r="X50">
        <f ca="1"/>
        <v>4.1394958256768035</v>
      </c>
      <c r="Y50">
        <f ca="1"/>
        <v>1</v>
      </c>
      <c r="Z50">
        <f ca="1"/>
        <v>13.947081191444198</v>
      </c>
      <c r="AA50">
        <f ca="1"/>
        <v>0</v>
      </c>
      <c r="AB50">
        <f ca="1"/>
        <v>0.95027691655157498</v>
      </c>
      <c r="AD50" s="2">
        <f t="shared" ca="1" si="2"/>
        <v>45385</v>
      </c>
      <c r="AE50">
        <f t="shared" ca="1" si="3"/>
        <v>0</v>
      </c>
      <c r="AG50" s="65">
        <f t="shared" ca="1" si="7"/>
        <v>98.874499690064198</v>
      </c>
      <c r="AH50" s="65">
        <f t="shared" ca="1" si="8"/>
        <v>98.874499690064198</v>
      </c>
      <c r="AI50" s="3">
        <f t="shared" ca="1" si="9"/>
        <v>0</v>
      </c>
    </row>
    <row r="51" spans="1:35" x14ac:dyDescent="0.25">
      <c r="G51" s="3">
        <f t="shared" ca="1" si="4"/>
        <v>51</v>
      </c>
      <c r="H51" s="97">
        <f t="shared" ca="1" si="6"/>
        <v>45341</v>
      </c>
      <c r="I51" s="121">
        <f ca="1">HLOOKUP($H$4,'Met Data'!$A$2:$F$368,G51,FALSE)</f>
        <v>18.925000000000001</v>
      </c>
      <c r="J51" s="121">
        <f ca="1">HLOOKUP($H$4,'Met Data'!$H$2:$M$368,G51,FALSE)*L51</f>
        <v>3.86666666666666</v>
      </c>
      <c r="K51" s="98">
        <f ca="1">HLOOKUP($H$4,'Met Data'!$O$2:$T$368,G51,FALSE)</f>
        <v>3.6338116563958698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45386</v>
      </c>
      <c r="Q51">
        <f ca="1"/>
        <v>90.159212459520333</v>
      </c>
      <c r="R51">
        <f ca="1"/>
        <v>0.96752290093054005</v>
      </c>
      <c r="S51">
        <f ca="1"/>
        <v>8.3977068078944228E-4</v>
      </c>
      <c r="T51">
        <f ca="1"/>
        <v>0</v>
      </c>
      <c r="U51">
        <f ca="1"/>
        <v>0</v>
      </c>
      <c r="V51">
        <f ca="1"/>
        <v>26.436225525836601</v>
      </c>
      <c r="W51">
        <f ca="1"/>
        <v>6.72399649244106</v>
      </c>
      <c r="X51">
        <f ca="1"/>
        <v>2.6004683830996158</v>
      </c>
      <c r="Y51">
        <f ca="1"/>
        <v>1</v>
      </c>
      <c r="Z51">
        <f ca="1"/>
        <v>9.1083375689440516</v>
      </c>
      <c r="AA51">
        <f ca="1"/>
        <v>0</v>
      </c>
      <c r="AB51">
        <f ca="1"/>
        <v>0.96079100565263997</v>
      </c>
      <c r="AD51" s="2">
        <f t="shared" ca="1" si="2"/>
        <v>45386</v>
      </c>
      <c r="AE51">
        <f t="shared" ca="1" si="3"/>
        <v>0</v>
      </c>
      <c r="AG51" s="65">
        <f t="shared" ca="1" si="7"/>
        <v>93.72720374355049</v>
      </c>
      <c r="AH51" s="65">
        <f t="shared" ca="1" si="8"/>
        <v>93.72720374355049</v>
      </c>
      <c r="AI51" s="3">
        <f t="shared" ca="1" si="9"/>
        <v>0</v>
      </c>
    </row>
    <row r="52" spans="1:35" x14ac:dyDescent="0.25">
      <c r="G52" s="3">
        <f t="shared" ca="1" si="4"/>
        <v>52</v>
      </c>
      <c r="H52" s="97">
        <f t="shared" ca="1" si="6"/>
        <v>45342</v>
      </c>
      <c r="I52" s="121">
        <f ca="1">HLOOKUP($H$4,'Met Data'!$A$2:$F$368,G52,FALSE)</f>
        <v>19.195833333333301</v>
      </c>
      <c r="J52" s="121">
        <f ca="1">HLOOKUP($H$4,'Met Data'!$H$2:$M$368,G52,FALSE)*L52</f>
        <v>1.18333333333333</v>
      </c>
      <c r="K52" s="98">
        <f ca="1">HLOOKUP($H$4,'Met Data'!$O$2:$T$368,G52,FALSE)</f>
        <v>3.7477053916930299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45387</v>
      </c>
      <c r="Q52">
        <f ca="1"/>
        <v>88.812239144823366</v>
      </c>
      <c r="R52">
        <f ca="1"/>
        <v>0.96558171665326897</v>
      </c>
      <c r="S52">
        <f ca="1"/>
        <v>2.6242731471679548E-3</v>
      </c>
      <c r="T52">
        <f ca="1"/>
        <v>0</v>
      </c>
      <c r="U52">
        <f ca="1"/>
        <v>0</v>
      </c>
      <c r="V52">
        <f ca="1"/>
        <v>27.401807242489902</v>
      </c>
      <c r="W52">
        <f ca="1"/>
        <v>6.9695901029811296</v>
      </c>
      <c r="X52">
        <f ca="1"/>
        <v>0.38401587119084862</v>
      </c>
      <c r="Y52">
        <f ca="1"/>
        <v>1</v>
      </c>
      <c r="Z52">
        <f ca="1"/>
        <v>1.3654443466062531</v>
      </c>
      <c r="AA52">
        <f ca="1"/>
        <v>0</v>
      </c>
      <c r="AB52">
        <f ca="1"/>
        <v>0.96888949122518397</v>
      </c>
      <c r="AD52" s="2">
        <f t="shared" ca="1" si="2"/>
        <v>45387</v>
      </c>
      <c r="AE52">
        <f t="shared" ca="1" si="3"/>
        <v>0</v>
      </c>
      <c r="AG52" s="65">
        <f t="shared" ca="1" si="7"/>
        <v>90.161836732667496</v>
      </c>
      <c r="AH52" s="65">
        <f t="shared" ca="1" si="8"/>
        <v>90.161836732667496</v>
      </c>
      <c r="AI52" s="3">
        <f t="shared" ca="1" si="9"/>
        <v>0</v>
      </c>
    </row>
    <row r="53" spans="1:35" x14ac:dyDescent="0.25">
      <c r="G53" s="3">
        <f t="shared" ca="1" si="4"/>
        <v>53</v>
      </c>
      <c r="H53" s="97">
        <f t="shared" ca="1" si="6"/>
        <v>45343</v>
      </c>
      <c r="I53" s="121">
        <f ca="1">HLOOKUP($H$4,'Met Data'!$A$2:$F$368,G53,FALSE)</f>
        <v>18.945833333333301</v>
      </c>
      <c r="J53" s="121">
        <f ca="1">HLOOKUP($H$4,'Met Data'!$H$2:$M$368,G53,FALSE)*L53</f>
        <v>1.3333333333333299</v>
      </c>
      <c r="K53" s="98">
        <f ca="1">HLOOKUP($H$4,'Met Data'!$O$2:$T$368,G53,FALSE)</f>
        <v>3.7395681594102799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45388</v>
      </c>
      <c r="Q53">
        <f ca="1"/>
        <v>87.48218366144566</v>
      </c>
      <c r="R53">
        <f ca="1"/>
        <v>0.92552661021272098</v>
      </c>
      <c r="S53">
        <f ca="1"/>
        <v>3.8670010856725057E-3</v>
      </c>
      <c r="T53">
        <f ca="1"/>
        <v>0</v>
      </c>
      <c r="U53">
        <f ca="1"/>
        <v>0</v>
      </c>
      <c r="V53">
        <f ca="1"/>
        <v>28.327333852702601</v>
      </c>
      <c r="W53">
        <f ca="1"/>
        <v>7.2049957842743604</v>
      </c>
      <c r="X53">
        <f ca="1"/>
        <v>0.408395874250641</v>
      </c>
      <c r="Y53">
        <f ca="1"/>
        <v>1</v>
      </c>
      <c r="Z53">
        <f ca="1"/>
        <v>1.4742100938347988</v>
      </c>
      <c r="AA53">
        <f ca="1"/>
        <v>0</v>
      </c>
      <c r="AB53">
        <f ca="1"/>
        <v>0.97494124214588096</v>
      </c>
      <c r="AD53" s="2">
        <f t="shared" ca="1" si="2"/>
        <v>45388</v>
      </c>
      <c r="AE53">
        <f t="shared" ca="1" si="3"/>
        <v>0</v>
      </c>
      <c r="AG53" s="65">
        <f t="shared" ca="1" si="7"/>
        <v>88.816106145909032</v>
      </c>
      <c r="AH53" s="65">
        <f t="shared" ca="1" si="8"/>
        <v>88.816106145909032</v>
      </c>
      <c r="AI53" s="3">
        <f t="shared" ca="1" si="9"/>
        <v>0</v>
      </c>
    </row>
    <row r="54" spans="1:35" x14ac:dyDescent="0.25">
      <c r="G54" s="3">
        <f t="shared" ca="1" si="4"/>
        <v>54</v>
      </c>
      <c r="H54" s="97">
        <f t="shared" ca="1" si="6"/>
        <v>45344</v>
      </c>
      <c r="I54" s="121">
        <f ca="1">HLOOKUP($H$4,'Met Data'!$A$2:$F$368,G54,FALSE)</f>
        <v>18.912499999999898</v>
      </c>
      <c r="J54" s="121">
        <f ca="1">HLOOKUP($H$4,'Met Data'!$H$2:$M$368,G54,FALSE)*L54</f>
        <v>6.18333333333333</v>
      </c>
      <c r="K54" s="98">
        <f ca="1">HLOOKUP($H$4,'Met Data'!$O$2:$T$368,G54,FALSE)</f>
        <v>3.0629444033618198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45389</v>
      </c>
      <c r="Q54">
        <f ca="1"/>
        <v>83.315625088183964</v>
      </c>
      <c r="R54">
        <f ca="1"/>
        <v>0.99892433873958497</v>
      </c>
      <c r="S54">
        <f ca="1"/>
        <v>5.5014830449264807E-3</v>
      </c>
      <c r="T54">
        <f ca="1"/>
        <v>0</v>
      </c>
      <c r="U54">
        <f ca="1"/>
        <v>0</v>
      </c>
      <c r="V54">
        <f ca="1"/>
        <v>29.3262581914422</v>
      </c>
      <c r="W54">
        <f ca="1"/>
        <v>7.4590700182581298</v>
      </c>
      <c r="X54">
        <f ca="1"/>
        <v>3.1731357175670349</v>
      </c>
      <c r="Y54">
        <f ca="1"/>
        <v>1</v>
      </c>
      <c r="Z54">
        <f ca="1"/>
        <v>12.027070037804663</v>
      </c>
      <c r="AA54">
        <f ca="1"/>
        <v>0</v>
      </c>
      <c r="AB54">
        <f ca="1"/>
        <v>0.98004099501547703</v>
      </c>
      <c r="AD54" s="2">
        <f t="shared" ca="1" si="2"/>
        <v>45389</v>
      </c>
      <c r="AE54">
        <f t="shared" ca="1" si="3"/>
        <v>0</v>
      </c>
      <c r="AG54" s="65">
        <f t="shared" ca="1" si="7"/>
        <v>87.487685144490584</v>
      </c>
      <c r="AH54" s="65">
        <f t="shared" ca="1" si="8"/>
        <v>87.487685144490584</v>
      </c>
      <c r="AI54" s="3">
        <f t="shared" ca="1" si="9"/>
        <v>0</v>
      </c>
    </row>
    <row r="55" spans="1:35" x14ac:dyDescent="0.25">
      <c r="G55" s="3">
        <f t="shared" ca="1" si="4"/>
        <v>55</v>
      </c>
      <c r="H55" s="97">
        <f t="shared" ca="1" si="6"/>
        <v>45345</v>
      </c>
      <c r="I55" s="121">
        <f ca="1">HLOOKUP($H$4,'Met Data'!$A$2:$F$368,G55,FALSE)</f>
        <v>17.745833333333302</v>
      </c>
      <c r="J55" s="121">
        <f ca="1">HLOOKUP($H$4,'Met Data'!$H$2:$M$368,G55,FALSE)*L55</f>
        <v>0.7</v>
      </c>
      <c r="K55" s="98">
        <f ca="1">HLOOKUP($H$4,'Met Data'!$O$2:$T$368,G55,FALSE)</f>
        <v>3.7397228058893299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45390</v>
      </c>
      <c r="Q55">
        <f ca="1"/>
        <v>79.577569586064612</v>
      </c>
      <c r="R55">
        <f ca="1"/>
        <v>1.07202956621517</v>
      </c>
      <c r="S55">
        <f ca="1"/>
        <v>7.2298238250887437E-3</v>
      </c>
      <c r="T55">
        <f ca="1"/>
        <v>0</v>
      </c>
      <c r="U55">
        <f ca="1"/>
        <v>0</v>
      </c>
      <c r="V55">
        <f ca="1"/>
        <v>30.3982877576574</v>
      </c>
      <c r="W55">
        <f ca="1"/>
        <v>7.7317384079259002</v>
      </c>
      <c r="X55">
        <f ca="1"/>
        <v>2.6732557597292681</v>
      </c>
      <c r="Y55">
        <f ca="1"/>
        <v>1</v>
      </c>
      <c r="Z55">
        <f ca="1"/>
        <v>10.608341443190056</v>
      </c>
      <c r="AA55">
        <f ca="1"/>
        <v>0</v>
      </c>
      <c r="AB55">
        <f ca="1"/>
        <v>0.98426017893737605</v>
      </c>
      <c r="AD55" s="2">
        <f t="shared" ca="1" si="2"/>
        <v>45390</v>
      </c>
      <c r="AE55">
        <f t="shared" ca="1" si="3"/>
        <v>0</v>
      </c>
      <c r="AG55" s="65">
        <f t="shared" ca="1" si="7"/>
        <v>83.322854912009049</v>
      </c>
      <c r="AH55" s="65">
        <f t="shared" ca="1" si="8"/>
        <v>83.322854912009049</v>
      </c>
      <c r="AI55" s="3">
        <f t="shared" ca="1" si="9"/>
        <v>0</v>
      </c>
    </row>
    <row r="56" spans="1:35" x14ac:dyDescent="0.25">
      <c r="G56" s="3">
        <f t="shared" ca="1" si="4"/>
        <v>56</v>
      </c>
      <c r="H56" s="97">
        <f t="shared" ca="1" si="6"/>
        <v>45346</v>
      </c>
      <c r="I56" s="121">
        <f ca="1">HLOOKUP($H$4,'Met Data'!$A$2:$F$368,G56,FALSE)</f>
        <v>16.945833333333301</v>
      </c>
      <c r="J56" s="121">
        <f ca="1">HLOOKUP($H$4,'Met Data'!$H$2:$M$368,G56,FALSE)*L56</f>
        <v>1.5999999999999901</v>
      </c>
      <c r="K56" s="98">
        <f ca="1">HLOOKUP($H$4,'Met Data'!$O$2:$T$368,G56,FALSE)</f>
        <v>3.5683594386422701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45391</v>
      </c>
      <c r="Q56">
        <f ca="1"/>
        <v>75.863563331317067</v>
      </c>
      <c r="R56">
        <f ca="1"/>
        <v>1.1187715491936401</v>
      </c>
      <c r="S56">
        <f ca="1"/>
        <v>8.7457626611850969E-3</v>
      </c>
      <c r="T56">
        <f ca="1"/>
        <v>0</v>
      </c>
      <c r="U56">
        <f ca="1"/>
        <v>0</v>
      </c>
      <c r="V56">
        <f ca="1"/>
        <v>31.517059306850999</v>
      </c>
      <c r="W56">
        <f ca="1"/>
        <v>8.0162955193512406</v>
      </c>
      <c r="X56">
        <f ca="1"/>
        <v>2.6039804682150951</v>
      </c>
      <c r="Y56">
        <f ca="1"/>
        <v>1</v>
      </c>
      <c r="Z56">
        <f ca="1"/>
        <v>10.839322402381185</v>
      </c>
      <c r="AA56">
        <f ca="1"/>
        <v>0</v>
      </c>
      <c r="AB56">
        <f ca="1"/>
        <v>0.98762698059779297</v>
      </c>
      <c r="AD56" s="2">
        <f t="shared" ca="1" si="2"/>
        <v>45391</v>
      </c>
      <c r="AE56">
        <f t="shared" ca="1" si="3"/>
        <v>0</v>
      </c>
      <c r="AG56" s="65">
        <f t="shared" ca="1" si="7"/>
        <v>79.586315348725805</v>
      </c>
      <c r="AH56" s="65">
        <f t="shared" ca="1" si="8"/>
        <v>79.586315348725805</v>
      </c>
      <c r="AI56" s="3">
        <f t="shared" ca="1" si="9"/>
        <v>0</v>
      </c>
    </row>
    <row r="57" spans="1:35" x14ac:dyDescent="0.25">
      <c r="A57" s="1"/>
      <c r="B57" s="1"/>
      <c r="G57" s="3">
        <f t="shared" ca="1" si="4"/>
        <v>57</v>
      </c>
      <c r="H57" s="97">
        <f t="shared" ca="1" si="6"/>
        <v>45347</v>
      </c>
      <c r="I57" s="121">
        <f ca="1">HLOOKUP($H$4,'Met Data'!$A$2:$F$368,G57,FALSE)</f>
        <v>17.495833333333302</v>
      </c>
      <c r="J57" s="121">
        <f ca="1">HLOOKUP($H$4,'Met Data'!$H$2:$M$368,G57,FALSE)*L57</f>
        <v>0.86666666666666603</v>
      </c>
      <c r="K57" s="98">
        <f ca="1">HLOOKUP($H$4,'Met Data'!$O$2:$T$368,G57,FALSE)</f>
        <v>3.5556810366886502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45392</v>
      </c>
      <c r="Q57">
        <f ca="1"/>
        <v>74.217616369152623</v>
      </c>
      <c r="R57">
        <f ca="1"/>
        <v>1.1352346183034101</v>
      </c>
      <c r="S57">
        <f ca="1"/>
        <v>9.8545154599500862E-3</v>
      </c>
      <c r="T57">
        <f ca="1"/>
        <v>0</v>
      </c>
      <c r="U57">
        <f ca="1"/>
        <v>0</v>
      </c>
      <c r="V57">
        <f ca="1"/>
        <v>32.652293925154403</v>
      </c>
      <c r="W57">
        <f ca="1"/>
        <v>8.30503997661536</v>
      </c>
      <c r="X57">
        <f ca="1"/>
        <v>0.5205668593209779</v>
      </c>
      <c r="Y57">
        <f ca="1"/>
        <v>1</v>
      </c>
      <c r="Z57">
        <f ca="1"/>
        <v>2.2149665074765181</v>
      </c>
      <c r="AA57">
        <f ca="1"/>
        <v>0</v>
      </c>
      <c r="AB57">
        <f ca="1"/>
        <v>0.99023822255848204</v>
      </c>
      <c r="AD57" s="2">
        <f t="shared" ca="1" si="2"/>
        <v>45392</v>
      </c>
      <c r="AE57">
        <f t="shared" ca="1" si="3"/>
        <v>0</v>
      </c>
      <c r="AG57" s="65">
        <f t="shared" ca="1" si="7"/>
        <v>75.873417846777016</v>
      </c>
      <c r="AH57" s="65">
        <f t="shared" ca="1" si="8"/>
        <v>75.873417846777016</v>
      </c>
      <c r="AI57" s="3">
        <f t="shared" ca="1" si="9"/>
        <v>0</v>
      </c>
    </row>
    <row r="58" spans="1:35" x14ac:dyDescent="0.25">
      <c r="G58" s="3">
        <f t="shared" ca="1" si="4"/>
        <v>58</v>
      </c>
      <c r="H58" s="97">
        <f t="shared" ca="1" si="6"/>
        <v>45348</v>
      </c>
      <c r="I58" s="121">
        <f ca="1">HLOOKUP($H$4,'Met Data'!$A$2:$F$368,G58,FALSE)</f>
        <v>16.954166666666602</v>
      </c>
      <c r="J58" s="121">
        <f ca="1">HLOOKUP($H$4,'Met Data'!$H$2:$M$368,G58,FALSE)*L58</f>
        <v>0.93333333333333302</v>
      </c>
      <c r="K58" s="98">
        <f ca="1">HLOOKUP($H$4,'Met Data'!$O$2:$T$368,G58,FALSE)</f>
        <v>3.6102637976598602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45393</v>
      </c>
      <c r="Q58">
        <f ca="1"/>
        <v>70.951774267452819</v>
      </c>
      <c r="R58">
        <f ca="1"/>
        <v>1.24664912789422</v>
      </c>
      <c r="S58">
        <f ca="1"/>
        <v>1.1953542823721186E-2</v>
      </c>
      <c r="T58">
        <f ca="1"/>
        <v>0</v>
      </c>
      <c r="U58">
        <f ca="1"/>
        <v>0</v>
      </c>
      <c r="V58">
        <f ca="1"/>
        <v>33.898943053048598</v>
      </c>
      <c r="W58">
        <f ca="1"/>
        <v>8.62212247218846</v>
      </c>
      <c r="X58">
        <f ca="1"/>
        <v>2.0311465166293123</v>
      </c>
      <c r="Y58">
        <f ca="1"/>
        <v>1</v>
      </c>
      <c r="Z58">
        <f ca="1"/>
        <v>9.040150103140121</v>
      </c>
      <c r="AA58">
        <f ca="1"/>
        <v>0</v>
      </c>
      <c r="AB58">
        <f ca="1"/>
        <v>0.99241563013909595</v>
      </c>
      <c r="AD58" s="2">
        <f t="shared" ca="1" si="2"/>
        <v>45393</v>
      </c>
      <c r="AE58">
        <f t="shared" ca="1" si="3"/>
        <v>0</v>
      </c>
      <c r="AG58" s="65">
        <f t="shared" ca="1" si="7"/>
        <v>74.229569911976341</v>
      </c>
      <c r="AH58" s="65">
        <f t="shared" ca="1" si="8"/>
        <v>74.229569911976341</v>
      </c>
      <c r="AI58" s="3">
        <f t="shared" ca="1" si="9"/>
        <v>0</v>
      </c>
    </row>
    <row r="59" spans="1:35" x14ac:dyDescent="0.25">
      <c r="G59" s="3">
        <f t="shared" ca="1" si="4"/>
        <v>59</v>
      </c>
      <c r="H59" s="97">
        <f t="shared" ca="1" si="6"/>
        <v>45349</v>
      </c>
      <c r="I59" s="121">
        <f ca="1">HLOOKUP($H$4,'Met Data'!$A$2:$F$368,G59,FALSE)</f>
        <v>16.829166666666602</v>
      </c>
      <c r="J59" s="121">
        <f ca="1">HLOOKUP($H$4,'Met Data'!$H$2:$M$368,G59,FALSE)*L59</f>
        <v>0.41666666666666602</v>
      </c>
      <c r="K59" s="98">
        <f ca="1">HLOOKUP($H$4,'Met Data'!$O$2:$T$368,G59,FALSE)</f>
        <v>3.6752740997587301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45394</v>
      </c>
      <c r="Q59">
        <f ca="1"/>
        <v>67.297048551780151</v>
      </c>
      <c r="R59">
        <f ca="1"/>
        <v>1.2473630850628199</v>
      </c>
      <c r="S59">
        <f ca="1"/>
        <v>1.2690506833605397E-2</v>
      </c>
      <c r="T59">
        <f ca="1"/>
        <v>0</v>
      </c>
      <c r="U59">
        <f ca="1"/>
        <v>0</v>
      </c>
      <c r="V59">
        <f ca="1"/>
        <v>35.146306138111498</v>
      </c>
      <c r="W59">
        <f ca="1"/>
        <v>8.9393865612153096</v>
      </c>
      <c r="X59">
        <f ca="1"/>
        <v>2.4200531374434573</v>
      </c>
      <c r="Y59">
        <f ca="1"/>
        <v>1</v>
      </c>
      <c r="Z59">
        <f ca="1"/>
        <v>11.35603006383073</v>
      </c>
      <c r="AA59">
        <f ca="1"/>
        <v>0</v>
      </c>
      <c r="AB59">
        <f ca="1"/>
        <v>0.99406172715237096</v>
      </c>
      <c r="AD59" s="2">
        <f t="shared" ca="1" si="2"/>
        <v>45394</v>
      </c>
      <c r="AE59">
        <f t="shared" ca="1" si="3"/>
        <v>0</v>
      </c>
      <c r="AG59" s="65">
        <f t="shared" ca="1" si="7"/>
        <v>70.964464774286427</v>
      </c>
      <c r="AH59" s="65">
        <f t="shared" ca="1" si="8"/>
        <v>70.964464774286427</v>
      </c>
      <c r="AI59" s="3">
        <f t="shared" ca="1" si="9"/>
        <v>0</v>
      </c>
    </row>
    <row r="60" spans="1:35" x14ac:dyDescent="0.25">
      <c r="G60" s="3">
        <f t="shared" ca="1" si="4"/>
        <v>60</v>
      </c>
      <c r="H60" s="97">
        <f t="shared" ca="1" si="6"/>
        <v>45350</v>
      </c>
      <c r="I60" s="121">
        <f ca="1">HLOOKUP($H$4,'Met Data'!$A$2:$F$368,G60,FALSE)</f>
        <v>17.512499999999999</v>
      </c>
      <c r="J60" s="121">
        <f ca="1">HLOOKUP($H$4,'Met Data'!$H$2:$M$368,G60,FALSE)*L60</f>
        <v>0.38333333333333303</v>
      </c>
      <c r="K60" s="98">
        <f ca="1">HLOOKUP($H$4,'Met Data'!$O$2:$T$368,G60,FALSE)</f>
        <v>3.6973328494211302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45395</v>
      </c>
      <c r="Q60">
        <f ca="1"/>
        <v>63.839014455499765</v>
      </c>
      <c r="R60">
        <f ca="1"/>
        <v>1.1844950207168401</v>
      </c>
      <c r="S60">
        <f ca="1"/>
        <v>1.2437047372457322E-2</v>
      </c>
      <c r="T60">
        <f ca="1"/>
        <v>0</v>
      </c>
      <c r="U60">
        <f ca="1"/>
        <v>0</v>
      </c>
      <c r="V60">
        <f ca="1"/>
        <v>36.330801158828301</v>
      </c>
      <c r="W60">
        <f ca="1"/>
        <v>9.2406602947454601</v>
      </c>
      <c r="X60">
        <f ca="1"/>
        <v>2.2859761229360092</v>
      </c>
      <c r="Y60">
        <f ca="1"/>
        <v>1</v>
      </c>
      <c r="Z60">
        <f ca="1"/>
        <v>11.307931409558961</v>
      </c>
      <c r="AA60">
        <f ca="1"/>
        <v>0</v>
      </c>
      <c r="AB60">
        <f ca="1"/>
        <v>0.99526042215342403</v>
      </c>
      <c r="AD60" s="2">
        <f t="shared" ca="1" si="2"/>
        <v>45395</v>
      </c>
      <c r="AE60">
        <f t="shared" ca="1" si="3"/>
        <v>0</v>
      </c>
      <c r="AG60" s="65">
        <f t="shared" ca="1" si="7"/>
        <v>67.309485599152609</v>
      </c>
      <c r="AH60" s="65">
        <f t="shared" ca="1" si="8"/>
        <v>67.309485599152609</v>
      </c>
      <c r="AI60" s="3">
        <f t="shared" ca="1" si="9"/>
        <v>0</v>
      </c>
    </row>
    <row r="61" spans="1:35" x14ac:dyDescent="0.25">
      <c r="G61" s="3">
        <f t="shared" ca="1" si="4"/>
        <v>61</v>
      </c>
      <c r="H61" s="97">
        <f t="shared" ca="1" si="6"/>
        <v>45351</v>
      </c>
      <c r="I61" s="121">
        <f ca="1">HLOOKUP($H$4,'Met Data'!$A$2:$F$368,G61,FALSE)</f>
        <v>17.1166666666666</v>
      </c>
      <c r="J61" s="121">
        <f ca="1">HLOOKUP($H$4,'Met Data'!$H$2:$M$368,G61,FALSE)*L61</f>
        <v>2.3166666666666602</v>
      </c>
      <c r="K61" s="98">
        <f ca="1">HLOOKUP($H$4,'Met Data'!$O$2:$T$368,G61,FALSE)</f>
        <v>3.5365052642272401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45396</v>
      </c>
      <c r="Q61">
        <f ca="1"/>
        <v>62.500826343483823</v>
      </c>
      <c r="R61">
        <f ca="1"/>
        <v>1.2457034812266301</v>
      </c>
      <c r="S61">
        <f ca="1"/>
        <v>1.3612151726332122E-2</v>
      </c>
      <c r="T61">
        <f ca="1"/>
        <v>0</v>
      </c>
      <c r="U61">
        <f ca="1"/>
        <v>0</v>
      </c>
      <c r="V61">
        <f ca="1"/>
        <v>37.5765046400549</v>
      </c>
      <c r="W61">
        <f ca="1"/>
        <v>9.5575022671444092</v>
      </c>
      <c r="X61">
        <f ca="1"/>
        <v>0.10609678251564987</v>
      </c>
      <c r="Y61">
        <f ca="1"/>
        <v>1</v>
      </c>
      <c r="Z61">
        <f ca="1"/>
        <v>0.53606086623682359</v>
      </c>
      <c r="AA61">
        <f ca="1"/>
        <v>0</v>
      </c>
      <c r="AB61">
        <f ca="1"/>
        <v>0.99623542184123404</v>
      </c>
      <c r="AD61" s="2">
        <f t="shared" ca="1" si="2"/>
        <v>45396</v>
      </c>
      <c r="AE61">
        <f t="shared" ca="1" si="3"/>
        <v>0</v>
      </c>
      <c r="AG61" s="65">
        <f t="shared" ca="1" si="7"/>
        <v>63.8526266072261</v>
      </c>
      <c r="AH61" s="65">
        <f t="shared" ca="1" si="8"/>
        <v>63.8526266072261</v>
      </c>
      <c r="AI61" s="3">
        <f t="shared" ca="1" si="9"/>
        <v>0</v>
      </c>
    </row>
    <row r="62" spans="1:35" x14ac:dyDescent="0.25">
      <c r="G62" s="3">
        <f t="shared" ca="1" si="4"/>
        <v>62</v>
      </c>
      <c r="H62" s="97">
        <f t="shared" ca="1" si="6"/>
        <v>45352</v>
      </c>
      <c r="I62" s="121">
        <f ca="1">HLOOKUP($H$4,'Met Data'!$A$2:$F$368,G62,FALSE)</f>
        <v>17.037500000000001</v>
      </c>
      <c r="J62" s="121">
        <f ca="1">HLOOKUP($H$4,'Met Data'!$H$2:$M$368,G62,FALSE)*L62</f>
        <v>2.18333333333333</v>
      </c>
      <c r="K62" s="98">
        <f ca="1">HLOOKUP($H$4,'Met Data'!$O$2:$T$368,G62,FALSE)</f>
        <v>3.0680063753167199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45397</v>
      </c>
      <c r="Q62">
        <f ca="1"/>
        <v>57.528007585176447</v>
      </c>
      <c r="R62">
        <f ca="1"/>
        <v>1.2974382448053801</v>
      </c>
      <c r="S62">
        <f ca="1"/>
        <v>1.4619266096230987E-2</v>
      </c>
      <c r="T62">
        <f ca="1"/>
        <v>0</v>
      </c>
      <c r="U62">
        <f ca="1"/>
        <v>0</v>
      </c>
      <c r="V62">
        <f ca="1"/>
        <v>38.873942884860298</v>
      </c>
      <c r="W62">
        <f ca="1"/>
        <v>9.8875028641927294</v>
      </c>
      <c r="X62">
        <f ca="1"/>
        <v>3.6899997795982347</v>
      </c>
      <c r="Y62">
        <f ca="1"/>
        <v>1</v>
      </c>
      <c r="Z62">
        <f ca="1"/>
        <v>20.25557875559798</v>
      </c>
      <c r="AA62">
        <f ca="1"/>
        <v>0</v>
      </c>
      <c r="AB62">
        <f ca="1"/>
        <v>0.99701753186686404</v>
      </c>
      <c r="AD62" s="2">
        <f t="shared" ca="1" si="2"/>
        <v>45397</v>
      </c>
      <c r="AE62">
        <f t="shared" ca="1" si="3"/>
        <v>0</v>
      </c>
      <c r="AG62" s="65">
        <f t="shared" ca="1" si="7"/>
        <v>62.515445609580055</v>
      </c>
      <c r="AH62" s="65">
        <f t="shared" ca="1" si="8"/>
        <v>62.515445609580055</v>
      </c>
      <c r="AI62" s="3">
        <f t="shared" ca="1" si="9"/>
        <v>0</v>
      </c>
    </row>
    <row r="63" spans="1:35" x14ac:dyDescent="0.25">
      <c r="G63" s="3">
        <f t="shared" ca="1" si="4"/>
        <v>63</v>
      </c>
      <c r="H63" s="97">
        <f t="shared" ca="1" si="6"/>
        <v>45353</v>
      </c>
      <c r="I63" s="121">
        <f ca="1">HLOOKUP($H$4,'Met Data'!$A$2:$F$368,G63,FALSE)</f>
        <v>17.204166666666602</v>
      </c>
      <c r="J63" s="121">
        <f ca="1">HLOOKUP($H$4,'Met Data'!$H$2:$M$368,G63,FALSE)*L63</f>
        <v>0.61666666666666603</v>
      </c>
      <c r="K63" s="98">
        <f ca="1">HLOOKUP($H$4,'Met Data'!$O$2:$T$368,G63,FALSE)</f>
        <v>3.2161744467378801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45398</v>
      </c>
      <c r="Q63">
        <f ca="1"/>
        <v>54.758774847446603</v>
      </c>
      <c r="R63">
        <f ca="1"/>
        <v>1.31024497414133</v>
      </c>
      <c r="S63">
        <f ca="1"/>
        <v>1.502942835359633E-2</v>
      </c>
      <c r="T63">
        <f ca="1"/>
        <v>0</v>
      </c>
      <c r="U63">
        <f ca="1"/>
        <v>0</v>
      </c>
      <c r="V63">
        <f ca="1"/>
        <v>40.184187859001597</v>
      </c>
      <c r="W63">
        <f ca="1"/>
        <v>10.2207608250069</v>
      </c>
      <c r="X63">
        <f ca="1"/>
        <v>1.4740171919421075</v>
      </c>
      <c r="Y63">
        <f ca="1"/>
        <v>1</v>
      </c>
      <c r="Z63">
        <f ca="1"/>
        <v>8.5005392202740495</v>
      </c>
      <c r="AA63">
        <f ca="1"/>
        <v>0</v>
      </c>
      <c r="AB63">
        <f ca="1"/>
        <v>0.99762646985182801</v>
      </c>
      <c r="AD63" s="2">
        <f t="shared" ca="1" si="2"/>
        <v>45398</v>
      </c>
      <c r="AE63">
        <f t="shared" ca="1" si="3"/>
        <v>0</v>
      </c>
      <c r="AG63" s="65">
        <f t="shared" ca="1" si="7"/>
        <v>57.543037013530039</v>
      </c>
      <c r="AH63" s="65">
        <f t="shared" ca="1" si="8"/>
        <v>57.543037013530039</v>
      </c>
      <c r="AI63" s="3">
        <f t="shared" ca="1" si="9"/>
        <v>0</v>
      </c>
    </row>
    <row r="64" spans="1:35" x14ac:dyDescent="0.25">
      <c r="G64" s="3">
        <f t="shared" ca="1" si="4"/>
        <v>64</v>
      </c>
      <c r="H64" s="97">
        <f t="shared" ca="1" si="6"/>
        <v>45354</v>
      </c>
      <c r="I64" s="121">
        <f ca="1">HLOOKUP($H$4,'Met Data'!$A$2:$F$368,G64,FALSE)</f>
        <v>16.720833333333299</v>
      </c>
      <c r="J64" s="121">
        <f ca="1">HLOOKUP($H$4,'Met Data'!$H$2:$M$368,G64,FALSE)*L64</f>
        <v>2.93333333333333</v>
      </c>
      <c r="K64" s="98">
        <f ca="1">HLOOKUP($H$4,'Met Data'!$O$2:$T$368,G64,FALSE)</f>
        <v>2.8476580172568502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45399</v>
      </c>
      <c r="Q64">
        <f ca="1"/>
        <v>52.532285221999004</v>
      </c>
      <c r="R64">
        <f ca="1"/>
        <v>1.3537155195756001</v>
      </c>
      <c r="S64">
        <f ca="1"/>
        <v>1.5782972231631831E-2</v>
      </c>
      <c r="T64">
        <f ca="1"/>
        <v>0</v>
      </c>
      <c r="U64">
        <f ca="1"/>
        <v>0</v>
      </c>
      <c r="V64">
        <f ca="1"/>
        <v>41.537903378577198</v>
      </c>
      <c r="W64">
        <f ca="1"/>
        <v>10.5650754245512</v>
      </c>
      <c r="X64">
        <f ca="1"/>
        <v>0.88855707810362716</v>
      </c>
      <c r="Y64">
        <f ca="1"/>
        <v>1</v>
      </c>
      <c r="Z64">
        <f ca="1"/>
        <v>5.3414194879764807</v>
      </c>
      <c r="AA64">
        <f ca="1"/>
        <v>0</v>
      </c>
      <c r="AB64">
        <f ca="1"/>
        <v>0.99811263295495201</v>
      </c>
      <c r="AD64" s="2">
        <f t="shared" ca="1" si="2"/>
        <v>45399</v>
      </c>
      <c r="AE64">
        <f t="shared" ca="1" si="3"/>
        <v>0</v>
      </c>
      <c r="AG64" s="65">
        <f t="shared" ca="1" si="7"/>
        <v>54.774557819678236</v>
      </c>
      <c r="AH64" s="65">
        <f t="shared" ca="1" si="8"/>
        <v>54.774557819678236</v>
      </c>
      <c r="AI64" s="3">
        <f t="shared" ca="1" si="9"/>
        <v>0</v>
      </c>
    </row>
    <row r="65" spans="7:35" x14ac:dyDescent="0.25">
      <c r="G65" s="3">
        <f t="shared" ca="1" si="4"/>
        <v>65</v>
      </c>
      <c r="H65" s="97">
        <f t="shared" ca="1" si="6"/>
        <v>45355</v>
      </c>
      <c r="I65" s="121">
        <f ca="1">HLOOKUP($H$4,'Met Data'!$A$2:$F$368,G65,FALSE)</f>
        <v>17.05</v>
      </c>
      <c r="J65" s="121">
        <f ca="1">HLOOKUP($H$4,'Met Data'!$H$2:$M$368,G65,FALSE)*L65</f>
        <v>3.5</v>
      </c>
      <c r="K65" s="98">
        <f ca="1">HLOOKUP($H$4,'Met Data'!$O$2:$T$368,G65,FALSE)</f>
        <v>3.0856400612975601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45400</v>
      </c>
      <c r="Q65">
        <f ca="1"/>
        <v>50.760299809327591</v>
      </c>
      <c r="R65">
        <f ca="1"/>
        <v>1.3179157935539201</v>
      </c>
      <c r="S65">
        <f ca="1"/>
        <v>1.5385821481316064E-2</v>
      </c>
      <c r="T65">
        <f ca="1"/>
        <v>0</v>
      </c>
      <c r="U65">
        <f ca="1"/>
        <v>0</v>
      </c>
      <c r="V65">
        <f ca="1"/>
        <v>42.855819172131199</v>
      </c>
      <c r="W65">
        <f ca="1"/>
        <v>10.900284441607299</v>
      </c>
      <c r="X65">
        <f ca="1"/>
        <v>0.46945544059881023</v>
      </c>
      <c r="Y65">
        <f ca="1"/>
        <v>1</v>
      </c>
      <c r="Z65">
        <f ca="1"/>
        <v>2.9205715305417783</v>
      </c>
      <c r="AA65">
        <f ca="1"/>
        <v>0</v>
      </c>
      <c r="AB65">
        <f ca="1"/>
        <v>0.99848070254552301</v>
      </c>
      <c r="AD65" s="2">
        <f t="shared" ca="1" si="2"/>
        <v>45400</v>
      </c>
      <c r="AE65">
        <f t="shared" ca="1" si="3"/>
        <v>0</v>
      </c>
      <c r="AG65" s="65">
        <f t="shared" ca="1" si="7"/>
        <v>52.547671043480321</v>
      </c>
      <c r="AH65" s="65">
        <f t="shared" ca="1" si="8"/>
        <v>52.547671043480321</v>
      </c>
      <c r="AI65" s="3">
        <f t="shared" ca="1" si="9"/>
        <v>0</v>
      </c>
    </row>
    <row r="66" spans="7:35" x14ac:dyDescent="0.25">
      <c r="G66" s="3">
        <f t="shared" ca="1" si="4"/>
        <v>66</v>
      </c>
      <c r="H66" s="97">
        <f t="shared" ca="1" si="6"/>
        <v>45356</v>
      </c>
      <c r="I66" s="121">
        <f ca="1">HLOOKUP($H$4,'Met Data'!$A$2:$F$368,G66,FALSE)</f>
        <v>16.5625</v>
      </c>
      <c r="J66" s="121">
        <f ca="1">HLOOKUP($H$4,'Met Data'!$H$2:$M$368,G66,FALSE)*L66</f>
        <v>1.9166666666666601</v>
      </c>
      <c r="K66" s="98">
        <f ca="1">HLOOKUP($H$4,'Met Data'!$O$2:$T$368,G66,FALSE)</f>
        <v>2.4477007585282702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45401</v>
      </c>
      <c r="Q66">
        <f ca="1"/>
        <v>49.026782505796056</v>
      </c>
      <c r="R66">
        <f ca="1"/>
        <v>1.49732568120054</v>
      </c>
      <c r="S66">
        <f ca="1"/>
        <v>1.7916717647285196E-2</v>
      </c>
      <c r="T66">
        <f ca="1"/>
        <v>0</v>
      </c>
      <c r="U66">
        <f ca="1"/>
        <v>0</v>
      </c>
      <c r="V66">
        <f ca="1"/>
        <v>44.353144853331699</v>
      </c>
      <c r="W66">
        <f ca="1"/>
        <v>11.2811259735648</v>
      </c>
      <c r="X66">
        <f ca="1"/>
        <v>0.25410833997827026</v>
      </c>
      <c r="Y66">
        <f ca="1"/>
        <v>1</v>
      </c>
      <c r="Z66">
        <f ca="1"/>
        <v>1.6367531140967628</v>
      </c>
      <c r="AA66">
        <f ca="1"/>
        <v>0</v>
      </c>
      <c r="AB66">
        <f ca="1"/>
        <v>0.99880428067494997</v>
      </c>
      <c r="AD66" s="2">
        <f t="shared" ca="1" si="2"/>
        <v>45401</v>
      </c>
      <c r="AE66">
        <f t="shared" ca="1" si="3"/>
        <v>0</v>
      </c>
      <c r="AG66" s="65">
        <f t="shared" ca="1" si="7"/>
        <v>50.778216526974873</v>
      </c>
      <c r="AH66" s="65">
        <f t="shared" ca="1" si="8"/>
        <v>50.778216526974873</v>
      </c>
      <c r="AI66" s="3">
        <f t="shared" ca="1" si="9"/>
        <v>0</v>
      </c>
    </row>
    <row r="67" spans="7:35" x14ac:dyDescent="0.25">
      <c r="G67" s="3">
        <f t="shared" ca="1" si="4"/>
        <v>67</v>
      </c>
      <c r="H67" s="97">
        <f t="shared" ca="1" si="6"/>
        <v>45357</v>
      </c>
      <c r="I67" s="121">
        <f ca="1">HLOOKUP($H$4,'Met Data'!$A$2:$F$368,G67,FALSE)</f>
        <v>16.349999999999898</v>
      </c>
      <c r="J67" s="121">
        <f ca="1">HLOOKUP($H$4,'Met Data'!$H$2:$M$368,G67,FALSE)*L67</f>
        <v>9.18</v>
      </c>
      <c r="K67" s="98">
        <f ca="1">HLOOKUP($H$4,'Met Data'!$O$2:$T$368,G67,FALSE)</f>
        <v>3.2051572713162999</v>
      </c>
      <c r="L67">
        <f t="shared" ca="1" si="0"/>
        <v>1.7</v>
      </c>
      <c r="N67" t="b">
        <f t="shared" ca="1" si="5"/>
        <v>1</v>
      </c>
      <c r="O67" t="b">
        <f t="shared" ca="1" si="1"/>
        <v>1</v>
      </c>
      <c r="P67" s="2">
        <f ca="1"/>
        <v>45402</v>
      </c>
      <c r="Q67">
        <f ca="1"/>
        <v>46.835243057556241</v>
      </c>
      <c r="R67">
        <f ca="1"/>
        <v>1.54182099570409</v>
      </c>
      <c r="S67">
        <f ca="1"/>
        <v>1.8513030692830945E-2</v>
      </c>
      <c r="T67">
        <f ca="1"/>
        <v>0</v>
      </c>
      <c r="U67">
        <f ca="1"/>
        <v>0</v>
      </c>
      <c r="V67">
        <f ca="1"/>
        <v>45.894965849035799</v>
      </c>
      <c r="W67">
        <f ca="1"/>
        <v>11.6732847920374</v>
      </c>
      <c r="X67">
        <f ca="1"/>
        <v>0.66823148322855608</v>
      </c>
      <c r="Y67">
        <f ca="1"/>
        <v>1</v>
      </c>
      <c r="Z67">
        <f ca="1"/>
        <v>4.5055914010874289</v>
      </c>
      <c r="AA67">
        <f ca="1"/>
        <v>0</v>
      </c>
      <c r="AB67">
        <f ca="1"/>
        <v>0.99905881120056295</v>
      </c>
      <c r="AD67" s="2">
        <f t="shared" ca="1" si="2"/>
        <v>45402</v>
      </c>
      <c r="AE67">
        <f t="shared" ca="1" si="3"/>
        <v>0</v>
      </c>
      <c r="AG67" s="65">
        <f t="shared" ca="1" si="7"/>
        <v>49.045295536488887</v>
      </c>
      <c r="AH67" s="65">
        <f t="shared" ca="1" si="8"/>
        <v>49.045295536488887</v>
      </c>
      <c r="AI67" s="3">
        <f t="shared" ca="1" si="9"/>
        <v>0</v>
      </c>
    </row>
    <row r="68" spans="7:35" x14ac:dyDescent="0.25">
      <c r="G68" s="3">
        <f t="shared" ca="1" si="4"/>
        <v>68</v>
      </c>
      <c r="H68" s="97">
        <f t="shared" ca="1" si="6"/>
        <v>45358</v>
      </c>
      <c r="I68" s="121">
        <f ca="1">HLOOKUP($H$4,'Met Data'!$A$2:$F$368,G68,FALSE)</f>
        <v>16.404166666666601</v>
      </c>
      <c r="J68" s="121">
        <f ca="1">HLOOKUP($H$4,'Met Data'!$H$2:$M$368,G68,FALSE)*L68</f>
        <v>3.0033333333333219</v>
      </c>
      <c r="K68" s="98">
        <f ca="1">HLOOKUP($H$4,'Met Data'!$O$2:$T$368,G68,FALSE)</f>
        <v>3.3473688975414899</v>
      </c>
      <c r="L68">
        <f t="shared" ca="1" si="0"/>
        <v>1.7</v>
      </c>
      <c r="N68" t="b">
        <f t="shared" ca="1" si="5"/>
        <v>1</v>
      </c>
      <c r="O68" t="b">
        <f t="shared" ca="1" si="1"/>
        <v>1</v>
      </c>
      <c r="P68" s="2">
        <f ca="1"/>
        <v>45403</v>
      </c>
      <c r="Q68">
        <f ca="1"/>
        <v>45.26099095640717</v>
      </c>
      <c r="R68">
        <f ca="1"/>
        <v>1.5119033697109501</v>
      </c>
      <c r="S68">
        <f ca="1"/>
        <v>1.7982563231933923E-2</v>
      </c>
      <c r="T68">
        <f ca="1"/>
        <v>0</v>
      </c>
      <c r="U68">
        <f ca="1"/>
        <v>0</v>
      </c>
      <c r="V68">
        <f ca="1"/>
        <v>47.406869218746799</v>
      </c>
      <c r="W68">
        <f ca="1"/>
        <v>12.0578341273769</v>
      </c>
      <c r="X68">
        <f ca="1"/>
        <v>8.0331294670049735E-2</v>
      </c>
      <c r="Y68">
        <f ca="1"/>
        <v>1</v>
      </c>
      <c r="Z68">
        <f ca="1"/>
        <v>0.56047772548018315</v>
      </c>
      <c r="AA68">
        <f ca="1"/>
        <v>0</v>
      </c>
      <c r="AB68">
        <f ca="1"/>
        <v>0.99925071324716797</v>
      </c>
      <c r="AD68" s="2">
        <f t="shared" ca="1" si="2"/>
        <v>45403</v>
      </c>
      <c r="AE68">
        <f t="shared" ca="1" si="3"/>
        <v>0</v>
      </c>
      <c r="AG68" s="65">
        <f t="shared" ca="1" si="7"/>
        <v>46.853225620788173</v>
      </c>
      <c r="AH68" s="65">
        <f t="shared" ca="1" si="8"/>
        <v>46.853225620788173</v>
      </c>
      <c r="AI68" s="3">
        <f t="shared" ca="1" si="9"/>
        <v>0</v>
      </c>
    </row>
    <row r="69" spans="7:35" x14ac:dyDescent="0.25">
      <c r="G69" s="3">
        <f t="shared" ca="1" si="4"/>
        <v>69</v>
      </c>
      <c r="H69" s="97">
        <f t="shared" ca="1" si="6"/>
        <v>45359</v>
      </c>
      <c r="I69" s="121">
        <f ca="1">HLOOKUP($H$4,'Met Data'!$A$2:$F$368,G69,FALSE)</f>
        <v>16.174999999999901</v>
      </c>
      <c r="J69" s="121">
        <f ca="1">HLOOKUP($H$4,'Met Data'!$H$2:$M$368,G69,FALSE)*L69</f>
        <v>0.93499999999999839</v>
      </c>
      <c r="K69" s="98">
        <f ca="1">HLOOKUP($H$4,'Met Data'!$O$2:$T$368,G69,FALSE)</f>
        <v>3.3552920602916099</v>
      </c>
      <c r="L69">
        <f t="shared" ca="1" si="0"/>
        <v>1.7</v>
      </c>
      <c r="N69" t="b">
        <f t="shared" ca="1" si="5"/>
        <v>1</v>
      </c>
      <c r="O69" t="b">
        <f t="shared" ca="1" si="1"/>
        <v>1</v>
      </c>
      <c r="P69" s="2">
        <f ca="1"/>
        <v>45404</v>
      </c>
      <c r="Q69">
        <f ca="1"/>
        <v>43.688104835811153</v>
      </c>
      <c r="R69">
        <f ca="1"/>
        <v>1.5918478710154</v>
      </c>
      <c r="S69">
        <f ca="1"/>
        <v>1.8961750419385304E-2</v>
      </c>
      <c r="T69">
        <f ca="1"/>
        <v>0</v>
      </c>
      <c r="U69">
        <f ca="1"/>
        <v>0</v>
      </c>
      <c r="V69">
        <f ca="1"/>
        <v>48.998717089762202</v>
      </c>
      <c r="W69">
        <f ca="1"/>
        <v>12.4627171728308</v>
      </c>
      <c r="X69">
        <f ca="1"/>
        <v>0</v>
      </c>
      <c r="Y69">
        <f ca="1"/>
        <v>0.99334285303311654</v>
      </c>
      <c r="Z69">
        <f ca="1"/>
        <v>0</v>
      </c>
      <c r="AA69">
        <f ca="1"/>
        <v>0</v>
      </c>
      <c r="AB69">
        <f ca="1"/>
        <v>0.99940667143303397</v>
      </c>
      <c r="AD69" s="2">
        <f t="shared" ca="1" si="2"/>
        <v>45404</v>
      </c>
      <c r="AE69">
        <f t="shared" ca="1" si="3"/>
        <v>0</v>
      </c>
      <c r="AG69" s="65">
        <f t="shared" ca="1" si="7"/>
        <v>45.279952706826556</v>
      </c>
      <c r="AH69" s="65">
        <f t="shared" ca="1" si="8"/>
        <v>45.279952706826556</v>
      </c>
      <c r="AI69" s="3">
        <f t="shared" ca="1" si="9"/>
        <v>0</v>
      </c>
    </row>
    <row r="70" spans="7:35" x14ac:dyDescent="0.25">
      <c r="G70" s="3">
        <f t="shared" ca="1" si="4"/>
        <v>70</v>
      </c>
      <c r="H70" s="97">
        <f t="shared" ca="1" si="6"/>
        <v>45360</v>
      </c>
      <c r="I70" s="121">
        <f ca="1">HLOOKUP($H$4,'Met Data'!$A$2:$F$368,G70,FALSE)</f>
        <v>16.625</v>
      </c>
      <c r="J70" s="121">
        <f ca="1">HLOOKUP($H$4,'Met Data'!$H$2:$M$368,G70,FALSE)*L70</f>
        <v>3.5133333333333221</v>
      </c>
      <c r="K70" s="98">
        <f ca="1">HLOOKUP($H$4,'Met Data'!$O$2:$T$368,G70,FALSE)</f>
        <v>3.2920876744510998</v>
      </c>
      <c r="L70">
        <f t="shared" ref="L70:L133" ca="1" si="10">IF(H70&lt;$B$31,$J$3,$J$4)</f>
        <v>1.7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45405</v>
      </c>
      <c r="Q70">
        <f ca="1"/>
        <v>41.315347352958504</v>
      </c>
      <c r="R70">
        <f ca="1"/>
        <v>1.7465026638700201</v>
      </c>
      <c r="S70">
        <f ca="1"/>
        <v>2.0976326629798869E-2</v>
      </c>
      <c r="T70">
        <f ca="1"/>
        <v>0</v>
      </c>
      <c r="U70">
        <f ca="1"/>
        <v>0</v>
      </c>
      <c r="V70">
        <f ca="1"/>
        <v>50.745219753632199</v>
      </c>
      <c r="W70">
        <f ca="1"/>
        <v>12.9069363286412</v>
      </c>
      <c r="X70">
        <f ca="1"/>
        <v>0.64723114561242889</v>
      </c>
      <c r="Y70">
        <f ca="1"/>
        <v>1</v>
      </c>
      <c r="Z70">
        <f ca="1"/>
        <v>4.9470425863511878</v>
      </c>
      <c r="AA70">
        <f ca="1"/>
        <v>0</v>
      </c>
      <c r="AB70">
        <f ca="1"/>
        <v>0.99953728903241401</v>
      </c>
      <c r="AD70" s="2">
        <f t="shared" ref="AD70:AD133" ca="1" si="12">IFERROR(P70,$AD$4)</f>
        <v>45405</v>
      </c>
      <c r="AE70">
        <f t="shared" ref="AE70:AE133" ca="1" si="13">IFERROR(U70,0)</f>
        <v>0</v>
      </c>
      <c r="AG70" s="65">
        <f t="shared" ca="1" si="7"/>
        <v>43.709081162440953</v>
      </c>
      <c r="AH70" s="65">
        <f t="shared" ca="1" si="8"/>
        <v>43.709081162440953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71</v>
      </c>
      <c r="H71" s="97">
        <f t="shared" ca="1" si="6"/>
        <v>45361</v>
      </c>
      <c r="I71" s="121">
        <f ca="1">HLOOKUP($H$4,'Met Data'!$A$2:$F$368,G71,FALSE)</f>
        <v>16.266666666666602</v>
      </c>
      <c r="J71" s="121">
        <f ca="1">HLOOKUP($H$4,'Met Data'!$H$2:$M$368,G71,FALSE)*L71</f>
        <v>5.8649999999999824</v>
      </c>
      <c r="K71" s="98">
        <f ca="1">HLOOKUP($H$4,'Met Data'!$O$2:$T$368,G71,FALSE)</f>
        <v>2.5592177640993499</v>
      </c>
      <c r="L71">
        <f t="shared" ca="1" si="10"/>
        <v>1.7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45406</v>
      </c>
      <c r="Q71">
        <f ca="1"/>
        <v>37.242051062443196</v>
      </c>
      <c r="R71">
        <f ca="1"/>
        <v>1.75002457238431</v>
      </c>
      <c r="S71">
        <f ca="1"/>
        <v>2.0724517845256862E-2</v>
      </c>
      <c r="T71">
        <f ca="1"/>
        <v>0</v>
      </c>
      <c r="U71">
        <f ca="1"/>
        <v>0</v>
      </c>
      <c r="V71">
        <f ca="1"/>
        <v>52.495244326016497</v>
      </c>
      <c r="W71">
        <f ca="1"/>
        <v>13.3520512742259</v>
      </c>
      <c r="X71">
        <f ca="1"/>
        <v>2.3439962359762578</v>
      </c>
      <c r="Y71">
        <f ca="1"/>
        <v>1</v>
      </c>
      <c r="Z71">
        <f ca="1"/>
        <v>19.875632962202189</v>
      </c>
      <c r="AA71">
        <f ca="1"/>
        <v>0</v>
      </c>
      <c r="AB71">
        <f ca="1"/>
        <v>0.99963670694431395</v>
      </c>
      <c r="AD71" s="2">
        <f t="shared" ca="1" si="12"/>
        <v>45406</v>
      </c>
      <c r="AE71">
        <f t="shared" ca="1" si="13"/>
        <v>0</v>
      </c>
      <c r="AG71" s="65">
        <f t="shared" ca="1" si="7"/>
        <v>41.336071870803764</v>
      </c>
      <c r="AH71" s="65">
        <f t="shared" ca="1" si="8"/>
        <v>41.336071870803764</v>
      </c>
      <c r="AI71" s="3">
        <f t="shared" ca="1" si="9"/>
        <v>0</v>
      </c>
    </row>
    <row r="72" spans="7:35" x14ac:dyDescent="0.25">
      <c r="G72" s="3">
        <f t="shared" ca="1" si="14"/>
        <v>72</v>
      </c>
      <c r="H72" s="97">
        <f t="shared" ref="H72:H135" ca="1" si="16">H71+1</f>
        <v>45362</v>
      </c>
      <c r="I72" s="121">
        <f ca="1">HLOOKUP($H$4,'Met Data'!$A$2:$F$368,G72,FALSE)</f>
        <v>16.404166666666601</v>
      </c>
      <c r="J72" s="121">
        <f ca="1">HLOOKUP($H$4,'Met Data'!$H$2:$M$368,G72,FALSE)*L72</f>
        <v>2.6916666666666607</v>
      </c>
      <c r="K72" s="98">
        <f ca="1">HLOOKUP($H$4,'Met Data'!$O$2:$T$368,G72,FALSE)</f>
        <v>2.85115032224514</v>
      </c>
      <c r="L72">
        <f t="shared" ca="1" si="10"/>
        <v>1.7</v>
      </c>
      <c r="N72" t="b">
        <f t="shared" ca="1" si="15"/>
        <v>1</v>
      </c>
      <c r="O72" t="b">
        <f t="shared" ca="1" si="11"/>
        <v>1</v>
      </c>
      <c r="P72" s="2">
        <f ca="1"/>
        <v>45407</v>
      </c>
      <c r="Q72">
        <f ca="1"/>
        <v>35.46252220405632</v>
      </c>
      <c r="R72">
        <f ca="1"/>
        <v>1.74067780084461</v>
      </c>
      <c r="S72">
        <f ca="1"/>
        <v>2.027020962504178E-2</v>
      </c>
      <c r="T72">
        <f ca="1"/>
        <v>0</v>
      </c>
      <c r="U72">
        <f ca="1"/>
        <v>0</v>
      </c>
      <c r="V72">
        <f ca="1"/>
        <v>54.235922126861098</v>
      </c>
      <c r="W72">
        <f ca="1"/>
        <v>13.794788888788601</v>
      </c>
      <c r="X72">
        <f ca="1"/>
        <v>5.9121267167307617E-2</v>
      </c>
      <c r="Y72">
        <f ca="1"/>
        <v>1</v>
      </c>
      <c r="Z72">
        <f ca="1"/>
        <v>0.52646773782413447</v>
      </c>
      <c r="AA72">
        <f ca="1"/>
        <v>0</v>
      </c>
      <c r="AB72">
        <f ca="1"/>
        <v>0.99971246733520902</v>
      </c>
      <c r="AD72" s="2">
        <f t="shared" ca="1" si="12"/>
        <v>45407</v>
      </c>
      <c r="AE72">
        <f t="shared" ca="1" si="13"/>
        <v>0</v>
      </c>
      <c r="AG72" s="65">
        <f t="shared" ref="AG72:AG135" ca="1" si="17">Q71+S72+T72+U72</f>
        <v>37.262321272068235</v>
      </c>
      <c r="AH72" s="65">
        <f t="shared" ref="AH72:AH135" ca="1" si="18">Q72+R72+X72</f>
        <v>37.262321272068235</v>
      </c>
      <c r="AI72" s="3">
        <f t="shared" ref="AI72:AI135" ca="1" si="19">AH72-AG72</f>
        <v>0</v>
      </c>
    </row>
    <row r="73" spans="7:35" x14ac:dyDescent="0.25">
      <c r="G73" s="3">
        <f t="shared" ca="1" si="14"/>
        <v>73</v>
      </c>
      <c r="H73" s="97">
        <f t="shared" ca="1" si="16"/>
        <v>45363</v>
      </c>
      <c r="I73" s="121">
        <f ca="1">HLOOKUP($H$4,'Met Data'!$A$2:$F$368,G73,FALSE)</f>
        <v>15.324999999999999</v>
      </c>
      <c r="J73" s="121">
        <f ca="1">HLOOKUP($H$4,'Met Data'!$H$2:$M$368,G73,FALSE)*L73</f>
        <v>2.3516666666666608</v>
      </c>
      <c r="K73" s="98">
        <f ca="1">HLOOKUP($H$4,'Met Data'!$O$2:$T$368,G73,FALSE)</f>
        <v>2.7545575054438101</v>
      </c>
      <c r="L73">
        <f t="shared" ca="1" si="10"/>
        <v>1.7</v>
      </c>
      <c r="N73" t="b">
        <f t="shared" ca="1" si="15"/>
        <v>1</v>
      </c>
      <c r="O73" t="b">
        <f t="shared" ca="1" si="11"/>
        <v>1</v>
      </c>
      <c r="P73" s="2">
        <f ca="1"/>
        <v>45408</v>
      </c>
      <c r="Q73">
        <f ca="1"/>
        <v>32.385347199264885</v>
      </c>
      <c r="R73">
        <f ca="1"/>
        <v>1.90243339781514</v>
      </c>
      <c r="S73">
        <f ca="1"/>
        <v>2.2181590832921927E-2</v>
      </c>
      <c r="T73">
        <f ca="1"/>
        <v>0</v>
      </c>
      <c r="U73">
        <f ca="1"/>
        <v>0</v>
      </c>
      <c r="V73">
        <f ca="1"/>
        <v>56.1383555246762</v>
      </c>
      <c r="W73">
        <f ca="1"/>
        <v>14.278668687798101</v>
      </c>
      <c r="X73">
        <f ca="1"/>
        <v>1.196923197809219</v>
      </c>
      <c r="Y73">
        <f ca="1"/>
        <v>1</v>
      </c>
      <c r="Z73">
        <f ca="1"/>
        <v>11.671196370103303</v>
      </c>
      <c r="AA73">
        <f ca="1"/>
        <v>0</v>
      </c>
      <c r="AB73">
        <f ca="1"/>
        <v>0.99977571967245105</v>
      </c>
      <c r="AD73" s="2">
        <f t="shared" ca="1" si="12"/>
        <v>45408</v>
      </c>
      <c r="AE73">
        <f t="shared" ca="1" si="13"/>
        <v>0</v>
      </c>
      <c r="AG73" s="65">
        <f t="shared" ca="1" si="17"/>
        <v>35.484703794889242</v>
      </c>
      <c r="AH73" s="65">
        <f t="shared" ca="1" si="18"/>
        <v>35.484703794889242</v>
      </c>
      <c r="AI73" s="3">
        <f t="shared" ca="1" si="19"/>
        <v>0</v>
      </c>
    </row>
    <row r="74" spans="7:35" x14ac:dyDescent="0.25">
      <c r="G74" s="3">
        <f t="shared" ca="1" si="14"/>
        <v>74</v>
      </c>
      <c r="H74" s="97">
        <f t="shared" ca="1" si="16"/>
        <v>45364</v>
      </c>
      <c r="I74" s="121">
        <f ca="1">HLOOKUP($H$4,'Met Data'!$A$2:$F$368,G74,FALSE)</f>
        <v>15.8333333333333</v>
      </c>
      <c r="J74" s="121">
        <f ca="1">HLOOKUP($H$4,'Met Data'!$H$2:$M$368,G74,FALSE)*L74</f>
        <v>0.8216666666666661</v>
      </c>
      <c r="K74" s="98">
        <f ca="1">HLOOKUP($H$4,'Met Data'!$O$2:$T$368,G74,FALSE)</f>
        <v>2.9925841251346701</v>
      </c>
      <c r="L74">
        <f t="shared" ca="1" si="10"/>
        <v>1.7</v>
      </c>
      <c r="N74" t="b">
        <f t="shared" ca="1" si="15"/>
        <v>1</v>
      </c>
      <c r="O74" t="b">
        <f t="shared" ca="1" si="11"/>
        <v>1</v>
      </c>
      <c r="P74" s="2">
        <f ca="1"/>
        <v>45409</v>
      </c>
      <c r="Q74">
        <f ca="1"/>
        <v>108.82816203208083</v>
      </c>
      <c r="R74">
        <f ca="1"/>
        <v>1.8651591624236401</v>
      </c>
      <c r="S74">
        <f ca="1"/>
        <v>2.1230909098800765E-2</v>
      </c>
      <c r="T74">
        <f ca="1"/>
        <v>0</v>
      </c>
      <c r="U74">
        <f ca="1"/>
        <v>86.578487614690829</v>
      </c>
      <c r="V74">
        <f ca="1"/>
        <v>58.003514687099901</v>
      </c>
      <c r="W74">
        <f ca="1"/>
        <v>14.753067866066701</v>
      </c>
      <c r="X74">
        <f ca="1"/>
        <v>5.0845778629277243</v>
      </c>
      <c r="Y74">
        <f ca="1"/>
        <v>1</v>
      </c>
      <c r="Z74">
        <f ca="1"/>
        <v>14.754050213280379</v>
      </c>
      <c r="AA74">
        <f ca="1"/>
        <v>0</v>
      </c>
      <c r="AB74">
        <f ca="1"/>
        <v>0.99982300621229503</v>
      </c>
      <c r="AD74" s="2">
        <f t="shared" ca="1" si="12"/>
        <v>45409</v>
      </c>
      <c r="AE74">
        <f t="shared" ca="1" si="13"/>
        <v>86.578487614690829</v>
      </c>
      <c r="AG74" s="65">
        <f t="shared" ca="1" si="17"/>
        <v>118.98506572305452</v>
      </c>
      <c r="AH74" s="65">
        <f t="shared" ca="1" si="18"/>
        <v>115.77789905743219</v>
      </c>
      <c r="AI74" s="3">
        <f t="shared" ca="1" si="19"/>
        <v>-3.2071666656223243</v>
      </c>
    </row>
    <row r="75" spans="7:35" x14ac:dyDescent="0.25">
      <c r="G75" s="3">
        <f t="shared" ca="1" si="14"/>
        <v>75</v>
      </c>
      <c r="H75" s="97">
        <f t="shared" ca="1" si="16"/>
        <v>45365</v>
      </c>
      <c r="I75" s="121">
        <f ca="1">HLOOKUP($H$4,'Met Data'!$A$2:$F$368,G75,FALSE)</f>
        <v>16.966666666666601</v>
      </c>
      <c r="J75" s="121">
        <f ca="1">HLOOKUP($H$4,'Met Data'!$H$2:$M$368,G75,FALSE)*L75</f>
        <v>0.53833333333333211</v>
      </c>
      <c r="K75" s="98">
        <f ca="1">HLOOKUP($H$4,'Met Data'!$O$2:$T$368,G75,FALSE)</f>
        <v>2.9125814341448</v>
      </c>
      <c r="L75">
        <f t="shared" ca="1" si="10"/>
        <v>1.7</v>
      </c>
      <c r="N75" t="b">
        <f t="shared" ca="1" si="15"/>
        <v>1</v>
      </c>
      <c r="O75" t="b">
        <f t="shared" ca="1" si="11"/>
        <v>1</v>
      </c>
      <c r="P75" s="2">
        <f ca="1"/>
        <v>45410</v>
      </c>
      <c r="Q75">
        <f ca="1"/>
        <v>103.04522665320998</v>
      </c>
      <c r="R75">
        <f ca="1"/>
        <v>1.8793970005589999</v>
      </c>
      <c r="S75">
        <f ca="1"/>
        <v>2.1003695476339956E-2</v>
      </c>
      <c r="T75">
        <f ca="1"/>
        <v>0</v>
      </c>
      <c r="U75">
        <f ca="1"/>
        <v>0</v>
      </c>
      <c r="V75">
        <f ca="1"/>
        <v>59.882911687658897</v>
      </c>
      <c r="W75">
        <f ca="1"/>
        <v>15.2310884075132</v>
      </c>
      <c r="X75">
        <f ca="1"/>
        <v>3.924542073788186</v>
      </c>
      <c r="Y75">
        <f ca="1"/>
        <v>1</v>
      </c>
      <c r="Z75">
        <f ca="1"/>
        <v>12.027040127768061</v>
      </c>
      <c r="AA75">
        <f ca="1"/>
        <v>0</v>
      </c>
      <c r="AB75">
        <f ca="1"/>
        <v>0.99985968628461597</v>
      </c>
      <c r="AD75" s="2">
        <f t="shared" ca="1" si="12"/>
        <v>45410</v>
      </c>
      <c r="AE75">
        <f t="shared" ca="1" si="13"/>
        <v>0</v>
      </c>
      <c r="AG75" s="65">
        <f t="shared" ca="1" si="17"/>
        <v>108.84916572755716</v>
      </c>
      <c r="AH75" s="65">
        <f t="shared" ca="1" si="18"/>
        <v>108.84916572755716</v>
      </c>
      <c r="AI75" s="3">
        <f t="shared" ca="1" si="19"/>
        <v>0</v>
      </c>
    </row>
    <row r="76" spans="7:35" x14ac:dyDescent="0.25">
      <c r="G76" s="3">
        <f t="shared" ca="1" si="14"/>
        <v>76</v>
      </c>
      <c r="H76" s="97">
        <f t="shared" ca="1" si="16"/>
        <v>45366</v>
      </c>
      <c r="I76" s="121">
        <f ca="1">HLOOKUP($H$4,'Met Data'!$A$2:$F$368,G76,FALSE)</f>
        <v>17.766666666666602</v>
      </c>
      <c r="J76" s="121">
        <f ca="1">HLOOKUP($H$4,'Met Data'!$H$2:$M$368,G76,FALSE)*L76</f>
        <v>3.8249999999999997</v>
      </c>
      <c r="K76" s="98">
        <f ca="1">HLOOKUP($H$4,'Met Data'!$O$2:$T$368,G76,FALSE)</f>
        <v>2.3685635659939601</v>
      </c>
      <c r="L76">
        <f t="shared" ca="1" si="10"/>
        <v>1.7</v>
      </c>
      <c r="N76" t="b">
        <f t="shared" ca="1" si="15"/>
        <v>1</v>
      </c>
      <c r="O76" t="b">
        <f t="shared" ca="1" si="11"/>
        <v>1</v>
      </c>
      <c r="P76" s="2">
        <f ca="1"/>
        <v>45411</v>
      </c>
      <c r="Q76">
        <f ca="1"/>
        <v>96.868030072002639</v>
      </c>
      <c r="R76">
        <f ca="1"/>
        <v>1.90267720932574</v>
      </c>
      <c r="S76">
        <f ca="1"/>
        <v>2.0882282382911121E-2</v>
      </c>
      <c r="T76">
        <f ca="1"/>
        <v>0</v>
      </c>
      <c r="U76">
        <f ca="1"/>
        <v>0</v>
      </c>
      <c r="V76">
        <f ca="1"/>
        <v>61.785588896984599</v>
      </c>
      <c r="W76">
        <f ca="1"/>
        <v>15.7150302194504</v>
      </c>
      <c r="X76">
        <f ca="1"/>
        <v>4.2954016542645057</v>
      </c>
      <c r="Y76">
        <f ca="1"/>
        <v>1</v>
      </c>
      <c r="Z76">
        <f ca="1"/>
        <v>14.002995897141943</v>
      </c>
      <c r="AA76">
        <f ca="1"/>
        <v>0</v>
      </c>
      <c r="AB76">
        <f ca="1"/>
        <v>0.99988840724572503</v>
      </c>
      <c r="AD76" s="2">
        <f t="shared" ca="1" si="12"/>
        <v>45411</v>
      </c>
      <c r="AE76">
        <f t="shared" ca="1" si="13"/>
        <v>0</v>
      </c>
      <c r="AG76" s="65">
        <f t="shared" ca="1" si="17"/>
        <v>103.06610893559289</v>
      </c>
      <c r="AH76" s="65">
        <f t="shared" ca="1" si="18"/>
        <v>103.06610893559289</v>
      </c>
      <c r="AI76" s="3">
        <f t="shared" ca="1" si="19"/>
        <v>0</v>
      </c>
    </row>
    <row r="77" spans="7:35" x14ac:dyDescent="0.25">
      <c r="G77" s="3">
        <f t="shared" ca="1" si="14"/>
        <v>77</v>
      </c>
      <c r="H77" s="97">
        <f t="shared" ca="1" si="16"/>
        <v>45367</v>
      </c>
      <c r="I77" s="121">
        <f ca="1">HLOOKUP($H$4,'Met Data'!$A$2:$F$368,G77,FALSE)</f>
        <v>16.100000000000001</v>
      </c>
      <c r="J77" s="121">
        <f ca="1">HLOOKUP($H$4,'Met Data'!$H$2:$M$368,G77,FALSE)*L77</f>
        <v>2.38</v>
      </c>
      <c r="K77" s="98">
        <f ca="1">HLOOKUP($H$4,'Met Data'!$O$2:$T$368,G77,FALSE)</f>
        <v>2.7759280674014901</v>
      </c>
      <c r="L77">
        <f t="shared" ca="1" si="10"/>
        <v>1.7</v>
      </c>
      <c r="N77" t="b">
        <f t="shared" ca="1" si="15"/>
        <v>1</v>
      </c>
      <c r="O77" t="b">
        <f t="shared" ca="1" si="11"/>
        <v>1</v>
      </c>
      <c r="P77" s="2">
        <f ca="1"/>
        <v>45412</v>
      </c>
      <c r="Q77">
        <f ca="1"/>
        <v>95.188709513642678</v>
      </c>
      <c r="R77">
        <f ca="1"/>
        <v>1.6973170251024099</v>
      </c>
      <c r="S77">
        <f ca="1"/>
        <v>1.7996466742443928E-2</v>
      </c>
      <c r="T77">
        <f ca="1"/>
        <v>0</v>
      </c>
      <c r="U77">
        <f ca="1"/>
        <v>0</v>
      </c>
      <c r="V77">
        <f ca="1"/>
        <v>63.482905922086999</v>
      </c>
      <c r="W77">
        <f ca="1"/>
        <v>16.146739114965602</v>
      </c>
      <c r="X77">
        <f ca="1"/>
        <v>0</v>
      </c>
      <c r="Y77">
        <f ca="1"/>
        <v>0.99203433721719647</v>
      </c>
      <c r="Z77">
        <f ca="1"/>
        <v>0</v>
      </c>
      <c r="AA77">
        <f ca="1"/>
        <v>0</v>
      </c>
      <c r="AB77">
        <f ca="1"/>
        <v>0.999908585184624</v>
      </c>
      <c r="AD77" s="2">
        <f t="shared" ca="1" si="12"/>
        <v>45412</v>
      </c>
      <c r="AE77">
        <f t="shared" ca="1" si="13"/>
        <v>0</v>
      </c>
      <c r="AG77" s="65">
        <f t="shared" ca="1" si="17"/>
        <v>96.886026538745085</v>
      </c>
      <c r="AH77" s="65">
        <f t="shared" ca="1" si="18"/>
        <v>96.886026538745085</v>
      </c>
      <c r="AI77" s="3">
        <f t="shared" ca="1" si="19"/>
        <v>0</v>
      </c>
    </row>
    <row r="78" spans="7:35" x14ac:dyDescent="0.25">
      <c r="G78" s="3">
        <f t="shared" ca="1" si="14"/>
        <v>78</v>
      </c>
      <c r="H78" s="97">
        <f t="shared" ca="1" si="16"/>
        <v>45368</v>
      </c>
      <c r="I78" s="121">
        <f ca="1">HLOOKUP($H$4,'Met Data'!$A$2:$F$368,G78,FALSE)</f>
        <v>15.379166666666601</v>
      </c>
      <c r="J78" s="121">
        <f ca="1">HLOOKUP($H$4,'Met Data'!$H$2:$M$368,G78,FALSE)*L78</f>
        <v>6.2616666666666605</v>
      </c>
      <c r="K78" s="98">
        <f ca="1">HLOOKUP($H$4,'Met Data'!$O$2:$T$368,G78,FALSE)</f>
        <v>2.7162290778951999</v>
      </c>
      <c r="L78">
        <f t="shared" ca="1" si="10"/>
        <v>1.7</v>
      </c>
      <c r="N78" t="b">
        <f t="shared" ca="1" si="15"/>
        <v>1</v>
      </c>
      <c r="O78" t="b">
        <f t="shared" ca="1" si="11"/>
        <v>1</v>
      </c>
      <c r="P78" s="2">
        <f ca="1"/>
        <v>45413</v>
      </c>
      <c r="Q78">
        <f ca="1"/>
        <v>93.475751078853705</v>
      </c>
      <c r="R78">
        <f ca="1"/>
        <v>1.73103309513707</v>
      </c>
      <c r="S78">
        <f ca="1"/>
        <v>1.8074660348090354E-2</v>
      </c>
      <c r="T78">
        <f ca="1"/>
        <v>0</v>
      </c>
      <c r="U78">
        <f ca="1"/>
        <v>0</v>
      </c>
      <c r="V78">
        <f ca="1"/>
        <v>65.213939017224106</v>
      </c>
      <c r="W78">
        <f ca="1"/>
        <v>16.587023619598298</v>
      </c>
      <c r="X78">
        <f ca="1"/>
        <v>0</v>
      </c>
      <c r="Y78">
        <f ca="1"/>
        <v>0.9831986403207098</v>
      </c>
      <c r="Z78">
        <f ca="1"/>
        <v>0</v>
      </c>
      <c r="AA78">
        <f ca="1"/>
        <v>0</v>
      </c>
      <c r="AB78">
        <f ca="1"/>
        <v>0.99992507820093801</v>
      </c>
      <c r="AD78" s="2">
        <f t="shared" ca="1" si="12"/>
        <v>45413</v>
      </c>
      <c r="AE78">
        <f t="shared" ca="1" si="13"/>
        <v>0</v>
      </c>
      <c r="AG78" s="65">
        <f t="shared" ca="1" si="17"/>
        <v>95.206784173990769</v>
      </c>
      <c r="AH78" s="65">
        <f t="shared" ca="1" si="18"/>
        <v>95.206784173990769</v>
      </c>
      <c r="AI78" s="3">
        <f t="shared" ca="1" si="19"/>
        <v>0</v>
      </c>
    </row>
    <row r="79" spans="7:35" x14ac:dyDescent="0.25">
      <c r="G79" s="3">
        <f t="shared" ca="1" si="14"/>
        <v>79</v>
      </c>
      <c r="H79" s="97">
        <f t="shared" ca="1" si="16"/>
        <v>45369</v>
      </c>
      <c r="I79" s="121">
        <f ca="1">HLOOKUP($H$4,'Met Data'!$A$2:$F$368,G79,FALSE)</f>
        <v>15.858333333333301</v>
      </c>
      <c r="J79" s="121">
        <f ca="1">HLOOKUP($H$4,'Met Data'!$H$2:$M$368,G79,FALSE)*L79</f>
        <v>1.4449999999999998</v>
      </c>
      <c r="K79" s="98">
        <f ca="1">HLOOKUP($H$4,'Met Data'!$O$2:$T$368,G79,FALSE)</f>
        <v>2.8216063312721902</v>
      </c>
      <c r="L79">
        <f t="shared" ca="1" si="10"/>
        <v>1.7</v>
      </c>
      <c r="N79" t="b">
        <f t="shared" ca="1" si="15"/>
        <v>1</v>
      </c>
      <c r="O79" t="b">
        <f t="shared" ca="1" si="11"/>
        <v>1</v>
      </c>
      <c r="P79" s="2">
        <f ca="1"/>
        <v>45414</v>
      </c>
      <c r="Q79">
        <f ca="1"/>
        <v>90.759618121444561</v>
      </c>
      <c r="R79">
        <f ca="1"/>
        <v>1.9555296675063101</v>
      </c>
      <c r="S79">
        <f ca="1"/>
        <v>2.0332899945968208E-2</v>
      </c>
      <c r="T79">
        <f ca="1"/>
        <v>0</v>
      </c>
      <c r="U79">
        <f ca="1"/>
        <v>0</v>
      </c>
      <c r="V79">
        <f ca="1"/>
        <v>67.169468684730404</v>
      </c>
      <c r="W79">
        <f ca="1"/>
        <v>17.084408339377099</v>
      </c>
      <c r="X79">
        <f ca="1"/>
        <v>0.78093618984879676</v>
      </c>
      <c r="Y79">
        <f ca="1"/>
        <v>1</v>
      </c>
      <c r="Z79">
        <f ca="1"/>
        <v>2.7171933231728218</v>
      </c>
      <c r="AA79">
        <f ca="1"/>
        <v>0</v>
      </c>
      <c r="AB79">
        <f ca="1"/>
        <v>0.99993985379921602</v>
      </c>
      <c r="AD79" s="2">
        <f t="shared" ca="1" si="12"/>
        <v>45414</v>
      </c>
      <c r="AE79">
        <f t="shared" ca="1" si="13"/>
        <v>0</v>
      </c>
      <c r="AG79" s="65">
        <f t="shared" ca="1" si="17"/>
        <v>93.496083978799675</v>
      </c>
      <c r="AH79" s="65">
        <f t="shared" ca="1" si="18"/>
        <v>93.496083978799675</v>
      </c>
      <c r="AI79" s="3">
        <f t="shared" ca="1" si="19"/>
        <v>0</v>
      </c>
    </row>
    <row r="80" spans="7:35" x14ac:dyDescent="0.25">
      <c r="G80" s="3">
        <f t="shared" ca="1" si="14"/>
        <v>80</v>
      </c>
      <c r="H80" s="97">
        <f t="shared" ca="1" si="16"/>
        <v>45370</v>
      </c>
      <c r="I80" s="121">
        <f ca="1">HLOOKUP($H$4,'Met Data'!$A$2:$F$368,G80,FALSE)</f>
        <v>16.216666666666601</v>
      </c>
      <c r="J80" s="121">
        <f ca="1">HLOOKUP($H$4,'Met Data'!$H$2:$M$368,G80,FALSE)*L80</f>
        <v>0.14166666666666661</v>
      </c>
      <c r="K80" s="98">
        <f ca="1">HLOOKUP($H$4,'Met Data'!$O$2:$T$368,G80,FALSE)</f>
        <v>2.7500481593686201</v>
      </c>
      <c r="L80">
        <f t="shared" ca="1" si="10"/>
        <v>1.7</v>
      </c>
      <c r="N80" t="b">
        <f t="shared" ca="1" si="15"/>
        <v>1</v>
      </c>
      <c r="O80" t="b">
        <f t="shared" ca="1" si="11"/>
        <v>1</v>
      </c>
      <c r="P80" s="2">
        <f ca="1"/>
        <v>45415</v>
      </c>
      <c r="Q80">
        <f ca="1"/>
        <v>86.7088938079185</v>
      </c>
      <c r="R80">
        <f ca="1"/>
        <v>2.01032015896432</v>
      </c>
      <c r="S80">
        <f ca="1"/>
        <v>2.0543387584555539E-2</v>
      </c>
      <c r="T80">
        <f ca="1"/>
        <v>0</v>
      </c>
      <c r="U80">
        <f ca="1"/>
        <v>0</v>
      </c>
      <c r="V80">
        <f ca="1"/>
        <v>69.179788843694794</v>
      </c>
      <c r="W80">
        <f ca="1"/>
        <v>17.595728901548402</v>
      </c>
      <c r="X80">
        <f ca="1"/>
        <v>2.0609475421462968</v>
      </c>
      <c r="Y80">
        <f ca="1"/>
        <v>1</v>
      </c>
      <c r="Z80">
        <f ca="1"/>
        <v>7.505868326112946</v>
      </c>
      <c r="AA80">
        <f ca="1"/>
        <v>0</v>
      </c>
      <c r="AB80">
        <f ca="1"/>
        <v>0.99995175609431897</v>
      </c>
      <c r="AD80" s="2">
        <f t="shared" ca="1" si="12"/>
        <v>45415</v>
      </c>
      <c r="AE80">
        <f t="shared" ca="1" si="13"/>
        <v>0</v>
      </c>
      <c r="AG80" s="65">
        <f t="shared" ca="1" si="17"/>
        <v>90.780161509029114</v>
      </c>
      <c r="AH80" s="65">
        <f t="shared" ca="1" si="18"/>
        <v>90.780161509029114</v>
      </c>
      <c r="AI80" s="3">
        <f t="shared" ca="1" si="19"/>
        <v>0</v>
      </c>
    </row>
    <row r="81" spans="7:35" x14ac:dyDescent="0.25">
      <c r="G81" s="3">
        <f t="shared" ca="1" si="14"/>
        <v>81</v>
      </c>
      <c r="H81" s="97">
        <f t="shared" ca="1" si="16"/>
        <v>45371</v>
      </c>
      <c r="I81" s="121">
        <f ca="1">HLOOKUP($H$4,'Met Data'!$A$2:$F$368,G81,FALSE)</f>
        <v>16.483333333333299</v>
      </c>
      <c r="J81" s="121">
        <f ca="1">HLOOKUP($H$4,'Met Data'!$H$2:$M$368,G81,FALSE)*L81</f>
        <v>1.8983333333333221</v>
      </c>
      <c r="K81" s="98">
        <f ca="1">HLOOKUP($H$4,'Met Data'!$O$2:$T$368,G81,FALSE)</f>
        <v>2.6292753041097501</v>
      </c>
      <c r="L81">
        <f t="shared" ca="1" si="10"/>
        <v>1.7</v>
      </c>
      <c r="N81" t="b">
        <f t="shared" ca="1" si="15"/>
        <v>1</v>
      </c>
      <c r="O81" t="b">
        <f t="shared" ca="1" si="11"/>
        <v>1</v>
      </c>
      <c r="P81" s="2">
        <f ca="1"/>
        <v>45416</v>
      </c>
      <c r="Q81">
        <f ca="1"/>
        <v>81.326526216620692</v>
      </c>
      <c r="R81">
        <f ca="1"/>
        <v>2.1301831219333001</v>
      </c>
      <c r="S81">
        <f ca="1"/>
        <v>2.1484305261417092E-2</v>
      </c>
      <c r="T81">
        <f ca="1"/>
        <v>0</v>
      </c>
      <c r="U81">
        <f ca="1"/>
        <v>0</v>
      </c>
      <c r="V81">
        <f ca="1"/>
        <v>71.309971965628094</v>
      </c>
      <c r="W81">
        <f ca="1"/>
        <v>18.137536347779299</v>
      </c>
      <c r="X81">
        <f ca="1"/>
        <v>3.273668774625917</v>
      </c>
      <c r="Y81">
        <f ca="1"/>
        <v>1</v>
      </c>
      <c r="Z81">
        <f ca="1"/>
        <v>12.711598385525008</v>
      </c>
      <c r="AA81">
        <f ca="1"/>
        <v>0</v>
      </c>
      <c r="AB81">
        <f ca="1"/>
        <v>0.99996159701346499</v>
      </c>
      <c r="AD81" s="2">
        <f t="shared" ca="1" si="12"/>
        <v>45416</v>
      </c>
      <c r="AE81">
        <f t="shared" ca="1" si="13"/>
        <v>0</v>
      </c>
      <c r="AG81" s="65">
        <f t="shared" ca="1" si="17"/>
        <v>86.73037811317991</v>
      </c>
      <c r="AH81" s="65">
        <f t="shared" ca="1" si="18"/>
        <v>86.73037811317991</v>
      </c>
      <c r="AI81" s="3">
        <f t="shared" ca="1" si="19"/>
        <v>0</v>
      </c>
    </row>
    <row r="82" spans="7:35" x14ac:dyDescent="0.25">
      <c r="G82" s="3">
        <f t="shared" ca="1" si="14"/>
        <v>82</v>
      </c>
      <c r="H82" s="97">
        <f t="shared" ca="1" si="16"/>
        <v>45372</v>
      </c>
      <c r="I82" s="121">
        <f ca="1">HLOOKUP($H$4,'Met Data'!$A$2:$F$368,G82,FALSE)</f>
        <v>16.6791666666666</v>
      </c>
      <c r="J82" s="121">
        <f ca="1">HLOOKUP($H$4,'Met Data'!$H$2:$M$368,G82,FALSE)*L82</f>
        <v>2.7766666666666611</v>
      </c>
      <c r="K82" s="98">
        <f ca="1">HLOOKUP($H$4,'Met Data'!$O$2:$T$368,G82,FALSE)</f>
        <v>2.3413673129625598</v>
      </c>
      <c r="L82">
        <f t="shared" ca="1" si="10"/>
        <v>1.7</v>
      </c>
      <c r="N82" t="b">
        <f t="shared" ca="1" si="15"/>
        <v>1</v>
      </c>
      <c r="O82" t="b">
        <f t="shared" ca="1" si="11"/>
        <v>1</v>
      </c>
      <c r="P82" s="2">
        <f ca="1"/>
        <v>45417</v>
      </c>
      <c r="Q82">
        <f ca="1"/>
        <v>77.851457872515795</v>
      </c>
      <c r="R82">
        <f ca="1"/>
        <v>2.1297423696530902</v>
      </c>
      <c r="S82">
        <f ca="1"/>
        <v>2.0977842562307281E-2</v>
      </c>
      <c r="T82">
        <f ca="1"/>
        <v>0</v>
      </c>
      <c r="U82">
        <f ca="1"/>
        <v>0</v>
      </c>
      <c r="V82">
        <f ca="1"/>
        <v>73.439714335281096</v>
      </c>
      <c r="W82">
        <f ca="1"/>
        <v>18.679231689625901</v>
      </c>
      <c r="X82">
        <f ca="1"/>
        <v>1.3663038170141155</v>
      </c>
      <c r="Y82">
        <f ca="1"/>
        <v>1</v>
      </c>
      <c r="Z82">
        <f ca="1"/>
        <v>5.5421487928222462</v>
      </c>
      <c r="AA82">
        <f ca="1"/>
        <v>0</v>
      </c>
      <c r="AB82">
        <f ca="1"/>
        <v>0.99996926555068699</v>
      </c>
      <c r="AD82" s="2">
        <f t="shared" ca="1" si="12"/>
        <v>45417</v>
      </c>
      <c r="AE82">
        <f t="shared" ca="1" si="13"/>
        <v>0</v>
      </c>
      <c r="AG82" s="65">
        <f t="shared" ca="1" si="17"/>
        <v>81.347504059182995</v>
      </c>
      <c r="AH82" s="65">
        <f t="shared" ca="1" si="18"/>
        <v>81.347504059182995</v>
      </c>
      <c r="AI82" s="3">
        <f t="shared" ca="1" si="19"/>
        <v>0</v>
      </c>
    </row>
    <row r="83" spans="7:35" x14ac:dyDescent="0.25">
      <c r="G83" s="3">
        <f t="shared" ca="1" si="14"/>
        <v>83</v>
      </c>
      <c r="H83" s="97">
        <f t="shared" ca="1" si="16"/>
        <v>45373</v>
      </c>
      <c r="I83" s="121">
        <f ca="1">HLOOKUP($H$4,'Met Data'!$A$2:$F$368,G83,FALSE)</f>
        <v>16.8</v>
      </c>
      <c r="J83" s="121">
        <f ca="1">HLOOKUP($H$4,'Met Data'!$H$2:$M$368,G83,FALSE)*L83</f>
        <v>3.881666666666661</v>
      </c>
      <c r="K83" s="98">
        <f ca="1">HLOOKUP($H$4,'Met Data'!$O$2:$T$368,G83,FALSE)</f>
        <v>2.7038604411954998</v>
      </c>
      <c r="L83">
        <f t="shared" ca="1" si="10"/>
        <v>1.7</v>
      </c>
      <c r="N83" t="b">
        <f t="shared" ca="1" si="15"/>
        <v>1</v>
      </c>
      <c r="O83" t="b">
        <f t="shared" ca="1" si="11"/>
        <v>1</v>
      </c>
      <c r="P83" s="2">
        <f ca="1"/>
        <v>45418</v>
      </c>
      <c r="Q83">
        <f ca="1"/>
        <v>72.496618601113227</v>
      </c>
      <c r="R83">
        <f ca="1"/>
        <v>2.0811355960791902</v>
      </c>
      <c r="S83">
        <f ca="1"/>
        <v>1.9969045677980191E-2</v>
      </c>
      <c r="T83">
        <f ca="1"/>
        <v>0</v>
      </c>
      <c r="U83">
        <f ca="1"/>
        <v>0</v>
      </c>
      <c r="V83">
        <f ca="1"/>
        <v>75.520849931360303</v>
      </c>
      <c r="W83">
        <f ca="1"/>
        <v>19.208564004280799</v>
      </c>
      <c r="X83">
        <f ca="1"/>
        <v>3.2936727210013554</v>
      </c>
      <c r="Y83">
        <f ca="1"/>
        <v>1</v>
      </c>
      <c r="Z83">
        <f ca="1"/>
        <v>14.346975005494784</v>
      </c>
      <c r="AA83">
        <f ca="1"/>
        <v>0</v>
      </c>
      <c r="AB83">
        <f ca="1"/>
        <v>0.99997515732920395</v>
      </c>
      <c r="AD83" s="2">
        <f t="shared" ca="1" si="12"/>
        <v>45418</v>
      </c>
      <c r="AE83">
        <f t="shared" ca="1" si="13"/>
        <v>0</v>
      </c>
      <c r="AG83" s="65">
        <f t="shared" ca="1" si="17"/>
        <v>77.871426918193777</v>
      </c>
      <c r="AH83" s="65">
        <f t="shared" ca="1" si="18"/>
        <v>77.871426918193777</v>
      </c>
      <c r="AI83" s="3">
        <f t="shared" ca="1" si="19"/>
        <v>0</v>
      </c>
    </row>
    <row r="84" spans="7:35" x14ac:dyDescent="0.25">
      <c r="G84" s="3">
        <f t="shared" ca="1" si="14"/>
        <v>84</v>
      </c>
      <c r="H84" s="97">
        <f t="shared" ca="1" si="16"/>
        <v>45374</v>
      </c>
      <c r="I84" s="121">
        <f ca="1">HLOOKUP($H$4,'Met Data'!$A$2:$F$368,G84,FALSE)</f>
        <v>16.237500000000001</v>
      </c>
      <c r="J84" s="121">
        <f ca="1">HLOOKUP($H$4,'Met Data'!$H$2:$M$368,G84,FALSE)*L84</f>
        <v>6.4316666666666613</v>
      </c>
      <c r="K84" s="98">
        <f ca="1">HLOOKUP($H$4,'Met Data'!$O$2:$T$368,G84,FALSE)</f>
        <v>2.1387131538714801</v>
      </c>
      <c r="L84">
        <f t="shared" ca="1" si="10"/>
        <v>1.7</v>
      </c>
      <c r="N84" t="b">
        <f t="shared" ca="1" si="15"/>
        <v>1</v>
      </c>
      <c r="O84" t="b">
        <f t="shared" ca="1" si="11"/>
        <v>1</v>
      </c>
      <c r="P84" s="2">
        <f ca="1"/>
        <v>45419</v>
      </c>
      <c r="Q84">
        <f ca="1"/>
        <v>69.274876211775933</v>
      </c>
      <c r="R84">
        <f ca="1"/>
        <v>2.1471986755678598</v>
      </c>
      <c r="S84">
        <f ca="1"/>
        <v>2.0233802639712195E-2</v>
      </c>
      <c r="T84">
        <f ca="1"/>
        <v>0</v>
      </c>
      <c r="U84">
        <f ca="1"/>
        <v>0</v>
      </c>
      <c r="V84">
        <f ca="1"/>
        <v>77.668048606928195</v>
      </c>
      <c r="W84">
        <f ca="1"/>
        <v>19.754699319588301</v>
      </c>
      <c r="X84">
        <f ca="1"/>
        <v>1.0947775164091449</v>
      </c>
      <c r="Y84">
        <f ca="1"/>
        <v>1</v>
      </c>
      <c r="Z84">
        <f ca="1"/>
        <v>4.9905425258541669</v>
      </c>
      <c r="AA84">
        <f ca="1"/>
        <v>0</v>
      </c>
      <c r="AB84">
        <f ca="1"/>
        <v>0.99997996036540704</v>
      </c>
      <c r="AD84" s="2">
        <f t="shared" ca="1" si="12"/>
        <v>45419</v>
      </c>
      <c r="AE84">
        <f t="shared" ca="1" si="13"/>
        <v>0</v>
      </c>
      <c r="AG84" s="65">
        <f t="shared" ca="1" si="17"/>
        <v>72.516852403752935</v>
      </c>
      <c r="AH84" s="65">
        <f t="shared" ca="1" si="18"/>
        <v>72.516852403752935</v>
      </c>
      <c r="AI84" s="3">
        <f t="shared" ca="1" si="19"/>
        <v>0</v>
      </c>
    </row>
    <row r="85" spans="7:35" x14ac:dyDescent="0.25">
      <c r="G85" s="3">
        <f t="shared" ca="1" si="14"/>
        <v>85</v>
      </c>
      <c r="H85" s="97">
        <f t="shared" ca="1" si="16"/>
        <v>45375</v>
      </c>
      <c r="I85" s="121">
        <f ca="1">HLOOKUP($H$4,'Met Data'!$A$2:$F$368,G85,FALSE)</f>
        <v>16.875</v>
      </c>
      <c r="J85" s="121">
        <f ca="1">HLOOKUP($H$4,'Met Data'!$H$2:$M$368,G85,FALSE)*L85</f>
        <v>4.93</v>
      </c>
      <c r="K85" s="98">
        <f ca="1">HLOOKUP($H$4,'Met Data'!$O$2:$T$368,G85,FALSE)</f>
        <v>2.4308063740099</v>
      </c>
      <c r="L85">
        <f t="shared" ca="1" si="10"/>
        <v>1.7</v>
      </c>
      <c r="N85" t="b">
        <f t="shared" ca="1" si="15"/>
        <v>1</v>
      </c>
      <c r="O85" t="b">
        <f t="shared" ca="1" si="11"/>
        <v>1</v>
      </c>
      <c r="P85" s="2">
        <f ca="1"/>
        <v>45420</v>
      </c>
      <c r="Q85">
        <f ca="1"/>
        <v>66.414514355929441</v>
      </c>
      <c r="R85">
        <f ca="1"/>
        <v>2.4193311311882</v>
      </c>
      <c r="S85">
        <f ca="1"/>
        <v>2.2704487849160238E-2</v>
      </c>
      <c r="T85">
        <f ca="1"/>
        <v>0</v>
      </c>
      <c r="U85">
        <f ca="1"/>
        <v>0</v>
      </c>
      <c r="V85">
        <f ca="1"/>
        <v>80.087379738116397</v>
      </c>
      <c r="W85">
        <f ca="1"/>
        <v>20.370050933390502</v>
      </c>
      <c r="X85">
        <f ca="1"/>
        <v>0.46373521250745059</v>
      </c>
      <c r="Y85">
        <f ca="1"/>
        <v>1</v>
      </c>
      <c r="Z85">
        <f ca="1"/>
        <v>2.2049803436300977</v>
      </c>
      <c r="AA85">
        <f ca="1"/>
        <v>0</v>
      </c>
      <c r="AB85">
        <f ca="1"/>
        <v>0.99998418372507603</v>
      </c>
      <c r="AD85" s="2">
        <f t="shared" ca="1" si="12"/>
        <v>45420</v>
      </c>
      <c r="AE85">
        <f t="shared" ca="1" si="13"/>
        <v>0</v>
      </c>
      <c r="AG85" s="65">
        <f t="shared" ca="1" si="17"/>
        <v>69.297580699625087</v>
      </c>
      <c r="AH85" s="65">
        <f t="shared" ca="1" si="18"/>
        <v>69.297580699625087</v>
      </c>
      <c r="AI85" s="3">
        <f t="shared" ca="1" si="19"/>
        <v>0</v>
      </c>
    </row>
    <row r="86" spans="7:35" x14ac:dyDescent="0.25">
      <c r="G86" s="3">
        <f t="shared" ca="1" si="14"/>
        <v>86</v>
      </c>
      <c r="H86" s="97">
        <f t="shared" ca="1" si="16"/>
        <v>45376</v>
      </c>
      <c r="I86" s="121">
        <f ca="1">HLOOKUP($H$4,'Met Data'!$A$2:$F$368,G86,FALSE)</f>
        <v>17.024999999999999</v>
      </c>
      <c r="J86" s="121">
        <f ca="1">HLOOKUP($H$4,'Met Data'!$H$2:$M$368,G86,FALSE)*L86</f>
        <v>6.3466666666666605</v>
      </c>
      <c r="K86" s="98">
        <f ca="1">HLOOKUP($H$4,'Met Data'!$O$2:$T$368,G86,FALSE)</f>
        <v>2.3866525377963699</v>
      </c>
      <c r="L86">
        <f t="shared" ca="1" si="10"/>
        <v>1.7</v>
      </c>
      <c r="N86" t="b">
        <f t="shared" ca="1" si="15"/>
        <v>1</v>
      </c>
      <c r="O86" t="b">
        <f t="shared" ca="1" si="11"/>
        <v>1</v>
      </c>
      <c r="P86" s="2">
        <f ca="1"/>
        <v>45421</v>
      </c>
      <c r="Q86">
        <f ca="1"/>
        <v>63.355923707678024</v>
      </c>
      <c r="R86">
        <f ca="1"/>
        <v>2.4126195814376801</v>
      </c>
      <c r="S86">
        <f ca="1"/>
        <v>2.2040363022032494E-2</v>
      </c>
      <c r="T86">
        <f ca="1"/>
        <v>0</v>
      </c>
      <c r="U86">
        <f ca="1"/>
        <v>0</v>
      </c>
      <c r="V86">
        <f ca="1"/>
        <v>82.499999319554107</v>
      </c>
      <c r="W86">
        <f ca="1"/>
        <v>20.983695479104</v>
      </c>
      <c r="X86">
        <f ca="1"/>
        <v>0.66801142983576345</v>
      </c>
      <c r="Y86">
        <f ca="1"/>
        <v>1</v>
      </c>
      <c r="Z86">
        <f ca="1"/>
        <v>3.3296172717202097</v>
      </c>
      <c r="AA86">
        <f ca="1"/>
        <v>0</v>
      </c>
      <c r="AB86">
        <f ca="1"/>
        <v>0.99998744171301701</v>
      </c>
      <c r="AD86" s="2">
        <f t="shared" ca="1" si="12"/>
        <v>45421</v>
      </c>
      <c r="AE86">
        <f t="shared" ca="1" si="13"/>
        <v>0</v>
      </c>
      <c r="AG86" s="65">
        <f t="shared" ca="1" si="17"/>
        <v>66.43655471895147</v>
      </c>
      <c r="AH86" s="65">
        <f t="shared" ca="1" si="18"/>
        <v>66.436554718951456</v>
      </c>
      <c r="AI86" s="3">
        <f t="shared" ca="1" si="19"/>
        <v>0</v>
      </c>
    </row>
    <row r="87" spans="7:35" x14ac:dyDescent="0.25">
      <c r="G87" s="3">
        <f t="shared" ca="1" si="14"/>
        <v>87</v>
      </c>
      <c r="H87" s="97">
        <f t="shared" ca="1" si="16"/>
        <v>45377</v>
      </c>
      <c r="I87" s="121">
        <f ca="1">HLOOKUP($H$4,'Met Data'!$A$2:$F$368,G87,FALSE)</f>
        <v>17.3</v>
      </c>
      <c r="J87" s="121">
        <f ca="1">HLOOKUP($H$4,'Met Data'!$H$2:$M$368,G87,FALSE)*L87</f>
        <v>3.2866666666666609</v>
      </c>
      <c r="K87" s="98">
        <f ca="1">HLOOKUP($H$4,'Met Data'!$O$2:$T$368,G87,FALSE)</f>
        <v>2.6501779961824399</v>
      </c>
      <c r="L87">
        <f t="shared" ca="1" si="10"/>
        <v>1.7</v>
      </c>
      <c r="N87" t="b">
        <f t="shared" ca="1" si="15"/>
        <v>1</v>
      </c>
      <c r="O87" t="b">
        <f t="shared" ca="1" si="11"/>
        <v>1</v>
      </c>
      <c r="P87" s="2">
        <f ca="1"/>
        <v>45422</v>
      </c>
      <c r="Q87">
        <f ca="1"/>
        <v>59.215041992656111</v>
      </c>
      <c r="R87">
        <f ca="1"/>
        <v>2.3504706536579199</v>
      </c>
      <c r="S87">
        <f ca="1"/>
        <v>2.0846504805511756E-2</v>
      </c>
      <c r="T87">
        <f ca="1"/>
        <v>0</v>
      </c>
      <c r="U87">
        <f ca="1"/>
        <v>0</v>
      </c>
      <c r="V87">
        <f ca="1"/>
        <v>84.850469973212</v>
      </c>
      <c r="W87">
        <f ca="1"/>
        <v>21.581532580143101</v>
      </c>
      <c r="X87">
        <f ca="1"/>
        <v>1.8112575661695005</v>
      </c>
      <c r="Y87">
        <f ca="1"/>
        <v>1</v>
      </c>
      <c r="Z87">
        <f ca="1"/>
        <v>9.6593036883795094</v>
      </c>
      <c r="AA87">
        <f ca="1"/>
        <v>0</v>
      </c>
      <c r="AB87">
        <f ca="1"/>
        <v>0.99998992061715397</v>
      </c>
      <c r="AD87" s="2">
        <f t="shared" ca="1" si="12"/>
        <v>45422</v>
      </c>
      <c r="AE87">
        <f t="shared" ca="1" si="13"/>
        <v>0</v>
      </c>
      <c r="AG87" s="65">
        <f t="shared" ca="1" si="17"/>
        <v>63.376770212483535</v>
      </c>
      <c r="AH87" s="65">
        <f t="shared" ca="1" si="18"/>
        <v>63.376770212483535</v>
      </c>
      <c r="AI87" s="3">
        <f t="shared" ca="1" si="19"/>
        <v>0</v>
      </c>
    </row>
    <row r="88" spans="7:35" x14ac:dyDescent="0.25">
      <c r="G88" s="3">
        <f t="shared" ca="1" si="14"/>
        <v>88</v>
      </c>
      <c r="H88" s="97">
        <f t="shared" ca="1" si="16"/>
        <v>45378</v>
      </c>
      <c r="I88" s="121">
        <f ca="1">HLOOKUP($H$4,'Met Data'!$A$2:$F$368,G88,FALSE)</f>
        <v>15.983333333333301</v>
      </c>
      <c r="J88" s="121">
        <f ca="1">HLOOKUP($H$4,'Met Data'!$H$2:$M$368,G88,FALSE)*L88</f>
        <v>2.0683333333333218</v>
      </c>
      <c r="K88" s="98">
        <f ca="1">HLOOKUP($H$4,'Met Data'!$O$2:$T$368,G88,FALSE)</f>
        <v>2.2352735074469998</v>
      </c>
      <c r="L88">
        <f t="shared" ca="1" si="10"/>
        <v>1.7</v>
      </c>
      <c r="N88" t="b">
        <f t="shared" ca="1" si="15"/>
        <v>1</v>
      </c>
      <c r="O88" t="b">
        <f t="shared" ca="1" si="11"/>
        <v>1</v>
      </c>
      <c r="P88" s="2">
        <f ca="1"/>
        <v>45423</v>
      </c>
      <c r="Q88">
        <f ca="1"/>
        <v>54.010348525839071</v>
      </c>
      <c r="R88">
        <f ca="1"/>
        <v>2.4862776405151399</v>
      </c>
      <c r="S88">
        <f ca="1"/>
        <v>2.1710015957396855E-2</v>
      </c>
      <c r="T88">
        <f ca="1"/>
        <v>0</v>
      </c>
      <c r="U88">
        <f ca="1"/>
        <v>0</v>
      </c>
      <c r="V88">
        <f ca="1"/>
        <v>87.336747613727098</v>
      </c>
      <c r="W88">
        <f ca="1"/>
        <v>22.2139118930567</v>
      </c>
      <c r="X88">
        <f ca="1"/>
        <v>2.7401258422592969</v>
      </c>
      <c r="Y88">
        <f ca="1"/>
        <v>1</v>
      </c>
      <c r="Z88">
        <f ca="1"/>
        <v>16.021057467192577</v>
      </c>
      <c r="AA88">
        <f ca="1"/>
        <v>0</v>
      </c>
      <c r="AB88">
        <f ca="1"/>
        <v>0.99999197333114398</v>
      </c>
      <c r="AD88" s="2">
        <f t="shared" ca="1" si="12"/>
        <v>45423</v>
      </c>
      <c r="AE88">
        <f t="shared" ca="1" si="13"/>
        <v>0</v>
      </c>
      <c r="AG88" s="65">
        <f t="shared" ca="1" si="17"/>
        <v>59.236752008613507</v>
      </c>
      <c r="AH88" s="65">
        <f t="shared" ca="1" si="18"/>
        <v>59.236752008613507</v>
      </c>
      <c r="AI88" s="3">
        <f t="shared" ca="1" si="19"/>
        <v>0</v>
      </c>
    </row>
    <row r="89" spans="7:35" x14ac:dyDescent="0.25">
      <c r="G89" s="3">
        <f t="shared" ca="1" si="14"/>
        <v>89</v>
      </c>
      <c r="H89" s="97">
        <f t="shared" ca="1" si="16"/>
        <v>45379</v>
      </c>
      <c r="I89" s="121">
        <f ca="1">HLOOKUP($H$4,'Met Data'!$A$2:$F$368,G89,FALSE)</f>
        <v>16.404166666666601</v>
      </c>
      <c r="J89" s="121">
        <f ca="1">HLOOKUP($H$4,'Met Data'!$H$2:$M$368,G89,FALSE)*L89</f>
        <v>3.9666666666666606</v>
      </c>
      <c r="K89" s="98">
        <f ca="1">HLOOKUP($H$4,'Met Data'!$O$2:$T$368,G89,FALSE)</f>
        <v>2.3461969045698901</v>
      </c>
      <c r="L89">
        <f t="shared" ca="1" si="10"/>
        <v>1.7</v>
      </c>
      <c r="N89" t="b">
        <f t="shared" ca="1" si="15"/>
        <v>1</v>
      </c>
      <c r="O89" t="b">
        <f t="shared" ca="1" si="11"/>
        <v>1</v>
      </c>
      <c r="P89" s="2">
        <f ca="1"/>
        <v>45424</v>
      </c>
      <c r="Q89">
        <f ca="1"/>
        <v>49.489223572388688</v>
      </c>
      <c r="R89">
        <f ca="1"/>
        <v>2.4109262074608799</v>
      </c>
      <c r="S89">
        <f ca="1"/>
        <v>2.0434109170292203E-2</v>
      </c>
      <c r="T89">
        <f ca="1"/>
        <v>0</v>
      </c>
      <c r="U89">
        <f ca="1"/>
        <v>0</v>
      </c>
      <c r="V89">
        <f ca="1"/>
        <v>89.747673821188002</v>
      </c>
      <c r="W89">
        <f ca="1"/>
        <v>22.827125732780399</v>
      </c>
      <c r="X89">
        <f ca="1"/>
        <v>2.1306328551597864</v>
      </c>
      <c r="Y89">
        <f ca="1"/>
        <v>1</v>
      </c>
      <c r="Z89">
        <f ca="1"/>
        <v>13.595513919531072</v>
      </c>
      <c r="AA89">
        <f ca="1"/>
        <v>0</v>
      </c>
      <c r="AB89">
        <f ca="1"/>
        <v>0.99999353471629304</v>
      </c>
      <c r="AD89" s="2">
        <f t="shared" ca="1" si="12"/>
        <v>45424</v>
      </c>
      <c r="AE89">
        <f t="shared" ca="1" si="13"/>
        <v>0</v>
      </c>
      <c r="AG89" s="65">
        <f t="shared" ca="1" si="17"/>
        <v>54.030782635009359</v>
      </c>
      <c r="AH89" s="65">
        <f t="shared" ca="1" si="18"/>
        <v>54.030782635009359</v>
      </c>
      <c r="AI89" s="3">
        <f t="shared" ca="1" si="19"/>
        <v>0</v>
      </c>
    </row>
    <row r="90" spans="7:35" x14ac:dyDescent="0.25">
      <c r="G90" s="3">
        <f t="shared" ca="1" si="14"/>
        <v>90</v>
      </c>
      <c r="H90" s="97">
        <f t="shared" ca="1" si="16"/>
        <v>45380</v>
      </c>
      <c r="I90" s="121">
        <f ca="1">HLOOKUP($H$4,'Met Data'!$A$2:$F$368,G90,FALSE)</f>
        <v>16.629166666666599</v>
      </c>
      <c r="J90" s="121">
        <f ca="1">HLOOKUP($H$4,'Met Data'!$H$2:$M$368,G90,FALSE)*L90</f>
        <v>3.7966666666666606</v>
      </c>
      <c r="K90" s="98">
        <f ca="1">HLOOKUP($H$4,'Met Data'!$O$2:$T$368,G90,FALSE)</f>
        <v>2.5330458314755799</v>
      </c>
      <c r="L90">
        <f t="shared" ca="1" si="10"/>
        <v>1.7</v>
      </c>
      <c r="N90" t="b">
        <f t="shared" ca="1" si="15"/>
        <v>1</v>
      </c>
      <c r="O90" t="b">
        <f t="shared" ca="1" si="11"/>
        <v>1</v>
      </c>
      <c r="P90" s="2">
        <f ca="1"/>
        <v>45425</v>
      </c>
      <c r="Q90">
        <f ca="1"/>
        <v>45.187234732040942</v>
      </c>
      <c r="R90">
        <f ca="1"/>
        <v>2.4804352973347501</v>
      </c>
      <c r="S90">
        <f ca="1"/>
        <v>2.0610757960344728E-2</v>
      </c>
      <c r="T90">
        <f ca="1"/>
        <v>0</v>
      </c>
      <c r="U90">
        <f ca="1"/>
        <v>0</v>
      </c>
      <c r="V90">
        <f ca="1"/>
        <v>92.228109118522795</v>
      </c>
      <c r="W90">
        <f ca="1"/>
        <v>23.458019058406901</v>
      </c>
      <c r="X90">
        <f ca="1"/>
        <v>1.8421643009733468</v>
      </c>
      <c r="Y90">
        <f ca="1"/>
        <v>1</v>
      </c>
      <c r="Z90">
        <f ca="1"/>
        <v>12.873903404222318</v>
      </c>
      <c r="AA90">
        <f ca="1"/>
        <v>0</v>
      </c>
      <c r="AB90">
        <f ca="1"/>
        <v>0.99999480219972403</v>
      </c>
      <c r="AD90" s="2">
        <f t="shared" ca="1" si="12"/>
        <v>45425</v>
      </c>
      <c r="AE90">
        <f t="shared" ca="1" si="13"/>
        <v>0</v>
      </c>
      <c r="AG90" s="65">
        <f t="shared" ca="1" si="17"/>
        <v>49.509834330349037</v>
      </c>
      <c r="AH90" s="65">
        <f t="shared" ca="1" si="18"/>
        <v>49.509834330349037</v>
      </c>
      <c r="AI90" s="3">
        <f t="shared" ca="1" si="19"/>
        <v>0</v>
      </c>
    </row>
    <row r="91" spans="7:35" x14ac:dyDescent="0.25">
      <c r="G91" s="3">
        <f t="shared" ca="1" si="14"/>
        <v>91</v>
      </c>
      <c r="H91" s="97">
        <f t="shared" ca="1" si="16"/>
        <v>45381</v>
      </c>
      <c r="I91" s="121">
        <f ca="1">HLOOKUP($H$4,'Met Data'!$A$2:$F$368,G91,FALSE)</f>
        <v>16.112499999999901</v>
      </c>
      <c r="J91" s="121">
        <f ca="1">HLOOKUP($H$4,'Met Data'!$H$2:$M$368,G91,FALSE)*L91</f>
        <v>3.5416666666666607</v>
      </c>
      <c r="K91" s="98">
        <f ca="1">HLOOKUP($H$4,'Met Data'!$O$2:$T$368,G91,FALSE)</f>
        <v>2.4661161715906501</v>
      </c>
      <c r="L91">
        <f t="shared" ca="1" si="10"/>
        <v>1.7</v>
      </c>
      <c r="N91" t="b">
        <f t="shared" ca="1" si="15"/>
        <v>1</v>
      </c>
      <c r="O91" t="b">
        <f t="shared" ca="1" si="11"/>
        <v>1</v>
      </c>
      <c r="P91" s="2">
        <f ca="1"/>
        <v>45426</v>
      </c>
      <c r="Q91">
        <f ca="1"/>
        <v>39.554049551166578</v>
      </c>
      <c r="R91">
        <f ca="1"/>
        <v>2.6215345712254998</v>
      </c>
      <c r="S91">
        <f ca="1"/>
        <v>2.1440050600832095E-2</v>
      </c>
      <c r="T91">
        <f ca="1"/>
        <v>0</v>
      </c>
      <c r="U91">
        <f ca="1"/>
        <v>0</v>
      </c>
      <c r="V91">
        <f ca="1"/>
        <v>94.849643689748305</v>
      </c>
      <c r="W91">
        <f ca="1"/>
        <v>24.124800677609901</v>
      </c>
      <c r="X91">
        <f ca="1"/>
        <v>3.0330906602496901</v>
      </c>
      <c r="Y91">
        <f ca="1"/>
        <v>1</v>
      </c>
      <c r="Z91">
        <f ca="1"/>
        <v>24.215424567280365</v>
      </c>
      <c r="AA91">
        <f ca="1"/>
        <v>0</v>
      </c>
      <c r="AB91">
        <f ca="1"/>
        <v>0.99999585409666003</v>
      </c>
      <c r="AD91" s="2">
        <f t="shared" ca="1" si="12"/>
        <v>45426</v>
      </c>
      <c r="AE91">
        <f t="shared" ca="1" si="13"/>
        <v>0</v>
      </c>
      <c r="AG91" s="65">
        <f t="shared" ca="1" si="17"/>
        <v>45.208674782641772</v>
      </c>
      <c r="AH91" s="65">
        <f t="shared" ca="1" si="18"/>
        <v>45.208674782641772</v>
      </c>
      <c r="AI91" s="3">
        <f t="shared" ca="1" si="19"/>
        <v>0</v>
      </c>
    </row>
    <row r="92" spans="7:35" x14ac:dyDescent="0.25">
      <c r="G92" s="3">
        <f t="shared" ca="1" si="14"/>
        <v>92</v>
      </c>
      <c r="H92" s="97">
        <f t="shared" ca="1" si="16"/>
        <v>45382</v>
      </c>
      <c r="I92" s="121">
        <f ca="1">HLOOKUP($H$4,'Met Data'!$A$2:$F$368,G92,FALSE)</f>
        <v>15.862500000000001</v>
      </c>
      <c r="J92" s="121">
        <f ca="1">HLOOKUP($H$4,'Met Data'!$H$2:$M$368,G92,FALSE)*L92</f>
        <v>2.2666666666666608</v>
      </c>
      <c r="K92" s="98">
        <f ca="1">HLOOKUP($H$4,'Met Data'!$O$2:$T$368,G92,FALSE)</f>
        <v>2.3173978620084501</v>
      </c>
      <c r="L92">
        <f t="shared" ca="1" si="10"/>
        <v>1.7</v>
      </c>
      <c r="N92" t="b">
        <f t="shared" ca="1" si="15"/>
        <v>1</v>
      </c>
      <c r="O92" t="b">
        <f t="shared" ca="1" si="11"/>
        <v>1</v>
      </c>
      <c r="P92" s="2">
        <f ca="1"/>
        <v>45427</v>
      </c>
      <c r="Q92">
        <f ca="1"/>
        <v>35.576801928080734</v>
      </c>
      <c r="R92">
        <f ca="1"/>
        <v>2.5525287550239302</v>
      </c>
      <c r="S92">
        <f ca="1"/>
        <v>2.0280123756530877E-2</v>
      </c>
      <c r="T92">
        <f ca="1"/>
        <v>0</v>
      </c>
      <c r="U92">
        <f ca="1"/>
        <v>0</v>
      </c>
      <c r="V92">
        <f ca="1"/>
        <v>97.402172444772205</v>
      </c>
      <c r="W92">
        <f ca="1"/>
        <v>24.774030817474699</v>
      </c>
      <c r="X92">
        <f ca="1"/>
        <v>1.4449989918184423</v>
      </c>
      <c r="Y92">
        <f ca="1"/>
        <v>1</v>
      </c>
      <c r="Z92">
        <f ca="1"/>
        <v>12.826208269731836</v>
      </c>
      <c r="AA92">
        <f ca="1"/>
        <v>0</v>
      </c>
      <c r="AB92">
        <f ca="1"/>
        <v>0.99999665941168503</v>
      </c>
      <c r="AD92" s="2">
        <f t="shared" ca="1" si="12"/>
        <v>45427</v>
      </c>
      <c r="AE92">
        <f t="shared" ca="1" si="13"/>
        <v>0</v>
      </c>
      <c r="AG92" s="65">
        <f t="shared" ca="1" si="17"/>
        <v>39.574329674923106</v>
      </c>
      <c r="AH92" s="65">
        <f t="shared" ca="1" si="18"/>
        <v>39.574329674923106</v>
      </c>
      <c r="AI92" s="3">
        <f t="shared" ca="1" si="19"/>
        <v>0</v>
      </c>
    </row>
    <row r="93" spans="7:35" x14ac:dyDescent="0.25">
      <c r="G93" s="3">
        <f t="shared" ca="1" si="14"/>
        <v>93</v>
      </c>
      <c r="H93" s="97">
        <f t="shared" ca="1" si="16"/>
        <v>45383</v>
      </c>
      <c r="I93" s="121">
        <f ca="1">HLOOKUP($H$4,'Met Data'!$A$2:$F$368,G93,FALSE)</f>
        <v>15.299999999999899</v>
      </c>
      <c r="J93" s="121">
        <f ca="1">HLOOKUP($H$4,'Met Data'!$H$2:$M$368,G93,FALSE)*L93</f>
        <v>0.62333333333333218</v>
      </c>
      <c r="K93" s="98">
        <f ca="1">HLOOKUP($H$4,'Met Data'!$O$2:$T$368,G93,FALSE)</f>
        <v>2.1311275850035698</v>
      </c>
      <c r="L93">
        <f t="shared" ca="1" si="10"/>
        <v>1.7</v>
      </c>
      <c r="N93" t="b">
        <f t="shared" ca="1" si="15"/>
        <v>1</v>
      </c>
      <c r="O93" t="b">
        <f t="shared" ca="1" si="11"/>
        <v>1</v>
      </c>
      <c r="P93" s="2">
        <f ca="1"/>
        <v>45428</v>
      </c>
      <c r="Q93">
        <f ca="1"/>
        <v>32.163528531846502</v>
      </c>
      <c r="R93">
        <f ca="1"/>
        <v>2.47155491973851</v>
      </c>
      <c r="S93">
        <f ca="1"/>
        <v>1.9112582841708026E-2</v>
      </c>
      <c r="T93">
        <f ca="1"/>
        <v>0</v>
      </c>
      <c r="U93">
        <f ca="1"/>
        <v>0</v>
      </c>
      <c r="V93">
        <f ca="1"/>
        <v>99.8737273645107</v>
      </c>
      <c r="W93">
        <f ca="1"/>
        <v>25.4026654383647</v>
      </c>
      <c r="X93">
        <f ca="1"/>
        <v>0.96083105933743296</v>
      </c>
      <c r="Y93">
        <f ca="1"/>
        <v>1</v>
      </c>
      <c r="Z93">
        <f ca="1"/>
        <v>9.433676850075102</v>
      </c>
      <c r="AA93">
        <f ca="1"/>
        <v>0</v>
      </c>
      <c r="AB93">
        <f ca="1"/>
        <v>0.999997279722451</v>
      </c>
      <c r="AD93" s="2">
        <f t="shared" ca="1" si="12"/>
        <v>45428</v>
      </c>
      <c r="AE93">
        <f t="shared" ca="1" si="13"/>
        <v>0</v>
      </c>
      <c r="AG93" s="65">
        <f t="shared" ca="1" si="17"/>
        <v>35.595914510922441</v>
      </c>
      <c r="AH93" s="65">
        <f t="shared" ca="1" si="18"/>
        <v>35.595914510922441</v>
      </c>
      <c r="AI93" s="3">
        <f t="shared" ca="1" si="19"/>
        <v>0</v>
      </c>
    </row>
    <row r="94" spans="7:35" x14ac:dyDescent="0.25">
      <c r="G94" s="3">
        <f t="shared" ca="1" si="14"/>
        <v>94</v>
      </c>
      <c r="H94" s="97">
        <f t="shared" ca="1" si="16"/>
        <v>45384</v>
      </c>
      <c r="I94" s="121">
        <f ca="1">HLOOKUP($H$4,'Met Data'!$A$2:$F$368,G94,FALSE)</f>
        <v>16.266666666666602</v>
      </c>
      <c r="J94" s="121">
        <f ca="1">HLOOKUP($H$4,'Met Data'!$H$2:$M$368,G94,FALSE)*L94</f>
        <v>7.4233333333333222</v>
      </c>
      <c r="K94" s="98">
        <f ca="1">HLOOKUP($H$4,'Met Data'!$O$2:$T$368,G94,FALSE)</f>
        <v>2.1942415542804201</v>
      </c>
      <c r="L94">
        <f t="shared" ca="1" si="10"/>
        <v>1.7</v>
      </c>
      <c r="N94" t="b">
        <f t="shared" ca="1" si="15"/>
        <v>1</v>
      </c>
      <c r="O94" t="b">
        <f t="shared" ca="1" si="11"/>
        <v>1</v>
      </c>
      <c r="P94" s="2">
        <f ca="1"/>
        <v>45429</v>
      </c>
      <c r="Q94">
        <f ca="1"/>
        <v>153.15647803379898</v>
      </c>
      <c r="R94">
        <f ca="1"/>
        <v>2.38118803706702</v>
      </c>
      <c r="S94">
        <f ca="1"/>
        <v>1.7965319324151352E-2</v>
      </c>
      <c r="T94">
        <f ca="1"/>
        <v>0</v>
      </c>
      <c r="U94">
        <f ca="1"/>
        <v>129.3174828085879</v>
      </c>
      <c r="V94">
        <f ca="1"/>
        <v>102.254915401578</v>
      </c>
      <c r="W94">
        <f ca="1"/>
        <v>26.008315439096901</v>
      </c>
      <c r="X94">
        <f ca="1"/>
        <v>3.0215469459322049</v>
      </c>
      <c r="Y94">
        <f ca="1"/>
        <v>1</v>
      </c>
      <c r="Z94">
        <f ca="1"/>
        <v>6.2300513306234109</v>
      </c>
      <c r="AA94">
        <f ca="1"/>
        <v>0</v>
      </c>
      <c r="AB94">
        <f ca="1"/>
        <v>0.99999776086079195</v>
      </c>
      <c r="AD94" s="2">
        <f t="shared" ca="1" si="12"/>
        <v>45429</v>
      </c>
      <c r="AE94">
        <f t="shared" ca="1" si="13"/>
        <v>129.3174828085879</v>
      </c>
      <c r="AG94" s="65">
        <f t="shared" ca="1" si="17"/>
        <v>161.49897665975857</v>
      </c>
      <c r="AH94" s="65">
        <f t="shared" ca="1" si="18"/>
        <v>158.55921301679822</v>
      </c>
      <c r="AI94" s="3">
        <f t="shared" ca="1" si="19"/>
        <v>-2.9397636429603438</v>
      </c>
    </row>
    <row r="95" spans="7:35" x14ac:dyDescent="0.25">
      <c r="G95" s="3">
        <f t="shared" ca="1" si="14"/>
        <v>95</v>
      </c>
      <c r="H95" s="97">
        <f t="shared" ca="1" si="16"/>
        <v>45385</v>
      </c>
      <c r="I95" s="121">
        <f ca="1">HLOOKUP($H$4,'Met Data'!$A$2:$F$368,G95,FALSE)</f>
        <v>16.008333333333301</v>
      </c>
      <c r="J95" s="121">
        <f ca="1">HLOOKUP($H$4,'Met Data'!$H$2:$M$368,G95,FALSE)*L95</f>
        <v>9.4916666666666618</v>
      </c>
      <c r="K95" s="98">
        <f ca="1">HLOOKUP($H$4,'Met Data'!$O$2:$T$368,G95,FALSE)</f>
        <v>2.18875214188912</v>
      </c>
      <c r="L95">
        <f t="shared" ca="1" si="10"/>
        <v>1.7</v>
      </c>
      <c r="N95" t="b">
        <f t="shared" ca="1" si="15"/>
        <v>1</v>
      </c>
      <c r="O95" t="b">
        <f t="shared" ca="1" si="11"/>
        <v>1</v>
      </c>
      <c r="P95" s="2">
        <f ca="1"/>
        <v>45430</v>
      </c>
      <c r="Q95">
        <f ca="1"/>
        <v>148.11350162508452</v>
      </c>
      <c r="R95">
        <f ca="1"/>
        <v>2.4839525695070401</v>
      </c>
      <c r="S95">
        <f ca="1"/>
        <v>1.8425711832195546E-2</v>
      </c>
      <c r="T95">
        <f ca="1"/>
        <v>0</v>
      </c>
      <c r="U95">
        <f ca="1"/>
        <v>0</v>
      </c>
      <c r="V95">
        <f ca="1"/>
        <v>104.738867971085</v>
      </c>
      <c r="W95">
        <f ca="1"/>
        <v>26.640103375254199</v>
      </c>
      <c r="X95">
        <f ca="1"/>
        <v>2.5774495510396207</v>
      </c>
      <c r="Y95">
        <f ca="1"/>
        <v>1</v>
      </c>
      <c r="Z95">
        <f ca="1"/>
        <v>5.4953223591370346</v>
      </c>
      <c r="AA95">
        <f ca="1"/>
        <v>0</v>
      </c>
      <c r="AB95">
        <f ca="1"/>
        <v>0.99999816641425499</v>
      </c>
      <c r="AD95" s="2">
        <f t="shared" ca="1" si="12"/>
        <v>45430</v>
      </c>
      <c r="AE95">
        <f t="shared" ca="1" si="13"/>
        <v>0</v>
      </c>
      <c r="AG95" s="65">
        <f t="shared" ca="1" si="17"/>
        <v>153.17490374563118</v>
      </c>
      <c r="AH95" s="65">
        <f t="shared" ca="1" si="18"/>
        <v>153.17490374563118</v>
      </c>
      <c r="AI95" s="3">
        <f t="shared" ca="1" si="19"/>
        <v>0</v>
      </c>
    </row>
    <row r="96" spans="7:35" x14ac:dyDescent="0.25">
      <c r="G96" s="3">
        <f t="shared" ca="1" si="14"/>
        <v>96</v>
      </c>
      <c r="H96" s="97">
        <f t="shared" ca="1" si="16"/>
        <v>45386</v>
      </c>
      <c r="I96" s="121">
        <f ca="1">HLOOKUP($H$4,'Met Data'!$A$2:$F$368,G96,FALSE)</f>
        <v>14.8083333333333</v>
      </c>
      <c r="J96" s="121">
        <f ca="1">HLOOKUP($H$4,'Met Data'!$H$2:$M$368,G96,FALSE)*L96</f>
        <v>6.6866666666666612</v>
      </c>
      <c r="K96" s="98">
        <f ca="1">HLOOKUP($H$4,'Met Data'!$O$2:$T$368,G96,FALSE)</f>
        <v>2.25899576438928</v>
      </c>
      <c r="L96">
        <f t="shared" ca="1" si="10"/>
        <v>1.7</v>
      </c>
      <c r="N96" t="b">
        <f t="shared" ca="1" si="15"/>
        <v>1</v>
      </c>
      <c r="O96" t="b">
        <f t="shared" ca="1" si="11"/>
        <v>1</v>
      </c>
      <c r="P96" s="2">
        <f ca="1"/>
        <v>45431</v>
      </c>
      <c r="Q96">
        <f ca="1"/>
        <v>145.63827887121872</v>
      </c>
      <c r="R96">
        <f ca="1"/>
        <v>2.4933450581141199</v>
      </c>
      <c r="S96">
        <f ca="1"/>
        <v>1.8122304248322507E-2</v>
      </c>
      <c r="T96">
        <f ca="1"/>
        <v>0</v>
      </c>
      <c r="U96">
        <f ca="1"/>
        <v>0</v>
      </c>
      <c r="V96">
        <f ca="1"/>
        <v>107.232213029199</v>
      </c>
      <c r="W96">
        <f ca="1"/>
        <v>27.2742802704702</v>
      </c>
      <c r="X96">
        <f ca="1"/>
        <v>0</v>
      </c>
      <c r="Y96">
        <f ca="1"/>
        <v>0.99707650393420155</v>
      </c>
      <c r="Z96">
        <f ca="1"/>
        <v>0</v>
      </c>
      <c r="AA96">
        <f ca="1"/>
        <v>0</v>
      </c>
      <c r="AB96">
        <f ca="1"/>
        <v>0.99999849493916804</v>
      </c>
      <c r="AD96" s="2">
        <f t="shared" ca="1" si="12"/>
        <v>45431</v>
      </c>
      <c r="AE96">
        <f t="shared" ca="1" si="13"/>
        <v>0</v>
      </c>
      <c r="AG96" s="65">
        <f t="shared" ca="1" si="17"/>
        <v>148.13162392933285</v>
      </c>
      <c r="AH96" s="65">
        <f t="shared" ca="1" si="18"/>
        <v>148.13162392933285</v>
      </c>
      <c r="AI96" s="3">
        <f t="shared" ca="1" si="19"/>
        <v>0</v>
      </c>
    </row>
    <row r="97" spans="7:35" x14ac:dyDescent="0.25">
      <c r="G97" s="3">
        <f t="shared" ca="1" si="14"/>
        <v>97</v>
      </c>
      <c r="H97" s="97">
        <f t="shared" ca="1" si="16"/>
        <v>45387</v>
      </c>
      <c r="I97" s="121">
        <f ca="1">HLOOKUP($H$4,'Met Data'!$A$2:$F$368,G97,FALSE)</f>
        <v>14.283333333333299</v>
      </c>
      <c r="J97" s="121">
        <f ca="1">HLOOKUP($H$4,'Met Data'!$H$2:$M$368,G97,FALSE)*L97</f>
        <v>2.1533333333333218</v>
      </c>
      <c r="K97" s="98">
        <f ca="1">HLOOKUP($H$4,'Met Data'!$O$2:$T$368,G97,FALSE)</f>
        <v>2.2952223200603901</v>
      </c>
      <c r="L97">
        <f t="shared" ca="1" si="10"/>
        <v>1.7</v>
      </c>
      <c r="N97" t="b">
        <f t="shared" ca="1" si="15"/>
        <v>1</v>
      </c>
      <c r="O97" t="b">
        <f t="shared" ca="1" si="11"/>
        <v>1</v>
      </c>
      <c r="P97" s="2">
        <f ca="1"/>
        <v>45432</v>
      </c>
      <c r="Q97">
        <f ca="1"/>
        <v>141.20355552119537</v>
      </c>
      <c r="R97">
        <f ca="1"/>
        <v>2.4991882859148098</v>
      </c>
      <c r="S97">
        <f ca="1"/>
        <v>1.7804497674084985E-2</v>
      </c>
      <c r="T97">
        <f ca="1"/>
        <v>0</v>
      </c>
      <c r="U97">
        <f ca="1"/>
        <v>0</v>
      </c>
      <c r="V97">
        <f ca="1"/>
        <v>109.731401315114</v>
      </c>
      <c r="W97">
        <f ca="1"/>
        <v>27.909943377974599</v>
      </c>
      <c r="X97">
        <f ca="1"/>
        <v>1.9533395617826412</v>
      </c>
      <c r="Y97">
        <f ca="1"/>
        <v>1</v>
      </c>
      <c r="Z97">
        <f ca="1"/>
        <v>4.3684740788931151</v>
      </c>
      <c r="AA97">
        <f ca="1"/>
        <v>0</v>
      </c>
      <c r="AB97">
        <f ca="1"/>
        <v>0.99999876148765399</v>
      </c>
      <c r="AD97" s="2">
        <f t="shared" ca="1" si="12"/>
        <v>45432</v>
      </c>
      <c r="AE97">
        <f t="shared" ca="1" si="13"/>
        <v>0</v>
      </c>
      <c r="AG97" s="65">
        <f t="shared" ca="1" si="17"/>
        <v>145.65608336889281</v>
      </c>
      <c r="AH97" s="65">
        <f t="shared" ca="1" si="18"/>
        <v>145.65608336889281</v>
      </c>
      <c r="AI97" s="3">
        <f t="shared" ca="1" si="19"/>
        <v>0</v>
      </c>
    </row>
    <row r="98" spans="7:35" x14ac:dyDescent="0.25">
      <c r="G98" s="3">
        <f t="shared" ca="1" si="14"/>
        <v>98</v>
      </c>
      <c r="H98" s="97">
        <f t="shared" ca="1" si="16"/>
        <v>45388</v>
      </c>
      <c r="I98" s="121">
        <f ca="1">HLOOKUP($H$4,'Met Data'!$A$2:$F$368,G98,FALSE)</f>
        <v>13.258333333333301</v>
      </c>
      <c r="J98" s="121">
        <f ca="1">HLOOKUP($H$4,'Met Data'!$H$2:$M$368,G98,FALSE)*L98</f>
        <v>2.0116666666666609</v>
      </c>
      <c r="K98" s="98">
        <f ca="1">HLOOKUP($H$4,'Met Data'!$O$2:$T$368,G98,FALSE)</f>
        <v>1.94562323949851</v>
      </c>
      <c r="L98">
        <f t="shared" ca="1" si="10"/>
        <v>1.7</v>
      </c>
      <c r="N98" t="b">
        <f t="shared" ca="1" si="15"/>
        <v>1</v>
      </c>
      <c r="O98" t="b">
        <f t="shared" ca="1" si="11"/>
        <v>1</v>
      </c>
      <c r="P98" s="2">
        <f ca="1"/>
        <v>45433</v>
      </c>
      <c r="Q98">
        <f ca="1"/>
        <v>135.82875758925417</v>
      </c>
      <c r="R98">
        <f ca="1"/>
        <v>2.2202534441476001</v>
      </c>
      <c r="S98">
        <f ca="1"/>
        <v>1.5467112487170809E-2</v>
      </c>
      <c r="T98">
        <f ca="1"/>
        <v>0</v>
      </c>
      <c r="U98">
        <f ca="1"/>
        <v>0</v>
      </c>
      <c r="V98">
        <f ca="1"/>
        <v>111.951654759261</v>
      </c>
      <c r="W98">
        <f ca="1"/>
        <v>28.474660014855601</v>
      </c>
      <c r="X98">
        <f ca="1"/>
        <v>3.170011600280747</v>
      </c>
      <c r="Y98">
        <f ca="1"/>
        <v>1</v>
      </c>
      <c r="Z98">
        <f ca="1"/>
        <v>7.3699878626048445</v>
      </c>
      <c r="AA98">
        <f ca="1"/>
        <v>0</v>
      </c>
      <c r="AB98">
        <f ca="1"/>
        <v>0.999998955939153</v>
      </c>
      <c r="AD98" s="2">
        <f t="shared" ca="1" si="12"/>
        <v>45433</v>
      </c>
      <c r="AE98">
        <f t="shared" ca="1" si="13"/>
        <v>0</v>
      </c>
      <c r="AG98" s="65">
        <f t="shared" ca="1" si="17"/>
        <v>141.21902263368253</v>
      </c>
      <c r="AH98" s="65">
        <f t="shared" ca="1" si="18"/>
        <v>141.21902263368253</v>
      </c>
      <c r="AI98" s="3">
        <f t="shared" ca="1" si="19"/>
        <v>0</v>
      </c>
    </row>
    <row r="99" spans="7:35" x14ac:dyDescent="0.25">
      <c r="G99" s="3">
        <f t="shared" ca="1" si="14"/>
        <v>99</v>
      </c>
      <c r="H99" s="97">
        <f t="shared" ca="1" si="16"/>
        <v>45389</v>
      </c>
      <c r="I99" s="121">
        <f ca="1">HLOOKUP($H$4,'Met Data'!$A$2:$F$368,G99,FALSE)</f>
        <v>13.8666666666666</v>
      </c>
      <c r="J99" s="121">
        <f ca="1">HLOOKUP($H$4,'Met Data'!$H$2:$M$368,G99,FALSE)*L99</f>
        <v>8.0466666666666598</v>
      </c>
      <c r="K99" s="98">
        <f ca="1">HLOOKUP($H$4,'Met Data'!$O$2:$T$368,G99,FALSE)</f>
        <v>1.65226329552866</v>
      </c>
      <c r="L99">
        <f t="shared" ca="1" si="10"/>
        <v>1.7</v>
      </c>
      <c r="N99" t="b">
        <f t="shared" ca="1" si="15"/>
        <v>1</v>
      </c>
      <c r="O99" t="b">
        <f t="shared" ca="1" si="11"/>
        <v>1</v>
      </c>
      <c r="P99" s="2">
        <f ca="1"/>
        <v>45434</v>
      </c>
      <c r="Q99">
        <f ca="1"/>
        <v>130.51844013357453</v>
      </c>
      <c r="R99">
        <f ca="1"/>
        <v>2.3744186894265602</v>
      </c>
      <c r="S99">
        <f ca="1"/>
        <v>1.6275956338906994E-2</v>
      </c>
      <c r="T99">
        <f ca="1"/>
        <v>0</v>
      </c>
      <c r="U99">
        <f ca="1"/>
        <v>0</v>
      </c>
      <c r="V99">
        <f ca="1"/>
        <v>114.32607344868801</v>
      </c>
      <c r="W99">
        <f ca="1"/>
        <v>29.078588246731499</v>
      </c>
      <c r="X99">
        <f ca="1"/>
        <v>2.9521747225919959</v>
      </c>
      <c r="Y99">
        <f ca="1"/>
        <v>1</v>
      </c>
      <c r="Z99">
        <f ca="1"/>
        <v>7.1427891791923201</v>
      </c>
      <c r="AA99">
        <f ca="1"/>
        <v>0</v>
      </c>
      <c r="AB99">
        <f ca="1"/>
        <v>0.99999912819303804</v>
      </c>
      <c r="AD99" s="2">
        <f t="shared" ca="1" si="12"/>
        <v>45434</v>
      </c>
      <c r="AE99">
        <f t="shared" ca="1" si="13"/>
        <v>0</v>
      </c>
      <c r="AG99" s="65">
        <f t="shared" ca="1" si="17"/>
        <v>135.84503354559308</v>
      </c>
      <c r="AH99" s="65">
        <f t="shared" ca="1" si="18"/>
        <v>135.84503354559308</v>
      </c>
      <c r="AI99" s="3">
        <f t="shared" ca="1" si="19"/>
        <v>0</v>
      </c>
    </row>
    <row r="100" spans="7:35" x14ac:dyDescent="0.25">
      <c r="G100" s="3">
        <f t="shared" ca="1" si="14"/>
        <v>100</v>
      </c>
      <c r="H100" s="97">
        <f t="shared" ca="1" si="16"/>
        <v>45390</v>
      </c>
      <c r="I100" s="121">
        <f ca="1">HLOOKUP($H$4,'Met Data'!$A$2:$F$368,G100,FALSE)</f>
        <v>14.404166666666599</v>
      </c>
      <c r="J100" s="121">
        <f ca="1">HLOOKUP($H$4,'Met Data'!$H$2:$M$368,G100,FALSE)*L100</f>
        <v>7.3383333333333223</v>
      </c>
      <c r="K100" s="98">
        <f ca="1">HLOOKUP($H$4,'Met Data'!$O$2:$T$368,G100,FALSE)</f>
        <v>1.8668252234765801</v>
      </c>
      <c r="L100">
        <f t="shared" ca="1" si="10"/>
        <v>1.7</v>
      </c>
      <c r="N100" t="b">
        <f t="shared" ca="1" si="15"/>
        <v>1</v>
      </c>
      <c r="O100" t="b">
        <f t="shared" ca="1" si="11"/>
        <v>1</v>
      </c>
      <c r="P100" s="2">
        <f ca="1"/>
        <v>45435</v>
      </c>
      <c r="Q100">
        <f ca="1"/>
        <v>122.16544386929247</v>
      </c>
      <c r="R100">
        <f ca="1"/>
        <v>2.45986163545889</v>
      </c>
      <c r="S100">
        <f ca="1"/>
        <v>1.6585351178955321E-2</v>
      </c>
      <c r="T100">
        <f ca="1"/>
        <v>0</v>
      </c>
      <c r="U100">
        <f ca="1"/>
        <v>0</v>
      </c>
      <c r="V100">
        <f ca="1"/>
        <v>116.785935084147</v>
      </c>
      <c r="W100">
        <f ca="1"/>
        <v>29.704248706185201</v>
      </c>
      <c r="X100">
        <f ca="1"/>
        <v>5.9097199800021185</v>
      </c>
      <c r="Y100">
        <f ca="1"/>
        <v>1</v>
      </c>
      <c r="Z100">
        <f ca="1"/>
        <v>15.276229537565882</v>
      </c>
      <c r="AA100">
        <f ca="1"/>
        <v>0</v>
      </c>
      <c r="AB100">
        <f ca="1"/>
        <v>0.99999927497476704</v>
      </c>
      <c r="AD100" s="2">
        <f t="shared" ca="1" si="12"/>
        <v>45435</v>
      </c>
      <c r="AE100">
        <f t="shared" ca="1" si="13"/>
        <v>0</v>
      </c>
      <c r="AG100" s="65">
        <f t="shared" ca="1" si="17"/>
        <v>130.53502548475348</v>
      </c>
      <c r="AH100" s="65">
        <f t="shared" ca="1" si="18"/>
        <v>130.53502548475348</v>
      </c>
      <c r="AI100" s="3">
        <f t="shared" ca="1" si="19"/>
        <v>0</v>
      </c>
    </row>
    <row r="101" spans="7:35" x14ac:dyDescent="0.25">
      <c r="G101" s="3">
        <f t="shared" ca="1" si="14"/>
        <v>101</v>
      </c>
      <c r="H101" s="97">
        <f t="shared" ca="1" si="16"/>
        <v>45391</v>
      </c>
      <c r="I101" s="121">
        <f ca="1">HLOOKUP($H$4,'Met Data'!$A$2:$F$368,G101,FALSE)</f>
        <v>14.5416666666666</v>
      </c>
      <c r="J101" s="121">
        <f ca="1">HLOOKUP($H$4,'Met Data'!$H$2:$M$368,G101,FALSE)*L101</f>
        <v>7.5366666666666609</v>
      </c>
      <c r="K101" s="98">
        <f ca="1">HLOOKUP($H$4,'Met Data'!$O$2:$T$368,G101,FALSE)</f>
        <v>1.97301093095216</v>
      </c>
      <c r="L101">
        <f t="shared" ca="1" si="10"/>
        <v>1.7</v>
      </c>
      <c r="N101" t="b">
        <f t="shared" ca="1" si="15"/>
        <v>1</v>
      </c>
      <c r="O101" t="b">
        <f t="shared" ca="1" si="11"/>
        <v>1</v>
      </c>
      <c r="P101" s="2">
        <f ca="1"/>
        <v>45436</v>
      </c>
      <c r="Q101">
        <f ca="1"/>
        <v>116.72109900917397</v>
      </c>
      <c r="R101">
        <f ca="1"/>
        <v>2.4423435162361198</v>
      </c>
      <c r="S101">
        <f ca="1"/>
        <v>1.6174405364512978E-2</v>
      </c>
      <c r="T101">
        <f ca="1"/>
        <v>0</v>
      </c>
      <c r="U101">
        <f ca="1"/>
        <v>0</v>
      </c>
      <c r="V101">
        <f ca="1"/>
        <v>119.22827860038301</v>
      </c>
      <c r="W101">
        <f ca="1"/>
        <v>30.325453470097401</v>
      </c>
      <c r="X101">
        <f ca="1"/>
        <v>3.0181757492468972</v>
      </c>
      <c r="Y101">
        <f ca="1"/>
        <v>1</v>
      </c>
      <c r="Z101">
        <f ca="1"/>
        <v>8.1656884610571865</v>
      </c>
      <c r="AA101">
        <f ca="1"/>
        <v>0</v>
      </c>
      <c r="AB101">
        <f ca="1"/>
        <v>0.99999939484674305</v>
      </c>
      <c r="AD101" s="2">
        <f t="shared" ca="1" si="12"/>
        <v>45436</v>
      </c>
      <c r="AE101">
        <f t="shared" ca="1" si="13"/>
        <v>0</v>
      </c>
      <c r="AG101" s="65">
        <f t="shared" ca="1" si="17"/>
        <v>122.18161827465698</v>
      </c>
      <c r="AH101" s="65">
        <f t="shared" ca="1" si="18"/>
        <v>122.18161827465698</v>
      </c>
      <c r="AI101" s="3">
        <f t="shared" ca="1" si="19"/>
        <v>0</v>
      </c>
    </row>
    <row r="102" spans="7:35" x14ac:dyDescent="0.25">
      <c r="G102" s="3">
        <f t="shared" ca="1" si="14"/>
        <v>102</v>
      </c>
      <c r="H102" s="97">
        <f t="shared" ca="1" si="16"/>
        <v>45392</v>
      </c>
      <c r="I102" s="121">
        <f ca="1">HLOOKUP($H$4,'Met Data'!$A$2:$F$368,G102,FALSE)</f>
        <v>14.279166666666599</v>
      </c>
      <c r="J102" s="121">
        <f ca="1">HLOOKUP($H$4,'Met Data'!$H$2:$M$368,G102,FALSE)*L102</f>
        <v>2.2666666666666608</v>
      </c>
      <c r="K102" s="98">
        <f ca="1">HLOOKUP($H$4,'Met Data'!$O$2:$T$368,G102,FALSE)</f>
        <v>1.63836682585681</v>
      </c>
      <c r="L102">
        <f t="shared" ca="1" si="10"/>
        <v>1.7</v>
      </c>
      <c r="N102" t="b">
        <f t="shared" ca="1" si="15"/>
        <v>1</v>
      </c>
      <c r="O102" t="b">
        <f t="shared" ca="1" si="11"/>
        <v>1</v>
      </c>
      <c r="P102" s="2">
        <f ca="1"/>
        <v>45437</v>
      </c>
      <c r="Q102">
        <f ca="1"/>
        <v>108.41887211314294</v>
      </c>
      <c r="R102">
        <f ca="1"/>
        <v>2.5688781639428799</v>
      </c>
      <c r="S102">
        <f ca="1"/>
        <v>1.6748623976764243E-2</v>
      </c>
      <c r="T102">
        <f ca="1"/>
        <v>0</v>
      </c>
      <c r="U102">
        <f ca="1"/>
        <v>0</v>
      </c>
      <c r="V102">
        <f ca="1"/>
        <v>121.797156764326</v>
      </c>
      <c r="W102">
        <f ca="1"/>
        <v>30.978842046578499</v>
      </c>
      <c r="X102">
        <f ca="1"/>
        <v>5.7500973560649093</v>
      </c>
      <c r="Y102">
        <f ca="1"/>
        <v>1</v>
      </c>
      <c r="Z102">
        <f ca="1"/>
        <v>16.748193209478956</v>
      </c>
      <c r="AA102">
        <f ca="1"/>
        <v>0</v>
      </c>
      <c r="AB102">
        <f ca="1"/>
        <v>0.99999949842004998</v>
      </c>
      <c r="AD102" s="2">
        <f t="shared" ca="1" si="12"/>
        <v>45437</v>
      </c>
      <c r="AE102">
        <f t="shared" ca="1" si="13"/>
        <v>0</v>
      </c>
      <c r="AG102" s="65">
        <f t="shared" ca="1" si="17"/>
        <v>116.73784763315074</v>
      </c>
      <c r="AH102" s="65">
        <f t="shared" ca="1" si="18"/>
        <v>116.73784763315074</v>
      </c>
      <c r="AI102" s="3">
        <f t="shared" ca="1" si="19"/>
        <v>0</v>
      </c>
    </row>
    <row r="103" spans="7:35" x14ac:dyDescent="0.25">
      <c r="G103" s="3">
        <f t="shared" ca="1" si="14"/>
        <v>103</v>
      </c>
      <c r="H103" s="97">
        <f t="shared" ca="1" si="16"/>
        <v>45393</v>
      </c>
      <c r="I103" s="121">
        <f ca="1">HLOOKUP($H$4,'Met Data'!$A$2:$F$368,G103,FALSE)</f>
        <v>15.1666666666666</v>
      </c>
      <c r="J103" s="121">
        <f ca="1">HLOOKUP($H$4,'Met Data'!$H$2:$M$368,G103,FALSE)*L103</f>
        <v>6.4316666666666613</v>
      </c>
      <c r="K103" s="98">
        <f ca="1">HLOOKUP($H$4,'Met Data'!$O$2:$T$368,G103,FALSE)</f>
        <v>1.8936832301932101</v>
      </c>
      <c r="L103">
        <f t="shared" ca="1" si="10"/>
        <v>1.7</v>
      </c>
      <c r="N103" t="b">
        <f t="shared" ca="1" si="15"/>
        <v>1</v>
      </c>
      <c r="O103" t="b">
        <f t="shared" ca="1" si="11"/>
        <v>1</v>
      </c>
      <c r="P103" s="2">
        <f ca="1"/>
        <v>45438</v>
      </c>
      <c r="Q103">
        <f ca="1"/>
        <v>103.69873006568591</v>
      </c>
      <c r="R103">
        <f ca="1"/>
        <v>2.4567148118948801</v>
      </c>
      <c r="S103">
        <f ca="1"/>
        <v>1.5716055250989847E-2</v>
      </c>
      <c r="T103">
        <f ca="1"/>
        <v>0</v>
      </c>
      <c r="U103">
        <f ca="1"/>
        <v>0</v>
      </c>
      <c r="V103">
        <f ca="1"/>
        <v>124.253871576221</v>
      </c>
      <c r="W103">
        <f ca="1"/>
        <v>31.603702118299601</v>
      </c>
      <c r="X103">
        <f ca="1"/>
        <v>2.2791432908131424</v>
      </c>
      <c r="Y103">
        <f ca="1"/>
        <v>1</v>
      </c>
      <c r="Z103">
        <f ca="1"/>
        <v>6.9405812375993747</v>
      </c>
      <c r="AA103">
        <f ca="1"/>
        <v>0</v>
      </c>
      <c r="AB103">
        <f ca="1"/>
        <v>0.99999957994091504</v>
      </c>
      <c r="AD103" s="2">
        <f t="shared" ca="1" si="12"/>
        <v>45438</v>
      </c>
      <c r="AE103">
        <f t="shared" ca="1" si="13"/>
        <v>0</v>
      </c>
      <c r="AG103" s="65">
        <f t="shared" ca="1" si="17"/>
        <v>108.43458816839393</v>
      </c>
      <c r="AH103" s="65">
        <f t="shared" ca="1" si="18"/>
        <v>108.43458816839393</v>
      </c>
      <c r="AI103" s="3">
        <f t="shared" ca="1" si="19"/>
        <v>0</v>
      </c>
    </row>
    <row r="104" spans="7:35" x14ac:dyDescent="0.25">
      <c r="G104" s="3">
        <f t="shared" ca="1" si="14"/>
        <v>104</v>
      </c>
      <c r="H104" s="97">
        <f t="shared" ca="1" si="16"/>
        <v>45394</v>
      </c>
      <c r="I104" s="121">
        <f ca="1">HLOOKUP($H$4,'Met Data'!$A$2:$F$368,G104,FALSE)</f>
        <v>14.675000000000001</v>
      </c>
      <c r="J104" s="121">
        <f ca="1">HLOOKUP($H$4,'Met Data'!$H$2:$M$368,G104,FALSE)*L104</f>
        <v>7.6783333333333221</v>
      </c>
      <c r="K104" s="98">
        <f ca="1">HLOOKUP($H$4,'Met Data'!$O$2:$T$368,G104,FALSE)</f>
        <v>1.6971366028359001</v>
      </c>
      <c r="L104">
        <f t="shared" ca="1" si="10"/>
        <v>1.7</v>
      </c>
      <c r="N104" t="b">
        <f t="shared" ca="1" si="15"/>
        <v>1</v>
      </c>
      <c r="O104" t="b">
        <f t="shared" ca="1" si="11"/>
        <v>1</v>
      </c>
      <c r="P104" s="2">
        <f ca="1"/>
        <v>45439</v>
      </c>
      <c r="Q104">
        <f ca="1"/>
        <v>99.118843232026563</v>
      </c>
      <c r="R104">
        <f ca="1"/>
        <v>2.4178699436270001</v>
      </c>
      <c r="S104">
        <f ca="1"/>
        <v>1.5217045114203742E-2</v>
      </c>
      <c r="T104">
        <f ca="1"/>
        <v>0</v>
      </c>
      <c r="U104">
        <f ca="1"/>
        <v>0</v>
      </c>
      <c r="V104">
        <f ca="1"/>
        <v>126.671741519848</v>
      </c>
      <c r="W104">
        <f ca="1"/>
        <v>32.218682082222102</v>
      </c>
      <c r="X104">
        <f ca="1"/>
        <v>2.1772339351465408</v>
      </c>
      <c r="Y104">
        <f ca="1"/>
        <v>1</v>
      </c>
      <c r="Z104">
        <f ca="1"/>
        <v>6.9365978864165498</v>
      </c>
      <c r="AA104">
        <f ca="1"/>
        <v>0</v>
      </c>
      <c r="AB104">
        <f ca="1"/>
        <v>0.99999964653529205</v>
      </c>
      <c r="AD104" s="2">
        <f t="shared" ca="1" si="12"/>
        <v>45439</v>
      </c>
      <c r="AE104">
        <f t="shared" ca="1" si="13"/>
        <v>0</v>
      </c>
      <c r="AG104" s="65">
        <f t="shared" ca="1" si="17"/>
        <v>103.71394711080011</v>
      </c>
      <c r="AH104" s="65">
        <f t="shared" ca="1" si="18"/>
        <v>103.71394711080011</v>
      </c>
      <c r="AI104" s="3">
        <f t="shared" ca="1" si="19"/>
        <v>0</v>
      </c>
    </row>
    <row r="105" spans="7:35" x14ac:dyDescent="0.25">
      <c r="G105" s="3">
        <f t="shared" ca="1" si="14"/>
        <v>105</v>
      </c>
      <c r="H105" s="97">
        <f t="shared" ca="1" si="16"/>
        <v>45395</v>
      </c>
      <c r="I105" s="121">
        <f ca="1">HLOOKUP($H$4,'Met Data'!$A$2:$F$368,G105,FALSE)</f>
        <v>13.504166666666601</v>
      </c>
      <c r="J105" s="121">
        <f ca="1">HLOOKUP($H$4,'Met Data'!$H$2:$M$368,G105,FALSE)*L105</f>
        <v>7.6499999999999995</v>
      </c>
      <c r="K105" s="98">
        <f ca="1">HLOOKUP($H$4,'Met Data'!$O$2:$T$368,G105,FALSE)</f>
        <v>1.6970685904410301</v>
      </c>
      <c r="L105">
        <f t="shared" ca="1" si="10"/>
        <v>1.7</v>
      </c>
      <c r="N105" t="b">
        <f t="shared" ca="1" si="15"/>
        <v>1</v>
      </c>
      <c r="O105" t="b">
        <f t="shared" ca="1" si="11"/>
        <v>1</v>
      </c>
      <c r="P105" s="2">
        <f ca="1"/>
        <v>45440</v>
      </c>
      <c r="Q105">
        <f ca="1"/>
        <v>94.106862395225988</v>
      </c>
      <c r="R105">
        <f ca="1"/>
        <v>2.5675157250167802</v>
      </c>
      <c r="S105">
        <f ca="1"/>
        <v>1.5913874299105402E-2</v>
      </c>
      <c r="T105">
        <f ca="1"/>
        <v>0</v>
      </c>
      <c r="U105">
        <f ca="1"/>
        <v>0</v>
      </c>
      <c r="V105">
        <f ca="1"/>
        <v>129.23925724486401</v>
      </c>
      <c r="W105">
        <f ca="1"/>
        <v>32.871724125324199</v>
      </c>
      <c r="X105">
        <f ca="1"/>
        <v>2.4603789860828957</v>
      </c>
      <c r="Y105">
        <f ca="1"/>
        <v>1</v>
      </c>
      <c r="Z105">
        <f ca="1"/>
        <v>8.2561650160618285</v>
      </c>
      <c r="AA105">
        <f ca="1"/>
        <v>0</v>
      </c>
      <c r="AB105">
        <f ca="1"/>
        <v>0.99999970514038905</v>
      </c>
      <c r="AD105" s="2">
        <f t="shared" ca="1" si="12"/>
        <v>45440</v>
      </c>
      <c r="AE105">
        <f t="shared" ca="1" si="13"/>
        <v>0</v>
      </c>
      <c r="AG105" s="65">
        <f t="shared" ca="1" si="17"/>
        <v>99.134757106325665</v>
      </c>
      <c r="AH105" s="65">
        <f t="shared" ca="1" si="18"/>
        <v>99.134757106325665</v>
      </c>
      <c r="AI105" s="3">
        <f t="shared" ca="1" si="19"/>
        <v>0</v>
      </c>
    </row>
    <row r="106" spans="7:35" x14ac:dyDescent="0.25">
      <c r="G106" s="3">
        <f t="shared" ca="1" si="14"/>
        <v>106</v>
      </c>
      <c r="H106" s="97">
        <f t="shared" ca="1" si="16"/>
        <v>45396</v>
      </c>
      <c r="I106" s="121">
        <f ca="1">HLOOKUP($H$4,'Met Data'!$A$2:$F$368,G106,FALSE)</f>
        <v>13.779166666666599</v>
      </c>
      <c r="J106" s="121">
        <f ca="1">HLOOKUP($H$4,'Met Data'!$H$2:$M$368,G106,FALSE)*L106</f>
        <v>1.53</v>
      </c>
      <c r="K106" s="98">
        <f ca="1">HLOOKUP($H$4,'Met Data'!$O$2:$T$368,G106,FALSE)</f>
        <v>2.0649391337631702</v>
      </c>
      <c r="L106">
        <f t="shared" ca="1" si="10"/>
        <v>1.7</v>
      </c>
      <c r="N106" t="b">
        <f t="shared" ca="1" si="15"/>
        <v>1</v>
      </c>
      <c r="O106" t="b">
        <f t="shared" ca="1" si="11"/>
        <v>1</v>
      </c>
      <c r="P106" s="2">
        <f ca="1"/>
        <v>45441</v>
      </c>
      <c r="Q106">
        <f ca="1"/>
        <v>90.531642281901043</v>
      </c>
      <c r="R106">
        <f ca="1"/>
        <v>2.3210658846214201</v>
      </c>
      <c r="S106">
        <f ca="1"/>
        <v>1.4170797951084779E-2</v>
      </c>
      <c r="T106">
        <f ca="1"/>
        <v>0</v>
      </c>
      <c r="U106">
        <f ca="1"/>
        <v>0</v>
      </c>
      <c r="V106">
        <f ca="1"/>
        <v>131.56032312948599</v>
      </c>
      <c r="W106">
        <f ca="1"/>
        <v>33.462082187282299</v>
      </c>
      <c r="X106">
        <f ca="1"/>
        <v>1.2683250266546058</v>
      </c>
      <c r="Y106">
        <f ca="1"/>
        <v>1</v>
      </c>
      <c r="Z106">
        <f ca="1"/>
        <v>4.4241293158098642</v>
      </c>
      <c r="AA106">
        <f ca="1"/>
        <v>0</v>
      </c>
      <c r="AB106">
        <f ca="1"/>
        <v>0.99999974928705404</v>
      </c>
      <c r="AD106" s="2">
        <f t="shared" ca="1" si="12"/>
        <v>45441</v>
      </c>
      <c r="AE106">
        <f t="shared" ca="1" si="13"/>
        <v>0</v>
      </c>
      <c r="AG106" s="65">
        <f t="shared" ca="1" si="17"/>
        <v>94.12103319317707</v>
      </c>
      <c r="AH106" s="65">
        <f t="shared" ca="1" si="18"/>
        <v>94.12103319317707</v>
      </c>
      <c r="AI106" s="3">
        <f t="shared" ca="1" si="19"/>
        <v>0</v>
      </c>
    </row>
    <row r="107" spans="7:35" x14ac:dyDescent="0.25">
      <c r="G107" s="3">
        <f t="shared" ca="1" si="14"/>
        <v>107</v>
      </c>
      <c r="H107" s="97">
        <f t="shared" ca="1" si="16"/>
        <v>45397</v>
      </c>
      <c r="I107" s="121">
        <f ca="1">HLOOKUP($H$4,'Met Data'!$A$2:$F$368,G107,FALSE)</f>
        <v>13.920833333333301</v>
      </c>
      <c r="J107" s="121">
        <f ca="1">HLOOKUP($H$4,'Met Data'!$H$2:$M$368,G107,FALSE)*L107</f>
        <v>12.92</v>
      </c>
      <c r="K107" s="98">
        <f ca="1">HLOOKUP($H$4,'Met Data'!$O$2:$T$368,G107,FALSE)</f>
        <v>1.7084212444020199</v>
      </c>
      <c r="L107">
        <f t="shared" ca="1" si="10"/>
        <v>1.7</v>
      </c>
      <c r="N107" t="b">
        <f t="shared" ca="1" si="15"/>
        <v>1</v>
      </c>
      <c r="O107" t="b">
        <f t="shared" ca="1" si="11"/>
        <v>1</v>
      </c>
      <c r="P107" s="2">
        <f ca="1"/>
        <v>45442</v>
      </c>
      <c r="Q107">
        <f ca="1"/>
        <v>84.836381225599141</v>
      </c>
      <c r="R107">
        <f ca="1"/>
        <v>2.3564275713102099</v>
      </c>
      <c r="S107">
        <f ca="1"/>
        <v>1.4176990990657501E-2</v>
      </c>
      <c r="T107">
        <f ca="1"/>
        <v>0</v>
      </c>
      <c r="U107">
        <f ca="1"/>
        <v>0</v>
      </c>
      <c r="V107">
        <f ca="1"/>
        <v>133.916750700796</v>
      </c>
      <c r="W107">
        <f ca="1"/>
        <v>34.061434417376397</v>
      </c>
      <c r="X107">
        <f ca="1"/>
        <v>3.35301047598236</v>
      </c>
      <c r="Y107">
        <f ca="1"/>
        <v>1</v>
      </c>
      <c r="Z107">
        <f ca="1"/>
        <v>12.481029932811538</v>
      </c>
      <c r="AA107">
        <f ca="1"/>
        <v>0</v>
      </c>
      <c r="AB107">
        <f ca="1"/>
        <v>0.99999978701777503</v>
      </c>
      <c r="AD107" s="2">
        <f t="shared" ca="1" si="12"/>
        <v>45442</v>
      </c>
      <c r="AE107">
        <f t="shared" ca="1" si="13"/>
        <v>0</v>
      </c>
      <c r="AG107" s="65">
        <f t="shared" ca="1" si="17"/>
        <v>90.545819272891706</v>
      </c>
      <c r="AH107" s="65">
        <f t="shared" ca="1" si="18"/>
        <v>90.545819272891706</v>
      </c>
      <c r="AI107" s="3">
        <f t="shared" ca="1" si="19"/>
        <v>0</v>
      </c>
    </row>
    <row r="108" spans="7:35" x14ac:dyDescent="0.25">
      <c r="G108" s="3">
        <f t="shared" ca="1" si="14"/>
        <v>108</v>
      </c>
      <c r="H108" s="97">
        <f t="shared" ca="1" si="16"/>
        <v>45398</v>
      </c>
      <c r="I108" s="121">
        <f ca="1">HLOOKUP($H$4,'Met Data'!$A$2:$F$368,G108,FALSE)</f>
        <v>13.6416666666666</v>
      </c>
      <c r="J108" s="121">
        <f ca="1">HLOOKUP($H$4,'Met Data'!$H$2:$M$368,G108,FALSE)*L108</f>
        <v>5.8649999999999824</v>
      </c>
      <c r="K108" s="98">
        <f ca="1">HLOOKUP($H$4,'Met Data'!$O$2:$T$368,G108,FALSE)</f>
        <v>1.46996077972592</v>
      </c>
      <c r="L108">
        <f t="shared" ca="1" si="10"/>
        <v>1.7</v>
      </c>
      <c r="N108" t="b">
        <f t="shared" ca="1" si="15"/>
        <v>1</v>
      </c>
      <c r="O108" t="b">
        <f t="shared" ca="1" si="11"/>
        <v>1</v>
      </c>
      <c r="P108" s="2">
        <f ca="1"/>
        <v>45443</v>
      </c>
      <c r="Q108">
        <f ca="1"/>
        <v>80.851329296506179</v>
      </c>
      <c r="R108">
        <f ca="1"/>
        <v>2.4490518324419401</v>
      </c>
      <c r="S108">
        <f ca="1"/>
        <v>1.45102903738481E-2</v>
      </c>
      <c r="T108">
        <f ca="1"/>
        <v>0</v>
      </c>
      <c r="U108">
        <f ca="1"/>
        <v>0</v>
      </c>
      <c r="V108">
        <f ca="1"/>
        <v>136.365802533238</v>
      </c>
      <c r="W108">
        <f ca="1"/>
        <v>34.684345426932303</v>
      </c>
      <c r="X108">
        <f ca="1"/>
        <v>1.5505103870248764</v>
      </c>
      <c r="Y108">
        <f ca="1"/>
        <v>1</v>
      </c>
      <c r="Z108">
        <f ca="1"/>
        <v>6.0559902146425912</v>
      </c>
      <c r="AA108">
        <f ca="1"/>
        <v>0</v>
      </c>
      <c r="AB108">
        <f ca="1"/>
        <v>0.99999981994129805</v>
      </c>
      <c r="AD108" s="2">
        <f t="shared" ca="1" si="12"/>
        <v>45443</v>
      </c>
      <c r="AE108">
        <f t="shared" ca="1" si="13"/>
        <v>0</v>
      </c>
      <c r="AG108" s="65">
        <f t="shared" ca="1" si="17"/>
        <v>84.85089151597299</v>
      </c>
      <c r="AH108" s="65">
        <f t="shared" ca="1" si="18"/>
        <v>84.85089151597299</v>
      </c>
      <c r="AI108" s="3">
        <f t="shared" ca="1" si="19"/>
        <v>0</v>
      </c>
    </row>
    <row r="109" spans="7:35" x14ac:dyDescent="0.25">
      <c r="G109" s="3">
        <f t="shared" ca="1" si="14"/>
        <v>109</v>
      </c>
      <c r="H109" s="97">
        <f t="shared" ca="1" si="16"/>
        <v>45399</v>
      </c>
      <c r="I109" s="121">
        <f ca="1">HLOOKUP($H$4,'Met Data'!$A$2:$F$368,G109,FALSE)</f>
        <v>13.6833333333333</v>
      </c>
      <c r="J109" s="121">
        <f ca="1">HLOOKUP($H$4,'Met Data'!$H$2:$M$368,G109,FALSE)*L109</f>
        <v>4.1083333333333218</v>
      </c>
      <c r="K109" s="98">
        <f ca="1">HLOOKUP($H$4,'Met Data'!$O$2:$T$368,G109,FALSE)</f>
        <v>1.64274717869015</v>
      </c>
      <c r="L109">
        <f t="shared" ca="1" si="10"/>
        <v>1.7</v>
      </c>
      <c r="N109" t="b">
        <f t="shared" ca="1" si="15"/>
        <v>1</v>
      </c>
      <c r="O109" t="b">
        <f t="shared" ca="1" si="11"/>
        <v>1</v>
      </c>
      <c r="P109" s="2">
        <f ca="1"/>
        <v>45444</v>
      </c>
      <c r="Q109">
        <f ca="1"/>
        <v>76.69225156614732</v>
      </c>
      <c r="R109">
        <f ca="1"/>
        <v>2.4696632533051601</v>
      </c>
      <c r="S109">
        <f ca="1"/>
        <v>1.4420609082744562E-2</v>
      </c>
      <c r="T109">
        <f ca="1"/>
        <v>0</v>
      </c>
      <c r="U109">
        <f ca="1"/>
        <v>0</v>
      </c>
      <c r="V109">
        <f ca="1"/>
        <v>138.83546578654301</v>
      </c>
      <c r="W109">
        <f ca="1"/>
        <v>35.312498906577297</v>
      </c>
      <c r="X109">
        <f ca="1"/>
        <v>1.7038350861364555</v>
      </c>
      <c r="Y109">
        <f ca="1"/>
        <v>1</v>
      </c>
      <c r="Z109">
        <f ca="1"/>
        <v>7.0157437564817116</v>
      </c>
      <c r="AA109">
        <f ca="1"/>
        <v>0</v>
      </c>
      <c r="AB109">
        <f ca="1"/>
        <v>0.99999984775409601</v>
      </c>
      <c r="AD109" s="2">
        <f t="shared" ca="1" si="12"/>
        <v>45444</v>
      </c>
      <c r="AE109">
        <f t="shared" ca="1" si="13"/>
        <v>0</v>
      </c>
      <c r="AG109" s="65">
        <f t="shared" ca="1" si="17"/>
        <v>80.865749905588928</v>
      </c>
      <c r="AH109" s="65">
        <f t="shared" ca="1" si="18"/>
        <v>80.865749905588928</v>
      </c>
      <c r="AI109" s="3">
        <f t="shared" ca="1" si="19"/>
        <v>0</v>
      </c>
    </row>
    <row r="110" spans="7:35" x14ac:dyDescent="0.25">
      <c r="G110" s="3">
        <f t="shared" ca="1" si="14"/>
        <v>110</v>
      </c>
      <c r="H110" s="97">
        <f t="shared" ca="1" si="16"/>
        <v>45400</v>
      </c>
      <c r="I110" s="121">
        <f ca="1">HLOOKUP($H$4,'Met Data'!$A$2:$F$368,G110,FALSE)</f>
        <v>12.945833333333301</v>
      </c>
      <c r="J110" s="121">
        <f ca="1">HLOOKUP($H$4,'Met Data'!$H$2:$M$368,G110,FALSE)*L110</f>
        <v>2.7199999999999829</v>
      </c>
      <c r="K110" s="98">
        <f ca="1">HLOOKUP($H$4,'Met Data'!$O$2:$T$368,G110,FALSE)</f>
        <v>1.70342846945819</v>
      </c>
      <c r="L110">
        <f t="shared" ca="1" si="10"/>
        <v>1.7</v>
      </c>
      <c r="N110" t="b">
        <f t="shared" ca="1" si="15"/>
        <v>1</v>
      </c>
      <c r="O110" t="b">
        <f t="shared" ca="1" si="11"/>
        <v>1</v>
      </c>
      <c r="P110" s="2">
        <f ca="1"/>
        <v>45445</v>
      </c>
      <c r="Q110">
        <f ca="1"/>
        <v>73.268270387821488</v>
      </c>
      <c r="R110">
        <f ca="1"/>
        <v>2.4677269784639302</v>
      </c>
      <c r="S110">
        <f ca="1"/>
        <v>1.4206961146113528E-2</v>
      </c>
      <c r="T110">
        <f ca="1"/>
        <v>0</v>
      </c>
      <c r="U110">
        <f ca="1"/>
        <v>0</v>
      </c>
      <c r="V110">
        <f ca="1"/>
        <v>141.303192765007</v>
      </c>
      <c r="W110">
        <f ca="1"/>
        <v>35.9401598989257</v>
      </c>
      <c r="X110">
        <f ca="1"/>
        <v>0.97046116100801305</v>
      </c>
      <c r="Y110">
        <f ca="1"/>
        <v>1</v>
      </c>
      <c r="Z110">
        <f ca="1"/>
        <v>4.1827303639561251</v>
      </c>
      <c r="AA110">
        <f ca="1"/>
        <v>0</v>
      </c>
      <c r="AB110">
        <f ca="1"/>
        <v>0.99999987106354304</v>
      </c>
      <c r="AD110" s="2">
        <f t="shared" ca="1" si="12"/>
        <v>45445</v>
      </c>
      <c r="AE110">
        <f t="shared" ca="1" si="13"/>
        <v>0</v>
      </c>
      <c r="AG110" s="65">
        <f t="shared" ca="1" si="17"/>
        <v>76.706458527293435</v>
      </c>
      <c r="AH110" s="65">
        <f t="shared" ca="1" si="18"/>
        <v>76.706458527293435</v>
      </c>
      <c r="AI110" s="3">
        <f t="shared" ca="1" si="19"/>
        <v>0</v>
      </c>
    </row>
    <row r="111" spans="7:35" x14ac:dyDescent="0.25">
      <c r="G111" s="3">
        <f t="shared" ca="1" si="14"/>
        <v>111</v>
      </c>
      <c r="H111" s="97">
        <f t="shared" ca="1" si="16"/>
        <v>45401</v>
      </c>
      <c r="I111" s="121">
        <f ca="1">HLOOKUP($H$4,'Met Data'!$A$2:$F$368,G111,FALSE)</f>
        <v>14.2875</v>
      </c>
      <c r="J111" s="121">
        <f ca="1">HLOOKUP($H$4,'Met Data'!$H$2:$M$368,G111,FALSE)*L111</f>
        <v>1.9549999999999998</v>
      </c>
      <c r="K111" s="98">
        <f ca="1">HLOOKUP($H$4,'Met Data'!$O$2:$T$368,G111,FALSE)</f>
        <v>1.68674688590323</v>
      </c>
      <c r="L111">
        <f t="shared" ca="1" si="10"/>
        <v>1.7</v>
      </c>
      <c r="N111" t="b">
        <f t="shared" ca="1" si="15"/>
        <v>1</v>
      </c>
      <c r="O111" t="b">
        <f t="shared" ca="1" si="11"/>
        <v>1</v>
      </c>
      <c r="P111" s="2">
        <f ca="1"/>
        <v>45446</v>
      </c>
      <c r="Q111">
        <f ca="1"/>
        <v>69.189144528595634</v>
      </c>
      <c r="R111">
        <f ca="1"/>
        <v>2.7539350091039401</v>
      </c>
      <c r="S111">
        <f ca="1"/>
        <v>1.5635421865777488E-2</v>
      </c>
      <c r="T111">
        <f ca="1"/>
        <v>0</v>
      </c>
      <c r="U111">
        <f ca="1"/>
        <v>0</v>
      </c>
      <c r="V111">
        <f ca="1"/>
        <v>144.057127774111</v>
      </c>
      <c r="W111">
        <f ca="1"/>
        <v>36.6406172816761</v>
      </c>
      <c r="X111">
        <f ca="1"/>
        <v>1.3408262719876969</v>
      </c>
      <c r="Y111">
        <f ca="1"/>
        <v>1</v>
      </c>
      <c r="Z111">
        <f ca="1"/>
        <v>6.1197291225064845</v>
      </c>
      <c r="AA111">
        <f ca="1"/>
        <v>0</v>
      </c>
      <c r="AB111">
        <f ca="1"/>
        <v>0.99999989271192202</v>
      </c>
      <c r="AD111" s="2">
        <f t="shared" ca="1" si="12"/>
        <v>45446</v>
      </c>
      <c r="AE111">
        <f t="shared" ca="1" si="13"/>
        <v>0</v>
      </c>
      <c r="AG111" s="65">
        <f t="shared" ca="1" si="17"/>
        <v>73.283905809687269</v>
      </c>
      <c r="AH111" s="65">
        <f t="shared" ca="1" si="18"/>
        <v>73.283905809687269</v>
      </c>
      <c r="AI111" s="3">
        <f t="shared" ca="1" si="19"/>
        <v>0</v>
      </c>
    </row>
    <row r="112" spans="7:35" x14ac:dyDescent="0.25">
      <c r="G112" s="3">
        <f t="shared" ca="1" si="14"/>
        <v>112</v>
      </c>
      <c r="H112" s="97">
        <f t="shared" ca="1" si="16"/>
        <v>45402</v>
      </c>
      <c r="I112" s="121">
        <f ca="1">HLOOKUP($H$4,'Met Data'!$A$2:$F$368,G112,FALSE)</f>
        <v>14.275</v>
      </c>
      <c r="J112" s="121">
        <f ca="1">HLOOKUP($H$4,'Met Data'!$H$2:$M$368,G112,FALSE)*L112</f>
        <v>3.5416666666666607</v>
      </c>
      <c r="K112" s="98">
        <f ca="1">HLOOKUP($H$4,'Met Data'!$O$2:$T$368,G112,FALSE)</f>
        <v>1.5152419322458901</v>
      </c>
      <c r="L112">
        <f t="shared" ca="1" si="10"/>
        <v>1.7</v>
      </c>
      <c r="N112" t="b">
        <f t="shared" ca="1" si="15"/>
        <v>1</v>
      </c>
      <c r="O112" t="b">
        <f t="shared" ca="1" si="11"/>
        <v>1</v>
      </c>
      <c r="P112" s="2">
        <f ca="1"/>
        <v>45447</v>
      </c>
      <c r="Q112">
        <f ca="1"/>
        <v>64.234128587519251</v>
      </c>
      <c r="R112">
        <f ca="1"/>
        <v>2.71193135642815</v>
      </c>
      <c r="S112">
        <f ca="1"/>
        <v>1.5153159539649685E-2</v>
      </c>
      <c r="T112">
        <f ca="1"/>
        <v>0</v>
      </c>
      <c r="U112">
        <f ca="1"/>
        <v>0</v>
      </c>
      <c r="V112">
        <f ca="1"/>
        <v>146.76905913053901</v>
      </c>
      <c r="W112">
        <f ca="1"/>
        <v>37.330391126680603</v>
      </c>
      <c r="X112">
        <f ca="1"/>
        <v>2.258237744187884</v>
      </c>
      <c r="Y112">
        <f ca="1"/>
        <v>1</v>
      </c>
      <c r="Z112">
        <f ca="1"/>
        <v>11.102006431351697</v>
      </c>
      <c r="AA112">
        <f ca="1"/>
        <v>0</v>
      </c>
      <c r="AB112">
        <f ca="1"/>
        <v>0.99999991033131796</v>
      </c>
      <c r="AD112" s="2">
        <f t="shared" ca="1" si="12"/>
        <v>45447</v>
      </c>
      <c r="AE112">
        <f t="shared" ca="1" si="13"/>
        <v>0</v>
      </c>
      <c r="AG112" s="65">
        <f t="shared" ca="1" si="17"/>
        <v>69.204297688135284</v>
      </c>
      <c r="AH112" s="65">
        <f t="shared" ca="1" si="18"/>
        <v>69.204297688135284</v>
      </c>
      <c r="AI112" s="3">
        <f t="shared" ca="1" si="19"/>
        <v>0</v>
      </c>
    </row>
    <row r="113" spans="7:35" x14ac:dyDescent="0.25">
      <c r="G113" s="3">
        <f t="shared" ca="1" si="14"/>
        <v>113</v>
      </c>
      <c r="H113" s="97">
        <f t="shared" ca="1" si="16"/>
        <v>45403</v>
      </c>
      <c r="I113" s="121">
        <f ca="1">HLOOKUP($H$4,'Met Data'!$A$2:$F$368,G113,FALSE)</f>
        <v>13.595833333333299</v>
      </c>
      <c r="J113" s="121">
        <f ca="1">HLOOKUP($H$4,'Met Data'!$H$2:$M$368,G113,FALSE)*L113</f>
        <v>1.3033333333333323</v>
      </c>
      <c r="K113" s="98">
        <f ca="1">HLOOKUP($H$4,'Met Data'!$O$2:$T$368,G113,FALSE)</f>
        <v>1.65518894118648</v>
      </c>
      <c r="L113">
        <f t="shared" ca="1" si="10"/>
        <v>1.7</v>
      </c>
      <c r="N113" t="b">
        <f t="shared" ca="1" si="15"/>
        <v>1</v>
      </c>
      <c r="O113" t="b">
        <f t="shared" ca="1" si="11"/>
        <v>1</v>
      </c>
      <c r="P113" s="2">
        <f ca="1"/>
        <v>45448</v>
      </c>
      <c r="Q113">
        <f ca="1"/>
        <v>58.864925131906375</v>
      </c>
      <c r="R113">
        <f ca="1"/>
        <v>2.7027170004152801</v>
      </c>
      <c r="S113">
        <f ca="1"/>
        <v>1.4878340071361684E-2</v>
      </c>
      <c r="T113">
        <f ca="1"/>
        <v>0</v>
      </c>
      <c r="U113">
        <f ca="1"/>
        <v>0</v>
      </c>
      <c r="V113">
        <f ca="1"/>
        <v>149.471776130954</v>
      </c>
      <c r="W113">
        <f ca="1"/>
        <v>38.017821320264503</v>
      </c>
      <c r="X113">
        <f ca="1"/>
        <v>2.6813647952689612</v>
      </c>
      <c r="Y113">
        <f ca="1"/>
        <v>1</v>
      </c>
      <c r="Z113">
        <f ca="1"/>
        <v>14.384572401237904</v>
      </c>
      <c r="AA113">
        <f ca="1"/>
        <v>0</v>
      </c>
      <c r="AB113">
        <f ca="1"/>
        <v>0.99999992489975598</v>
      </c>
      <c r="AD113" s="2">
        <f t="shared" ca="1" si="12"/>
        <v>45448</v>
      </c>
      <c r="AE113">
        <f t="shared" ca="1" si="13"/>
        <v>0</v>
      </c>
      <c r="AG113" s="65">
        <f t="shared" ca="1" si="17"/>
        <v>64.249006927590614</v>
      </c>
      <c r="AH113" s="65">
        <f t="shared" ca="1" si="18"/>
        <v>64.249006927590614</v>
      </c>
      <c r="AI113" s="3">
        <f t="shared" ca="1" si="19"/>
        <v>0</v>
      </c>
    </row>
    <row r="114" spans="7:35" x14ac:dyDescent="0.25">
      <c r="G114" s="3">
        <f t="shared" ca="1" si="14"/>
        <v>114</v>
      </c>
      <c r="H114" s="97">
        <f t="shared" ca="1" si="16"/>
        <v>45404</v>
      </c>
      <c r="I114" s="121">
        <f ca="1">HLOOKUP($H$4,'Met Data'!$A$2:$F$368,G114,FALSE)</f>
        <v>13.9125</v>
      </c>
      <c r="J114" s="121">
        <f ca="1">HLOOKUP($H$4,'Met Data'!$H$2:$M$368,G114,FALSE)*L114</f>
        <v>0.51</v>
      </c>
      <c r="K114" s="98">
        <f ca="1">HLOOKUP($H$4,'Met Data'!$O$2:$T$368,G114,FALSE)</f>
        <v>1.66585763602601</v>
      </c>
      <c r="L114">
        <f t="shared" ca="1" si="10"/>
        <v>1.7</v>
      </c>
      <c r="N114" t="b">
        <f t="shared" ca="1" si="15"/>
        <v>1</v>
      </c>
      <c r="O114" t="b">
        <f t="shared" ca="1" si="11"/>
        <v>1</v>
      </c>
      <c r="P114" s="2">
        <f ca="1"/>
        <v>45449</v>
      </c>
      <c r="Q114">
        <f ca="1"/>
        <v>55.119713493578395</v>
      </c>
      <c r="R114">
        <f ca="1"/>
        <v>2.6983757142078302</v>
      </c>
      <c r="S114">
        <f ca="1"/>
        <v>1.4642180074541322E-2</v>
      </c>
      <c r="T114">
        <f ca="1"/>
        <v>0</v>
      </c>
      <c r="U114">
        <f ca="1"/>
        <v>0</v>
      </c>
      <c r="V114">
        <f ca="1"/>
        <v>152.170151845162</v>
      </c>
      <c r="W114">
        <f ca="1"/>
        <v>38.704147317139103</v>
      </c>
      <c r="X114">
        <f ca="1"/>
        <v>1.0614781041946879</v>
      </c>
      <c r="Y114">
        <f ca="1"/>
        <v>1</v>
      </c>
      <c r="Z114">
        <f ca="1"/>
        <v>6.0813743505761551</v>
      </c>
      <c r="AA114">
        <f ca="1"/>
        <v>0</v>
      </c>
      <c r="AB114">
        <f ca="1"/>
        <v>0.99999993699559797</v>
      </c>
      <c r="AD114" s="2">
        <f t="shared" ca="1" si="12"/>
        <v>45449</v>
      </c>
      <c r="AE114">
        <f t="shared" ca="1" si="13"/>
        <v>0</v>
      </c>
      <c r="AG114" s="65">
        <f t="shared" ca="1" si="17"/>
        <v>58.879567311980914</v>
      </c>
      <c r="AH114" s="65">
        <f t="shared" ca="1" si="18"/>
        <v>58.879567311980914</v>
      </c>
      <c r="AI114" s="3">
        <f t="shared" ca="1" si="19"/>
        <v>0</v>
      </c>
    </row>
    <row r="115" spans="7:35" x14ac:dyDescent="0.25">
      <c r="G115" s="3">
        <f t="shared" ca="1" si="14"/>
        <v>115</v>
      </c>
      <c r="H115" s="97">
        <f t="shared" ca="1" si="16"/>
        <v>45405</v>
      </c>
      <c r="I115" s="121">
        <f ca="1">HLOOKUP($H$4,'Met Data'!$A$2:$F$368,G115,FALSE)</f>
        <v>14.820833333333301</v>
      </c>
      <c r="J115" s="121">
        <f ca="1">HLOOKUP($H$4,'Met Data'!$H$2:$M$368,G115,FALSE)*L115</f>
        <v>4.3066666666666613</v>
      </c>
      <c r="K115" s="98">
        <f ca="1">HLOOKUP($H$4,'Met Data'!$O$2:$T$368,G115,FALSE)</f>
        <v>1.5754379638326901</v>
      </c>
      <c r="L115">
        <f t="shared" ca="1" si="10"/>
        <v>1.7</v>
      </c>
      <c r="N115" t="b">
        <f t="shared" ca="1" si="15"/>
        <v>1</v>
      </c>
      <c r="O115" t="b">
        <f t="shared" ca="1" si="11"/>
        <v>1</v>
      </c>
      <c r="P115" s="2">
        <f ca="1"/>
        <v>45450</v>
      </c>
      <c r="Q115">
        <f ca="1"/>
        <v>51.996162474537769</v>
      </c>
      <c r="R115">
        <f ca="1"/>
        <v>2.4905649855953098</v>
      </c>
      <c r="S115">
        <f ca="1"/>
        <v>1.3353437476196106E-2</v>
      </c>
      <c r="T115">
        <f ca="1"/>
        <v>0</v>
      </c>
      <c r="U115">
        <f ca="1"/>
        <v>0</v>
      </c>
      <c r="V115">
        <f ca="1"/>
        <v>154.66071683075799</v>
      </c>
      <c r="W115">
        <f ca="1"/>
        <v>39.337617106953601</v>
      </c>
      <c r="X115">
        <f ca="1"/>
        <v>0.64633947092151023</v>
      </c>
      <c r="Y115">
        <f ca="1"/>
        <v>1</v>
      </c>
      <c r="Z115">
        <f ca="1"/>
        <v>3.9254281783503728</v>
      </c>
      <c r="AA115">
        <f ca="1"/>
        <v>0</v>
      </c>
      <c r="AB115">
        <f ca="1"/>
        <v>0.99999994636119505</v>
      </c>
      <c r="AD115" s="2">
        <f t="shared" ca="1" si="12"/>
        <v>45450</v>
      </c>
      <c r="AE115">
        <f t="shared" ca="1" si="13"/>
        <v>0</v>
      </c>
      <c r="AG115" s="65">
        <f t="shared" ca="1" si="17"/>
        <v>55.133066931054593</v>
      </c>
      <c r="AH115" s="65">
        <f t="shared" ca="1" si="18"/>
        <v>55.133066931054593</v>
      </c>
      <c r="AI115" s="3">
        <f t="shared" ca="1" si="19"/>
        <v>0</v>
      </c>
    </row>
    <row r="116" spans="7:35" x14ac:dyDescent="0.25">
      <c r="G116" s="3">
        <f t="shared" ca="1" si="14"/>
        <v>116</v>
      </c>
      <c r="H116" s="97">
        <f t="shared" ca="1" si="16"/>
        <v>45406</v>
      </c>
      <c r="I116" s="121">
        <f ca="1">HLOOKUP($H$4,'Met Data'!$A$2:$F$368,G116,FALSE)</f>
        <v>14.4166666666666</v>
      </c>
      <c r="J116" s="121">
        <f ca="1">HLOOKUP($H$4,'Met Data'!$H$2:$M$368,G116,FALSE)*L116</f>
        <v>12.551666666666661</v>
      </c>
      <c r="K116" s="98">
        <f ca="1">HLOOKUP($H$4,'Met Data'!$O$2:$T$368,G116,FALSE)</f>
        <v>1.4622003711311999</v>
      </c>
      <c r="L116">
        <f t="shared" ca="1" si="10"/>
        <v>1.7</v>
      </c>
      <c r="N116" t="b">
        <f t="shared" ca="1" si="15"/>
        <v>1</v>
      </c>
      <c r="O116" t="b">
        <f t="shared" ca="1" si="11"/>
        <v>1</v>
      </c>
      <c r="P116" s="2">
        <f ca="1"/>
        <v>45451</v>
      </c>
      <c r="Q116">
        <f ca="1"/>
        <v>48.980452897605261</v>
      </c>
      <c r="R116">
        <f ca="1"/>
        <v>2.4807383929298799</v>
      </c>
      <c r="S116">
        <f ca="1"/>
        <v>1.3141771219968845E-2</v>
      </c>
      <c r="T116">
        <f ca="1"/>
        <v>0</v>
      </c>
      <c r="U116">
        <f ca="1"/>
        <v>0</v>
      </c>
      <c r="V116">
        <f ca="1"/>
        <v>157.14145522368699</v>
      </c>
      <c r="W116">
        <f ca="1"/>
        <v>39.968587524285702</v>
      </c>
      <c r="X116">
        <f ca="1"/>
        <v>0.5481129552226004</v>
      </c>
      <c r="Y116">
        <f ca="1"/>
        <v>1</v>
      </c>
      <c r="Z116">
        <f ca="1"/>
        <v>3.5338240340710456</v>
      </c>
      <c r="AA116">
        <f ca="1"/>
        <v>0</v>
      </c>
      <c r="AB116">
        <f ca="1"/>
        <v>0.99999995425788102</v>
      </c>
      <c r="AD116" s="2">
        <f t="shared" ca="1" si="12"/>
        <v>45451</v>
      </c>
      <c r="AE116">
        <f t="shared" ca="1" si="13"/>
        <v>0</v>
      </c>
      <c r="AG116" s="65">
        <f t="shared" ca="1" si="17"/>
        <v>52.00930424575774</v>
      </c>
      <c r="AH116" s="65">
        <f t="shared" ca="1" si="18"/>
        <v>52.00930424575774</v>
      </c>
      <c r="AI116" s="3">
        <f t="shared" ca="1" si="19"/>
        <v>0</v>
      </c>
    </row>
    <row r="117" spans="7:35" x14ac:dyDescent="0.25">
      <c r="G117" s="3">
        <f t="shared" ca="1" si="14"/>
        <v>117</v>
      </c>
      <c r="H117" s="97">
        <f t="shared" ca="1" si="16"/>
        <v>45407</v>
      </c>
      <c r="I117" s="121">
        <f ca="1">HLOOKUP($H$4,'Met Data'!$A$2:$F$368,G117,FALSE)</f>
        <v>13.9375</v>
      </c>
      <c r="J117" s="121">
        <f ca="1">HLOOKUP($H$4,'Met Data'!$H$2:$M$368,G117,FALSE)*L117</f>
        <v>1.19</v>
      </c>
      <c r="K117" s="98">
        <f ca="1">HLOOKUP($H$4,'Met Data'!$O$2:$T$368,G117,FALSE)</f>
        <v>1.4965322621758601</v>
      </c>
      <c r="L117">
        <f t="shared" ca="1" si="10"/>
        <v>1.7</v>
      </c>
      <c r="N117" t="b">
        <f t="shared" ca="1" si="15"/>
        <v>1</v>
      </c>
      <c r="O117" t="b">
        <f t="shared" ca="1" si="11"/>
        <v>1</v>
      </c>
      <c r="P117" s="2">
        <f ca="1"/>
        <v>45452</v>
      </c>
      <c r="Q117">
        <f ca="1"/>
        <v>44.274914520371745</v>
      </c>
      <c r="R117">
        <f ca="1"/>
        <v>2.8690499225153299</v>
      </c>
      <c r="S117">
        <f ca="1"/>
        <v>1.4987877210713485E-2</v>
      </c>
      <c r="T117">
        <f ca="1"/>
        <v>0</v>
      </c>
      <c r="U117">
        <f ca="1"/>
        <v>0</v>
      </c>
      <c r="V117">
        <f ca="1"/>
        <v>160.010505146203</v>
      </c>
      <c r="W117">
        <f ca="1"/>
        <v>40.698324135012399</v>
      </c>
      <c r="X117">
        <f ca="1"/>
        <v>1.8514763319289034</v>
      </c>
      <c r="Y117">
        <f ca="1"/>
        <v>1</v>
      </c>
      <c r="Z117">
        <f ca="1"/>
        <v>13.205598310745017</v>
      </c>
      <c r="AA117">
        <f ca="1"/>
        <v>0</v>
      </c>
      <c r="AB117">
        <f ca="1"/>
        <v>0.99999996190600704</v>
      </c>
      <c r="AD117" s="2">
        <f t="shared" ca="1" si="12"/>
        <v>45452</v>
      </c>
      <c r="AE117">
        <f t="shared" ca="1" si="13"/>
        <v>0</v>
      </c>
      <c r="AG117" s="65">
        <f t="shared" ca="1" si="17"/>
        <v>48.995440774815975</v>
      </c>
      <c r="AH117" s="65">
        <f t="shared" ca="1" si="18"/>
        <v>48.995440774815975</v>
      </c>
      <c r="AI117" s="3">
        <f t="shared" ca="1" si="19"/>
        <v>0</v>
      </c>
    </row>
    <row r="118" spans="7:35" x14ac:dyDescent="0.25">
      <c r="G118" s="3">
        <f t="shared" ca="1" si="14"/>
        <v>118</v>
      </c>
      <c r="H118" s="97">
        <f t="shared" ca="1" si="16"/>
        <v>45408</v>
      </c>
      <c r="I118" s="121">
        <f ca="1">HLOOKUP($H$4,'Met Data'!$A$2:$F$368,G118,FALSE)</f>
        <v>14.8045454545454</v>
      </c>
      <c r="J118" s="121">
        <f ca="1">HLOOKUP($H$4,'Met Data'!$H$2:$M$368,G118,FALSE)*L118</f>
        <v>7.7890909090909064</v>
      </c>
      <c r="K118" s="98">
        <f ca="1">HLOOKUP($H$4,'Met Data'!$O$2:$T$368,G118,FALSE)</f>
        <v>1.5702581753512701</v>
      </c>
      <c r="L118">
        <f t="shared" ca="1" si="10"/>
        <v>1.7</v>
      </c>
      <c r="N118" t="b">
        <f t="shared" ca="1" si="15"/>
        <v>1</v>
      </c>
      <c r="O118" t="b">
        <f t="shared" ca="1" si="11"/>
        <v>1</v>
      </c>
      <c r="P118" s="2">
        <f ca="1"/>
        <v>45453</v>
      </c>
      <c r="Q118">
        <f ca="1"/>
        <v>38.950394745450907</v>
      </c>
      <c r="R118">
        <f ca="1"/>
        <v>2.8871550568904101</v>
      </c>
      <c r="S118">
        <f ca="1"/>
        <v>1.4875900612122628E-2</v>
      </c>
      <c r="T118">
        <f ca="1"/>
        <v>0</v>
      </c>
      <c r="U118">
        <f ca="1"/>
        <v>0</v>
      </c>
      <c r="V118">
        <f ca="1"/>
        <v>162.89766020309301</v>
      </c>
      <c r="W118">
        <f ca="1"/>
        <v>41.432665747308498</v>
      </c>
      <c r="X118">
        <f ca="1"/>
        <v>2.4522406186425525</v>
      </c>
      <c r="Y118">
        <f ca="1"/>
        <v>1</v>
      </c>
      <c r="Z118">
        <f ca="1"/>
        <v>19.881487193364507</v>
      </c>
      <c r="AA118">
        <f ca="1"/>
        <v>0</v>
      </c>
      <c r="AB118">
        <f ca="1"/>
        <v>0.99999996827293802</v>
      </c>
      <c r="AD118" s="2">
        <f t="shared" ca="1" si="12"/>
        <v>45453</v>
      </c>
      <c r="AE118">
        <f t="shared" ca="1" si="13"/>
        <v>0</v>
      </c>
      <c r="AG118" s="65">
        <f t="shared" ca="1" si="17"/>
        <v>44.28979042098387</v>
      </c>
      <c r="AH118" s="65">
        <f t="shared" ca="1" si="18"/>
        <v>44.28979042098387</v>
      </c>
      <c r="AI118" s="3">
        <f t="shared" ca="1" si="19"/>
        <v>0</v>
      </c>
    </row>
    <row r="119" spans="7:35" x14ac:dyDescent="0.25">
      <c r="G119" s="3">
        <f t="shared" ca="1" si="14"/>
        <v>119</v>
      </c>
      <c r="H119" s="97">
        <f t="shared" ca="1" si="16"/>
        <v>45409</v>
      </c>
      <c r="I119" s="121">
        <f ca="1">HLOOKUP($H$4,'Met Data'!$A$2:$F$368,G119,FALSE)</f>
        <v>14.1090909090909</v>
      </c>
      <c r="J119" s="121">
        <f ca="1">HLOOKUP($H$4,'Met Data'!$H$2:$M$368,G119,FALSE)*L119</f>
        <v>9.427272727272717</v>
      </c>
      <c r="K119" s="98">
        <f ca="1">HLOOKUP($H$4,'Met Data'!$O$2:$T$368,G119,FALSE)</f>
        <v>1.27231342308323</v>
      </c>
      <c r="L119">
        <f t="shared" ca="1" si="10"/>
        <v>1.7</v>
      </c>
      <c r="N119" t="b">
        <f t="shared" ca="1" si="15"/>
        <v>1</v>
      </c>
      <c r="O119" t="b">
        <f t="shared" ca="1" si="11"/>
        <v>1</v>
      </c>
      <c r="P119" s="2">
        <f ca="1"/>
        <v>45454</v>
      </c>
      <c r="Q119">
        <f ca="1"/>
        <v>35.621138247572475</v>
      </c>
      <c r="R119">
        <f ca="1"/>
        <v>3.1574289026648898</v>
      </c>
      <c r="S119">
        <f ca="1"/>
        <v>1.6126993272007617E-2</v>
      </c>
      <c r="T119">
        <f ca="1"/>
        <v>0</v>
      </c>
      <c r="U119">
        <f ca="1"/>
        <v>0</v>
      </c>
      <c r="V119">
        <f ca="1"/>
        <v>166.05508910575799</v>
      </c>
      <c r="W119">
        <f ca="1"/>
        <v>42.235750924725401</v>
      </c>
      <c r="X119">
        <f ca="1"/>
        <v>0.1879545884855533</v>
      </c>
      <c r="Y119">
        <f ca="1"/>
        <v>1</v>
      </c>
      <c r="Z119">
        <f ca="1"/>
        <v>1.6662600774255196</v>
      </c>
      <c r="AA119">
        <f ca="1"/>
        <v>0</v>
      </c>
      <c r="AB119">
        <f ca="1"/>
        <v>0.99999997399027296</v>
      </c>
      <c r="AD119" s="2">
        <f t="shared" ca="1" si="12"/>
        <v>45454</v>
      </c>
      <c r="AE119">
        <f t="shared" ca="1" si="13"/>
        <v>0</v>
      </c>
      <c r="AG119" s="65">
        <f t="shared" ca="1" si="17"/>
        <v>38.966521738722918</v>
      </c>
      <c r="AH119" s="65">
        <f t="shared" ca="1" si="18"/>
        <v>38.966521738722918</v>
      </c>
      <c r="AI119" s="3">
        <f t="shared" ca="1" si="19"/>
        <v>0</v>
      </c>
    </row>
    <row r="120" spans="7:35" x14ac:dyDescent="0.25">
      <c r="G120" s="3">
        <f t="shared" ca="1" si="14"/>
        <v>120</v>
      </c>
      <c r="H120" s="97">
        <f t="shared" ca="1" si="16"/>
        <v>45410</v>
      </c>
      <c r="I120" s="121">
        <f ca="1">HLOOKUP($H$4,'Met Data'!$A$2:$F$368,G120,FALSE)</f>
        <v>13.8375</v>
      </c>
      <c r="J120" s="121">
        <f ca="1">HLOOKUP($H$4,'Met Data'!$H$2:$M$368,G120,FALSE)*L120</f>
        <v>7.9616666666666607</v>
      </c>
      <c r="K120" s="98">
        <f ca="1">HLOOKUP($H$4,'Met Data'!$O$2:$T$368,G120,FALSE)</f>
        <v>1.5077932055652401</v>
      </c>
      <c r="L120">
        <f t="shared" ca="1" si="10"/>
        <v>1.7</v>
      </c>
      <c r="N120" t="b">
        <f t="shared" ca="1" si="15"/>
        <v>1</v>
      </c>
      <c r="O120" t="b">
        <f t="shared" ca="1" si="11"/>
        <v>1</v>
      </c>
      <c r="P120" s="2">
        <f ca="1"/>
        <v>45455</v>
      </c>
      <c r="Q120">
        <f ca="1"/>
        <v>31.368421605392424</v>
      </c>
      <c r="R120">
        <f ca="1"/>
        <v>2.8153392680620501</v>
      </c>
      <c r="S120">
        <f ca="1"/>
        <v>1.409725606153156E-2</v>
      </c>
      <c r="T120">
        <f ca="1"/>
        <v>0</v>
      </c>
      <c r="U120">
        <f ca="1"/>
        <v>0</v>
      </c>
      <c r="V120">
        <f ca="1"/>
        <v>168.87042837382</v>
      </c>
      <c r="W120">
        <f ca="1"/>
        <v>42.951826347254297</v>
      </c>
      <c r="X120">
        <f ca="1"/>
        <v>1.4514746301795369</v>
      </c>
      <c r="Y120">
        <f ca="1"/>
        <v>1</v>
      </c>
      <c r="Z120">
        <f ca="1"/>
        <v>14.612160449016187</v>
      </c>
      <c r="AA120">
        <f ca="1"/>
        <v>0</v>
      </c>
      <c r="AB120">
        <f ca="1"/>
        <v>0.99999997819014796</v>
      </c>
      <c r="AD120" s="2">
        <f t="shared" ca="1" si="12"/>
        <v>45455</v>
      </c>
      <c r="AE120">
        <f t="shared" ca="1" si="13"/>
        <v>0</v>
      </c>
      <c r="AG120" s="65">
        <f t="shared" ca="1" si="17"/>
        <v>35.635235503634007</v>
      </c>
      <c r="AH120" s="65">
        <f t="shared" ca="1" si="18"/>
        <v>35.635235503634014</v>
      </c>
      <c r="AI120" s="3">
        <f t="shared" ca="1" si="19"/>
        <v>0</v>
      </c>
    </row>
    <row r="121" spans="7:35" x14ac:dyDescent="0.25">
      <c r="G121" s="3">
        <f t="shared" ca="1" si="14"/>
        <v>121</v>
      </c>
      <c r="H121" s="97">
        <f t="shared" ca="1" si="16"/>
        <v>45411</v>
      </c>
      <c r="I121" s="121">
        <f ca="1">HLOOKUP($H$4,'Met Data'!$A$2:$F$368,G121,FALSE)</f>
        <v>13.6458333333333</v>
      </c>
      <c r="J121" s="121">
        <f ca="1">HLOOKUP($H$4,'Met Data'!$H$2:$M$368,G121,FALSE)*L121</f>
        <v>9.179999999999982</v>
      </c>
      <c r="K121" s="98">
        <f ca="1">HLOOKUP($H$4,'Met Data'!$O$2:$T$368,G121,FALSE)</f>
        <v>1.60300410285803</v>
      </c>
      <c r="L121">
        <f t="shared" ca="1" si="10"/>
        <v>1.7</v>
      </c>
      <c r="N121" t="b">
        <f t="shared" ca="1" si="15"/>
        <v>1</v>
      </c>
      <c r="O121" t="b">
        <f t="shared" ca="1" si="11"/>
        <v>1</v>
      </c>
      <c r="P121" s="2">
        <f ca="1"/>
        <v>45456</v>
      </c>
      <c r="Q121">
        <f ca="1"/>
        <v>28.434986787997314</v>
      </c>
      <c r="R121">
        <f ca="1"/>
        <v>2.73327780857585</v>
      </c>
      <c r="S121">
        <f ca="1"/>
        <v>1.3519358213558874E-2</v>
      </c>
      <c r="T121">
        <f ca="1"/>
        <v>0</v>
      </c>
      <c r="U121">
        <f ca="1"/>
        <v>0</v>
      </c>
      <c r="V121">
        <f ca="1"/>
        <v>171.603706182396</v>
      </c>
      <c r="W121">
        <f ca="1"/>
        <v>43.647029615957202</v>
      </c>
      <c r="X121">
        <f ca="1"/>
        <v>0.21367636703282203</v>
      </c>
      <c r="Y121">
        <f ca="1"/>
        <v>1</v>
      </c>
      <c r="Z121">
        <f ca="1"/>
        <v>2.373018422239312</v>
      </c>
      <c r="AA121">
        <f ca="1"/>
        <v>0</v>
      </c>
      <c r="AB121">
        <f ca="1"/>
        <v>0.99999998160152404</v>
      </c>
      <c r="AD121" s="2">
        <f t="shared" ca="1" si="12"/>
        <v>45456</v>
      </c>
      <c r="AE121">
        <f t="shared" ca="1" si="13"/>
        <v>0</v>
      </c>
      <c r="AG121" s="65">
        <f t="shared" ca="1" si="17"/>
        <v>31.381940963605985</v>
      </c>
      <c r="AH121" s="65">
        <f t="shared" ca="1" si="18"/>
        <v>31.381940963605985</v>
      </c>
      <c r="AI121" s="3">
        <f t="shared" ca="1" si="19"/>
        <v>0</v>
      </c>
    </row>
    <row r="122" spans="7:35" x14ac:dyDescent="0.25">
      <c r="G122" s="3">
        <f t="shared" ca="1" si="14"/>
        <v>122</v>
      </c>
      <c r="H122" s="97">
        <f t="shared" ca="1" si="16"/>
        <v>45412</v>
      </c>
      <c r="I122" s="121">
        <f ca="1">HLOOKUP($H$4,'Met Data'!$A$2:$F$368,G122,FALSE)</f>
        <v>11.883333333333301</v>
      </c>
      <c r="J122" s="121">
        <f ca="1">HLOOKUP($H$4,'Met Data'!$H$2:$M$368,G122,FALSE)*L122</f>
        <v>0.42499999999999999</v>
      </c>
      <c r="K122" s="98">
        <f ca="1">HLOOKUP($H$4,'Met Data'!$O$2:$T$368,G122,FALSE)</f>
        <v>1.67837953393642</v>
      </c>
      <c r="L122">
        <f t="shared" ca="1" si="10"/>
        <v>1.7</v>
      </c>
      <c r="N122" t="b">
        <f t="shared" ca="1" si="15"/>
        <v>1</v>
      </c>
      <c r="O122" t="b">
        <f t="shared" ca="1" si="11"/>
        <v>1</v>
      </c>
      <c r="P122" s="2">
        <f ca="1"/>
        <v>45457</v>
      </c>
      <c r="Q122">
        <f ca="1"/>
        <v>25.582559381987842</v>
      </c>
      <c r="R122">
        <f ca="1"/>
        <v>2.4463667192818499</v>
      </c>
      <c r="S122">
        <f ca="1"/>
        <v>1.2028577719831013E-2</v>
      </c>
      <c r="T122">
        <f ca="1"/>
        <v>0</v>
      </c>
      <c r="U122">
        <f ca="1"/>
        <v>0</v>
      </c>
      <c r="V122">
        <f ca="1"/>
        <v>174.05007290167799</v>
      </c>
      <c r="W122">
        <f ca="1"/>
        <v>44.2692576728181</v>
      </c>
      <c r="X122">
        <f ca="1"/>
        <v>0.41808926444745326</v>
      </c>
      <c r="Y122">
        <f ca="1"/>
        <v>1</v>
      </c>
      <c r="Z122">
        <f ca="1"/>
        <v>5.1608670892341735</v>
      </c>
      <c r="AA122">
        <f ca="1"/>
        <v>0</v>
      </c>
      <c r="AB122">
        <f ca="1"/>
        <v>0.99999998418896696</v>
      </c>
      <c r="AD122" s="2">
        <f t="shared" ca="1" si="12"/>
        <v>45457</v>
      </c>
      <c r="AE122">
        <f t="shared" ca="1" si="13"/>
        <v>0</v>
      </c>
      <c r="AG122" s="65">
        <f t="shared" ca="1" si="17"/>
        <v>28.447015365717146</v>
      </c>
      <c r="AH122" s="65">
        <f t="shared" ca="1" si="18"/>
        <v>28.447015365717146</v>
      </c>
      <c r="AI122" s="3">
        <f t="shared" ca="1" si="19"/>
        <v>0</v>
      </c>
    </row>
    <row r="123" spans="7:35" x14ac:dyDescent="0.25">
      <c r="G123" s="3">
        <f t="shared" ca="1" si="14"/>
        <v>123</v>
      </c>
      <c r="H123" s="97">
        <f t="shared" ca="1" si="16"/>
        <v>45413</v>
      </c>
      <c r="I123" s="121">
        <f ca="1">HLOOKUP($H$4,'Met Data'!$A$2:$F$368,G123,FALSE)</f>
        <v>11.8541666666666</v>
      </c>
      <c r="J123" s="121">
        <f ca="1">HLOOKUP($H$4,'Met Data'!$H$2:$M$368,G123,FALSE)*L123</f>
        <v>0.2266666666666661</v>
      </c>
      <c r="K123" s="98">
        <f ca="1">HLOOKUP($H$4,'Met Data'!$O$2:$T$368,G123,FALSE)</f>
        <v>1.44561782365903</v>
      </c>
      <c r="L123">
        <f t="shared" ca="1" si="10"/>
        <v>1.7</v>
      </c>
      <c r="N123" t="b">
        <f t="shared" ca="1" si="15"/>
        <v>1</v>
      </c>
      <c r="O123" t="b">
        <f t="shared" ca="1" si="11"/>
        <v>1</v>
      </c>
      <c r="P123" s="2">
        <f ca="1"/>
        <v>45458</v>
      </c>
      <c r="Q123">
        <f ca="1"/>
        <v>22.543126253138006</v>
      </c>
      <c r="R123">
        <f ca="1"/>
        <v>2.7546622118638</v>
      </c>
      <c r="S123">
        <f ca="1"/>
        <v>1.3329585473085714E-2</v>
      </c>
      <c r="T123">
        <f ca="1"/>
        <v>0</v>
      </c>
      <c r="U123">
        <f ca="1"/>
        <v>0</v>
      </c>
      <c r="V123">
        <f ca="1"/>
        <v>176.80473511354199</v>
      </c>
      <c r="W123">
        <f ca="1"/>
        <v>44.969900018009497</v>
      </c>
      <c r="X123">
        <f ca="1"/>
        <v>0.49317381757683126</v>
      </c>
      <c r="Y123">
        <f ca="1"/>
        <v>1</v>
      </c>
      <c r="Z123">
        <f ca="1"/>
        <v>6.9084961215502005</v>
      </c>
      <c r="AA123">
        <f ca="1"/>
        <v>0</v>
      </c>
      <c r="AB123">
        <f ca="1"/>
        <v>0.99999998666017498</v>
      </c>
      <c r="AD123" s="2">
        <f t="shared" ca="1" si="12"/>
        <v>45458</v>
      </c>
      <c r="AE123">
        <f t="shared" ca="1" si="13"/>
        <v>0</v>
      </c>
      <c r="AG123" s="65">
        <f t="shared" ca="1" si="17"/>
        <v>25.59588896746093</v>
      </c>
      <c r="AH123" s="65">
        <f t="shared" ca="1" si="18"/>
        <v>25.790962282578636</v>
      </c>
      <c r="AI123" s="3">
        <f t="shared" ca="1" si="19"/>
        <v>0.19507331511770687</v>
      </c>
    </row>
    <row r="124" spans="7:35" x14ac:dyDescent="0.25">
      <c r="G124" s="3">
        <f t="shared" ca="1" si="14"/>
        <v>124</v>
      </c>
      <c r="H124" s="97">
        <f t="shared" ca="1" si="16"/>
        <v>45414</v>
      </c>
      <c r="I124" s="121">
        <f ca="1">HLOOKUP($H$4,'Met Data'!$A$2:$F$368,G124,FALSE)</f>
        <v>13.0875</v>
      </c>
      <c r="J124" s="121">
        <f ca="1">HLOOKUP($H$4,'Met Data'!$H$2:$M$368,G124,FALSE)*L124</f>
        <v>3.6266666666666612</v>
      </c>
      <c r="K124" s="98">
        <f ca="1">HLOOKUP($H$4,'Met Data'!$O$2:$T$368,G124,FALSE)</f>
        <v>1.4319782957140901</v>
      </c>
      <c r="L124">
        <f t="shared" ca="1" si="10"/>
        <v>1.7</v>
      </c>
      <c r="N124" t="b">
        <f t="shared" ca="1" si="15"/>
        <v>1</v>
      </c>
      <c r="O124" t="b">
        <f t="shared" ca="1" si="11"/>
        <v>1</v>
      </c>
      <c r="P124" s="2">
        <f ca="1"/>
        <v>45459</v>
      </c>
      <c r="Q124">
        <f ca="1"/>
        <v>19.897266270459859</v>
      </c>
      <c r="R124">
        <f ca="1"/>
        <v>2.7943015786666199</v>
      </c>
      <c r="S124">
        <f ca="1"/>
        <v>1.3369470876929412E-2</v>
      </c>
      <c r="T124">
        <f ca="1"/>
        <v>0</v>
      </c>
      <c r="U124">
        <f ca="1"/>
        <v>0</v>
      </c>
      <c r="V124">
        <f ca="1"/>
        <v>179.59903669220799</v>
      </c>
      <c r="W124">
        <f ca="1"/>
        <v>45.680624549974702</v>
      </c>
      <c r="X124">
        <f ca="1"/>
        <v>0.40357988115358434</v>
      </c>
      <c r="Y124">
        <f ca="1"/>
        <v>1</v>
      </c>
      <c r="Z124">
        <f ca="1"/>
        <v>6.4052154967759378</v>
      </c>
      <c r="AA124">
        <f ca="1"/>
        <v>0</v>
      </c>
      <c r="AB124">
        <f ca="1"/>
        <v>0.999999988764804</v>
      </c>
      <c r="AD124" s="2">
        <f t="shared" ca="1" si="12"/>
        <v>45459</v>
      </c>
      <c r="AE124">
        <f t="shared" ca="1" si="13"/>
        <v>0</v>
      </c>
      <c r="AG124" s="65">
        <f t="shared" ca="1" si="17"/>
        <v>22.556495724014937</v>
      </c>
      <c r="AH124" s="65">
        <f t="shared" ca="1" si="18"/>
        <v>23.095147730280061</v>
      </c>
      <c r="AI124" s="3">
        <f t="shared" ca="1" si="19"/>
        <v>0.53865200626512433</v>
      </c>
    </row>
    <row r="125" spans="7:35" x14ac:dyDescent="0.25">
      <c r="G125" s="3">
        <f t="shared" ca="1" si="14"/>
        <v>125</v>
      </c>
      <c r="H125" s="97">
        <f t="shared" ca="1" si="16"/>
        <v>45415</v>
      </c>
      <c r="I125" s="121">
        <f ca="1">HLOOKUP($H$4,'Met Data'!$A$2:$F$368,G125,FALSE)</f>
        <v>13.137499999999999</v>
      </c>
      <c r="J125" s="121">
        <f ca="1">HLOOKUP($H$4,'Met Data'!$H$2:$M$368,G125,FALSE)*L125</f>
        <v>5.0999999999999996</v>
      </c>
      <c r="K125" s="98">
        <f ca="1">HLOOKUP($H$4,'Met Data'!$O$2:$T$368,G125,FALSE)</f>
        <v>1.16413167388704</v>
      </c>
      <c r="L125">
        <f t="shared" ca="1" si="10"/>
        <v>1.7</v>
      </c>
      <c r="N125" t="b">
        <f t="shared" ca="1" si="15"/>
        <v>1</v>
      </c>
      <c r="O125" t="b">
        <f t="shared" ca="1" si="11"/>
        <v>1</v>
      </c>
      <c r="P125" s="2">
        <f ca="1"/>
        <v>45460</v>
      </c>
      <c r="Q125">
        <f ca="1"/>
        <v>17.099502721328445</v>
      </c>
      <c r="R125">
        <f ca="1"/>
        <v>2.8287039408793402</v>
      </c>
      <c r="S125">
        <f ca="1"/>
        <v>1.3385180052192247E-2</v>
      </c>
      <c r="T125">
        <f ca="1"/>
        <v>0</v>
      </c>
      <c r="U125">
        <f ca="1"/>
        <v>0</v>
      </c>
      <c r="V125">
        <f ca="1"/>
        <v>182.42774063308801</v>
      </c>
      <c r="W125">
        <f ca="1"/>
        <v>46.400099247980997</v>
      </c>
      <c r="X125">
        <f ca="1"/>
        <v>0.8200835841324009</v>
      </c>
      <c r="Y125">
        <f ca="1"/>
        <v>1</v>
      </c>
      <c r="Z125">
        <f ca="1"/>
        <v>15.145104956017832</v>
      </c>
      <c r="AA125">
        <f ca="1"/>
        <v>0</v>
      </c>
      <c r="AB125">
        <f ca="1"/>
        <v>0.99999999055127298</v>
      </c>
      <c r="AD125" s="2">
        <f t="shared" ca="1" si="12"/>
        <v>45460</v>
      </c>
      <c r="AE125">
        <f t="shared" ca="1" si="13"/>
        <v>0</v>
      </c>
      <c r="AG125" s="65">
        <f t="shared" ca="1" si="17"/>
        <v>19.910651450512052</v>
      </c>
      <c r="AH125" s="65">
        <f t="shared" ca="1" si="18"/>
        <v>20.748290246340186</v>
      </c>
      <c r="AI125" s="3">
        <f t="shared" ca="1" si="19"/>
        <v>0.83763879582813416</v>
      </c>
    </row>
    <row r="126" spans="7:35" x14ac:dyDescent="0.25">
      <c r="G126" s="3">
        <f t="shared" ca="1" si="14"/>
        <v>126</v>
      </c>
      <c r="H126" s="97">
        <f t="shared" ca="1" si="16"/>
        <v>45416</v>
      </c>
      <c r="I126" s="121">
        <f ca="1">HLOOKUP($H$4,'Met Data'!$A$2:$F$368,G126,FALSE)</f>
        <v>13.591666666666599</v>
      </c>
      <c r="J126" s="121">
        <f ca="1">HLOOKUP($H$4,'Met Data'!$H$2:$M$368,G126,FALSE)*L126</f>
        <v>8.2449999999999992</v>
      </c>
      <c r="K126" s="98">
        <f ca="1">HLOOKUP($H$4,'Met Data'!$O$2:$T$368,G126,FALSE)</f>
        <v>1.3049016144750001</v>
      </c>
      <c r="L126">
        <f t="shared" ca="1" si="10"/>
        <v>1.7</v>
      </c>
      <c r="N126" t="b">
        <f t="shared" ca="1" si="15"/>
        <v>1</v>
      </c>
      <c r="O126" t="b">
        <f t="shared" ca="1" si="11"/>
        <v>1</v>
      </c>
      <c r="P126" s="2">
        <f ca="1"/>
        <v>45461</v>
      </c>
      <c r="Q126">
        <f ca="1"/>
        <v>13.919854213667401</v>
      </c>
      <c r="R126">
        <f ca="1"/>
        <v>2.9346623081926899</v>
      </c>
      <c r="S126">
        <f ca="1"/>
        <v>1.3740835726012257E-2</v>
      </c>
      <c r="T126">
        <f ca="1"/>
        <v>0</v>
      </c>
      <c r="U126">
        <f ca="1"/>
        <v>0</v>
      </c>
      <c r="V126">
        <f ca="1"/>
        <v>185.36240294128001</v>
      </c>
      <c r="W126">
        <f ca="1"/>
        <v>47.146524226369102</v>
      </c>
      <c r="X126">
        <f ca="1"/>
        <v>1.4820649876816088</v>
      </c>
      <c r="Y126">
        <f ca="1"/>
        <v>1</v>
      </c>
      <c r="Z126">
        <f ca="1"/>
        <v>33.622516101227461</v>
      </c>
      <c r="AA126">
        <f ca="1"/>
        <v>0</v>
      </c>
      <c r="AB126">
        <f ca="1"/>
        <v>0.99999999210022905</v>
      </c>
      <c r="AD126" s="2">
        <f t="shared" ca="1" si="12"/>
        <v>45461</v>
      </c>
      <c r="AE126">
        <f t="shared" ca="1" si="13"/>
        <v>0</v>
      </c>
      <c r="AG126" s="65">
        <f t="shared" ca="1" si="17"/>
        <v>17.113243557054457</v>
      </c>
      <c r="AH126" s="65">
        <f t="shared" ca="1" si="18"/>
        <v>18.336581509541702</v>
      </c>
      <c r="AI126" s="3">
        <f t="shared" ca="1" si="19"/>
        <v>1.2233379524872454</v>
      </c>
    </row>
    <row r="127" spans="7:35" x14ac:dyDescent="0.25">
      <c r="G127" s="3">
        <f t="shared" ca="1" si="14"/>
        <v>127</v>
      </c>
      <c r="H127" s="97">
        <f t="shared" ca="1" si="16"/>
        <v>45417</v>
      </c>
      <c r="I127" s="121">
        <f ca="1">HLOOKUP($H$4,'Met Data'!$A$2:$F$368,G127,FALSE)</f>
        <v>13.2708333333333</v>
      </c>
      <c r="J127" s="121">
        <f ca="1">HLOOKUP($H$4,'Met Data'!$H$2:$M$368,G127,FALSE)*L127</f>
        <v>4.0233333333333219</v>
      </c>
      <c r="K127" s="98">
        <f ca="1">HLOOKUP($H$4,'Met Data'!$O$2:$T$368,G127,FALSE)</f>
        <v>1.29751787384439</v>
      </c>
      <c r="L127">
        <f t="shared" ca="1" si="10"/>
        <v>1.7</v>
      </c>
      <c r="N127" t="b">
        <f t="shared" ca="1" si="15"/>
        <v>1</v>
      </c>
      <c r="O127" t="b">
        <f t="shared" ca="1" si="11"/>
        <v>1</v>
      </c>
      <c r="P127" s="2">
        <f ca="1"/>
        <v>45462</v>
      </c>
      <c r="Q127">
        <f ca="1"/>
        <v>11.612207508498328</v>
      </c>
      <c r="R127">
        <f ca="1"/>
        <v>2.9302782393016602</v>
      </c>
      <c r="S127">
        <f ca="1"/>
        <v>1.3570789749745238E-2</v>
      </c>
      <c r="T127">
        <f ca="1"/>
        <v>0</v>
      </c>
      <c r="U127">
        <f ca="1"/>
        <v>0</v>
      </c>
      <c r="V127">
        <f ca="1"/>
        <v>188.29268118058201</v>
      </c>
      <c r="W127">
        <f ca="1"/>
        <v>47.891834126365403</v>
      </c>
      <c r="X127">
        <f ca="1"/>
        <v>0.92787499457710321</v>
      </c>
      <c r="Y127">
        <f ca="1"/>
        <v>1</v>
      </c>
      <c r="Z127">
        <f ca="1"/>
        <v>25.233200144572265</v>
      </c>
      <c r="AA127">
        <f ca="1"/>
        <v>0</v>
      </c>
      <c r="AB127">
        <f ca="1"/>
        <v>0.99999999338988299</v>
      </c>
      <c r="AD127" s="2">
        <f t="shared" ca="1" si="12"/>
        <v>45462</v>
      </c>
      <c r="AE127">
        <f t="shared" ca="1" si="13"/>
        <v>0</v>
      </c>
      <c r="AG127" s="65">
        <f t="shared" ca="1" si="17"/>
        <v>13.933425003417145</v>
      </c>
      <c r="AH127" s="65">
        <f t="shared" ca="1" si="18"/>
        <v>15.470360742377091</v>
      </c>
      <c r="AI127" s="3">
        <f t="shared" ca="1" si="19"/>
        <v>1.5369357389599454</v>
      </c>
    </row>
    <row r="128" spans="7:35" x14ac:dyDescent="0.25">
      <c r="G128" s="3">
        <f t="shared" ca="1" si="14"/>
        <v>128</v>
      </c>
      <c r="H128" s="97">
        <f t="shared" ca="1" si="16"/>
        <v>45418</v>
      </c>
      <c r="I128" s="121">
        <f ca="1">HLOOKUP($H$4,'Met Data'!$A$2:$F$368,G128,FALSE)</f>
        <v>12.6791666666666</v>
      </c>
      <c r="J128" s="121">
        <f ca="1">HLOOKUP($H$4,'Met Data'!$H$2:$M$368,G128,FALSE)*L128</f>
        <v>9.2083333333333215</v>
      </c>
      <c r="K128" s="98">
        <f ca="1">HLOOKUP($H$4,'Met Data'!$O$2:$T$368,G128,FALSE)</f>
        <v>1.3071916611718599</v>
      </c>
      <c r="L128">
        <f t="shared" ca="1" si="10"/>
        <v>1.7</v>
      </c>
      <c r="N128" t="b">
        <f t="shared" ca="1" si="15"/>
        <v>1</v>
      </c>
      <c r="O128" t="b">
        <f t="shared" ca="1" si="11"/>
        <v>1</v>
      </c>
      <c r="P128" s="2">
        <f ca="1"/>
        <v>45463</v>
      </c>
      <c r="Q128">
        <f ca="1"/>
        <v>10.311850219999641</v>
      </c>
      <c r="R128">
        <f ca="1"/>
        <v>2.7756255893746999</v>
      </c>
      <c r="S128">
        <f ca="1"/>
        <v>1.2721402241302471E-2</v>
      </c>
      <c r="T128">
        <f ca="1"/>
        <v>0</v>
      </c>
      <c r="U128">
        <f ca="1"/>
        <v>0</v>
      </c>
      <c r="V128">
        <f ca="1"/>
        <v>191.06830676995699</v>
      </c>
      <c r="W128">
        <f ca="1"/>
        <v>48.5978084610542</v>
      </c>
      <c r="X128">
        <f ca="1"/>
        <v>0.15058579966602539</v>
      </c>
      <c r="Y128">
        <f ca="1"/>
        <v>1</v>
      </c>
      <c r="Z128">
        <f ca="1"/>
        <v>4.6115303661627252</v>
      </c>
      <c r="AA128">
        <f ca="1"/>
        <v>0</v>
      </c>
      <c r="AB128">
        <f ca="1"/>
        <v>0.99999999441429099</v>
      </c>
      <c r="AD128" s="2">
        <f t="shared" ca="1" si="12"/>
        <v>45463</v>
      </c>
      <c r="AE128">
        <f t="shared" ca="1" si="13"/>
        <v>0</v>
      </c>
      <c r="AG128" s="65">
        <f t="shared" ca="1" si="17"/>
        <v>11.62492891073963</v>
      </c>
      <c r="AH128" s="65">
        <f t="shared" ca="1" si="18"/>
        <v>13.238061609040367</v>
      </c>
      <c r="AI128" s="3">
        <f t="shared" ca="1" si="19"/>
        <v>1.6131326983007366</v>
      </c>
    </row>
    <row r="129" spans="7:35" x14ac:dyDescent="0.25">
      <c r="G129" s="3">
        <f t="shared" ca="1" si="14"/>
        <v>129</v>
      </c>
      <c r="H129" s="97">
        <f t="shared" ca="1" si="16"/>
        <v>45419</v>
      </c>
      <c r="I129" s="121">
        <f ca="1">HLOOKUP($H$4,'Met Data'!$A$2:$F$368,G129,FALSE)</f>
        <v>12.799999999999899</v>
      </c>
      <c r="J129" s="121">
        <f ca="1">HLOOKUP($H$4,'Met Data'!$H$2:$M$368,G129,FALSE)*L129</f>
        <v>3.6833333333333216</v>
      </c>
      <c r="K129" s="98">
        <f ca="1">HLOOKUP($H$4,'Met Data'!$O$2:$T$368,G129,FALSE)</f>
        <v>1.27112414081248</v>
      </c>
      <c r="L129">
        <f t="shared" ca="1" si="10"/>
        <v>1.7</v>
      </c>
      <c r="N129" t="b">
        <f t="shared" ca="1" si="15"/>
        <v>1</v>
      </c>
      <c r="O129" t="b">
        <f t="shared" ca="1" si="11"/>
        <v>1</v>
      </c>
      <c r="P129" s="2">
        <f ca="1"/>
        <v>45464</v>
      </c>
      <c r="Q129">
        <f ca="1"/>
        <v>9.1524717384340164</v>
      </c>
      <c r="R129">
        <f ca="1"/>
        <v>2.4876709716866698</v>
      </c>
      <c r="S129">
        <f ca="1"/>
        <v>1.1360538183627256E-2</v>
      </c>
      <c r="T129">
        <f ca="1"/>
        <v>0</v>
      </c>
      <c r="U129">
        <f ca="1"/>
        <v>0</v>
      </c>
      <c r="V129">
        <f ca="1"/>
        <v>193.55597774164301</v>
      </c>
      <c r="W129">
        <f ca="1"/>
        <v>49.230542164722301</v>
      </c>
      <c r="X129">
        <f ca="1"/>
        <v>0.13841794393092441</v>
      </c>
      <c r="Y129">
        <f ca="1"/>
        <v>1</v>
      </c>
      <c r="Z129">
        <f ca="1"/>
        <v>4.7758606539959771</v>
      </c>
      <c r="AA129">
        <f ca="1"/>
        <v>0</v>
      </c>
      <c r="AB129">
        <f ca="1"/>
        <v>0.99999999519528004</v>
      </c>
      <c r="AD129" s="2">
        <f t="shared" ca="1" si="12"/>
        <v>45464</v>
      </c>
      <c r="AE129">
        <f t="shared" ca="1" si="13"/>
        <v>0</v>
      </c>
      <c r="AG129" s="65">
        <f t="shared" ca="1" si="17"/>
        <v>10.323210758183269</v>
      </c>
      <c r="AH129" s="65">
        <f t="shared" ca="1" si="18"/>
        <v>11.778560654051612</v>
      </c>
      <c r="AI129" s="3">
        <f t="shared" ca="1" si="19"/>
        <v>1.4553498958683431</v>
      </c>
    </row>
    <row r="130" spans="7:35" x14ac:dyDescent="0.25">
      <c r="G130" s="3">
        <f t="shared" ca="1" si="14"/>
        <v>130</v>
      </c>
      <c r="H130" s="97">
        <f t="shared" ca="1" si="16"/>
        <v>45420</v>
      </c>
      <c r="I130" s="121">
        <f ca="1">HLOOKUP($H$4,'Met Data'!$A$2:$F$368,G130,FALSE)</f>
        <v>14.1</v>
      </c>
      <c r="J130" s="121">
        <f ca="1">HLOOKUP($H$4,'Met Data'!$H$2:$M$368,G130,FALSE)*L130</f>
        <v>2.0966666666666609</v>
      </c>
      <c r="K130" s="98">
        <f ca="1">HLOOKUP($H$4,'Met Data'!$O$2:$T$368,G130,FALSE)</f>
        <v>1.3593529897032299</v>
      </c>
      <c r="L130">
        <f t="shared" ca="1" si="10"/>
        <v>1.7</v>
      </c>
      <c r="N130" t="b">
        <f t="shared" ca="1" si="15"/>
        <v>1</v>
      </c>
      <c r="O130" t="b">
        <f t="shared" ca="1" si="11"/>
        <v>1</v>
      </c>
      <c r="P130" s="2">
        <f ca="1"/>
        <v>45465</v>
      </c>
      <c r="Q130">
        <f ca="1"/>
        <v>8.0463075430591715</v>
      </c>
      <c r="R130">
        <f ca="1"/>
        <v>2.5056217868088901</v>
      </c>
      <c r="S130">
        <f ca="1"/>
        <v>1.1340934882339226E-2</v>
      </c>
      <c r="T130">
        <f ca="1"/>
        <v>0</v>
      </c>
      <c r="U130">
        <f ca="1"/>
        <v>0</v>
      </c>
      <c r="V130">
        <f ca="1"/>
        <v>196.06159952845201</v>
      </c>
      <c r="W130">
        <f ca="1"/>
        <v>49.8678416191933</v>
      </c>
      <c r="X130">
        <f ca="1"/>
        <v>0.20112386292554885</v>
      </c>
      <c r="Y130">
        <f ca="1"/>
        <v>1</v>
      </c>
      <c r="Z130">
        <f ca="1"/>
        <v>7.8934093034240504</v>
      </c>
      <c r="AA130">
        <f ca="1"/>
        <v>0</v>
      </c>
      <c r="AB130">
        <f ca="1"/>
        <v>0.99999999587053801</v>
      </c>
      <c r="AD130" s="2">
        <f t="shared" ca="1" si="12"/>
        <v>45465</v>
      </c>
      <c r="AE130">
        <f t="shared" ca="1" si="13"/>
        <v>0</v>
      </c>
      <c r="AG130" s="65">
        <f t="shared" ca="1" si="17"/>
        <v>9.1638126733163556</v>
      </c>
      <c r="AH130" s="65">
        <f t="shared" ca="1" si="18"/>
        <v>10.75305319279361</v>
      </c>
      <c r="AI130" s="3">
        <f t="shared" ca="1" si="19"/>
        <v>1.5892405194772543</v>
      </c>
    </row>
    <row r="131" spans="7:35" x14ac:dyDescent="0.25">
      <c r="G131" s="3">
        <f t="shared" ca="1" si="14"/>
        <v>131</v>
      </c>
      <c r="H131" s="97">
        <f t="shared" ca="1" si="16"/>
        <v>45421</v>
      </c>
      <c r="I131" s="121">
        <f ca="1">HLOOKUP($H$4,'Met Data'!$A$2:$F$368,G131,FALSE)</f>
        <v>13.7416666666666</v>
      </c>
      <c r="J131" s="121">
        <f ca="1">HLOOKUP($H$4,'Met Data'!$H$2:$M$368,G131,FALSE)*L131</f>
        <v>2.663333333333322</v>
      </c>
      <c r="K131" s="98">
        <f ca="1">HLOOKUP($H$4,'Met Data'!$O$2:$T$368,G131,FALSE)</f>
        <v>1.1980493949464299</v>
      </c>
      <c r="L131">
        <f t="shared" ca="1" si="10"/>
        <v>1.7</v>
      </c>
      <c r="N131" t="b">
        <f t="shared" ca="1" si="15"/>
        <v>1</v>
      </c>
      <c r="O131" t="b">
        <f t="shared" ca="1" si="11"/>
        <v>1</v>
      </c>
      <c r="P131" s="2">
        <f ca="1"/>
        <v>45466</v>
      </c>
      <c r="Q131">
        <f ca="1"/>
        <v>7.0319741459871006</v>
      </c>
      <c r="R131">
        <f ca="1"/>
        <v>2.8808475394799902</v>
      </c>
      <c r="S131">
        <f ca="1"/>
        <v>1.2857178853119322E-2</v>
      </c>
      <c r="T131">
        <f ca="1"/>
        <v>0</v>
      </c>
      <c r="U131">
        <f ca="1"/>
        <v>0</v>
      </c>
      <c r="V131">
        <f ca="1"/>
        <v>198.94244706793199</v>
      </c>
      <c r="W131">
        <f ca="1"/>
        <v>50.600578928148003</v>
      </c>
      <c r="X131">
        <f ca="1"/>
        <v>0.22127410373396111</v>
      </c>
      <c r="Y131">
        <f ca="1"/>
        <v>1</v>
      </c>
      <c r="Z131">
        <f ca="1"/>
        <v>9.936901260930938</v>
      </c>
      <c r="AA131">
        <f ca="1"/>
        <v>0</v>
      </c>
      <c r="AB131">
        <f ca="1"/>
        <v>0.99999999652962202</v>
      </c>
      <c r="AD131" s="2">
        <f t="shared" ca="1" si="12"/>
        <v>45466</v>
      </c>
      <c r="AE131">
        <f t="shared" ca="1" si="13"/>
        <v>0</v>
      </c>
      <c r="AG131" s="65">
        <f t="shared" ca="1" si="17"/>
        <v>8.0591647219122908</v>
      </c>
      <c r="AH131" s="65">
        <f t="shared" ca="1" si="18"/>
        <v>10.134095789201051</v>
      </c>
      <c r="AI131" s="3">
        <f t="shared" ca="1" si="19"/>
        <v>2.0749310672887606</v>
      </c>
    </row>
    <row r="132" spans="7:35" x14ac:dyDescent="0.25">
      <c r="G132" s="3">
        <f t="shared" ca="1" si="14"/>
        <v>132</v>
      </c>
      <c r="H132" s="97">
        <f t="shared" ca="1" si="16"/>
        <v>45422</v>
      </c>
      <c r="I132" s="121">
        <f ca="1">HLOOKUP($H$4,'Met Data'!$A$2:$F$368,G132,FALSE)</f>
        <v>13.1</v>
      </c>
      <c r="J132" s="121">
        <f ca="1">HLOOKUP($H$4,'Met Data'!$H$2:$M$368,G132,FALSE)*L132</f>
        <v>6.3183333333333218</v>
      </c>
      <c r="K132" s="98">
        <f ca="1">HLOOKUP($H$4,'Met Data'!$O$2:$T$368,G132,FALSE)</f>
        <v>1.0818629782871001</v>
      </c>
      <c r="L132">
        <f t="shared" ca="1" si="10"/>
        <v>1.7</v>
      </c>
      <c r="N132" t="b">
        <f t="shared" ca="1" si="15"/>
        <v>1</v>
      </c>
      <c r="O132" t="b">
        <f t="shared" ca="1" si="11"/>
        <v>1</v>
      </c>
      <c r="P132" s="2">
        <f ca="1"/>
        <v>45467</v>
      </c>
      <c r="Q132">
        <f ca="1"/>
        <v>6.1825825811944277</v>
      </c>
      <c r="R132">
        <f ca="1"/>
        <v>2.6474310643108101</v>
      </c>
      <c r="S132">
        <f ca="1"/>
        <v>1.1734025537359472E-2</v>
      </c>
      <c r="T132">
        <f ca="1"/>
        <v>0</v>
      </c>
      <c r="U132">
        <f ca="1"/>
        <v>0</v>
      </c>
      <c r="V132">
        <f ca="1"/>
        <v>201.589878132243</v>
      </c>
      <c r="W132">
        <f ca="1"/>
        <v>51.2739472640705</v>
      </c>
      <c r="X132">
        <f ca="1"/>
        <v>0.1567547731775861</v>
      </c>
      <c r="Y132">
        <f ca="1"/>
        <v>1</v>
      </c>
      <c r="Z132">
        <f ca="1"/>
        <v>8.0066067325661834</v>
      </c>
      <c r="AA132">
        <f ca="1"/>
        <v>0</v>
      </c>
      <c r="AB132">
        <f ca="1"/>
        <v>0.99999999704160203</v>
      </c>
      <c r="AD132" s="2">
        <f t="shared" ca="1" si="12"/>
        <v>45467</v>
      </c>
      <c r="AE132">
        <f t="shared" ca="1" si="13"/>
        <v>0</v>
      </c>
      <c r="AG132" s="65">
        <f t="shared" ca="1" si="17"/>
        <v>7.04370817152446</v>
      </c>
      <c r="AH132" s="65">
        <f t="shared" ca="1" si="18"/>
        <v>8.9867684186828232</v>
      </c>
      <c r="AI132" s="3">
        <f t="shared" ca="1" si="19"/>
        <v>1.9430602471583631</v>
      </c>
    </row>
    <row r="133" spans="7:35" x14ac:dyDescent="0.25">
      <c r="G133" s="3">
        <f t="shared" ca="1" si="14"/>
        <v>133</v>
      </c>
      <c r="H133" s="97">
        <f t="shared" ca="1" si="16"/>
        <v>45423</v>
      </c>
      <c r="I133" s="121">
        <f ca="1">HLOOKUP($H$4,'Met Data'!$A$2:$F$368,G133,FALSE)</f>
        <v>13.566666666666601</v>
      </c>
      <c r="J133" s="121">
        <f ca="1">HLOOKUP($H$4,'Met Data'!$H$2:$M$368,G133,FALSE)*L133</f>
        <v>9.9733333333333221</v>
      </c>
      <c r="K133" s="98">
        <f ca="1">HLOOKUP($H$4,'Met Data'!$O$2:$T$368,G133,FALSE)</f>
        <v>0.93360919947406795</v>
      </c>
      <c r="L133">
        <f t="shared" ca="1" si="10"/>
        <v>1.7</v>
      </c>
      <c r="N133" t="b">
        <f t="shared" ca="1" si="15"/>
        <v>1</v>
      </c>
      <c r="O133" t="b">
        <f t="shared" ca="1" si="11"/>
        <v>1</v>
      </c>
      <c r="P133" s="2">
        <f ca="1"/>
        <v>45468</v>
      </c>
      <c r="Q133">
        <f ca="1"/>
        <v>5.5285171784710725</v>
      </c>
      <c r="R133">
        <f ca="1"/>
        <v>2.5429783111462099</v>
      </c>
      <c r="S133">
        <f ca="1"/>
        <v>1.1209744352294493E-2</v>
      </c>
      <c r="T133">
        <f ca="1"/>
        <v>0</v>
      </c>
      <c r="U133">
        <f ca="1"/>
        <v>0</v>
      </c>
      <c r="V133">
        <f ca="1"/>
        <v>204.13285644338899</v>
      </c>
      <c r="W133">
        <f ca="1"/>
        <v>51.920748269296801</v>
      </c>
      <c r="X133">
        <f ca="1"/>
        <v>4.5895914520976952E-2</v>
      </c>
      <c r="Y133">
        <f ca="1"/>
        <v>1</v>
      </c>
      <c r="Z133">
        <f ca="1"/>
        <v>2.6215793897276143</v>
      </c>
      <c r="AA133">
        <f ca="1"/>
        <v>0</v>
      </c>
      <c r="AB133">
        <f ca="1"/>
        <v>0.99999999746183499</v>
      </c>
      <c r="AD133" s="2">
        <f t="shared" ca="1" si="12"/>
        <v>45468</v>
      </c>
      <c r="AE133">
        <f t="shared" ca="1" si="13"/>
        <v>0</v>
      </c>
      <c r="AG133" s="65">
        <f t="shared" ca="1" si="17"/>
        <v>6.1937923255467222</v>
      </c>
      <c r="AH133" s="65">
        <f t="shared" ca="1" si="18"/>
        <v>8.1173914041382584</v>
      </c>
      <c r="AI133" s="3">
        <f t="shared" ca="1" si="19"/>
        <v>1.9235990785915362</v>
      </c>
    </row>
    <row r="134" spans="7:35" x14ac:dyDescent="0.25">
      <c r="G134" s="3">
        <f t="shared" ca="1" si="14"/>
        <v>134</v>
      </c>
      <c r="H134" s="97">
        <f t="shared" ca="1" si="16"/>
        <v>45424</v>
      </c>
      <c r="I134" s="121">
        <f ca="1">HLOOKUP($H$4,'Met Data'!$A$2:$F$368,G134,FALSE)</f>
        <v>12.887499999999999</v>
      </c>
      <c r="J134" s="121">
        <f ca="1">HLOOKUP($H$4,'Met Data'!$H$2:$M$368,G134,FALSE)*L134</f>
        <v>8.7833333333333208</v>
      </c>
      <c r="K134" s="98">
        <f ca="1">HLOOKUP($H$4,'Met Data'!$O$2:$T$368,G134,FALSE)</f>
        <v>1.3361527471355901</v>
      </c>
      <c r="L134">
        <f t="shared" ref="L134:L197" ca="1" si="20">IF(H134&lt;$B$31,$J$3,$J$4)</f>
        <v>1.7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45469</v>
      </c>
      <c r="Q134">
        <f ca="1"/>
        <v>4.8662572947836331</v>
      </c>
      <c r="R134">
        <f ca="1"/>
        <v>2.4451851048837598</v>
      </c>
      <c r="S134">
        <f ca="1"/>
        <v>1.0735468467144571E-2</v>
      </c>
      <c r="T134">
        <f ca="1"/>
        <v>0</v>
      </c>
      <c r="U134">
        <f ca="1"/>
        <v>0</v>
      </c>
      <c r="V134">
        <f ca="1"/>
        <v>206.57804154827301</v>
      </c>
      <c r="W134">
        <f ca="1"/>
        <v>52.542675785104201</v>
      </c>
      <c r="X134">
        <f ca="1"/>
        <v>0.11907008746076204</v>
      </c>
      <c r="Y134">
        <f ca="1"/>
        <v>1</v>
      </c>
      <c r="Z134">
        <f ca="1"/>
        <v>7.7268993341295982</v>
      </c>
      <c r="AA134">
        <f ca="1"/>
        <v>0</v>
      </c>
      <c r="AB134">
        <f ca="1"/>
        <v>0.99999999780937698</v>
      </c>
      <c r="AD134" s="2">
        <f t="shared" ref="AD134:AD197" ca="1" si="22">IFERROR(P134,$AD$4)</f>
        <v>45469</v>
      </c>
      <c r="AE134">
        <f t="shared" ref="AE134:AE197" ca="1" si="23">IFERROR(U134,0)</f>
        <v>0</v>
      </c>
      <c r="AG134" s="65">
        <f t="shared" ca="1" si="17"/>
        <v>5.5392526469382171</v>
      </c>
      <c r="AH134" s="65">
        <f t="shared" ca="1" si="18"/>
        <v>7.4305124871281549</v>
      </c>
      <c r="AI134" s="3">
        <f t="shared" ca="1" si="19"/>
        <v>1.8912598401899379</v>
      </c>
    </row>
    <row r="135" spans="7:35" x14ac:dyDescent="0.25">
      <c r="G135" s="3">
        <f t="shared" ref="G135:G198" ca="1" si="24">H135-DATE(YEAR(H135),1,0)+1</f>
        <v>135</v>
      </c>
      <c r="H135" s="97">
        <f t="shared" ca="1" si="16"/>
        <v>45425</v>
      </c>
      <c r="I135" s="121">
        <f ca="1">HLOOKUP($H$4,'Met Data'!$A$2:$F$368,G135,FALSE)</f>
        <v>13</v>
      </c>
      <c r="J135" s="121">
        <f ca="1">HLOOKUP($H$4,'Met Data'!$H$2:$M$368,G135,FALSE)*L135</f>
        <v>8.273333333333321</v>
      </c>
      <c r="K135" s="98">
        <f ca="1">HLOOKUP($H$4,'Met Data'!$O$2:$T$368,G135,FALSE)</f>
        <v>1.1907632624443201</v>
      </c>
      <c r="L135">
        <f t="shared" ca="1" si="20"/>
        <v>1.7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45470</v>
      </c>
      <c r="Q135">
        <f ca="1"/>
        <v>4.3660901707994224</v>
      </c>
      <c r="R135">
        <f ca="1"/>
        <v>2.4632043748112</v>
      </c>
      <c r="S135">
        <f ca="1"/>
        <v>1.0730753957952643E-2</v>
      </c>
      <c r="T135">
        <f ca="1"/>
        <v>0</v>
      </c>
      <c r="U135">
        <f ca="1"/>
        <v>0</v>
      </c>
      <c r="V135">
        <f ca="1"/>
        <v>209.04124592308401</v>
      </c>
      <c r="W135">
        <f ca="1"/>
        <v>53.1691864630453</v>
      </c>
      <c r="X135">
        <f ca="1"/>
        <v>2.3199073068004609E-2</v>
      </c>
      <c r="Y135">
        <f ca="1"/>
        <v>1</v>
      </c>
      <c r="Z135">
        <f ca="1"/>
        <v>1.67793673229734</v>
      </c>
      <c r="AA135">
        <f ca="1"/>
        <v>0</v>
      </c>
      <c r="AB135">
        <f ca="1"/>
        <v>0.99999999811134999</v>
      </c>
      <c r="AD135" s="2">
        <f t="shared" ca="1" si="22"/>
        <v>45470</v>
      </c>
      <c r="AE135">
        <f t="shared" ca="1" si="23"/>
        <v>0</v>
      </c>
      <c r="AG135" s="65">
        <f t="shared" ca="1" si="17"/>
        <v>4.8769880487415858</v>
      </c>
      <c r="AH135" s="65">
        <f t="shared" ca="1" si="18"/>
        <v>6.8524936186786274</v>
      </c>
      <c r="AI135" s="3">
        <f t="shared" ca="1" si="19"/>
        <v>1.9755055699370416</v>
      </c>
    </row>
    <row r="136" spans="7:35" x14ac:dyDescent="0.25">
      <c r="G136" s="3">
        <f t="shared" ca="1" si="24"/>
        <v>136</v>
      </c>
      <c r="H136" s="97">
        <f t="shared" ref="H136:H199" ca="1" si="26">H135+1</f>
        <v>45426</v>
      </c>
      <c r="I136" s="121">
        <f ca="1">HLOOKUP($H$4,'Met Data'!$A$2:$F$368,G136,FALSE)</f>
        <v>13.470833333333299</v>
      </c>
      <c r="J136" s="121">
        <f ca="1">HLOOKUP($H$4,'Met Data'!$H$2:$M$368,G136,FALSE)*L136</f>
        <v>14.93166666666666</v>
      </c>
      <c r="K136" s="98">
        <f ca="1">HLOOKUP($H$4,'Met Data'!$O$2:$T$368,G136,FALSE)</f>
        <v>1.16840876605303</v>
      </c>
      <c r="L136">
        <f t="shared" ca="1" si="20"/>
        <v>1.7</v>
      </c>
      <c r="N136" t="b">
        <f t="shared" ca="1" si="25"/>
        <v>1</v>
      </c>
      <c r="O136" t="b">
        <f t="shared" ca="1" si="21"/>
        <v>1</v>
      </c>
      <c r="P136" s="2">
        <f ca="1"/>
        <v>45471</v>
      </c>
      <c r="Q136">
        <f ca="1"/>
        <v>3.8869053516233656</v>
      </c>
      <c r="R136">
        <f ca="1"/>
        <v>2.4285961385055002</v>
      </c>
      <c r="S136">
        <f ca="1"/>
        <v>1.0522348381961422E-2</v>
      </c>
      <c r="T136">
        <f ca="1"/>
        <v>0</v>
      </c>
      <c r="U136">
        <f ca="1"/>
        <v>0</v>
      </c>
      <c r="V136">
        <f ca="1"/>
        <v>211.46984206158999</v>
      </c>
      <c r="W136">
        <f ca="1"/>
        <v>53.7868946113174</v>
      </c>
      <c r="X136">
        <f ca="1"/>
        <v>5.2045915639880036E-2</v>
      </c>
      <c r="Y136">
        <f ca="1"/>
        <v>1</v>
      </c>
      <c r="Z136">
        <f ca="1"/>
        <v>4.2284416059851395</v>
      </c>
      <c r="AA136">
        <f ca="1"/>
        <v>0</v>
      </c>
      <c r="AB136">
        <f ca="1"/>
        <v>0.99999999836833897</v>
      </c>
      <c r="AD136" s="2">
        <f t="shared" ca="1" si="22"/>
        <v>45471</v>
      </c>
      <c r="AE136">
        <f t="shared" ca="1" si="23"/>
        <v>0</v>
      </c>
      <c r="AG136" s="65">
        <f t="shared" ref="AG136:AG199" ca="1" si="27">Q135+S136+T136+U136</f>
        <v>4.3766125191813838</v>
      </c>
      <c r="AH136" s="65">
        <f t="shared" ref="AH136:AH199" ca="1" si="28">Q136+R136+X136</f>
        <v>6.3675474057687458</v>
      </c>
      <c r="AI136" s="3">
        <f t="shared" ref="AI136:AI199" ca="1" si="29">AH136-AG136</f>
        <v>1.990934886587362</v>
      </c>
    </row>
    <row r="137" spans="7:35" x14ac:dyDescent="0.25">
      <c r="G137" s="3">
        <f t="shared" ca="1" si="24"/>
        <v>137</v>
      </c>
      <c r="H137" s="97">
        <f t="shared" ca="1" si="26"/>
        <v>45427</v>
      </c>
      <c r="I137" s="121">
        <f ca="1">HLOOKUP($H$4,'Met Data'!$A$2:$F$368,G137,FALSE)</f>
        <v>12.8666666666666</v>
      </c>
      <c r="J137" s="121">
        <f ca="1">HLOOKUP($H$4,'Met Data'!$H$2:$M$368,G137,FALSE)*L137</f>
        <v>8.273333333333321</v>
      </c>
      <c r="K137" s="98">
        <f ca="1">HLOOKUP($H$4,'Met Data'!$O$2:$T$368,G137,FALSE)</f>
        <v>1.23845839693481</v>
      </c>
      <c r="L137">
        <f t="shared" ca="1" si="20"/>
        <v>1.7</v>
      </c>
      <c r="N137" t="b">
        <f t="shared" ca="1" si="25"/>
        <v>1</v>
      </c>
      <c r="O137" t="b">
        <f t="shared" ca="1" si="21"/>
        <v>1</v>
      </c>
      <c r="P137" s="2">
        <f ca="1"/>
        <v>45472</v>
      </c>
      <c r="Q137">
        <f ca="1"/>
        <v>3.435215166359801</v>
      </c>
      <c r="R137">
        <f ca="1"/>
        <v>2.3761581988271701</v>
      </c>
      <c r="S137">
        <f ca="1"/>
        <v>1.0252280930691526E-2</v>
      </c>
      <c r="T137">
        <f ca="1"/>
        <v>0</v>
      </c>
      <c r="U137">
        <f ca="1"/>
        <v>0</v>
      </c>
      <c r="V137">
        <f ca="1"/>
        <v>213.84600026041699</v>
      </c>
      <c r="W137">
        <f ca="1"/>
        <v>54.391265283627803</v>
      </c>
      <c r="X137">
        <f ca="1"/>
        <v>7.2226702938850348E-2</v>
      </c>
      <c r="Y137">
        <f ca="1"/>
        <v>1</v>
      </c>
      <c r="Z137">
        <f ca="1"/>
        <v>6.6395935632686474</v>
      </c>
      <c r="AA137">
        <f ca="1"/>
        <v>0</v>
      </c>
      <c r="AB137">
        <f ca="1"/>
        <v>0.99999999858598698</v>
      </c>
      <c r="AD137" s="2">
        <f t="shared" ca="1" si="22"/>
        <v>45472</v>
      </c>
      <c r="AE137">
        <f t="shared" ca="1" si="23"/>
        <v>0</v>
      </c>
      <c r="AG137" s="65">
        <f t="shared" ca="1" si="27"/>
        <v>3.8971576325540571</v>
      </c>
      <c r="AH137" s="65">
        <f t="shared" ca="1" si="28"/>
        <v>5.8836000681258209</v>
      </c>
      <c r="AI137" s="3">
        <f t="shared" ca="1" si="29"/>
        <v>1.9864424355717638</v>
      </c>
    </row>
    <row r="138" spans="7:35" x14ac:dyDescent="0.25">
      <c r="G138" s="3">
        <f t="shared" ca="1" si="24"/>
        <v>138</v>
      </c>
      <c r="H138" s="97">
        <f t="shared" ca="1" si="26"/>
        <v>45428</v>
      </c>
      <c r="I138" s="121">
        <f ca="1">HLOOKUP($H$4,'Met Data'!$A$2:$F$368,G138,FALSE)</f>
        <v>12.237499999999899</v>
      </c>
      <c r="J138" s="121">
        <f ca="1">HLOOKUP($H$4,'Met Data'!$H$2:$M$368,G138,FALSE)*L138</f>
        <v>6.3183333333333218</v>
      </c>
      <c r="K138" s="98">
        <f ca="1">HLOOKUP($H$4,'Met Data'!$O$2:$T$368,G138,FALSE)</f>
        <v>1.3074898165915401</v>
      </c>
      <c r="L138">
        <f t="shared" ca="1" si="20"/>
        <v>1.7</v>
      </c>
      <c r="N138" t="b">
        <f t="shared" ca="1" si="25"/>
        <v>1</v>
      </c>
      <c r="O138" t="b">
        <f t="shared" ca="1" si="21"/>
        <v>1</v>
      </c>
      <c r="P138" s="2">
        <f ca="1"/>
        <v>45473</v>
      </c>
      <c r="Q138">
        <f ca="1"/>
        <v>3.0493927492188111</v>
      </c>
      <c r="R138">
        <f ca="1"/>
        <v>2.4556819516194501</v>
      </c>
      <c r="S138">
        <f ca="1"/>
        <v>1.0491473334921508E-2</v>
      </c>
      <c r="T138">
        <f ca="1"/>
        <v>0</v>
      </c>
      <c r="U138">
        <f ca="1"/>
        <v>0</v>
      </c>
      <c r="V138">
        <f ca="1"/>
        <v>216.30168221203601</v>
      </c>
      <c r="W138">
        <f ca="1"/>
        <v>55.015862649583099</v>
      </c>
      <c r="X138">
        <f ca="1"/>
        <v>5.1743226506439123E-2</v>
      </c>
      <c r="Y138">
        <f ca="1"/>
        <v>1</v>
      </c>
      <c r="Z138">
        <f ca="1"/>
        <v>5.3584328451549084</v>
      </c>
      <c r="AA138">
        <f ca="1"/>
        <v>0</v>
      </c>
      <c r="AB138">
        <f ca="1"/>
        <v>0.99999999878058798</v>
      </c>
      <c r="AD138" s="2">
        <f t="shared" ca="1" si="22"/>
        <v>45473</v>
      </c>
      <c r="AE138">
        <f t="shared" ca="1" si="23"/>
        <v>0</v>
      </c>
      <c r="AG138" s="65">
        <f t="shared" ca="1" si="27"/>
        <v>3.4457066396947225</v>
      </c>
      <c r="AH138" s="65">
        <f t="shared" ca="1" si="28"/>
        <v>5.5568179273447003</v>
      </c>
      <c r="AI138" s="3">
        <f t="shared" ca="1" si="29"/>
        <v>2.1111112876499778</v>
      </c>
    </row>
    <row r="139" spans="7:35" x14ac:dyDescent="0.25">
      <c r="G139" s="3">
        <f t="shared" ca="1" si="24"/>
        <v>139</v>
      </c>
      <c r="H139" s="97">
        <f t="shared" ca="1" si="26"/>
        <v>45429</v>
      </c>
      <c r="I139" s="121">
        <f ca="1">HLOOKUP($H$4,'Met Data'!$A$2:$F$368,G139,FALSE)</f>
        <v>11.595833333333299</v>
      </c>
      <c r="J139" s="121">
        <f ca="1">HLOOKUP($H$4,'Met Data'!$H$2:$M$368,G139,FALSE)*L139</f>
        <v>4.4483333333333217</v>
      </c>
      <c r="K139" s="98">
        <f ca="1">HLOOKUP($H$4,'Met Data'!$O$2:$T$368,G139,FALSE)</f>
        <v>1.3321153360432201</v>
      </c>
      <c r="L139">
        <f t="shared" ca="1" si="20"/>
        <v>1.7</v>
      </c>
      <c r="N139" t="b">
        <f t="shared" ca="1" si="25"/>
        <v>1</v>
      </c>
      <c r="O139" t="b">
        <f t="shared" ca="1" si="21"/>
        <v>1</v>
      </c>
      <c r="P139" s="2">
        <f ca="1"/>
        <v>45474</v>
      </c>
      <c r="Q139">
        <f ca="1"/>
        <v>2.7411730046975369</v>
      </c>
      <c r="R139">
        <f ca="1"/>
        <v>2.2876199592339801</v>
      </c>
      <c r="S139">
        <f ca="1"/>
        <v>9.7943344967230672E-3</v>
      </c>
      <c r="T139">
        <f ca="1"/>
        <v>0</v>
      </c>
      <c r="U139">
        <f ca="1"/>
        <v>0</v>
      </c>
      <c r="V139">
        <f ca="1"/>
        <v>218.58930217126999</v>
      </c>
      <c r="W139">
        <f ca="1"/>
        <v>55.597713813127399</v>
      </c>
      <c r="X139">
        <f ca="1"/>
        <v>1.2095370646443868E-2</v>
      </c>
      <c r="Y139">
        <f ca="1"/>
        <v>1</v>
      </c>
      <c r="Z139">
        <f ca="1"/>
        <v>1.3934146892262333</v>
      </c>
      <c r="AA139">
        <f ca="1"/>
        <v>0</v>
      </c>
      <c r="AB139">
        <f ca="1"/>
        <v>0.99999999893783698</v>
      </c>
      <c r="AD139" s="2">
        <f t="shared" ca="1" si="22"/>
        <v>45474</v>
      </c>
      <c r="AE139">
        <f t="shared" ca="1" si="23"/>
        <v>0</v>
      </c>
      <c r="AG139" s="65">
        <f t="shared" ca="1" si="27"/>
        <v>3.0591870837155342</v>
      </c>
      <c r="AH139" s="65">
        <f t="shared" ca="1" si="28"/>
        <v>5.0408883345779607</v>
      </c>
      <c r="AI139" s="3">
        <f t="shared" ca="1" si="29"/>
        <v>1.9817012508624265</v>
      </c>
    </row>
    <row r="140" spans="7:35" x14ac:dyDescent="0.25">
      <c r="G140" s="3">
        <f t="shared" ca="1" si="24"/>
        <v>140</v>
      </c>
      <c r="H140" s="97">
        <f t="shared" ca="1" si="26"/>
        <v>45430</v>
      </c>
      <c r="I140" s="121">
        <f ca="1">HLOOKUP($H$4,'Met Data'!$A$2:$F$368,G140,FALSE)</f>
        <v>11.904166666666599</v>
      </c>
      <c r="J140" s="121">
        <f ca="1">HLOOKUP($H$4,'Met Data'!$H$2:$M$368,G140,FALSE)*L140</f>
        <v>3.9950000000000001</v>
      </c>
      <c r="K140" s="98">
        <f ca="1">HLOOKUP($H$4,'Met Data'!$O$2:$T$368,G140,FALSE)</f>
        <v>1.2961776408629699</v>
      </c>
      <c r="L140">
        <f t="shared" ca="1" si="20"/>
        <v>1.7</v>
      </c>
      <c r="N140" t="b">
        <f t="shared" ca="1" si="25"/>
        <v>1</v>
      </c>
      <c r="O140" t="b">
        <f t="shared" ca="1" si="21"/>
        <v>1</v>
      </c>
      <c r="P140" s="2">
        <f ca="1"/>
        <v>45475</v>
      </c>
      <c r="Q140">
        <f ca="1"/>
        <v>2.4046749305400357</v>
      </c>
      <c r="R140">
        <f ca="1"/>
        <v>2.4538204780430699</v>
      </c>
      <c r="S140">
        <f ca="1"/>
        <v>1.035929356773746E-2</v>
      </c>
      <c r="T140">
        <f ca="1"/>
        <v>0</v>
      </c>
      <c r="U140">
        <f ca="1"/>
        <v>0</v>
      </c>
      <c r="V140">
        <f ca="1"/>
        <v>221.04312264931301</v>
      </c>
      <c r="W140">
        <f ca="1"/>
        <v>56.2218377173253</v>
      </c>
      <c r="X140">
        <f ca="1"/>
        <v>7.1704137898711245E-2</v>
      </c>
      <c r="Y140">
        <f ca="1"/>
        <v>1</v>
      </c>
      <c r="Z140">
        <f ca="1"/>
        <v>9.4164128716262212</v>
      </c>
      <c r="AA140">
        <f ca="1"/>
        <v>0</v>
      </c>
      <c r="AB140">
        <f ca="1"/>
        <v>0.999999999084207</v>
      </c>
      <c r="AD140" s="2">
        <f t="shared" ca="1" si="22"/>
        <v>45475</v>
      </c>
      <c r="AE140">
        <f t="shared" ca="1" si="23"/>
        <v>0</v>
      </c>
      <c r="AG140" s="65">
        <f t="shared" ca="1" si="27"/>
        <v>2.7515322982652743</v>
      </c>
      <c r="AH140" s="65">
        <f t="shared" ca="1" si="28"/>
        <v>4.9301995464818171</v>
      </c>
      <c r="AI140" s="3">
        <f t="shared" ca="1" si="29"/>
        <v>2.1786672482165428</v>
      </c>
    </row>
    <row r="141" spans="7:35" x14ac:dyDescent="0.25">
      <c r="G141" s="3">
        <f t="shared" ca="1" si="24"/>
        <v>141</v>
      </c>
      <c r="H141" s="97">
        <f t="shared" ca="1" si="26"/>
        <v>45431</v>
      </c>
      <c r="I141" s="121">
        <f ca="1">HLOOKUP($H$4,'Met Data'!$A$2:$F$368,G141,FALSE)</f>
        <v>11.762499999999999</v>
      </c>
      <c r="J141" s="121">
        <f ca="1">HLOOKUP($H$4,'Met Data'!$H$2:$M$368,G141,FALSE)*L141</f>
        <v>0.53833333333333211</v>
      </c>
      <c r="K141" s="98">
        <f ca="1">HLOOKUP($H$4,'Met Data'!$O$2:$T$368,G141,FALSE)</f>
        <v>1.26598619456247</v>
      </c>
      <c r="L141">
        <f t="shared" ca="1" si="20"/>
        <v>1.7</v>
      </c>
      <c r="N141" t="b">
        <f t="shared" ca="1" si="25"/>
        <v>1</v>
      </c>
      <c r="O141" t="b">
        <f t="shared" ca="1" si="21"/>
        <v>1</v>
      </c>
      <c r="P141" s="2">
        <f ca="1"/>
        <v>45476</v>
      </c>
      <c r="Q141">
        <f ca="1"/>
        <v>2.1646956376424802</v>
      </c>
      <c r="R141">
        <f ca="1"/>
        <v>2.3853867783882401</v>
      </c>
      <c r="S141">
        <f ca="1"/>
        <v>1.0040951429503231E-2</v>
      </c>
      <c r="T141">
        <f ca="1"/>
        <v>0</v>
      </c>
      <c r="U141">
        <f ca="1"/>
        <v>0</v>
      </c>
      <c r="V141">
        <f ca="1"/>
        <v>223.42850942770201</v>
      </c>
      <c r="W141">
        <f ca="1"/>
        <v>56.828555658785</v>
      </c>
      <c r="X141">
        <f ca="1"/>
        <v>8.5486561301046302E-3</v>
      </c>
      <c r="Y141">
        <f ca="1"/>
        <v>1</v>
      </c>
      <c r="Z141">
        <f ca="1"/>
        <v>1.2470924656055047</v>
      </c>
      <c r="AA141">
        <f ca="1"/>
        <v>0</v>
      </c>
      <c r="AB141">
        <f ca="1"/>
        <v>0.99999999920730898</v>
      </c>
      <c r="AD141" s="2">
        <f t="shared" ca="1" si="22"/>
        <v>45476</v>
      </c>
      <c r="AE141">
        <f t="shared" ca="1" si="23"/>
        <v>0</v>
      </c>
      <c r="AG141" s="65">
        <f t="shared" ca="1" si="27"/>
        <v>2.4147158819695389</v>
      </c>
      <c r="AH141" s="65">
        <f t="shared" ca="1" si="28"/>
        <v>4.558631072160825</v>
      </c>
      <c r="AI141" s="3">
        <f t="shared" ca="1" si="29"/>
        <v>2.1439151901912861</v>
      </c>
    </row>
    <row r="142" spans="7:35" x14ac:dyDescent="0.25">
      <c r="G142" s="3">
        <f t="shared" ca="1" si="24"/>
        <v>142</v>
      </c>
      <c r="H142" s="97">
        <f t="shared" ca="1" si="26"/>
        <v>45432</v>
      </c>
      <c r="I142" s="121">
        <f ca="1">HLOOKUP($H$4,'Met Data'!$A$2:$F$368,G142,FALSE)</f>
        <v>11.612500000000001</v>
      </c>
      <c r="J142" s="121">
        <f ca="1">HLOOKUP($H$4,'Met Data'!$H$2:$M$368,G142,FALSE)*L142</f>
        <v>3.4</v>
      </c>
      <c r="K142" s="98">
        <f ca="1">HLOOKUP($H$4,'Met Data'!$O$2:$T$368,G142,FALSE)</f>
        <v>1.0607063970516699</v>
      </c>
      <c r="L142">
        <f t="shared" ca="1" si="20"/>
        <v>1.7</v>
      </c>
      <c r="N142" t="b">
        <f t="shared" ca="1" si="25"/>
        <v>1</v>
      </c>
      <c r="O142" t="b">
        <f t="shared" ca="1" si="21"/>
        <v>1</v>
      </c>
      <c r="P142" s="2">
        <f ca="1"/>
        <v>45477</v>
      </c>
      <c r="Q142">
        <f ca="1"/>
        <v>1.9579580623396491</v>
      </c>
      <c r="R142">
        <f ca="1"/>
        <v>2.60245713659305</v>
      </c>
      <c r="S142">
        <f ca="1"/>
        <v>1.0813320512685465E-2</v>
      </c>
      <c r="T142">
        <f ca="1"/>
        <v>0</v>
      </c>
      <c r="U142">
        <f ca="1"/>
        <v>0</v>
      </c>
      <c r="V142">
        <f ca="1"/>
        <v>226.030966564295</v>
      </c>
      <c r="W142">
        <f ca="1"/>
        <v>57.490484973961898</v>
      </c>
      <c r="X142">
        <f ca="1"/>
        <v>0</v>
      </c>
      <c r="Y142">
        <f ca="1"/>
        <v>0.99433005553884912</v>
      </c>
      <c r="Z142">
        <f ca="1"/>
        <v>0</v>
      </c>
      <c r="AA142">
        <f ca="1"/>
        <v>0</v>
      </c>
      <c r="AB142">
        <f ca="1"/>
        <v>0.99999999932301498</v>
      </c>
      <c r="AD142" s="2">
        <f t="shared" ca="1" si="22"/>
        <v>45477</v>
      </c>
      <c r="AE142">
        <f t="shared" ca="1" si="23"/>
        <v>0</v>
      </c>
      <c r="AG142" s="65">
        <f t="shared" ca="1" si="27"/>
        <v>2.1755089581551657</v>
      </c>
      <c r="AH142" s="65">
        <f t="shared" ca="1" si="28"/>
        <v>4.5604151989326986</v>
      </c>
      <c r="AI142" s="3">
        <f t="shared" ca="1" si="29"/>
        <v>2.384906240777533</v>
      </c>
    </row>
    <row r="143" spans="7:35" x14ac:dyDescent="0.25">
      <c r="G143" s="3">
        <f t="shared" ca="1" si="24"/>
        <v>143</v>
      </c>
      <c r="H143" s="97">
        <f t="shared" ca="1" si="26"/>
        <v>45433</v>
      </c>
      <c r="I143" s="121">
        <f ca="1">HLOOKUP($H$4,'Met Data'!$A$2:$F$368,G143,FALSE)</f>
        <v>10.174999999999899</v>
      </c>
      <c r="J143" s="121">
        <f ca="1">HLOOKUP($H$4,'Met Data'!$H$2:$M$368,G143,FALSE)*L143</f>
        <v>4.986666666666661</v>
      </c>
      <c r="K143" s="98">
        <f ca="1">HLOOKUP($H$4,'Met Data'!$O$2:$T$368,G143,FALSE)</f>
        <v>1.10734547072848</v>
      </c>
      <c r="L143">
        <f t="shared" ca="1" si="20"/>
        <v>1.7</v>
      </c>
      <c r="N143" t="b">
        <f t="shared" ca="1" si="25"/>
        <v>1</v>
      </c>
      <c r="O143" t="b">
        <f t="shared" ca="1" si="21"/>
        <v>1</v>
      </c>
      <c r="P143" s="2">
        <f ca="1"/>
        <v>45478</v>
      </c>
      <c r="Q143">
        <f ca="1"/>
        <v>1.7451477242944842</v>
      </c>
      <c r="R143">
        <f ca="1"/>
        <v>2.5196029701080001</v>
      </c>
      <c r="S143">
        <f ca="1"/>
        <v>1.0432323750214856E-2</v>
      </c>
      <c r="T143">
        <f ca="1"/>
        <v>0</v>
      </c>
      <c r="U143">
        <f ca="1"/>
        <v>0</v>
      </c>
      <c r="V143">
        <f ca="1"/>
        <v>228.550569534403</v>
      </c>
      <c r="W143">
        <f ca="1"/>
        <v>58.1313405120111</v>
      </c>
      <c r="X143">
        <f ca="1"/>
        <v>2.6403623186393284E-2</v>
      </c>
      <c r="Y143">
        <f ca="1"/>
        <v>1</v>
      </c>
      <c r="Z143">
        <f ca="1"/>
        <v>4.7778111579397518</v>
      </c>
      <c r="AA143">
        <f ca="1"/>
        <v>0</v>
      </c>
      <c r="AB143">
        <f ca="1"/>
        <v>0.99999999941911599</v>
      </c>
      <c r="AD143" s="2">
        <f t="shared" ca="1" si="22"/>
        <v>45478</v>
      </c>
      <c r="AE143">
        <f t="shared" ca="1" si="23"/>
        <v>0</v>
      </c>
      <c r="AG143" s="65">
        <f t="shared" ca="1" si="27"/>
        <v>1.9683903860898639</v>
      </c>
      <c r="AH143" s="65">
        <f t="shared" ca="1" si="28"/>
        <v>4.2911543175888776</v>
      </c>
      <c r="AI143" s="3">
        <f t="shared" ca="1" si="29"/>
        <v>2.3227639314990136</v>
      </c>
    </row>
    <row r="144" spans="7:35" x14ac:dyDescent="0.25">
      <c r="G144" s="3">
        <f t="shared" ca="1" si="24"/>
        <v>144</v>
      </c>
      <c r="H144" s="97">
        <f t="shared" ca="1" si="26"/>
        <v>45434</v>
      </c>
      <c r="I144" s="121">
        <f ca="1">HLOOKUP($H$4,'Met Data'!$A$2:$F$368,G144,FALSE)</f>
        <v>10.7416666666666</v>
      </c>
      <c r="J144" s="121">
        <f ca="1">HLOOKUP($H$4,'Met Data'!$H$2:$M$368,G144,FALSE)*L144</f>
        <v>4.76</v>
      </c>
      <c r="K144" s="98">
        <f ca="1">HLOOKUP($H$4,'Met Data'!$O$2:$T$368,G144,FALSE)</f>
        <v>0.94921082080766905</v>
      </c>
      <c r="L144">
        <f t="shared" ca="1" si="20"/>
        <v>1.7</v>
      </c>
      <c r="N144" t="b">
        <f t="shared" ca="1" si="25"/>
        <v>1</v>
      </c>
      <c r="O144" t="b">
        <f t="shared" ca="1" si="21"/>
        <v>1</v>
      </c>
      <c r="P144" s="2">
        <f ca="1"/>
        <v>45479</v>
      </c>
      <c r="Q144">
        <f ca="1"/>
        <v>1.520801370525805</v>
      </c>
      <c r="R144">
        <f ca="1"/>
        <v>2.6612851586521602</v>
      </c>
      <c r="S144">
        <f ca="1"/>
        <v>1.0925508017165519E-2</v>
      </c>
      <c r="T144">
        <f ca="1"/>
        <v>0</v>
      </c>
      <c r="U144">
        <f ca="1"/>
        <v>0</v>
      </c>
      <c r="V144">
        <f ca="1"/>
        <v>231.21185469305499</v>
      </c>
      <c r="W144">
        <f ca="1"/>
        <v>58.808232606711798</v>
      </c>
      <c r="X144">
        <f ca="1"/>
        <v>5.9664538554679722E-2</v>
      </c>
      <c r="Y144">
        <f ca="1"/>
        <v>1</v>
      </c>
      <c r="Z144">
        <f ca="1"/>
        <v>12.389147980106912</v>
      </c>
      <c r="AA144">
        <f ca="1"/>
        <v>0</v>
      </c>
      <c r="AB144">
        <f ca="1"/>
        <v>0.99999999950605201</v>
      </c>
      <c r="AD144" s="2">
        <f t="shared" ca="1" si="22"/>
        <v>45479</v>
      </c>
      <c r="AE144">
        <f t="shared" ca="1" si="23"/>
        <v>0</v>
      </c>
      <c r="AG144" s="65">
        <f t="shared" ca="1" si="27"/>
        <v>1.7560732323116497</v>
      </c>
      <c r="AH144" s="65">
        <f t="shared" ca="1" si="28"/>
        <v>4.2417510677326451</v>
      </c>
      <c r="AI144" s="3">
        <f t="shared" ca="1" si="29"/>
        <v>2.4856778354209954</v>
      </c>
    </row>
    <row r="145" spans="7:35" x14ac:dyDescent="0.25">
      <c r="G145" s="3">
        <f t="shared" ca="1" si="24"/>
        <v>145</v>
      </c>
      <c r="H145" s="97">
        <f t="shared" ca="1" si="26"/>
        <v>45435</v>
      </c>
      <c r="I145" s="121">
        <f ca="1">HLOOKUP($H$4,'Met Data'!$A$2:$F$368,G145,FALSE)</f>
        <v>10.983333333333301</v>
      </c>
      <c r="J145" s="121">
        <f ca="1">HLOOKUP($H$4,'Met Data'!$H$2:$M$368,G145,FALSE)*L145</f>
        <v>9.5483333333333213</v>
      </c>
      <c r="K145" s="98">
        <f ca="1">HLOOKUP($H$4,'Met Data'!$O$2:$T$368,G145,FALSE)</f>
        <v>0.95593712910075901</v>
      </c>
      <c r="L145">
        <f t="shared" ca="1" si="20"/>
        <v>1.7</v>
      </c>
      <c r="N145" t="b">
        <f t="shared" ca="1" si="25"/>
        <v>1</v>
      </c>
      <c r="O145" t="b">
        <f t="shared" ca="1" si="21"/>
        <v>1</v>
      </c>
      <c r="P145" s="2">
        <f ca="1"/>
        <v>45480</v>
      </c>
      <c r="Q145">
        <f ca="1"/>
        <v>1.3358027496788267</v>
      </c>
      <c r="R145">
        <f ca="1"/>
        <v>2.3436576311892501</v>
      </c>
      <c r="S145">
        <f ca="1"/>
        <v>9.6671759178885708E-3</v>
      </c>
      <c r="T145">
        <f ca="1"/>
        <v>0</v>
      </c>
      <c r="U145">
        <f ca="1"/>
        <v>0</v>
      </c>
      <c r="V145">
        <f ca="1"/>
        <v>233.55551232424401</v>
      </c>
      <c r="W145">
        <f ca="1"/>
        <v>59.404336830296899</v>
      </c>
      <c r="X145">
        <f ca="1"/>
        <v>4.1618942120497528E-2</v>
      </c>
      <c r="Y145">
        <f ca="1"/>
        <v>1</v>
      </c>
      <c r="Z145">
        <f ca="1"/>
        <v>9.8388956233886518</v>
      </c>
      <c r="AA145">
        <f ca="1"/>
        <v>0</v>
      </c>
      <c r="AB145">
        <f ca="1"/>
        <v>0.99999999957193997</v>
      </c>
      <c r="AD145" s="2">
        <f t="shared" ca="1" si="22"/>
        <v>45480</v>
      </c>
      <c r="AE145">
        <f t="shared" ca="1" si="23"/>
        <v>0</v>
      </c>
      <c r="AG145" s="65">
        <f t="shared" ca="1" si="27"/>
        <v>1.5304685464436936</v>
      </c>
      <c r="AH145" s="65">
        <f t="shared" ca="1" si="28"/>
        <v>3.7210793229885741</v>
      </c>
      <c r="AI145" s="3">
        <f t="shared" ca="1" si="29"/>
        <v>2.1906107765448803</v>
      </c>
    </row>
    <row r="146" spans="7:35" x14ac:dyDescent="0.25">
      <c r="G146" s="3">
        <f t="shared" ca="1" si="24"/>
        <v>146</v>
      </c>
      <c r="H146" s="97">
        <f t="shared" ca="1" si="26"/>
        <v>45436</v>
      </c>
      <c r="I146" s="121">
        <f ca="1">HLOOKUP($H$4,'Met Data'!$A$2:$F$368,G146,FALSE)</f>
        <v>10.7666666666666</v>
      </c>
      <c r="J146" s="121">
        <f ca="1">HLOOKUP($H$4,'Met Data'!$H$2:$M$368,G146,FALSE)*L146</f>
        <v>5.3833333333333213</v>
      </c>
      <c r="K146" s="98">
        <f ca="1">HLOOKUP($H$4,'Met Data'!$O$2:$T$368,G146,FALSE)</f>
        <v>0.98597820560947502</v>
      </c>
      <c r="L146">
        <f t="shared" ca="1" si="20"/>
        <v>1.7</v>
      </c>
      <c r="N146" t="b">
        <f t="shared" ca="1" si="25"/>
        <v>1</v>
      </c>
      <c r="O146" t="b">
        <f t="shared" ca="1" si="21"/>
        <v>1</v>
      </c>
      <c r="P146" s="2">
        <f ca="1"/>
        <v>45481</v>
      </c>
      <c r="Q146">
        <f ca="1"/>
        <v>1.169071707825696</v>
      </c>
      <c r="R146">
        <f ca="1"/>
        <v>2.2354931417586399</v>
      </c>
      <c r="S146">
        <f ca="1"/>
        <v>9.2341552864318999E-3</v>
      </c>
      <c r="T146">
        <f ca="1"/>
        <v>0</v>
      </c>
      <c r="U146">
        <f ca="1"/>
        <v>0</v>
      </c>
      <c r="V146">
        <f ca="1"/>
        <v>235.79100546600301</v>
      </c>
      <c r="W146">
        <f ca="1"/>
        <v>59.972929651135502</v>
      </c>
      <c r="X146">
        <f ca="1"/>
        <v>4.1461506643036855E-2</v>
      </c>
      <c r="Y146">
        <f ca="1"/>
        <v>1</v>
      </c>
      <c r="Z146">
        <f ca="1"/>
        <v>11.199575931326137</v>
      </c>
      <c r="AA146">
        <f ca="1"/>
        <v>0</v>
      </c>
      <c r="AB146">
        <f ca="1"/>
        <v>0.99999999962672304</v>
      </c>
      <c r="AD146" s="2">
        <f t="shared" ca="1" si="22"/>
        <v>45481</v>
      </c>
      <c r="AE146">
        <f t="shared" ca="1" si="23"/>
        <v>0</v>
      </c>
      <c r="AG146" s="65">
        <f t="shared" ca="1" si="27"/>
        <v>1.3450369049652586</v>
      </c>
      <c r="AH146" s="65">
        <f t="shared" ca="1" si="28"/>
        <v>3.4460263562273727</v>
      </c>
      <c r="AI146" s="3">
        <f t="shared" ca="1" si="29"/>
        <v>2.1009894512621141</v>
      </c>
    </row>
    <row r="147" spans="7:35" x14ac:dyDescent="0.25">
      <c r="G147" s="3">
        <f t="shared" ca="1" si="24"/>
        <v>147</v>
      </c>
      <c r="H147" s="97">
        <f t="shared" ca="1" si="26"/>
        <v>45437</v>
      </c>
      <c r="I147" s="121">
        <f ca="1">HLOOKUP($H$4,'Met Data'!$A$2:$F$368,G147,FALSE)</f>
        <v>11.1833333333333</v>
      </c>
      <c r="J147" s="121">
        <f ca="1">HLOOKUP($H$4,'Met Data'!$H$2:$M$368,G147,FALSE)*L147</f>
        <v>10.454999999999982</v>
      </c>
      <c r="K147" s="98">
        <f ca="1">HLOOKUP($H$4,'Met Data'!$O$2:$T$368,G147,FALSE)</f>
        <v>1.02530679052105</v>
      </c>
      <c r="L147">
        <f t="shared" ca="1" si="20"/>
        <v>1.7</v>
      </c>
      <c r="N147" t="b">
        <f t="shared" ca="1" si="25"/>
        <v>0</v>
      </c>
      <c r="O147" t="b">
        <f t="shared" ca="1" si="21"/>
        <v>1</v>
      </c>
      <c r="P147" s="2">
        <f ca="1"/>
        <v>45482</v>
      </c>
      <c r="Q147">
        <f ca="1"/>
        <v>6.1236850358190793</v>
      </c>
      <c r="R147">
        <f ca="1"/>
        <v>2.2515796903622101</v>
      </c>
      <c r="S147">
        <f ca="1"/>
        <v>5.7532256922489857</v>
      </c>
      <c r="T147">
        <f ca="1"/>
        <v>0</v>
      </c>
      <c r="U147">
        <f ca="1"/>
        <v>0</v>
      </c>
      <c r="V147">
        <f ca="1"/>
        <v>238.04258515636499</v>
      </c>
      <c r="W147">
        <f ca="1"/>
        <v>60.545614050640602</v>
      </c>
      <c r="X147">
        <f ca="1"/>
        <v>0.10638262424813365</v>
      </c>
      <c r="Y147">
        <f ca="1"/>
        <v>1</v>
      </c>
      <c r="Z147">
        <f ca="1"/>
        <v>5.4859962137111751</v>
      </c>
      <c r="AA147">
        <f ca="1"/>
        <v>0</v>
      </c>
      <c r="AB147">
        <f ca="1"/>
        <v>0.99999999967495001</v>
      </c>
      <c r="AD147" s="2">
        <f t="shared" ca="1" si="22"/>
        <v>45482</v>
      </c>
      <c r="AE147">
        <f t="shared" ca="1" si="23"/>
        <v>0</v>
      </c>
      <c r="AG147" s="65">
        <f t="shared" ca="1" si="27"/>
        <v>6.9222974000746813</v>
      </c>
      <c r="AH147" s="65">
        <f t="shared" ca="1" si="28"/>
        <v>8.481647350429423</v>
      </c>
      <c r="AI147" s="3">
        <f t="shared" ca="1" si="29"/>
        <v>1.5593499503547417</v>
      </c>
    </row>
    <row r="148" spans="7:35" x14ac:dyDescent="0.25">
      <c r="G148" s="3">
        <f t="shared" ca="1" si="24"/>
        <v>148</v>
      </c>
      <c r="H148" s="97">
        <f t="shared" ca="1" si="26"/>
        <v>45438</v>
      </c>
      <c r="I148" s="121">
        <f ca="1">HLOOKUP($H$4,'Met Data'!$A$2:$F$368,G148,FALSE)</f>
        <v>10.566666666666601</v>
      </c>
      <c r="J148" s="121">
        <f ca="1">HLOOKUP($H$4,'Met Data'!$H$2:$M$368,G148,FALSE)*L148</f>
        <v>4.7033333333333216</v>
      </c>
      <c r="K148" s="98">
        <f ca="1">HLOOKUP($H$4,'Met Data'!$O$2:$T$368,G148,FALSE)</f>
        <v>1.05508542906727</v>
      </c>
      <c r="L148">
        <f t="shared" ca="1" si="20"/>
        <v>1.7</v>
      </c>
      <c r="N148" t="b">
        <f t="shared" ca="1" si="25"/>
        <v>0</v>
      </c>
      <c r="O148" t="b">
        <f t="shared" ca="1" si="21"/>
        <v>0</v>
      </c>
      <c r="P148" s="2">
        <f ca="1"/>
        <v>45483</v>
      </c>
      <c r="Q148">
        <f ca="1"/>
        <v>11.152579487491961</v>
      </c>
      <c r="R148">
        <f ca="1"/>
        <v>0</v>
      </c>
      <c r="S148">
        <f ca="1"/>
        <v>5.2715432517594394</v>
      </c>
      <c r="T148">
        <f ca="1"/>
        <v>0</v>
      </c>
      <c r="U148">
        <f ca="1"/>
        <v>0</v>
      </c>
      <c r="V148">
        <f ca="1"/>
        <v>0</v>
      </c>
      <c r="W148">
        <f ca="1"/>
        <v>0</v>
      </c>
      <c r="X148">
        <f ca="1"/>
        <v>0.24264880008655851</v>
      </c>
      <c r="Y148">
        <f ca="1"/>
        <v>1</v>
      </c>
      <c r="Z148">
        <f ca="1"/>
        <v>6.8706918390833636</v>
      </c>
      <c r="AA148">
        <f ca="1"/>
        <v>0</v>
      </c>
      <c r="AB148">
        <f ca="1"/>
        <v>0</v>
      </c>
      <c r="AD148" s="2">
        <f t="shared" ca="1" si="22"/>
        <v>45483</v>
      </c>
      <c r="AE148">
        <f t="shared" ca="1" si="23"/>
        <v>0</v>
      </c>
      <c r="AG148" s="65">
        <f t="shared" ca="1" si="27"/>
        <v>11.395228287578519</v>
      </c>
      <c r="AH148" s="65">
        <f t="shared" ca="1" si="28"/>
        <v>11.395228287578519</v>
      </c>
      <c r="AI148" s="3">
        <f t="shared" ca="1" si="29"/>
        <v>0</v>
      </c>
    </row>
    <row r="149" spans="7:35" x14ac:dyDescent="0.25">
      <c r="G149" s="3">
        <f t="shared" ca="1" si="24"/>
        <v>149</v>
      </c>
      <c r="H149" s="97">
        <f t="shared" ca="1" si="26"/>
        <v>45439</v>
      </c>
      <c r="I149" s="121">
        <f ca="1">HLOOKUP($H$4,'Met Data'!$A$2:$F$368,G149,FALSE)</f>
        <v>10.283333333333299</v>
      </c>
      <c r="J149" s="121">
        <f ca="1">HLOOKUP($H$4,'Met Data'!$H$2:$M$368,G149,FALSE)*L149</f>
        <v>4.6466666666666603</v>
      </c>
      <c r="K149" s="98">
        <f ca="1">HLOOKUP($H$4,'Met Data'!$O$2:$T$368,G149,FALSE)</f>
        <v>0.96273544691676505</v>
      </c>
      <c r="L149">
        <f t="shared" ca="1" si="20"/>
        <v>1.7</v>
      </c>
      <c r="N149" t="b">
        <f t="shared" ca="1" si="25"/>
        <v>0</v>
      </c>
      <c r="O149" t="b">
        <f t="shared" ca="1" si="21"/>
        <v>0</v>
      </c>
      <c r="P149" s="2">
        <f ca="1"/>
        <v>45484</v>
      </c>
      <c r="Q149">
        <f ca="1"/>
        <v>16.175109667234778</v>
      </c>
      <c r="R149">
        <f ca="1"/>
        <v>0</v>
      </c>
      <c r="S149">
        <f ca="1"/>
        <v>5.11188077225043</v>
      </c>
      <c r="T149">
        <f ca="1"/>
        <v>0</v>
      </c>
      <c r="U149">
        <f ca="1"/>
        <v>0</v>
      </c>
      <c r="V149">
        <f ca="1"/>
        <v>0</v>
      </c>
      <c r="W149">
        <f ca="1"/>
        <v>0</v>
      </c>
      <c r="X149">
        <f ca="1"/>
        <v>8.9350592507613597E-2</v>
      </c>
      <c r="Y149">
        <f ca="1"/>
        <v>1</v>
      </c>
      <c r="Z149">
        <f ca="1"/>
        <v>1.7444071268652692</v>
      </c>
      <c r="AA149">
        <f ca="1"/>
        <v>0</v>
      </c>
      <c r="AB149">
        <f ca="1"/>
        <v>0</v>
      </c>
      <c r="AD149" s="2">
        <f t="shared" ca="1" si="22"/>
        <v>45484</v>
      </c>
      <c r="AE149">
        <f t="shared" ca="1" si="23"/>
        <v>0</v>
      </c>
      <c r="AG149" s="65">
        <f t="shared" ca="1" si="27"/>
        <v>16.264460259742393</v>
      </c>
      <c r="AH149" s="65">
        <f t="shared" ca="1" si="28"/>
        <v>16.264460259742393</v>
      </c>
      <c r="AI149" s="3">
        <f t="shared" ca="1" si="29"/>
        <v>0</v>
      </c>
    </row>
    <row r="150" spans="7:35" x14ac:dyDescent="0.25">
      <c r="G150" s="3">
        <f t="shared" ca="1" si="24"/>
        <v>150</v>
      </c>
      <c r="H150" s="97">
        <f t="shared" ca="1" si="26"/>
        <v>45440</v>
      </c>
      <c r="I150" s="121">
        <f ca="1">HLOOKUP($H$4,'Met Data'!$A$2:$F$368,G150,FALSE)</f>
        <v>10.8</v>
      </c>
      <c r="J150" s="121">
        <f ca="1">HLOOKUP($H$4,'Met Data'!$H$2:$M$368,G150,FALSE)*L150</f>
        <v>5.4966666666666608</v>
      </c>
      <c r="K150" s="98">
        <f ca="1">HLOOKUP($H$4,'Met Data'!$O$2:$T$368,G150,FALSE)</f>
        <v>1.08816831727148</v>
      </c>
      <c r="L150">
        <f t="shared" ca="1" si="20"/>
        <v>1.7</v>
      </c>
      <c r="N150" t="b">
        <f t="shared" ca="1" si="25"/>
        <v>0</v>
      </c>
      <c r="O150" t="b">
        <f t="shared" ca="1" si="21"/>
        <v>0</v>
      </c>
      <c r="P150" s="2">
        <f ca="1"/>
        <v>45485</v>
      </c>
      <c r="Q150">
        <f ca="1"/>
        <v>20.321598819678705</v>
      </c>
      <c r="R150">
        <f ca="1"/>
        <v>0</v>
      </c>
      <c r="S150">
        <f ca="1"/>
        <v>4.6444694135815396</v>
      </c>
      <c r="T150">
        <f ca="1"/>
        <v>0</v>
      </c>
      <c r="U150">
        <f ca="1"/>
        <v>0</v>
      </c>
      <c r="V150">
        <f ca="1"/>
        <v>0</v>
      </c>
      <c r="W150">
        <f ca="1"/>
        <v>0</v>
      </c>
      <c r="X150">
        <f ca="1"/>
        <v>0.49798026113761235</v>
      </c>
      <c r="Y150">
        <f ca="1"/>
        <v>1</v>
      </c>
      <c r="Z150">
        <f ca="1"/>
        <v>7.7384130040737915</v>
      </c>
      <c r="AA150">
        <f ca="1"/>
        <v>0</v>
      </c>
      <c r="AB150">
        <f ca="1"/>
        <v>0</v>
      </c>
      <c r="AD150" s="2">
        <f t="shared" ca="1" si="22"/>
        <v>45485</v>
      </c>
      <c r="AE150">
        <f t="shared" ca="1" si="23"/>
        <v>0</v>
      </c>
      <c r="AG150" s="65">
        <f t="shared" ca="1" si="27"/>
        <v>20.819579080816318</v>
      </c>
      <c r="AH150" s="65">
        <f t="shared" ca="1" si="28"/>
        <v>20.819579080816318</v>
      </c>
      <c r="AI150" s="3">
        <f t="shared" ca="1" si="29"/>
        <v>0</v>
      </c>
    </row>
    <row r="151" spans="7:35" x14ac:dyDescent="0.25">
      <c r="G151" s="3">
        <f t="shared" ca="1" si="24"/>
        <v>151</v>
      </c>
      <c r="H151" s="97">
        <f t="shared" ca="1" si="26"/>
        <v>45441</v>
      </c>
      <c r="I151" s="121">
        <f ca="1">HLOOKUP($H$4,'Met Data'!$A$2:$F$368,G151,FALSE)</f>
        <v>9.6624999999999996</v>
      </c>
      <c r="J151" s="121">
        <f ca="1">HLOOKUP($H$4,'Met Data'!$H$2:$M$368,G151,FALSE)*L151</f>
        <v>3.2016666666666609</v>
      </c>
      <c r="K151" s="98">
        <f ca="1">HLOOKUP($H$4,'Met Data'!$O$2:$T$368,G151,FALSE)</f>
        <v>1.0187040175234601</v>
      </c>
      <c r="L151">
        <f t="shared" ca="1" si="20"/>
        <v>1.7</v>
      </c>
      <c r="N151" t="b">
        <f t="shared" ca="1" si="25"/>
        <v>0</v>
      </c>
      <c r="O151" t="b">
        <f t="shared" ca="1" si="21"/>
        <v>0</v>
      </c>
      <c r="P151" s="2">
        <f ca="1"/>
        <v>45486</v>
      </c>
      <c r="Q151">
        <f ca="1"/>
        <v>24.112877478297449</v>
      </c>
      <c r="R151">
        <f ca="1"/>
        <v>0</v>
      </c>
      <c r="S151">
        <f ca="1"/>
        <v>4.270866643657758</v>
      </c>
      <c r="T151">
        <f ca="1"/>
        <v>0</v>
      </c>
      <c r="U151">
        <f ca="1"/>
        <v>0</v>
      </c>
      <c r="V151">
        <f ca="1"/>
        <v>0</v>
      </c>
      <c r="W151">
        <f ca="1"/>
        <v>0</v>
      </c>
      <c r="X151">
        <f ca="1"/>
        <v>0.47958798503901601</v>
      </c>
      <c r="Y151">
        <f ca="1"/>
        <v>1</v>
      </c>
      <c r="Z151">
        <f ca="1"/>
        <v>6.2808280561725525</v>
      </c>
      <c r="AA151">
        <f ca="1"/>
        <v>0</v>
      </c>
      <c r="AB151">
        <f ca="1"/>
        <v>0</v>
      </c>
      <c r="AD151" s="2">
        <f t="shared" ca="1" si="22"/>
        <v>45486</v>
      </c>
      <c r="AE151">
        <f t="shared" ca="1" si="23"/>
        <v>0</v>
      </c>
      <c r="AG151" s="65">
        <f t="shared" ca="1" si="27"/>
        <v>24.592465463336463</v>
      </c>
      <c r="AH151" s="65">
        <f t="shared" ca="1" si="28"/>
        <v>24.592465463336463</v>
      </c>
      <c r="AI151" s="3">
        <f t="shared" ca="1" si="29"/>
        <v>0</v>
      </c>
    </row>
    <row r="152" spans="7:35" x14ac:dyDescent="0.25">
      <c r="G152" s="3">
        <f t="shared" ca="1" si="24"/>
        <v>152</v>
      </c>
      <c r="H152" s="97">
        <f t="shared" ca="1" si="26"/>
        <v>45442</v>
      </c>
      <c r="I152" s="121">
        <f ca="1">HLOOKUP($H$4,'Met Data'!$A$2:$F$368,G152,FALSE)</f>
        <v>9.7166666666666597</v>
      </c>
      <c r="J152" s="121">
        <f ca="1">HLOOKUP($H$4,'Met Data'!$H$2:$M$368,G152,FALSE)*L152</f>
        <v>7.99</v>
      </c>
      <c r="K152" s="98">
        <f ca="1">HLOOKUP($H$4,'Met Data'!$O$2:$T$368,G152,FALSE)</f>
        <v>1.10197006718848</v>
      </c>
      <c r="L152">
        <f t="shared" ca="1" si="20"/>
        <v>1.7</v>
      </c>
      <c r="N152" t="b">
        <f t="shared" ca="1" si="25"/>
        <v>0</v>
      </c>
      <c r="O152" t="b">
        <f t="shared" ca="1" si="21"/>
        <v>0</v>
      </c>
      <c r="P152" s="2">
        <f ca="1"/>
        <v>45487</v>
      </c>
      <c r="Q152">
        <f ca="1"/>
        <v>28.287594350757836</v>
      </c>
      <c r="R152">
        <f ca="1"/>
        <v>0</v>
      </c>
      <c r="S152">
        <f ca="1"/>
        <v>4.4018053637610741</v>
      </c>
      <c r="T152">
        <f ca="1"/>
        <v>0</v>
      </c>
      <c r="U152">
        <f ca="1"/>
        <v>0</v>
      </c>
      <c r="V152">
        <f ca="1"/>
        <v>0</v>
      </c>
      <c r="W152">
        <f ca="1"/>
        <v>0</v>
      </c>
      <c r="X152">
        <f ca="1"/>
        <v>0.22708849130068834</v>
      </c>
      <c r="Y152">
        <f ca="1"/>
        <v>1</v>
      </c>
      <c r="Z152">
        <f ca="1"/>
        <v>2.5351097112881433</v>
      </c>
      <c r="AA152">
        <f ca="1"/>
        <v>0</v>
      </c>
      <c r="AB152">
        <f ca="1"/>
        <v>0</v>
      </c>
      <c r="AD152" s="2">
        <f t="shared" ca="1" si="22"/>
        <v>45487</v>
      </c>
      <c r="AE152">
        <f t="shared" ca="1" si="23"/>
        <v>0</v>
      </c>
      <c r="AG152" s="65">
        <f t="shared" ca="1" si="27"/>
        <v>28.514682842058523</v>
      </c>
      <c r="AH152" s="65">
        <f t="shared" ca="1" si="28"/>
        <v>28.514682842058523</v>
      </c>
      <c r="AI152" s="3">
        <f t="shared" ca="1" si="29"/>
        <v>0</v>
      </c>
    </row>
    <row r="153" spans="7:35" x14ac:dyDescent="0.25">
      <c r="G153" s="3">
        <f t="shared" ca="1" si="24"/>
        <v>153</v>
      </c>
      <c r="H153" s="97">
        <f t="shared" ca="1" si="26"/>
        <v>45443</v>
      </c>
      <c r="I153" s="121">
        <f ca="1">HLOOKUP($H$4,'Met Data'!$A$2:$F$368,G153,FALSE)</f>
        <v>10.004166666666601</v>
      </c>
      <c r="J153" s="121">
        <f ca="1">HLOOKUP($H$4,'Met Data'!$H$2:$M$368,G153,FALSE)*L153</f>
        <v>4.25</v>
      </c>
      <c r="K153" s="98">
        <f ca="1">HLOOKUP($H$4,'Met Data'!$O$2:$T$368,G153,FALSE)</f>
        <v>1.1690097853574</v>
      </c>
      <c r="L153">
        <f t="shared" ca="1" si="20"/>
        <v>1.7</v>
      </c>
      <c r="N153" t="b">
        <f t="shared" ca="1" si="25"/>
        <v>0</v>
      </c>
      <c r="O153" t="b">
        <f t="shared" ca="1" si="21"/>
        <v>0</v>
      </c>
      <c r="P153" s="2">
        <f ca="1"/>
        <v>45488</v>
      </c>
      <c r="Q153">
        <f ca="1"/>
        <v>31.436318220878427</v>
      </c>
      <c r="R153">
        <f ca="1"/>
        <v>0</v>
      </c>
      <c r="S153">
        <f ca="1"/>
        <v>4.0969526807588927</v>
      </c>
      <c r="T153">
        <f ca="1"/>
        <v>0</v>
      </c>
      <c r="U153">
        <f ca="1"/>
        <v>0</v>
      </c>
      <c r="V153">
        <f ca="1"/>
        <v>0</v>
      </c>
      <c r="W153">
        <f ca="1"/>
        <v>0</v>
      </c>
      <c r="X153">
        <f ca="1"/>
        <v>0.948228810638305</v>
      </c>
      <c r="Y153">
        <f ca="1"/>
        <v>1</v>
      </c>
      <c r="Z153">
        <f ca="1"/>
        <v>9.5253100232584416</v>
      </c>
      <c r="AA153">
        <f ca="1"/>
        <v>0</v>
      </c>
      <c r="AB153">
        <f ca="1"/>
        <v>0</v>
      </c>
      <c r="AD153" s="2">
        <f t="shared" ca="1" si="22"/>
        <v>45488</v>
      </c>
      <c r="AE153">
        <f t="shared" ca="1" si="23"/>
        <v>0</v>
      </c>
      <c r="AG153" s="65">
        <f t="shared" ca="1" si="27"/>
        <v>32.384547031516732</v>
      </c>
      <c r="AH153" s="65">
        <f t="shared" ca="1" si="28"/>
        <v>32.384547031516732</v>
      </c>
      <c r="AI153" s="3">
        <f t="shared" ca="1" si="29"/>
        <v>0</v>
      </c>
    </row>
    <row r="154" spans="7:35" x14ac:dyDescent="0.25">
      <c r="G154" s="3">
        <f t="shared" ca="1" si="24"/>
        <v>154</v>
      </c>
      <c r="H154" s="97">
        <f t="shared" ca="1" si="26"/>
        <v>45444</v>
      </c>
      <c r="I154" s="121">
        <f ca="1">HLOOKUP($H$4,'Met Data'!$A$2:$F$368,G154,FALSE)</f>
        <v>9.99583333333333</v>
      </c>
      <c r="J154" s="121">
        <f ca="1">HLOOKUP($H$4,'Met Data'!$H$2:$M$368,G154,FALSE)*L154</f>
        <v>4.7316666666666611</v>
      </c>
      <c r="K154" s="98">
        <f ca="1">HLOOKUP($H$4,'Met Data'!$O$2:$T$368,G154,FALSE)</f>
        <v>1.0280895768516001</v>
      </c>
      <c r="L154">
        <f t="shared" ca="1" si="20"/>
        <v>1.7</v>
      </c>
      <c r="N154" t="b">
        <f t="shared" ca="1" si="25"/>
        <v>0</v>
      </c>
      <c r="O154" t="b">
        <f t="shared" ca="1" si="21"/>
        <v>0</v>
      </c>
      <c r="P154" s="2">
        <f ca="1"/>
        <v>45489</v>
      </c>
      <c r="Q154">
        <f ca="1"/>
        <v>34.773141598475604</v>
      </c>
      <c r="R154">
        <f ca="1"/>
        <v>0</v>
      </c>
      <c r="S154">
        <f ca="1"/>
        <v>4.093891303706318</v>
      </c>
      <c r="T154">
        <f ca="1"/>
        <v>0</v>
      </c>
      <c r="U154">
        <f ca="1"/>
        <v>0</v>
      </c>
      <c r="V154">
        <f ca="1"/>
        <v>0</v>
      </c>
      <c r="W154">
        <f ca="1"/>
        <v>0</v>
      </c>
      <c r="X154">
        <f ca="1"/>
        <v>0.75706792610914375</v>
      </c>
      <c r="Y154">
        <f ca="1"/>
        <v>1</v>
      </c>
      <c r="Z154">
        <f ca="1"/>
        <v>6.8752511547499608</v>
      </c>
      <c r="AA154">
        <f ca="1"/>
        <v>0</v>
      </c>
      <c r="AB154">
        <f ca="1"/>
        <v>0</v>
      </c>
      <c r="AD154" s="2">
        <f t="shared" ca="1" si="22"/>
        <v>45489</v>
      </c>
      <c r="AE154">
        <f t="shared" ca="1" si="23"/>
        <v>0</v>
      </c>
      <c r="AG154" s="65">
        <f t="shared" ca="1" si="27"/>
        <v>35.530209524584748</v>
      </c>
      <c r="AH154" s="65">
        <f t="shared" ca="1" si="28"/>
        <v>35.530209524584748</v>
      </c>
      <c r="AI154" s="3">
        <f t="shared" ca="1" si="29"/>
        <v>0</v>
      </c>
    </row>
    <row r="155" spans="7:35" x14ac:dyDescent="0.25">
      <c r="G155" s="3">
        <f t="shared" ca="1" si="24"/>
        <v>155</v>
      </c>
      <c r="H155" s="97">
        <f t="shared" ca="1" si="26"/>
        <v>45445</v>
      </c>
      <c r="I155" s="121">
        <f ca="1">HLOOKUP($H$4,'Met Data'!$A$2:$F$368,G155,FALSE)</f>
        <v>9.8999999999999897</v>
      </c>
      <c r="J155" s="121">
        <f ca="1">HLOOKUP($H$4,'Met Data'!$H$2:$M$368,G155,FALSE)*L155</f>
        <v>3.031666666666661</v>
      </c>
      <c r="K155" s="98">
        <f ca="1">HLOOKUP($H$4,'Met Data'!$O$2:$T$368,G155,FALSE)</f>
        <v>0.97110296937720297</v>
      </c>
      <c r="L155">
        <f t="shared" ca="1" si="20"/>
        <v>1.7</v>
      </c>
      <c r="N155" t="b">
        <f t="shared" ca="1" si="25"/>
        <v>0</v>
      </c>
      <c r="O155" t="b">
        <f t="shared" ca="1" si="21"/>
        <v>0</v>
      </c>
      <c r="P155" s="2">
        <f ca="1"/>
        <v>45490</v>
      </c>
      <c r="Q155">
        <f ca="1"/>
        <v>38.192956536746635</v>
      </c>
      <c r="R155">
        <f ca="1"/>
        <v>0</v>
      </c>
      <c r="S155">
        <f ca="1"/>
        <v>3.5221316058891823</v>
      </c>
      <c r="T155">
        <f ca="1"/>
        <v>0</v>
      </c>
      <c r="U155">
        <f ca="1"/>
        <v>0</v>
      </c>
      <c r="V155">
        <f ca="1"/>
        <v>0</v>
      </c>
      <c r="W155">
        <f ca="1"/>
        <v>0</v>
      </c>
      <c r="X155">
        <f ca="1"/>
        <v>0.10231666761815789</v>
      </c>
      <c r="Y155">
        <f ca="1"/>
        <v>1</v>
      </c>
      <c r="Z155">
        <f ca="1"/>
        <v>0.84598128938181105</v>
      </c>
      <c r="AA155">
        <f ca="1"/>
        <v>0</v>
      </c>
      <c r="AB155">
        <f ca="1"/>
        <v>0</v>
      </c>
      <c r="AD155" s="2">
        <f t="shared" ca="1" si="22"/>
        <v>45490</v>
      </c>
      <c r="AE155">
        <f t="shared" ca="1" si="23"/>
        <v>0</v>
      </c>
      <c r="AG155" s="65">
        <f t="shared" ca="1" si="27"/>
        <v>38.29527320436479</v>
      </c>
      <c r="AH155" s="65">
        <f t="shared" ca="1" si="28"/>
        <v>38.29527320436479</v>
      </c>
      <c r="AI155" s="3">
        <f t="shared" ca="1" si="29"/>
        <v>0</v>
      </c>
    </row>
    <row r="156" spans="7:35" x14ac:dyDescent="0.25">
      <c r="G156" s="3">
        <f t="shared" ca="1" si="24"/>
        <v>156</v>
      </c>
      <c r="H156" s="97">
        <f t="shared" ca="1" si="26"/>
        <v>45446</v>
      </c>
      <c r="I156" s="121">
        <f ca="1">HLOOKUP($H$4,'Met Data'!$A$2:$F$368,G156,FALSE)</f>
        <v>10.95</v>
      </c>
      <c r="J156" s="121">
        <f ca="1">HLOOKUP($H$4,'Met Data'!$H$2:$M$368,G156,FALSE)*L156</f>
        <v>4.1649999999999832</v>
      </c>
      <c r="K156" s="98">
        <f ca="1">HLOOKUP($H$4,'Met Data'!$O$2:$T$368,G156,FALSE)</f>
        <v>0.960770877493487</v>
      </c>
      <c r="L156">
        <f t="shared" ca="1" si="20"/>
        <v>1.7</v>
      </c>
      <c r="N156" t="b">
        <f t="shared" ca="1" si="25"/>
        <v>0</v>
      </c>
      <c r="O156" t="b">
        <f t="shared" ca="1" si="21"/>
        <v>0</v>
      </c>
      <c r="P156" s="2">
        <f ca="1"/>
        <v>45491</v>
      </c>
      <c r="Q156">
        <f ca="1"/>
        <v>41.368473337354096</v>
      </c>
      <c r="R156">
        <f ca="1"/>
        <v>0</v>
      </c>
      <c r="S156">
        <f ca="1"/>
        <v>3.3239733546317538</v>
      </c>
      <c r="T156">
        <f ca="1"/>
        <v>0</v>
      </c>
      <c r="U156">
        <f ca="1"/>
        <v>0</v>
      </c>
      <c r="V156">
        <f ca="1"/>
        <v>0</v>
      </c>
      <c r="W156">
        <f ca="1"/>
        <v>0</v>
      </c>
      <c r="X156">
        <f ca="1"/>
        <v>0.148456554024292</v>
      </c>
      <c r="Y156">
        <f ca="1"/>
        <v>1</v>
      </c>
      <c r="Z156">
        <f ca="1"/>
        <v>1.1332547052919892</v>
      </c>
      <c r="AA156">
        <f ca="1"/>
        <v>0</v>
      </c>
      <c r="AB156">
        <f ca="1"/>
        <v>0</v>
      </c>
      <c r="AD156" s="2">
        <f t="shared" ca="1" si="22"/>
        <v>45491</v>
      </c>
      <c r="AE156">
        <f t="shared" ca="1" si="23"/>
        <v>0</v>
      </c>
      <c r="AG156" s="65">
        <f t="shared" ca="1" si="27"/>
        <v>41.516929891378389</v>
      </c>
      <c r="AH156" s="65">
        <f t="shared" ca="1" si="28"/>
        <v>41.516929891378389</v>
      </c>
      <c r="AI156" s="3">
        <f t="shared" ca="1" si="29"/>
        <v>0</v>
      </c>
    </row>
    <row r="157" spans="7:35" x14ac:dyDescent="0.25">
      <c r="G157" s="3">
        <f t="shared" ca="1" si="24"/>
        <v>157</v>
      </c>
      <c r="H157" s="97">
        <f t="shared" ca="1" si="26"/>
        <v>45447</v>
      </c>
      <c r="I157" s="121">
        <f ca="1">HLOOKUP($H$4,'Met Data'!$A$2:$F$368,G157,FALSE)</f>
        <v>10.6875</v>
      </c>
      <c r="J157" s="121">
        <f ca="1">HLOOKUP($H$4,'Met Data'!$H$2:$M$368,G157,FALSE)*L157</f>
        <v>7.0266666666666611</v>
      </c>
      <c r="K157" s="98">
        <f ca="1">HLOOKUP($H$4,'Met Data'!$O$2:$T$368,G157,FALSE)</f>
        <v>0.84332690198160198</v>
      </c>
      <c r="L157">
        <f t="shared" ca="1" si="20"/>
        <v>1.7</v>
      </c>
      <c r="N157" t="b">
        <f t="shared" ca="1" si="25"/>
        <v>0</v>
      </c>
      <c r="O157" t="b">
        <f t="shared" ca="1" si="21"/>
        <v>0</v>
      </c>
      <c r="P157" s="2">
        <f ca="1"/>
        <v>45492</v>
      </c>
      <c r="Q157">
        <f ca="1"/>
        <v>44.092284001407798</v>
      </c>
      <c r="R157">
        <f ca="1"/>
        <v>0</v>
      </c>
      <c r="S157">
        <f ca="1"/>
        <v>3.2443768495614194</v>
      </c>
      <c r="T157">
        <f ca="1"/>
        <v>0</v>
      </c>
      <c r="U157">
        <f ca="1"/>
        <v>0</v>
      </c>
      <c r="V157">
        <f ca="1"/>
        <v>0</v>
      </c>
      <c r="W157">
        <f ca="1"/>
        <v>0</v>
      </c>
      <c r="X157">
        <f ca="1"/>
        <v>0.52056618550771594</v>
      </c>
      <c r="Y157">
        <f ca="1"/>
        <v>1</v>
      </c>
      <c r="Z157">
        <f ca="1"/>
        <v>3.7283013448346196</v>
      </c>
      <c r="AA157">
        <f ca="1"/>
        <v>0</v>
      </c>
      <c r="AB157">
        <f ca="1"/>
        <v>0</v>
      </c>
      <c r="AD157" s="2">
        <f t="shared" ca="1" si="22"/>
        <v>45492</v>
      </c>
      <c r="AE157">
        <f t="shared" ca="1" si="23"/>
        <v>0</v>
      </c>
      <c r="AG157" s="65">
        <f t="shared" ca="1" si="27"/>
        <v>44.612850186915516</v>
      </c>
      <c r="AH157" s="65">
        <f t="shared" ca="1" si="28"/>
        <v>44.612850186915516</v>
      </c>
      <c r="AI157" s="3">
        <f t="shared" ca="1" si="29"/>
        <v>0</v>
      </c>
    </row>
    <row r="158" spans="7:35" x14ac:dyDescent="0.25">
      <c r="G158" s="3">
        <f t="shared" ca="1" si="24"/>
        <v>158</v>
      </c>
      <c r="H158" s="97">
        <f t="shared" ca="1" si="26"/>
        <v>45448</v>
      </c>
      <c r="I158" s="121">
        <f ca="1">HLOOKUP($H$4,'Met Data'!$A$2:$F$368,G158,FALSE)</f>
        <v>10.5625</v>
      </c>
      <c r="J158" s="121">
        <f ca="1">HLOOKUP($H$4,'Met Data'!$H$2:$M$368,G158,FALSE)*L158</f>
        <v>9.01</v>
      </c>
      <c r="K158" s="98">
        <f ca="1">HLOOKUP($H$4,'Met Data'!$O$2:$T$368,G158,FALSE)</f>
        <v>0.93242759876210701</v>
      </c>
      <c r="L158">
        <f t="shared" ca="1" si="20"/>
        <v>1.7</v>
      </c>
      <c r="N158" t="b">
        <f t="shared" ca="1" si="25"/>
        <v>0</v>
      </c>
      <c r="O158" t="b">
        <f t="shared" ca="1" si="21"/>
        <v>0</v>
      </c>
      <c r="P158" s="2">
        <f ca="1"/>
        <v>45493</v>
      </c>
      <c r="Q158">
        <f ca="1"/>
        <v>46.441724267974585</v>
      </c>
      <c r="R158">
        <f ca="1"/>
        <v>0</v>
      </c>
      <c r="S158">
        <f ca="1"/>
        <v>3.0987574851533353</v>
      </c>
      <c r="T158">
        <f ca="1"/>
        <v>0</v>
      </c>
      <c r="U158">
        <f ca="1"/>
        <v>0</v>
      </c>
      <c r="V158">
        <f ca="1"/>
        <v>0</v>
      </c>
      <c r="W158">
        <f ca="1"/>
        <v>0</v>
      </c>
      <c r="X158">
        <f ca="1"/>
        <v>0.74931721858654521</v>
      </c>
      <c r="Y158">
        <f ca="1"/>
        <v>1</v>
      </c>
      <c r="Z158">
        <f ca="1"/>
        <v>5.095127147187668</v>
      </c>
      <c r="AA158">
        <f ca="1"/>
        <v>0</v>
      </c>
      <c r="AB158">
        <f ca="1"/>
        <v>0</v>
      </c>
      <c r="AD158" s="2">
        <f t="shared" ca="1" si="22"/>
        <v>45493</v>
      </c>
      <c r="AE158">
        <f t="shared" ca="1" si="23"/>
        <v>0</v>
      </c>
      <c r="AG158" s="65">
        <f t="shared" ca="1" si="27"/>
        <v>47.191041486561133</v>
      </c>
      <c r="AH158" s="65">
        <f t="shared" ca="1" si="28"/>
        <v>47.191041486561133</v>
      </c>
      <c r="AI158" s="3">
        <f t="shared" ca="1" si="29"/>
        <v>0</v>
      </c>
    </row>
    <row r="159" spans="7:35" x14ac:dyDescent="0.25">
      <c r="G159" s="3">
        <f t="shared" ca="1" si="24"/>
        <v>159</v>
      </c>
      <c r="H159" s="97">
        <f t="shared" ca="1" si="26"/>
        <v>45449</v>
      </c>
      <c r="I159" s="121">
        <f ca="1">HLOOKUP($H$4,'Met Data'!$A$2:$F$368,G159,FALSE)</f>
        <v>10.4625</v>
      </c>
      <c r="J159" s="121">
        <f ca="1">HLOOKUP($H$4,'Met Data'!$H$2:$M$368,G159,FALSE)*L159</f>
        <v>4.1649999999999832</v>
      </c>
      <c r="K159" s="98">
        <f ca="1">HLOOKUP($H$4,'Met Data'!$O$2:$T$368,G159,FALSE)</f>
        <v>0.99912564942381998</v>
      </c>
      <c r="L159">
        <f t="shared" ca="1" si="20"/>
        <v>1.7</v>
      </c>
      <c r="N159" t="b">
        <f t="shared" ca="1" si="25"/>
        <v>0</v>
      </c>
      <c r="O159" t="b">
        <f t="shared" ca="1" si="21"/>
        <v>0</v>
      </c>
      <c r="P159" s="2">
        <f ca="1"/>
        <v>45494</v>
      </c>
      <c r="Q159">
        <f ca="1"/>
        <v>48.300777651589243</v>
      </c>
      <c r="R159">
        <f ca="1"/>
        <v>0</v>
      </c>
      <c r="S159">
        <f ca="1"/>
        <v>2.9120606215296831</v>
      </c>
      <c r="T159">
        <f ca="1"/>
        <v>0</v>
      </c>
      <c r="U159">
        <f ca="1"/>
        <v>0</v>
      </c>
      <c r="V159">
        <f ca="1"/>
        <v>0</v>
      </c>
      <c r="W159">
        <f ca="1"/>
        <v>0</v>
      </c>
      <c r="X159">
        <f ca="1"/>
        <v>1.0530072379150224</v>
      </c>
      <c r="Y159">
        <f ca="1"/>
        <v>1</v>
      </c>
      <c r="Z159">
        <f ca="1"/>
        <v>6.8845392893153132</v>
      </c>
      <c r="AA159">
        <f ca="1"/>
        <v>0</v>
      </c>
      <c r="AB159">
        <f ca="1"/>
        <v>0</v>
      </c>
      <c r="AD159" s="2">
        <f t="shared" ca="1" si="22"/>
        <v>45494</v>
      </c>
      <c r="AE159">
        <f t="shared" ca="1" si="23"/>
        <v>0</v>
      </c>
      <c r="AG159" s="65">
        <f t="shared" ca="1" si="27"/>
        <v>49.353784889504269</v>
      </c>
      <c r="AH159" s="65">
        <f t="shared" ca="1" si="28"/>
        <v>49.353784889504269</v>
      </c>
      <c r="AI159" s="3">
        <f t="shared" ca="1" si="29"/>
        <v>0</v>
      </c>
    </row>
    <row r="160" spans="7:35" x14ac:dyDescent="0.25">
      <c r="G160" s="3">
        <f t="shared" ca="1" si="24"/>
        <v>160</v>
      </c>
      <c r="H160" s="97">
        <f t="shared" ca="1" si="26"/>
        <v>45450</v>
      </c>
      <c r="I160" s="121">
        <f ca="1">HLOOKUP($H$4,'Met Data'!$A$2:$F$368,G160,FALSE)</f>
        <v>9.5875000000000004</v>
      </c>
      <c r="J160" s="121">
        <f ca="1">HLOOKUP($H$4,'Met Data'!$H$2:$M$368,G160,FALSE)*L160</f>
        <v>2.946666666666661</v>
      </c>
      <c r="K160" s="98">
        <f ca="1">HLOOKUP($H$4,'Met Data'!$O$2:$T$368,G160,FALSE)</f>
        <v>1.0839051549829499</v>
      </c>
      <c r="L160">
        <f t="shared" ca="1" si="20"/>
        <v>1.7</v>
      </c>
      <c r="N160" t="b">
        <f t="shared" ca="1" si="25"/>
        <v>0</v>
      </c>
      <c r="O160" t="b">
        <f t="shared" ca="1" si="21"/>
        <v>0</v>
      </c>
      <c r="P160" s="2">
        <f ca="1"/>
        <v>45495</v>
      </c>
      <c r="Q160">
        <f ca="1"/>
        <v>49.564913242676795</v>
      </c>
      <c r="R160">
        <f ca="1"/>
        <v>0</v>
      </c>
      <c r="S160">
        <f ca="1"/>
        <v>2.5313593735773878</v>
      </c>
      <c r="T160">
        <f ca="1"/>
        <v>0</v>
      </c>
      <c r="U160">
        <f ca="1"/>
        <v>0</v>
      </c>
      <c r="V160">
        <f ca="1"/>
        <v>0</v>
      </c>
      <c r="W160">
        <f ca="1"/>
        <v>0</v>
      </c>
      <c r="X160">
        <f ca="1"/>
        <v>1.267223782489834</v>
      </c>
      <c r="Y160">
        <f ca="1"/>
        <v>1</v>
      </c>
      <c r="Z160">
        <f ca="1"/>
        <v>8.0737744733509658</v>
      </c>
      <c r="AA160">
        <f ca="1"/>
        <v>0</v>
      </c>
      <c r="AB160">
        <f ca="1"/>
        <v>0</v>
      </c>
      <c r="AD160" s="2">
        <f t="shared" ca="1" si="22"/>
        <v>45495</v>
      </c>
      <c r="AE160">
        <f t="shared" ca="1" si="23"/>
        <v>0</v>
      </c>
      <c r="AG160" s="65">
        <f t="shared" ca="1" si="27"/>
        <v>50.832137025166631</v>
      </c>
      <c r="AH160" s="65">
        <f t="shared" ca="1" si="28"/>
        <v>50.832137025166631</v>
      </c>
      <c r="AI160" s="3">
        <f t="shared" ca="1" si="29"/>
        <v>0</v>
      </c>
    </row>
    <row r="161" spans="7:35" x14ac:dyDescent="0.25">
      <c r="G161" s="3">
        <f t="shared" ca="1" si="24"/>
        <v>161</v>
      </c>
      <c r="H161" s="97">
        <f t="shared" ca="1" si="26"/>
        <v>45451</v>
      </c>
      <c r="I161" s="121">
        <f ca="1">HLOOKUP($H$4,'Met Data'!$A$2:$F$368,G161,FALSE)</f>
        <v>9.4875000000000007</v>
      </c>
      <c r="J161" s="121">
        <f ca="1">HLOOKUP($H$4,'Met Data'!$H$2:$M$368,G161,FALSE)*L161</f>
        <v>2.6349999999999998</v>
      </c>
      <c r="K161" s="98">
        <f ca="1">HLOOKUP($H$4,'Met Data'!$O$2:$T$368,G161,FALSE)</f>
        <v>0.94567596592895498</v>
      </c>
      <c r="L161">
        <f t="shared" ca="1" si="20"/>
        <v>1.7</v>
      </c>
      <c r="N161" t="b">
        <f t="shared" ca="1" si="25"/>
        <v>0</v>
      </c>
      <c r="O161" t="b">
        <f t="shared" ca="1" si="21"/>
        <v>0</v>
      </c>
      <c r="P161" s="2">
        <f ca="1"/>
        <v>45496</v>
      </c>
      <c r="Q161">
        <f ca="1"/>
        <v>51.488233459317101</v>
      </c>
      <c r="R161">
        <f ca="1"/>
        <v>0</v>
      </c>
      <c r="S161">
        <f ca="1"/>
        <v>2.3359900062438683</v>
      </c>
      <c r="T161">
        <f ca="1"/>
        <v>0</v>
      </c>
      <c r="U161">
        <f ca="1"/>
        <v>0</v>
      </c>
      <c r="V161">
        <f ca="1"/>
        <v>0</v>
      </c>
      <c r="W161">
        <f ca="1"/>
        <v>0</v>
      </c>
      <c r="X161">
        <f ca="1"/>
        <v>0.41266978960356154</v>
      </c>
      <c r="Y161">
        <f ca="1"/>
        <v>1</v>
      </c>
      <c r="Z161">
        <f ca="1"/>
        <v>2.5310011027519721</v>
      </c>
      <c r="AA161">
        <f ca="1"/>
        <v>0</v>
      </c>
      <c r="AB161">
        <f ca="1"/>
        <v>0</v>
      </c>
      <c r="AD161" s="2">
        <f t="shared" ca="1" si="22"/>
        <v>45496</v>
      </c>
      <c r="AE161">
        <f t="shared" ca="1" si="23"/>
        <v>0</v>
      </c>
      <c r="AG161" s="65">
        <f t="shared" ca="1" si="27"/>
        <v>51.900903248920663</v>
      </c>
      <c r="AH161" s="65">
        <f t="shared" ca="1" si="28"/>
        <v>51.900903248920663</v>
      </c>
      <c r="AI161" s="3">
        <f t="shared" ca="1" si="29"/>
        <v>0</v>
      </c>
    </row>
    <row r="162" spans="7:35" x14ac:dyDescent="0.25">
      <c r="G162" s="3">
        <f t="shared" ca="1" si="24"/>
        <v>162</v>
      </c>
      <c r="H162" s="97">
        <f t="shared" ca="1" si="26"/>
        <v>45452</v>
      </c>
      <c r="I162" s="121">
        <f ca="1">HLOOKUP($H$4,'Met Data'!$A$2:$F$368,G162,FALSE)</f>
        <v>10.9</v>
      </c>
      <c r="J162" s="121">
        <f ca="1">HLOOKUP($H$4,'Met Data'!$H$2:$M$368,G162,FALSE)*L162</f>
        <v>8.2218181818181701</v>
      </c>
      <c r="K162" s="98">
        <f ca="1">HLOOKUP($H$4,'Met Data'!$O$2:$T$368,G162,FALSE)</f>
        <v>0.77149259834587403</v>
      </c>
      <c r="L162">
        <f t="shared" ca="1" si="20"/>
        <v>1.7</v>
      </c>
      <c r="N162" t="b">
        <f t="shared" ca="1" si="25"/>
        <v>0</v>
      </c>
      <c r="O162" t="b">
        <f t="shared" ca="1" si="21"/>
        <v>0</v>
      </c>
      <c r="P162" s="2">
        <f ca="1"/>
        <v>45497</v>
      </c>
      <c r="Q162">
        <f ca="1"/>
        <v>53.432300755648399</v>
      </c>
      <c r="R162">
        <f ca="1"/>
        <v>0</v>
      </c>
      <c r="S162">
        <f ca="1"/>
        <v>2.0639047210052652</v>
      </c>
      <c r="T162">
        <f ca="1"/>
        <v>0</v>
      </c>
      <c r="U162">
        <f ca="1"/>
        <v>0</v>
      </c>
      <c r="V162">
        <f ca="1"/>
        <v>3.5270905639771302</v>
      </c>
      <c r="W162">
        <f ca="1"/>
        <v>3.2266347011198202</v>
      </c>
      <c r="X162">
        <f ca="1"/>
        <v>0.1198374246739658</v>
      </c>
      <c r="Y162">
        <f ca="1"/>
        <v>1</v>
      </c>
      <c r="Z162">
        <f ca="1"/>
        <v>0.70824944331940287</v>
      </c>
      <c r="AA162">
        <f ca="1"/>
        <v>0</v>
      </c>
      <c r="AB162">
        <f ca="1"/>
        <v>7.4609634287699398E-3</v>
      </c>
      <c r="AD162" s="2">
        <f t="shared" ca="1" si="22"/>
        <v>45497</v>
      </c>
      <c r="AE162">
        <f t="shared" ca="1" si="23"/>
        <v>0</v>
      </c>
      <c r="AG162" s="65">
        <f t="shared" ca="1" si="27"/>
        <v>53.552138180322366</v>
      </c>
      <c r="AH162" s="65">
        <f t="shared" ca="1" si="28"/>
        <v>53.552138180322366</v>
      </c>
      <c r="AI162" s="3">
        <f t="shared" ca="1" si="29"/>
        <v>0</v>
      </c>
    </row>
    <row r="163" spans="7:35" x14ac:dyDescent="0.25">
      <c r="G163" s="3">
        <f t="shared" ca="1" si="24"/>
        <v>163</v>
      </c>
      <c r="H163" s="97">
        <f t="shared" ca="1" si="26"/>
        <v>45453</v>
      </c>
      <c r="I163" s="121">
        <f ca="1">HLOOKUP($H$4,'Met Data'!$A$2:$F$368,G163,FALSE)</f>
        <v>10.8954545454545</v>
      </c>
      <c r="J163" s="121">
        <f ca="1">HLOOKUP($H$4,'Met Data'!$H$2:$M$368,G163,FALSE)*L163</f>
        <v>12.147272727272718</v>
      </c>
      <c r="K163" s="98">
        <f ca="1">HLOOKUP($H$4,'Met Data'!$O$2:$T$368,G163,FALSE)</f>
        <v>0.76887644299908198</v>
      </c>
      <c r="L163">
        <f t="shared" ca="1" si="20"/>
        <v>1.7</v>
      </c>
      <c r="N163" t="b">
        <f t="shared" ca="1" si="25"/>
        <v>0</v>
      </c>
      <c r="O163" t="b">
        <f t="shared" ca="1" si="21"/>
        <v>0</v>
      </c>
      <c r="P163" s="2">
        <f ca="1"/>
        <v>45498</v>
      </c>
      <c r="Q163">
        <f ca="1"/>
        <v>55.195864012504259</v>
      </c>
      <c r="R163">
        <f ca="1"/>
        <v>0.120924054695842</v>
      </c>
      <c r="S163">
        <f ca="1"/>
        <v>1.8844873115517018</v>
      </c>
      <c r="T163">
        <f ca="1"/>
        <v>0</v>
      </c>
      <c r="U163">
        <f ca="1"/>
        <v>0</v>
      </c>
      <c r="V163">
        <f ca="1"/>
        <v>3.6480146186729798</v>
      </c>
      <c r="W163">
        <f ca="1"/>
        <v>3.3372578178230601</v>
      </c>
      <c r="X163">
        <f ca="1"/>
        <v>0</v>
      </c>
      <c r="Y163">
        <f ca="1"/>
        <v>0.99541661012644556</v>
      </c>
      <c r="Z163">
        <f ca="1"/>
        <v>0</v>
      </c>
      <c r="AA163">
        <f ca="1"/>
        <v>0</v>
      </c>
      <c r="AB163">
        <f ca="1"/>
        <v>8.29966423735542E-3</v>
      </c>
      <c r="AD163" s="2">
        <f t="shared" ca="1" si="22"/>
        <v>45498</v>
      </c>
      <c r="AE163">
        <f t="shared" ca="1" si="23"/>
        <v>0</v>
      </c>
      <c r="AG163" s="65">
        <f t="shared" ca="1" si="27"/>
        <v>55.3167880672001</v>
      </c>
      <c r="AH163" s="65">
        <f t="shared" ca="1" si="28"/>
        <v>55.3167880672001</v>
      </c>
      <c r="AI163" s="3">
        <f t="shared" ca="1" si="29"/>
        <v>0</v>
      </c>
    </row>
    <row r="164" spans="7:35" x14ac:dyDescent="0.25">
      <c r="G164" s="3">
        <f t="shared" ca="1" si="24"/>
        <v>164</v>
      </c>
      <c r="H164" s="97">
        <f t="shared" ca="1" si="26"/>
        <v>45454</v>
      </c>
      <c r="I164" s="121">
        <f ca="1">HLOOKUP($H$4,'Met Data'!$A$2:$F$368,G164,FALSE)</f>
        <v>11.8375</v>
      </c>
      <c r="J164" s="121">
        <f ca="1">HLOOKUP($H$4,'Met Data'!$H$2:$M$368,G164,FALSE)*L164</f>
        <v>1.501666666666666</v>
      </c>
      <c r="K164" s="98">
        <f ca="1">HLOOKUP($H$4,'Met Data'!$O$2:$T$368,G164,FALSE)</f>
        <v>0.886573255907814</v>
      </c>
      <c r="L164">
        <f t="shared" ca="1" si="20"/>
        <v>1.7</v>
      </c>
      <c r="N164" t="b">
        <f t="shared" ca="1" si="25"/>
        <v>0</v>
      </c>
      <c r="O164" t="b">
        <f t="shared" ca="1" si="21"/>
        <v>0</v>
      </c>
      <c r="P164" s="2">
        <f ca="1"/>
        <v>45499</v>
      </c>
      <c r="Q164">
        <f ca="1"/>
        <v>56.598279655517132</v>
      </c>
      <c r="R164">
        <f ca="1"/>
        <v>0.13327195235664599</v>
      </c>
      <c r="S164">
        <f ca="1"/>
        <v>1.851818250997546</v>
      </c>
      <c r="T164">
        <f ca="1"/>
        <v>0</v>
      </c>
      <c r="U164">
        <f ca="1"/>
        <v>0</v>
      </c>
      <c r="V164">
        <f ca="1"/>
        <v>3.7812865710296202</v>
      </c>
      <c r="W164">
        <f ca="1"/>
        <v>3.4591769742382099</v>
      </c>
      <c r="X164">
        <f ca="1"/>
        <v>0.31613065562802833</v>
      </c>
      <c r="Y164">
        <f ca="1"/>
        <v>1</v>
      </c>
      <c r="Z164">
        <f ca="1"/>
        <v>1.7638474873058811</v>
      </c>
      <c r="AA164">
        <f ca="1"/>
        <v>0</v>
      </c>
      <c r="AB164">
        <f ca="1"/>
        <v>9.2959682930285302E-3</v>
      </c>
      <c r="AD164" s="2">
        <f t="shared" ca="1" si="22"/>
        <v>45499</v>
      </c>
      <c r="AE164">
        <f t="shared" ca="1" si="23"/>
        <v>0</v>
      </c>
      <c r="AG164" s="65">
        <f t="shared" ca="1" si="27"/>
        <v>57.047682263501805</v>
      </c>
      <c r="AH164" s="65">
        <f t="shared" ca="1" si="28"/>
        <v>57.047682263501805</v>
      </c>
      <c r="AI164" s="3">
        <f t="shared" ca="1" si="29"/>
        <v>0</v>
      </c>
    </row>
    <row r="165" spans="7:35" x14ac:dyDescent="0.25">
      <c r="G165" s="3">
        <f t="shared" ca="1" si="24"/>
        <v>165</v>
      </c>
      <c r="H165" s="97">
        <f t="shared" ca="1" si="26"/>
        <v>45455</v>
      </c>
      <c r="I165" s="121">
        <f ca="1">HLOOKUP($H$4,'Met Data'!$A$2:$F$368,G165,FALSE)</f>
        <v>10.4916666666666</v>
      </c>
      <c r="J165" s="121">
        <f ca="1">HLOOKUP($H$4,'Met Data'!$H$2:$M$368,G165,FALSE)*L165</f>
        <v>9.0383333333333216</v>
      </c>
      <c r="K165" s="98">
        <f ca="1">HLOOKUP($H$4,'Met Data'!$O$2:$T$368,G165,FALSE)</f>
        <v>0.75300621765048603</v>
      </c>
      <c r="L165">
        <f t="shared" ca="1" si="20"/>
        <v>1.7</v>
      </c>
      <c r="N165" t="b">
        <f t="shared" ca="1" si="25"/>
        <v>0</v>
      </c>
      <c r="O165" t="b">
        <f t="shared" ca="1" si="21"/>
        <v>0</v>
      </c>
      <c r="P165" s="2">
        <f ca="1"/>
        <v>45500</v>
      </c>
      <c r="Q165">
        <f ca="1"/>
        <v>57.962184361187269</v>
      </c>
      <c r="R165">
        <f ca="1"/>
        <v>0.13283633459702099</v>
      </c>
      <c r="S165">
        <f ca="1"/>
        <v>1.6560927129635488</v>
      </c>
      <c r="T165">
        <f ca="1"/>
        <v>0</v>
      </c>
      <c r="U165">
        <f ca="1"/>
        <v>0</v>
      </c>
      <c r="V165">
        <f ca="1"/>
        <v>3.9141229056266398</v>
      </c>
      <c r="W165">
        <f ca="1"/>
        <v>3.5806976210732602</v>
      </c>
      <c r="X165">
        <f ca="1"/>
        <v>0.15935167269638842</v>
      </c>
      <c r="Y165">
        <f ca="1"/>
        <v>1</v>
      </c>
      <c r="Z165">
        <f ca="1"/>
        <v>0.86817951059117604</v>
      </c>
      <c r="AA165">
        <f ca="1"/>
        <v>0</v>
      </c>
      <c r="AB165">
        <f ca="1"/>
        <v>1.0367045810949899E-2</v>
      </c>
      <c r="AD165" s="2">
        <f t="shared" ca="1" si="22"/>
        <v>45500</v>
      </c>
      <c r="AE165">
        <f t="shared" ca="1" si="23"/>
        <v>0</v>
      </c>
      <c r="AG165" s="65">
        <f t="shared" ca="1" si="27"/>
        <v>58.254372368480681</v>
      </c>
      <c r="AH165" s="65">
        <f t="shared" ca="1" si="28"/>
        <v>58.254372368480681</v>
      </c>
      <c r="AI165" s="3">
        <f t="shared" ca="1" si="29"/>
        <v>0</v>
      </c>
    </row>
    <row r="166" spans="7:35" x14ac:dyDescent="0.25">
      <c r="G166" s="3">
        <f t="shared" ca="1" si="24"/>
        <v>166</v>
      </c>
      <c r="H166" s="97">
        <f t="shared" ca="1" si="26"/>
        <v>45456</v>
      </c>
      <c r="I166" s="121">
        <f ca="1">HLOOKUP($H$4,'Met Data'!$A$2:$F$368,G166,FALSE)</f>
        <v>10.133333333333301</v>
      </c>
      <c r="J166" s="121">
        <f ca="1">HLOOKUP($H$4,'Met Data'!$H$2:$M$368,G166,FALSE)*L166</f>
        <v>2.04</v>
      </c>
      <c r="K166" s="98">
        <f ca="1">HLOOKUP($H$4,'Met Data'!$O$2:$T$368,G166,FALSE)</f>
        <v>1.0949815777606999</v>
      </c>
      <c r="L166">
        <f t="shared" ca="1" si="20"/>
        <v>1.7</v>
      </c>
      <c r="N166" t="b">
        <f t="shared" ca="1" si="25"/>
        <v>0</v>
      </c>
      <c r="O166" t="b">
        <f t="shared" ca="1" si="21"/>
        <v>0</v>
      </c>
      <c r="P166" s="2">
        <f ca="1"/>
        <v>45501</v>
      </c>
      <c r="Q166">
        <f ca="1"/>
        <v>58.704689006242482</v>
      </c>
      <c r="R166">
        <f ca="1"/>
        <v>0.13817849581125899</v>
      </c>
      <c r="S166">
        <f ca="1"/>
        <v>1.5432365768927099</v>
      </c>
      <c r="T166">
        <f ca="1"/>
        <v>0</v>
      </c>
      <c r="U166">
        <f ca="1"/>
        <v>0</v>
      </c>
      <c r="V166">
        <f ca="1"/>
        <v>4.0523014014378997</v>
      </c>
      <c r="W166">
        <f ca="1"/>
        <v>3.7071053561302301</v>
      </c>
      <c r="X166">
        <f ca="1"/>
        <v>0.66255343602623884</v>
      </c>
      <c r="Y166">
        <f ca="1"/>
        <v>1</v>
      </c>
      <c r="Z166">
        <f ca="1"/>
        <v>3.5640662507920382</v>
      </c>
      <c r="AA166">
        <f ca="1"/>
        <v>0</v>
      </c>
      <c r="AB166">
        <f ca="1"/>
        <v>1.1567095517083899E-2</v>
      </c>
      <c r="AD166" s="2">
        <f t="shared" ca="1" si="22"/>
        <v>45501</v>
      </c>
      <c r="AE166">
        <f t="shared" ca="1" si="23"/>
        <v>0</v>
      </c>
      <c r="AG166" s="65">
        <f t="shared" ca="1" si="27"/>
        <v>59.505420938079979</v>
      </c>
      <c r="AH166" s="65">
        <f t="shared" ca="1" si="28"/>
        <v>59.505420938079979</v>
      </c>
      <c r="AI166" s="3">
        <f t="shared" ca="1" si="29"/>
        <v>0</v>
      </c>
    </row>
    <row r="167" spans="7:35" x14ac:dyDescent="0.25">
      <c r="G167" s="3">
        <f t="shared" ca="1" si="24"/>
        <v>167</v>
      </c>
      <c r="H167" s="97">
        <f t="shared" ca="1" si="26"/>
        <v>45457</v>
      </c>
      <c r="I167" s="121">
        <f ca="1">HLOOKUP($H$4,'Met Data'!$A$2:$F$368,G167,FALSE)</f>
        <v>9.0291666666666597</v>
      </c>
      <c r="J167" s="121">
        <f ca="1">HLOOKUP($H$4,'Met Data'!$H$2:$M$368,G167,FALSE)*L167</f>
        <v>3.4849999999999994</v>
      </c>
      <c r="K167" s="98">
        <f ca="1">HLOOKUP($H$4,'Met Data'!$O$2:$T$368,G167,FALSE)</f>
        <v>0.76363291076582096</v>
      </c>
      <c r="L167">
        <f t="shared" ca="1" si="20"/>
        <v>1.7</v>
      </c>
      <c r="N167" t="b">
        <f t="shared" ca="1" si="25"/>
        <v>0</v>
      </c>
      <c r="O167" t="b">
        <f t="shared" ca="1" si="21"/>
        <v>0</v>
      </c>
      <c r="P167" s="2">
        <f ca="1"/>
        <v>45502</v>
      </c>
      <c r="Q167">
        <f ca="1"/>
        <v>59.64875859686385</v>
      </c>
      <c r="R167">
        <f ca="1"/>
        <v>0.129160846720908</v>
      </c>
      <c r="S167">
        <f ca="1"/>
        <v>1.3129508411223014</v>
      </c>
      <c r="T167">
        <f ca="1"/>
        <v>0</v>
      </c>
      <c r="U167">
        <f ca="1"/>
        <v>0</v>
      </c>
      <c r="V167">
        <f ca="1"/>
        <v>4.1814622481588097</v>
      </c>
      <c r="W167">
        <f ca="1"/>
        <v>3.82526361220454</v>
      </c>
      <c r="X167">
        <f ca="1"/>
        <v>0.23972040378002368</v>
      </c>
      <c r="Y167">
        <f ca="1"/>
        <v>1</v>
      </c>
      <c r="Z167">
        <f ca="1"/>
        <v>1.2691157690755404</v>
      </c>
      <c r="AA167">
        <f ca="1"/>
        <v>0</v>
      </c>
      <c r="AB167">
        <f ca="1"/>
        <v>1.2770955300954101E-2</v>
      </c>
      <c r="AD167" s="2">
        <f t="shared" ca="1" si="22"/>
        <v>45502</v>
      </c>
      <c r="AE167">
        <f t="shared" ca="1" si="23"/>
        <v>0</v>
      </c>
      <c r="AG167" s="65">
        <f t="shared" ca="1" si="27"/>
        <v>60.017639847364784</v>
      </c>
      <c r="AH167" s="65">
        <f t="shared" ca="1" si="28"/>
        <v>60.017639847364784</v>
      </c>
      <c r="AI167" s="3">
        <f t="shared" ca="1" si="29"/>
        <v>0</v>
      </c>
    </row>
    <row r="168" spans="7:35" x14ac:dyDescent="0.25">
      <c r="G168" s="3">
        <f t="shared" ca="1" si="24"/>
        <v>168</v>
      </c>
      <c r="H168" s="97">
        <f t="shared" ca="1" si="26"/>
        <v>45458</v>
      </c>
      <c r="I168" s="121">
        <f ca="1">HLOOKUP($H$4,'Met Data'!$A$2:$F$368,G168,FALSE)</f>
        <v>10.125</v>
      </c>
      <c r="J168" s="121">
        <f ca="1">HLOOKUP($H$4,'Met Data'!$H$2:$M$368,G168,FALSE)*L168</f>
        <v>4.5616666666666612</v>
      </c>
      <c r="K168" s="98">
        <f ca="1">HLOOKUP($H$4,'Met Data'!$O$2:$T$368,G168,FALSE)</f>
        <v>0.84633721178312304</v>
      </c>
      <c r="L168">
        <f t="shared" ca="1" si="20"/>
        <v>1.7</v>
      </c>
      <c r="N168" t="b">
        <f t="shared" ca="1" si="25"/>
        <v>0</v>
      </c>
      <c r="O168" t="b">
        <f t="shared" ca="1" si="21"/>
        <v>0</v>
      </c>
      <c r="P168" s="2">
        <f ca="1"/>
        <v>45503</v>
      </c>
      <c r="Q168">
        <f ca="1"/>
        <v>60.180203300346896</v>
      </c>
      <c r="R168">
        <f ca="1"/>
        <v>0.14262992067335001</v>
      </c>
      <c r="S168">
        <f ca="1"/>
        <v>1.2966328691667286</v>
      </c>
      <c r="T168">
        <f ca="1"/>
        <v>0</v>
      </c>
      <c r="U168">
        <f ca="1"/>
        <v>0</v>
      </c>
      <c r="V168">
        <f ca="1"/>
        <v>4.3240921688321601</v>
      </c>
      <c r="W168">
        <f ca="1"/>
        <v>3.9557435766723801</v>
      </c>
      <c r="X168">
        <f ca="1"/>
        <v>0.62255824501033408</v>
      </c>
      <c r="Y168">
        <f ca="1"/>
        <v>1</v>
      </c>
      <c r="Z168">
        <f ca="1"/>
        <v>3.2668108405749763</v>
      </c>
      <c r="AA168">
        <f ca="1"/>
        <v>0</v>
      </c>
      <c r="AB168">
        <f ca="1"/>
        <v>1.41958798534947E-2</v>
      </c>
      <c r="AD168" s="2">
        <f t="shared" ca="1" si="22"/>
        <v>45503</v>
      </c>
      <c r="AE168">
        <f t="shared" ca="1" si="23"/>
        <v>0</v>
      </c>
      <c r="AG168" s="65">
        <f t="shared" ca="1" si="27"/>
        <v>60.945391466030578</v>
      </c>
      <c r="AH168" s="65">
        <f t="shared" ca="1" si="28"/>
        <v>60.945391466030578</v>
      </c>
      <c r="AI168" s="3">
        <f t="shared" ca="1" si="29"/>
        <v>0</v>
      </c>
    </row>
    <row r="169" spans="7:35" x14ac:dyDescent="0.25">
      <c r="G169" s="3">
        <f t="shared" ca="1" si="24"/>
        <v>169</v>
      </c>
      <c r="H169" s="97">
        <f t="shared" ca="1" si="26"/>
        <v>45459</v>
      </c>
      <c r="I169" s="121">
        <f ca="1">HLOOKUP($H$4,'Met Data'!$A$2:$F$368,G169,FALSE)</f>
        <v>10.2291666666666</v>
      </c>
      <c r="J169" s="121">
        <f ca="1">HLOOKUP($H$4,'Met Data'!$H$2:$M$368,G169,FALSE)*L169</f>
        <v>4.3066666666666613</v>
      </c>
      <c r="K169" s="98">
        <f ca="1">HLOOKUP($H$4,'Met Data'!$O$2:$T$368,G169,FALSE)</f>
        <v>0.91611783655738799</v>
      </c>
      <c r="L169">
        <f t="shared" ca="1" si="20"/>
        <v>1.7</v>
      </c>
      <c r="N169" t="b">
        <f t="shared" ca="1" si="25"/>
        <v>0</v>
      </c>
      <c r="O169" t="b">
        <f t="shared" ca="1" si="21"/>
        <v>0</v>
      </c>
      <c r="P169" s="2">
        <f ca="1"/>
        <v>45504</v>
      </c>
      <c r="Q169">
        <f ca="1"/>
        <v>59.888866792151909</v>
      </c>
      <c r="R169">
        <f ca="1"/>
        <v>0.17463658351714401</v>
      </c>
      <c r="S169">
        <f ca="1"/>
        <v>1.4021517023102206</v>
      </c>
      <c r="T169">
        <f ca="1"/>
        <v>0</v>
      </c>
      <c r="U169">
        <f ca="1"/>
        <v>0</v>
      </c>
      <c r="V169">
        <f ca="1"/>
        <v>4.4987287523493</v>
      </c>
      <c r="W169">
        <f ca="1"/>
        <v>4.1155037104825096</v>
      </c>
      <c r="X169">
        <f ca="1"/>
        <v>1.5188516269880681</v>
      </c>
      <c r="Y169">
        <f ca="1"/>
        <v>1</v>
      </c>
      <c r="Z169">
        <f ca="1"/>
        <v>8.0087899735284793</v>
      </c>
      <c r="AA169">
        <f ca="1"/>
        <v>0</v>
      </c>
      <c r="AB169">
        <f ca="1"/>
        <v>1.6082189571688402E-2</v>
      </c>
      <c r="AD169" s="2">
        <f t="shared" ca="1" si="22"/>
        <v>45504</v>
      </c>
      <c r="AE169">
        <f t="shared" ca="1" si="23"/>
        <v>0</v>
      </c>
      <c r="AG169" s="65">
        <f t="shared" ca="1" si="27"/>
        <v>61.582355002657117</v>
      </c>
      <c r="AH169" s="65">
        <f t="shared" ca="1" si="28"/>
        <v>61.582355002657117</v>
      </c>
      <c r="AI169" s="3">
        <f t="shared" ca="1" si="29"/>
        <v>0</v>
      </c>
    </row>
    <row r="170" spans="7:35" x14ac:dyDescent="0.25">
      <c r="G170" s="3">
        <f t="shared" ca="1" si="24"/>
        <v>170</v>
      </c>
      <c r="H170" s="97">
        <f t="shared" ca="1" si="26"/>
        <v>45460</v>
      </c>
      <c r="I170" s="121">
        <f ca="1">HLOOKUP($H$4,'Met Data'!$A$2:$F$368,G170,FALSE)</f>
        <v>10.316666666666601</v>
      </c>
      <c r="J170" s="121">
        <f ca="1">HLOOKUP($H$4,'Met Data'!$H$2:$M$368,G170,FALSE)*L170</f>
        <v>9.35</v>
      </c>
      <c r="K170" s="98">
        <f ca="1">HLOOKUP($H$4,'Met Data'!$O$2:$T$368,G170,FALSE)</f>
        <v>0.749895043982166</v>
      </c>
      <c r="L170">
        <f t="shared" ca="1" si="20"/>
        <v>1.7</v>
      </c>
      <c r="N170" t="b">
        <f t="shared" ca="1" si="25"/>
        <v>0</v>
      </c>
      <c r="O170" t="b">
        <f t="shared" ca="1" si="21"/>
        <v>0</v>
      </c>
      <c r="P170" s="2">
        <f ca="1"/>
        <v>45505</v>
      </c>
      <c r="Q170">
        <f ca="1"/>
        <v>59.802193034290937</v>
      </c>
      <c r="R170">
        <f ca="1"/>
        <v>0.186130731632767</v>
      </c>
      <c r="S170">
        <f ca="1"/>
        <v>1.316195507491642</v>
      </c>
      <c r="T170">
        <f ca="1"/>
        <v>0</v>
      </c>
      <c r="U170">
        <f ca="1"/>
        <v>0</v>
      </c>
      <c r="V170">
        <f ca="1"/>
        <v>4.6848594839820699</v>
      </c>
      <c r="W170">
        <f ca="1"/>
        <v>4.2857788612724903</v>
      </c>
      <c r="X170">
        <f ca="1"/>
        <v>1.2167385337198449</v>
      </c>
      <c r="Y170">
        <f ca="1"/>
        <v>1</v>
      </c>
      <c r="Z170">
        <f ca="1"/>
        <v>6.4250690765531999</v>
      </c>
      <c r="AA170">
        <f ca="1"/>
        <v>0</v>
      </c>
      <c r="AB170">
        <f ca="1"/>
        <v>1.8271128990565301E-2</v>
      </c>
      <c r="AD170" s="2">
        <f t="shared" ca="1" si="22"/>
        <v>45505</v>
      </c>
      <c r="AE170">
        <f t="shared" ca="1" si="23"/>
        <v>0</v>
      </c>
      <c r="AG170" s="65">
        <f t="shared" ca="1" si="27"/>
        <v>61.205062299643551</v>
      </c>
      <c r="AH170" s="65">
        <f t="shared" ca="1" si="28"/>
        <v>61.205062299643551</v>
      </c>
      <c r="AI170" s="3">
        <f t="shared" ca="1" si="29"/>
        <v>0</v>
      </c>
    </row>
    <row r="171" spans="7:35" x14ac:dyDescent="0.25">
      <c r="G171" s="3">
        <f t="shared" ca="1" si="24"/>
        <v>171</v>
      </c>
      <c r="H171" s="97">
        <f t="shared" ca="1" si="26"/>
        <v>45461</v>
      </c>
      <c r="I171" s="121">
        <f ca="1">HLOOKUP($H$4,'Met Data'!$A$2:$F$368,G171,FALSE)</f>
        <v>10.6666666666666</v>
      </c>
      <c r="J171" s="121">
        <f ca="1">HLOOKUP($H$4,'Met Data'!$H$2:$M$368,G171,FALSE)*L171</f>
        <v>20.201666666666611</v>
      </c>
      <c r="K171" s="98">
        <f ca="1">HLOOKUP($H$4,'Met Data'!$O$2:$T$368,G171,FALSE)</f>
        <v>0.72031723210574305</v>
      </c>
      <c r="L171">
        <f t="shared" ca="1" si="20"/>
        <v>1.7</v>
      </c>
      <c r="N171" t="b">
        <f t="shared" ca="1" si="25"/>
        <v>0</v>
      </c>
      <c r="O171" t="b">
        <f t="shared" ca="1" si="21"/>
        <v>0</v>
      </c>
      <c r="P171" s="2">
        <f ca="1"/>
        <v>45506</v>
      </c>
      <c r="Q171">
        <f ca="1"/>
        <v>60.356578042473167</v>
      </c>
      <c r="R171">
        <f ca="1"/>
        <v>0.18448064464283001</v>
      </c>
      <c r="S171">
        <f ca="1"/>
        <v>1.1497616343733057</v>
      </c>
      <c r="T171">
        <f ca="1"/>
        <v>0</v>
      </c>
      <c r="U171">
        <f ca="1"/>
        <v>0</v>
      </c>
      <c r="V171">
        <f ca="1"/>
        <v>4.8693401286249003</v>
      </c>
      <c r="W171">
        <f ca="1"/>
        <v>4.4545444880383398</v>
      </c>
      <c r="X171">
        <f ca="1"/>
        <v>0.41089598154824675</v>
      </c>
      <c r="Y171">
        <f ca="1"/>
        <v>1</v>
      </c>
      <c r="Z171">
        <f ca="1"/>
        <v>2.149834035666629</v>
      </c>
      <c r="AA171">
        <f ca="1"/>
        <v>0</v>
      </c>
      <c r="AB171">
        <f ca="1"/>
        <v>2.06297344618111E-2</v>
      </c>
      <c r="AD171" s="2">
        <f t="shared" ca="1" si="22"/>
        <v>45506</v>
      </c>
      <c r="AE171">
        <f t="shared" ca="1" si="23"/>
        <v>0</v>
      </c>
      <c r="AG171" s="65">
        <f t="shared" ca="1" si="27"/>
        <v>60.951954668664243</v>
      </c>
      <c r="AH171" s="65">
        <f t="shared" ca="1" si="28"/>
        <v>60.951954668664243</v>
      </c>
      <c r="AI171" s="3">
        <f t="shared" ca="1" si="29"/>
        <v>0</v>
      </c>
    </row>
    <row r="172" spans="7:35" x14ac:dyDescent="0.25">
      <c r="G172" s="3">
        <f t="shared" ca="1" si="24"/>
        <v>172</v>
      </c>
      <c r="H172" s="97">
        <f t="shared" ca="1" si="26"/>
        <v>45462</v>
      </c>
      <c r="I172" s="121">
        <f ca="1">HLOOKUP($H$4,'Met Data'!$A$2:$F$368,G172,FALSE)</f>
        <v>10.6181818181818</v>
      </c>
      <c r="J172" s="121">
        <f ca="1">HLOOKUP($H$4,'Met Data'!$H$2:$M$368,G172,FALSE)*L172</f>
        <v>15.330909090909078</v>
      </c>
      <c r="K172" s="98">
        <f ca="1">HLOOKUP($H$4,'Met Data'!$O$2:$T$368,G172,FALSE)</f>
        <v>0.829345309973199</v>
      </c>
      <c r="L172">
        <f t="shared" ca="1" si="20"/>
        <v>1.7</v>
      </c>
      <c r="N172" t="b">
        <f t="shared" ca="1" si="25"/>
        <v>0</v>
      </c>
      <c r="O172" t="b">
        <f t="shared" ca="1" si="21"/>
        <v>0</v>
      </c>
      <c r="P172" s="2">
        <f ca="1"/>
        <v>45507</v>
      </c>
      <c r="Q172">
        <f ca="1"/>
        <v>59.504296923675611</v>
      </c>
      <c r="R172">
        <f ca="1"/>
        <v>0.193075516010418</v>
      </c>
      <c r="S172">
        <f ca="1"/>
        <v>1.0633330190714645</v>
      </c>
      <c r="T172">
        <f ca="1"/>
        <v>0</v>
      </c>
      <c r="U172">
        <f ca="1"/>
        <v>0</v>
      </c>
      <c r="V172">
        <f ca="1"/>
        <v>5.0624156446353199</v>
      </c>
      <c r="W172">
        <f ca="1"/>
        <v>4.6311728304626802</v>
      </c>
      <c r="X172">
        <f ca="1"/>
        <v>1.7225386218586021</v>
      </c>
      <c r="Y172">
        <f ca="1"/>
        <v>1</v>
      </c>
      <c r="Z172">
        <f ca="1"/>
        <v>9.141517384789438</v>
      </c>
      <c r="AA172">
        <f ca="1"/>
        <v>0</v>
      </c>
      <c r="AB172">
        <f ca="1"/>
        <v>2.3307662488437499E-2</v>
      </c>
      <c r="AD172" s="2">
        <f t="shared" ca="1" si="22"/>
        <v>45507</v>
      </c>
      <c r="AE172">
        <f t="shared" ca="1" si="23"/>
        <v>0</v>
      </c>
      <c r="AG172" s="65">
        <f t="shared" ca="1" si="27"/>
        <v>61.419911061544632</v>
      </c>
      <c r="AH172" s="65">
        <f t="shared" ca="1" si="28"/>
        <v>61.419911061544632</v>
      </c>
      <c r="AI172" s="3">
        <f t="shared" ca="1" si="29"/>
        <v>0</v>
      </c>
    </row>
    <row r="173" spans="7:35" x14ac:dyDescent="0.25">
      <c r="G173" s="3">
        <f t="shared" ca="1" si="24"/>
        <v>173</v>
      </c>
      <c r="H173" s="97">
        <f t="shared" ca="1" si="26"/>
        <v>45463</v>
      </c>
      <c r="I173" s="121">
        <f ca="1">HLOOKUP($H$4,'Met Data'!$A$2:$F$368,G173,FALSE)</f>
        <v>10.0318181818181</v>
      </c>
      <c r="J173" s="121">
        <f ca="1">HLOOKUP($H$4,'Met Data'!$H$2:$M$368,G173,FALSE)*L173</f>
        <v>3.24545454545453</v>
      </c>
      <c r="K173" s="98">
        <f ca="1">HLOOKUP($H$4,'Met Data'!$O$2:$T$368,G173,FALSE)</f>
        <v>0.90574236110997597</v>
      </c>
      <c r="L173">
        <f t="shared" ca="1" si="20"/>
        <v>1.7</v>
      </c>
      <c r="N173" t="b">
        <f t="shared" ca="1" si="25"/>
        <v>0</v>
      </c>
      <c r="O173" t="b">
        <f t="shared" ca="1" si="21"/>
        <v>0</v>
      </c>
      <c r="P173" s="2">
        <f ca="1"/>
        <v>45508</v>
      </c>
      <c r="Q173">
        <f ca="1"/>
        <v>59.547094769230654</v>
      </c>
      <c r="R173">
        <f ca="1"/>
        <v>0.19224277687399599</v>
      </c>
      <c r="S173">
        <f ca="1"/>
        <v>0.93809655675120496</v>
      </c>
      <c r="T173">
        <f ca="1"/>
        <v>0</v>
      </c>
      <c r="U173">
        <f ca="1"/>
        <v>0</v>
      </c>
      <c r="V173">
        <f ca="1"/>
        <v>5.2546584215093199</v>
      </c>
      <c r="W173">
        <f ca="1"/>
        <v>4.80703937078815</v>
      </c>
      <c r="X173">
        <f ca="1"/>
        <v>0.70305593432216473</v>
      </c>
      <c r="Y173">
        <f ca="1"/>
        <v>1</v>
      </c>
      <c r="Z173">
        <f ca="1"/>
        <v>3.7284382106392684</v>
      </c>
      <c r="AA173">
        <f ca="1"/>
        <v>0</v>
      </c>
      <c r="AB173">
        <f ca="1"/>
        <v>2.6194617564555499E-2</v>
      </c>
      <c r="AD173" s="2">
        <f t="shared" ca="1" si="22"/>
        <v>45508</v>
      </c>
      <c r="AE173">
        <f t="shared" ca="1" si="23"/>
        <v>0</v>
      </c>
      <c r="AG173" s="65">
        <f t="shared" ca="1" si="27"/>
        <v>60.442393480426816</v>
      </c>
      <c r="AH173" s="65">
        <f t="shared" ca="1" si="28"/>
        <v>60.442393480426816</v>
      </c>
      <c r="AI173" s="3">
        <f t="shared" ca="1" si="29"/>
        <v>0</v>
      </c>
    </row>
    <row r="174" spans="7:35" x14ac:dyDescent="0.25">
      <c r="G174" s="3">
        <f t="shared" ca="1" si="24"/>
        <v>174</v>
      </c>
      <c r="H174" s="97">
        <f t="shared" ca="1" si="26"/>
        <v>45464</v>
      </c>
      <c r="I174" s="121">
        <f ca="1">HLOOKUP($H$4,'Met Data'!$A$2:$F$368,G174,FALSE)</f>
        <v>8.9727272727272709</v>
      </c>
      <c r="J174" s="121">
        <f ca="1">HLOOKUP($H$4,'Met Data'!$H$2:$M$368,G174,FALSE)*L174</f>
        <v>3.3381818181818121</v>
      </c>
      <c r="K174" s="98">
        <f ca="1">HLOOKUP($H$4,'Met Data'!$O$2:$T$368,G174,FALSE)</f>
        <v>0.89904843691310898</v>
      </c>
      <c r="L174">
        <f t="shared" ca="1" si="20"/>
        <v>1.7</v>
      </c>
      <c r="N174" t="b">
        <f t="shared" ca="1" si="25"/>
        <v>0</v>
      </c>
      <c r="O174" t="b">
        <f t="shared" ca="1" si="21"/>
        <v>0</v>
      </c>
      <c r="P174" s="2">
        <f ca="1"/>
        <v>45509</v>
      </c>
      <c r="Q174">
        <f ca="1"/>
        <v>58.985691402983164</v>
      </c>
      <c r="R174">
        <f ca="1"/>
        <v>0.20157784048876501</v>
      </c>
      <c r="S174">
        <f ca="1"/>
        <v>0.87216902518241568</v>
      </c>
      <c r="T174">
        <f ca="1"/>
        <v>0</v>
      </c>
      <c r="U174">
        <f ca="1"/>
        <v>0</v>
      </c>
      <c r="V174">
        <f ca="1"/>
        <v>5.4562362619980798</v>
      </c>
      <c r="W174">
        <f ca="1"/>
        <v>4.9914457656056497</v>
      </c>
      <c r="X174">
        <f ca="1"/>
        <v>1.2319945509411396</v>
      </c>
      <c r="Y174">
        <f ca="1"/>
        <v>1</v>
      </c>
      <c r="Z174">
        <f ca="1"/>
        <v>6.5956828100152052</v>
      </c>
      <c r="AA174">
        <f ca="1"/>
        <v>0</v>
      </c>
      <c r="AB174">
        <f ca="1"/>
        <v>2.9466325764011099E-2</v>
      </c>
      <c r="AD174" s="2">
        <f t="shared" ca="1" si="22"/>
        <v>45509</v>
      </c>
      <c r="AE174">
        <f t="shared" ca="1" si="23"/>
        <v>0</v>
      </c>
      <c r="AG174" s="65">
        <f t="shared" ca="1" si="27"/>
        <v>60.419263794413069</v>
      </c>
      <c r="AH174" s="65">
        <f t="shared" ca="1" si="28"/>
        <v>60.419263794413069</v>
      </c>
      <c r="AI174" s="3">
        <f t="shared" ca="1" si="29"/>
        <v>0</v>
      </c>
    </row>
    <row r="175" spans="7:35" x14ac:dyDescent="0.25">
      <c r="G175" s="3">
        <f t="shared" ca="1" si="24"/>
        <v>175</v>
      </c>
      <c r="H175" s="97">
        <f t="shared" ca="1" si="26"/>
        <v>45465</v>
      </c>
      <c r="I175" s="121">
        <f ca="1">HLOOKUP($H$4,'Met Data'!$A$2:$F$368,G175,FALSE)</f>
        <v>9.0227272727272698</v>
      </c>
      <c r="J175" s="121">
        <f ca="1">HLOOKUP($H$4,'Met Data'!$H$2:$M$368,G175,FALSE)*L175</f>
        <v>5.1309090909090767</v>
      </c>
      <c r="K175" s="98">
        <f ca="1">HLOOKUP($H$4,'Met Data'!$O$2:$T$368,G175,FALSE)</f>
        <v>0.82913615112138495</v>
      </c>
      <c r="L175">
        <f t="shared" ca="1" si="20"/>
        <v>1.7</v>
      </c>
      <c r="N175" t="b">
        <f t="shared" ca="1" si="25"/>
        <v>0</v>
      </c>
      <c r="O175" t="b">
        <f t="shared" ca="1" si="21"/>
        <v>0</v>
      </c>
      <c r="P175" s="2">
        <f ca="1"/>
        <v>45510</v>
      </c>
      <c r="Q175">
        <f ca="1"/>
        <v>59.090814655043438</v>
      </c>
      <c r="R175">
        <f ca="1"/>
        <v>0.21140807174444001</v>
      </c>
      <c r="S175">
        <f ca="1"/>
        <v>0.80997881489565771</v>
      </c>
      <c r="T175">
        <f ca="1"/>
        <v>0</v>
      </c>
      <c r="U175">
        <f ca="1"/>
        <v>0</v>
      </c>
      <c r="V175">
        <f ca="1"/>
        <v>5.66764433374252</v>
      </c>
      <c r="W175">
        <f ca="1"/>
        <v>5.1848450016088998</v>
      </c>
      <c r="X175">
        <f ca="1"/>
        <v>0.49344749109094432</v>
      </c>
      <c r="Y175">
        <f ca="1"/>
        <v>1</v>
      </c>
      <c r="Z175">
        <f ca="1"/>
        <v>2.637051535201735</v>
      </c>
      <c r="AA175">
        <f ca="1"/>
        <v>0</v>
      </c>
      <c r="AB175">
        <f ca="1"/>
        <v>3.3175320348993197E-2</v>
      </c>
      <c r="AD175" s="2">
        <f t="shared" ca="1" si="22"/>
        <v>45510</v>
      </c>
      <c r="AE175">
        <f t="shared" ca="1" si="23"/>
        <v>0</v>
      </c>
      <c r="AG175" s="65">
        <f t="shared" ca="1" si="27"/>
        <v>59.795670217878822</v>
      </c>
      <c r="AH175" s="65">
        <f t="shared" ca="1" si="28"/>
        <v>59.795670217878822</v>
      </c>
      <c r="AI175" s="3">
        <f t="shared" ca="1" si="29"/>
        <v>0</v>
      </c>
    </row>
    <row r="176" spans="7:35" x14ac:dyDescent="0.25">
      <c r="G176" s="3">
        <f t="shared" ca="1" si="24"/>
        <v>176</v>
      </c>
      <c r="H176" s="97">
        <f t="shared" ca="1" si="26"/>
        <v>45466</v>
      </c>
      <c r="I176" s="121">
        <f ca="1">HLOOKUP($H$4,'Met Data'!$A$2:$F$368,G176,FALSE)</f>
        <v>10.3590909090909</v>
      </c>
      <c r="J176" s="121">
        <f ca="1">HLOOKUP($H$4,'Met Data'!$H$2:$M$368,G176,FALSE)*L176</f>
        <v>6.3672727272727174</v>
      </c>
      <c r="K176" s="98">
        <f ca="1">HLOOKUP($H$4,'Met Data'!$O$2:$T$368,G176,FALSE)</f>
        <v>0.88746237543267503</v>
      </c>
      <c r="L176">
        <f t="shared" ca="1" si="20"/>
        <v>1.7</v>
      </c>
      <c r="N176" t="b">
        <f t="shared" ca="1" si="25"/>
        <v>0</v>
      </c>
      <c r="O176" t="b">
        <f t="shared" ca="1" si="21"/>
        <v>0</v>
      </c>
      <c r="P176" s="2">
        <f ca="1"/>
        <v>45511</v>
      </c>
      <c r="Q176">
        <f ca="1"/>
        <v>58.6545079891157</v>
      </c>
      <c r="R176">
        <f ca="1"/>
        <v>0.207605762547834</v>
      </c>
      <c r="S176">
        <f ca="1"/>
        <v>0.70750518964000264</v>
      </c>
      <c r="T176">
        <f ca="1"/>
        <v>0</v>
      </c>
      <c r="U176">
        <f ca="1"/>
        <v>0</v>
      </c>
      <c r="V176">
        <f ca="1"/>
        <v>5.8752500962903502</v>
      </c>
      <c r="W176">
        <f ca="1"/>
        <v>5.37476582882858</v>
      </c>
      <c r="X176">
        <f ca="1"/>
        <v>0.93620609301990199</v>
      </c>
      <c r="Y176">
        <f ca="1"/>
        <v>1</v>
      </c>
      <c r="Z176">
        <f ca="1"/>
        <v>5.040431494703995</v>
      </c>
      <c r="AA176">
        <f ca="1"/>
        <v>0</v>
      </c>
      <c r="AB176">
        <f ca="1"/>
        <v>3.7102691601527203E-2</v>
      </c>
      <c r="AD176" s="2">
        <f t="shared" ca="1" si="22"/>
        <v>45511</v>
      </c>
      <c r="AE176">
        <f t="shared" ca="1" si="23"/>
        <v>0</v>
      </c>
      <c r="AG176" s="65">
        <f t="shared" ca="1" si="27"/>
        <v>59.798319844683441</v>
      </c>
      <c r="AH176" s="65">
        <f t="shared" ca="1" si="28"/>
        <v>59.798319844683441</v>
      </c>
      <c r="AI176" s="3">
        <f t="shared" ca="1" si="29"/>
        <v>0</v>
      </c>
    </row>
    <row r="177" spans="7:35" x14ac:dyDescent="0.25">
      <c r="G177" s="3">
        <f t="shared" ca="1" si="24"/>
        <v>177</v>
      </c>
      <c r="H177" s="97">
        <f t="shared" ca="1" si="26"/>
        <v>45467</v>
      </c>
      <c r="I177" s="121">
        <f ca="1">HLOOKUP($H$4,'Met Data'!$A$2:$F$368,G177,FALSE)</f>
        <v>9.5090909090909097</v>
      </c>
      <c r="J177" s="121">
        <f ca="1">HLOOKUP($H$4,'Met Data'!$H$2:$M$368,G177,FALSE)*L177</f>
        <v>5.2854545454545301</v>
      </c>
      <c r="K177" s="98">
        <f ca="1">HLOOKUP($H$4,'Met Data'!$O$2:$T$368,G177,FALSE)</f>
        <v>0.97866599470650895</v>
      </c>
      <c r="L177">
        <f t="shared" ca="1" si="20"/>
        <v>1.7</v>
      </c>
      <c r="N177" t="b">
        <f t="shared" ca="1" si="25"/>
        <v>0</v>
      </c>
      <c r="O177" t="b">
        <f t="shared" ca="1" si="21"/>
        <v>0</v>
      </c>
      <c r="P177" s="2">
        <f ca="1"/>
        <v>45512</v>
      </c>
      <c r="Q177">
        <f ca="1"/>
        <v>58.231132245329754</v>
      </c>
      <c r="R177">
        <f ca="1"/>
        <v>0.191119313973624</v>
      </c>
      <c r="S177">
        <f ca="1"/>
        <v>0.58941897828709955</v>
      </c>
      <c r="T177">
        <f ca="1"/>
        <v>0</v>
      </c>
      <c r="U177">
        <f ca="1"/>
        <v>0</v>
      </c>
      <c r="V177">
        <f ca="1"/>
        <v>6.06636941026398</v>
      </c>
      <c r="W177">
        <f ca="1"/>
        <v>5.5496046086488997</v>
      </c>
      <c r="X177">
        <f ca="1"/>
        <v>0.82167540809942552</v>
      </c>
      <c r="Y177">
        <f ca="1"/>
        <v>1</v>
      </c>
      <c r="Z177">
        <f ca="1"/>
        <v>4.4559745733569684</v>
      </c>
      <c r="AA177">
        <f ca="1"/>
        <v>0</v>
      </c>
      <c r="AB177">
        <f ca="1"/>
        <v>4.0974566329434997E-2</v>
      </c>
      <c r="AD177" s="2">
        <f t="shared" ca="1" si="22"/>
        <v>45512</v>
      </c>
      <c r="AE177">
        <f t="shared" ca="1" si="23"/>
        <v>0</v>
      </c>
      <c r="AG177" s="65">
        <f t="shared" ca="1" si="27"/>
        <v>59.2439269674028</v>
      </c>
      <c r="AH177" s="65">
        <f t="shared" ca="1" si="28"/>
        <v>59.2439269674028</v>
      </c>
      <c r="AI177" s="3">
        <f t="shared" ca="1" si="29"/>
        <v>0</v>
      </c>
    </row>
    <row r="178" spans="7:35" x14ac:dyDescent="0.25">
      <c r="G178" s="3">
        <f t="shared" ca="1" si="24"/>
        <v>178</v>
      </c>
      <c r="H178" s="97">
        <f t="shared" ca="1" si="26"/>
        <v>45468</v>
      </c>
      <c r="I178" s="121">
        <f ca="1">HLOOKUP($H$4,'Met Data'!$A$2:$F$368,G178,FALSE)</f>
        <v>9.1272727272727199</v>
      </c>
      <c r="J178" s="121">
        <f ca="1">HLOOKUP($H$4,'Met Data'!$H$2:$M$368,G178,FALSE)*L178</f>
        <v>2.1327272727272648</v>
      </c>
      <c r="K178" s="98">
        <f ca="1">HLOOKUP($H$4,'Met Data'!$O$2:$T$368,G178,FALSE)</f>
        <v>1.0040569739087299</v>
      </c>
      <c r="L178">
        <f t="shared" ca="1" si="20"/>
        <v>1.7</v>
      </c>
      <c r="N178" t="b">
        <f t="shared" ca="1" si="25"/>
        <v>0</v>
      </c>
      <c r="O178" t="b">
        <f t="shared" ca="1" si="21"/>
        <v>0</v>
      </c>
      <c r="P178" s="2">
        <f ca="1"/>
        <v>45513</v>
      </c>
      <c r="Q178">
        <f ca="1"/>
        <v>58.367555964216784</v>
      </c>
      <c r="R178">
        <f ca="1"/>
        <v>0.18318668603028199</v>
      </c>
      <c r="S178">
        <f ca="1"/>
        <v>0.51616651254775547</v>
      </c>
      <c r="T178">
        <f ca="1"/>
        <v>0</v>
      </c>
      <c r="U178">
        <f ca="1"/>
        <v>0</v>
      </c>
      <c r="V178">
        <f ca="1"/>
        <v>6.2495560962942598</v>
      </c>
      <c r="W178">
        <f ca="1"/>
        <v>5.7171865029062303</v>
      </c>
      <c r="X178">
        <f ca="1"/>
        <v>0.1965561076304416</v>
      </c>
      <c r="Y178">
        <f ca="1"/>
        <v>1</v>
      </c>
      <c r="Z178">
        <f ca="1"/>
        <v>1.0634392472435792</v>
      </c>
      <c r="AA178">
        <f ca="1"/>
        <v>0</v>
      </c>
      <c r="AB178">
        <f ca="1"/>
        <v>4.4921625208723698E-2</v>
      </c>
      <c r="AD178" s="2">
        <f t="shared" ca="1" si="22"/>
        <v>45513</v>
      </c>
      <c r="AE178">
        <f t="shared" ca="1" si="23"/>
        <v>0</v>
      </c>
      <c r="AG178" s="65">
        <f t="shared" ca="1" si="27"/>
        <v>58.747298757877509</v>
      </c>
      <c r="AH178" s="65">
        <f t="shared" ca="1" si="28"/>
        <v>58.747298757877509</v>
      </c>
      <c r="AI178" s="3">
        <f t="shared" ca="1" si="29"/>
        <v>0</v>
      </c>
    </row>
    <row r="179" spans="7:35" x14ac:dyDescent="0.25">
      <c r="G179" s="3">
        <f t="shared" ca="1" si="24"/>
        <v>179</v>
      </c>
      <c r="H179" s="97">
        <f t="shared" ca="1" si="26"/>
        <v>45469</v>
      </c>
      <c r="I179" s="121">
        <f ca="1">HLOOKUP($H$4,'Met Data'!$A$2:$F$368,G179,FALSE)</f>
        <v>8.7727272727272698</v>
      </c>
      <c r="J179" s="121">
        <f ca="1">HLOOKUP($H$4,'Met Data'!$H$2:$M$368,G179,FALSE)*L179</f>
        <v>5.0690909090909058</v>
      </c>
      <c r="K179" s="98">
        <f ca="1">HLOOKUP($H$4,'Met Data'!$O$2:$T$368,G179,FALSE)</f>
        <v>0.89055521132494797</v>
      </c>
      <c r="L179">
        <f t="shared" ca="1" si="20"/>
        <v>1.7</v>
      </c>
      <c r="N179" t="b">
        <f t="shared" ca="1" si="25"/>
        <v>0</v>
      </c>
      <c r="O179" t="b">
        <f t="shared" ca="1" si="21"/>
        <v>0</v>
      </c>
      <c r="P179" s="2">
        <f ca="1"/>
        <v>45514</v>
      </c>
      <c r="Q179">
        <f ca="1"/>
        <v>57.463296968283679</v>
      </c>
      <c r="R179">
        <f ca="1"/>
        <v>0.211732838529642</v>
      </c>
      <c r="S179">
        <f ca="1"/>
        <v>0.53027800823510063</v>
      </c>
      <c r="T179">
        <f ca="1"/>
        <v>0</v>
      </c>
      <c r="U179">
        <f ca="1"/>
        <v>0</v>
      </c>
      <c r="V179">
        <f ca="1"/>
        <v>6.4612889348238998</v>
      </c>
      <c r="W179">
        <f ca="1"/>
        <v>5.9108828403759404</v>
      </c>
      <c r="X179">
        <f ca="1"/>
        <v>1.2228041656385651</v>
      </c>
      <c r="Y179">
        <f ca="1"/>
        <v>1</v>
      </c>
      <c r="Z179">
        <f ca="1"/>
        <v>6.7199187004357555</v>
      </c>
      <c r="AA179">
        <f ca="1"/>
        <v>0</v>
      </c>
      <c r="AB179">
        <f ca="1"/>
        <v>4.9777134739571301E-2</v>
      </c>
      <c r="AD179" s="2">
        <f t="shared" ca="1" si="22"/>
        <v>45514</v>
      </c>
      <c r="AE179">
        <f t="shared" ca="1" si="23"/>
        <v>0</v>
      </c>
      <c r="AG179" s="65">
        <f t="shared" ca="1" si="27"/>
        <v>58.897833972451885</v>
      </c>
      <c r="AH179" s="65">
        <f t="shared" ca="1" si="28"/>
        <v>58.897833972451885</v>
      </c>
      <c r="AI179" s="3">
        <f t="shared" ca="1" si="29"/>
        <v>0</v>
      </c>
    </row>
    <row r="180" spans="7:35" x14ac:dyDescent="0.25">
      <c r="G180" s="3">
        <f t="shared" ca="1" si="24"/>
        <v>180</v>
      </c>
      <c r="H180" s="97">
        <f t="shared" ca="1" si="26"/>
        <v>45470</v>
      </c>
      <c r="I180" s="121">
        <f ca="1">HLOOKUP($H$4,'Met Data'!$A$2:$F$368,G180,FALSE)</f>
        <v>8.8363636363636306</v>
      </c>
      <c r="J180" s="121">
        <f ca="1">HLOOKUP($H$4,'Met Data'!$H$2:$M$368,G180,FALSE)*L180</f>
        <v>1.5454545454545452</v>
      </c>
      <c r="K180" s="98">
        <f ca="1">HLOOKUP($H$4,'Met Data'!$O$2:$T$368,G180,FALSE)</f>
        <v>0.949335994975394</v>
      </c>
      <c r="L180">
        <f t="shared" ca="1" si="20"/>
        <v>1.7</v>
      </c>
      <c r="N180" t="b">
        <f t="shared" ca="1" si="25"/>
        <v>0</v>
      </c>
      <c r="O180" t="b">
        <f t="shared" ca="1" si="21"/>
        <v>0</v>
      </c>
      <c r="P180" s="2">
        <f ca="1"/>
        <v>45515</v>
      </c>
      <c r="Q180">
        <f ca="1"/>
        <v>56.454028801138705</v>
      </c>
      <c r="R180">
        <f ca="1"/>
        <v>0.22907665492367901</v>
      </c>
      <c r="S180">
        <f ca="1"/>
        <v>0.51172551868963012</v>
      </c>
      <c r="T180">
        <f ca="1"/>
        <v>0</v>
      </c>
      <c r="U180">
        <f ca="1"/>
        <v>0</v>
      </c>
      <c r="V180">
        <f ca="1"/>
        <v>6.6903655897475804</v>
      </c>
      <c r="W180">
        <f ca="1"/>
        <v>6.1204455580283401</v>
      </c>
      <c r="X180">
        <f ca="1"/>
        <v>1.2919170309109249</v>
      </c>
      <c r="Y180">
        <f ca="1"/>
        <v>1</v>
      </c>
      <c r="Z180">
        <f ca="1"/>
        <v>7.2266551723373169</v>
      </c>
      <c r="AA180">
        <f ca="1"/>
        <v>0</v>
      </c>
      <c r="AB180">
        <f ca="1"/>
        <v>5.5391063255434199E-2</v>
      </c>
      <c r="AD180" s="2">
        <f t="shared" ca="1" si="22"/>
        <v>45515</v>
      </c>
      <c r="AE180">
        <f t="shared" ca="1" si="23"/>
        <v>0</v>
      </c>
      <c r="AG180" s="65">
        <f t="shared" ca="1" si="27"/>
        <v>57.975022486973309</v>
      </c>
      <c r="AH180" s="65">
        <f t="shared" ca="1" si="28"/>
        <v>57.975022486973309</v>
      </c>
      <c r="AI180" s="3">
        <f t="shared" ca="1" si="29"/>
        <v>0</v>
      </c>
    </row>
    <row r="181" spans="7:35" x14ac:dyDescent="0.25">
      <c r="G181" s="3">
        <f t="shared" ca="1" si="24"/>
        <v>181</v>
      </c>
      <c r="H181" s="97">
        <f t="shared" ca="1" si="26"/>
        <v>45471</v>
      </c>
      <c r="I181" s="121">
        <f ca="1">HLOOKUP($H$4,'Met Data'!$A$2:$F$368,G181,FALSE)</f>
        <v>8.7136363636363594</v>
      </c>
      <c r="J181" s="121">
        <f ca="1">HLOOKUP($H$4,'Met Data'!$H$2:$M$368,G181,FALSE)*L181</f>
        <v>3.031666666666661</v>
      </c>
      <c r="K181" s="98">
        <f ca="1">HLOOKUP($H$4,'Met Data'!$O$2:$T$368,G181,FALSE)</f>
        <v>0.92539172734817898</v>
      </c>
      <c r="L181">
        <f t="shared" ca="1" si="20"/>
        <v>1.7</v>
      </c>
      <c r="N181" t="b">
        <f t="shared" ca="1" si="25"/>
        <v>0</v>
      </c>
      <c r="O181" t="b">
        <f t="shared" ca="1" si="21"/>
        <v>0</v>
      </c>
      <c r="P181" s="2">
        <f ca="1"/>
        <v>45516</v>
      </c>
      <c r="Q181">
        <f ca="1"/>
        <v>55.97002899535714</v>
      </c>
      <c r="R181">
        <f ca="1"/>
        <v>0.24452800882314099</v>
      </c>
      <c r="S181">
        <f ca="1"/>
        <v>0.48617025776400169</v>
      </c>
      <c r="T181">
        <f ca="1"/>
        <v>0</v>
      </c>
      <c r="U181">
        <f ca="1"/>
        <v>0</v>
      </c>
      <c r="V181">
        <f ca="1"/>
        <v>6.9348935985707199</v>
      </c>
      <c r="W181">
        <f ca="1"/>
        <v>6.3441434031369202</v>
      </c>
      <c r="X181">
        <f ca="1"/>
        <v>0.72564205472242671</v>
      </c>
      <c r="Y181">
        <f ca="1"/>
        <v>1</v>
      </c>
      <c r="Z181">
        <f ca="1"/>
        <v>4.0941576528919228</v>
      </c>
      <c r="AA181">
        <f ca="1"/>
        <v>0</v>
      </c>
      <c r="AB181">
        <f ca="1"/>
        <v>6.1804011538609899E-2</v>
      </c>
      <c r="AD181" s="2">
        <f t="shared" ca="1" si="22"/>
        <v>45516</v>
      </c>
      <c r="AE181">
        <f t="shared" ca="1" si="23"/>
        <v>0</v>
      </c>
      <c r="AG181" s="65">
        <f t="shared" ca="1" si="27"/>
        <v>56.940199058902706</v>
      </c>
      <c r="AH181" s="65">
        <f t="shared" ca="1" si="28"/>
        <v>56.940199058902706</v>
      </c>
      <c r="AI181" s="3">
        <f t="shared" ca="1" si="29"/>
        <v>0</v>
      </c>
    </row>
    <row r="182" spans="7:35" x14ac:dyDescent="0.25">
      <c r="G182" s="3">
        <f t="shared" ca="1" si="24"/>
        <v>182</v>
      </c>
      <c r="H182" s="97">
        <f t="shared" ca="1" si="26"/>
        <v>45472</v>
      </c>
      <c r="I182" s="121">
        <f ca="1">HLOOKUP($H$4,'Met Data'!$A$2:$F$368,G182,FALSE)</f>
        <v>8.5291666666666597</v>
      </c>
      <c r="J182" s="121">
        <f ca="1">HLOOKUP($H$4,'Met Data'!$H$2:$M$368,G182,FALSE)*L182</f>
        <v>4.3916666666666604</v>
      </c>
      <c r="K182" s="98">
        <f ca="1">HLOOKUP($H$4,'Met Data'!$O$2:$T$368,G182,FALSE)</f>
        <v>0.82623977006466498</v>
      </c>
      <c r="L182">
        <f t="shared" ca="1" si="20"/>
        <v>1.7</v>
      </c>
      <c r="N182" t="b">
        <f t="shared" ca="1" si="25"/>
        <v>0</v>
      </c>
      <c r="O182" t="b">
        <f t="shared" ca="1" si="21"/>
        <v>0</v>
      </c>
      <c r="P182" s="2">
        <f ca="1"/>
        <v>45517</v>
      </c>
      <c r="Q182">
        <f ca="1"/>
        <v>54.402903526405296</v>
      </c>
      <c r="R182">
        <f ca="1"/>
        <v>0.26080094823660399</v>
      </c>
      <c r="S182">
        <f ca="1"/>
        <v>0.46023876476596115</v>
      </c>
      <c r="T182">
        <f ca="1"/>
        <v>0</v>
      </c>
      <c r="U182">
        <f ca="1"/>
        <v>0</v>
      </c>
      <c r="V182">
        <f ca="1"/>
        <v>7.1956945468073297</v>
      </c>
      <c r="W182">
        <f ca="1"/>
        <v>6.5827279743015197</v>
      </c>
      <c r="X182">
        <f ca="1"/>
        <v>1.7665632854811988</v>
      </c>
      <c r="Y182">
        <f ca="1"/>
        <v>1</v>
      </c>
      <c r="Z182">
        <f ca="1"/>
        <v>10.2542705258588</v>
      </c>
      <c r="AA182">
        <f ca="1"/>
        <v>0</v>
      </c>
      <c r="AB182">
        <f ca="1"/>
        <v>6.91283509700895E-2</v>
      </c>
      <c r="AD182" s="2">
        <f t="shared" ca="1" si="22"/>
        <v>45517</v>
      </c>
      <c r="AE182">
        <f t="shared" ca="1" si="23"/>
        <v>0</v>
      </c>
      <c r="AG182" s="65">
        <f t="shared" ca="1" si="27"/>
        <v>56.430267760123101</v>
      </c>
      <c r="AH182" s="65">
        <f t="shared" ca="1" si="28"/>
        <v>56.430267760123101</v>
      </c>
      <c r="AI182" s="3">
        <f t="shared" ca="1" si="29"/>
        <v>0</v>
      </c>
    </row>
    <row r="183" spans="7:35" x14ac:dyDescent="0.25">
      <c r="G183" s="3">
        <f t="shared" ca="1" si="24"/>
        <v>183</v>
      </c>
      <c r="H183" s="97">
        <f t="shared" ca="1" si="26"/>
        <v>45473</v>
      </c>
      <c r="I183" s="121">
        <f ca="1">HLOOKUP($H$4,'Met Data'!$A$2:$F$368,G183,FALSE)</f>
        <v>8.8208333333333293</v>
      </c>
      <c r="J183" s="121">
        <f ca="1">HLOOKUP($H$4,'Met Data'!$H$2:$M$368,G183,FALSE)*L183</f>
        <v>3.6266666666666612</v>
      </c>
      <c r="K183" s="98">
        <f ca="1">HLOOKUP($H$4,'Met Data'!$O$2:$T$368,G183,FALSE)</f>
        <v>0.80690048817841498</v>
      </c>
      <c r="L183">
        <f t="shared" ca="1" si="20"/>
        <v>1.7</v>
      </c>
      <c r="N183" t="b">
        <f t="shared" ca="1" si="25"/>
        <v>0</v>
      </c>
      <c r="O183" t="b">
        <f t="shared" ca="1" si="21"/>
        <v>0</v>
      </c>
      <c r="P183" s="2">
        <f ca="1"/>
        <v>45518</v>
      </c>
      <c r="Q183">
        <f ca="1"/>
        <v>53.812060361479539</v>
      </c>
      <c r="R183">
        <f ca="1"/>
        <v>0.26060520446309499</v>
      </c>
      <c r="S183">
        <f ca="1"/>
        <v>0.40942615658944703</v>
      </c>
      <c r="T183">
        <f ca="1"/>
        <v>0</v>
      </c>
      <c r="U183">
        <f ca="1"/>
        <v>0</v>
      </c>
      <c r="V183">
        <f ca="1"/>
        <v>7.4562997512704197</v>
      </c>
      <c r="W183">
        <f ca="1"/>
        <v>6.8211334761622</v>
      </c>
      <c r="X183">
        <f ca="1"/>
        <v>0.73966411705210811</v>
      </c>
      <c r="Y183">
        <f ca="1"/>
        <v>1</v>
      </c>
      <c r="Z183">
        <f ca="1"/>
        <v>4.3406281167815024</v>
      </c>
      <c r="AA183">
        <f ca="1"/>
        <v>0</v>
      </c>
      <c r="AB183">
        <f ca="1"/>
        <v>7.6951307782380296E-2</v>
      </c>
      <c r="AD183" s="2">
        <f t="shared" ca="1" si="22"/>
        <v>45518</v>
      </c>
      <c r="AE183">
        <f t="shared" ca="1" si="23"/>
        <v>0</v>
      </c>
      <c r="AG183" s="65">
        <f t="shared" ca="1" si="27"/>
        <v>54.812329682994744</v>
      </c>
      <c r="AH183" s="65">
        <f t="shared" ca="1" si="28"/>
        <v>54.812329682994744</v>
      </c>
      <c r="AI183" s="3">
        <f t="shared" ca="1" si="29"/>
        <v>0</v>
      </c>
    </row>
    <row r="184" spans="7:35" x14ac:dyDescent="0.25">
      <c r="G184" s="3">
        <f t="shared" ca="1" si="24"/>
        <v>184</v>
      </c>
      <c r="H184" s="97">
        <f t="shared" ca="1" si="26"/>
        <v>45474</v>
      </c>
      <c r="I184" s="121">
        <f ca="1">HLOOKUP($H$4,'Met Data'!$A$2:$F$368,G184,FALSE)</f>
        <v>8.2249999999999996</v>
      </c>
      <c r="J184" s="121">
        <f ca="1">HLOOKUP($H$4,'Met Data'!$H$2:$M$368,G184,FALSE)*L184</f>
        <v>1.4166666666666661</v>
      </c>
      <c r="K184" s="98">
        <f ca="1">HLOOKUP($H$4,'Met Data'!$O$2:$T$368,G184,FALSE)</f>
        <v>1.0149186441071101</v>
      </c>
      <c r="L184">
        <f t="shared" ca="1" si="20"/>
        <v>1.7</v>
      </c>
      <c r="N184" t="b">
        <f t="shared" ca="1" si="25"/>
        <v>0</v>
      </c>
      <c r="O184" t="b">
        <f t="shared" ca="1" si="21"/>
        <v>0</v>
      </c>
      <c r="P184" s="2">
        <f ca="1"/>
        <v>45519</v>
      </c>
      <c r="Q184">
        <f ca="1"/>
        <v>53.680636578042019</v>
      </c>
      <c r="R184">
        <f ca="1"/>
        <v>0.277275389581082</v>
      </c>
      <c r="S184">
        <f ca="1"/>
        <v>0.38696631258999048</v>
      </c>
      <c r="T184">
        <f ca="1"/>
        <v>0</v>
      </c>
      <c r="U184">
        <f ca="1"/>
        <v>0</v>
      </c>
      <c r="V184">
        <f ca="1"/>
        <v>7.7335751408515003</v>
      </c>
      <c r="W184">
        <f ca="1"/>
        <v>7.0747891103345202</v>
      </c>
      <c r="X184">
        <f ca="1"/>
        <v>0.24111470644642455</v>
      </c>
      <c r="Y184">
        <f ca="1"/>
        <v>1</v>
      </c>
      <c r="Z184">
        <f ca="1"/>
        <v>1.4184162316246613</v>
      </c>
      <c r="AA184">
        <f ca="1"/>
        <v>0</v>
      </c>
      <c r="AB184">
        <f ca="1"/>
        <v>8.5830222791011698E-2</v>
      </c>
      <c r="AD184" s="2">
        <f t="shared" ca="1" si="22"/>
        <v>45519</v>
      </c>
      <c r="AE184">
        <f t="shared" ca="1" si="23"/>
        <v>0</v>
      </c>
      <c r="AG184" s="65">
        <f t="shared" ca="1" si="27"/>
        <v>54.199026674069529</v>
      </c>
      <c r="AH184" s="65">
        <f t="shared" ca="1" si="28"/>
        <v>54.199026674069529</v>
      </c>
      <c r="AI184" s="3">
        <f t="shared" ca="1" si="29"/>
        <v>0</v>
      </c>
    </row>
    <row r="185" spans="7:35" x14ac:dyDescent="0.25">
      <c r="G185" s="3">
        <f t="shared" ca="1" si="24"/>
        <v>185</v>
      </c>
      <c r="H185" s="97">
        <f t="shared" ca="1" si="26"/>
        <v>45475</v>
      </c>
      <c r="I185" s="121">
        <f ca="1">HLOOKUP($H$4,'Met Data'!$A$2:$F$368,G185,FALSE)</f>
        <v>8.8333333333333304</v>
      </c>
      <c r="J185" s="121">
        <f ca="1">HLOOKUP($H$4,'Met Data'!$H$2:$M$368,G185,FALSE)*L185</f>
        <v>6.0633333333333219</v>
      </c>
      <c r="K185" s="98">
        <f ca="1">HLOOKUP($H$4,'Met Data'!$O$2:$T$368,G185,FALSE)</f>
        <v>0.89125379504041602</v>
      </c>
      <c r="L185">
        <f t="shared" ca="1" si="20"/>
        <v>1.7</v>
      </c>
      <c r="N185" t="b">
        <f t="shared" ca="1" si="25"/>
        <v>0</v>
      </c>
      <c r="O185" t="b">
        <f t="shared" ca="1" si="21"/>
        <v>0</v>
      </c>
      <c r="P185" s="2">
        <f ca="1"/>
        <v>45520</v>
      </c>
      <c r="Q185">
        <f ca="1"/>
        <v>52.123469493083164</v>
      </c>
      <c r="R185">
        <f ca="1"/>
        <v>0.284622361547193</v>
      </c>
      <c r="S185">
        <f ca="1"/>
        <v>0.35304462739581766</v>
      </c>
      <c r="T185">
        <f ca="1"/>
        <v>0</v>
      </c>
      <c r="U185">
        <f ca="1"/>
        <v>0</v>
      </c>
      <c r="V185">
        <f ca="1"/>
        <v>8.0181975023986993</v>
      </c>
      <c r="W185">
        <f ca="1"/>
        <v>7.3351658633054697</v>
      </c>
      <c r="X185">
        <f ca="1"/>
        <v>1.6255893508074788</v>
      </c>
      <c r="Y185">
        <f ca="1"/>
        <v>1</v>
      </c>
      <c r="Z185">
        <f ca="1"/>
        <v>9.8486154223918732</v>
      </c>
      <c r="AA185">
        <f ca="1"/>
        <v>0</v>
      </c>
      <c r="AB185">
        <f ca="1"/>
        <v>9.5539205602080193E-2</v>
      </c>
      <c r="AD185" s="2">
        <f t="shared" ca="1" si="22"/>
        <v>45520</v>
      </c>
      <c r="AE185">
        <f t="shared" ca="1" si="23"/>
        <v>0</v>
      </c>
      <c r="AG185" s="65">
        <f t="shared" ca="1" si="27"/>
        <v>54.033681205437837</v>
      </c>
      <c r="AH185" s="65">
        <f t="shared" ca="1" si="28"/>
        <v>54.033681205437837</v>
      </c>
      <c r="AI185" s="3">
        <f t="shared" ca="1" si="29"/>
        <v>0</v>
      </c>
    </row>
    <row r="186" spans="7:35" x14ac:dyDescent="0.25">
      <c r="G186" s="3">
        <f t="shared" ca="1" si="24"/>
        <v>186</v>
      </c>
      <c r="H186" s="97">
        <f t="shared" ca="1" si="26"/>
        <v>45476</v>
      </c>
      <c r="I186" s="121">
        <f ca="1">HLOOKUP($H$4,'Met Data'!$A$2:$F$368,G186,FALSE)</f>
        <v>8.6</v>
      </c>
      <c r="J186" s="121">
        <f ca="1">HLOOKUP($H$4,'Met Data'!$H$2:$M$368,G186,FALSE)*L186</f>
        <v>1.2466666666666659</v>
      </c>
      <c r="K186" s="98">
        <f ca="1">HLOOKUP($H$4,'Met Data'!$O$2:$T$368,G186,FALSE)</f>
        <v>0.87224086772784204</v>
      </c>
      <c r="L186">
        <f t="shared" ca="1" si="20"/>
        <v>1.7</v>
      </c>
      <c r="N186" t="b">
        <f t="shared" ca="1" si="25"/>
        <v>0</v>
      </c>
      <c r="O186" t="b">
        <f t="shared" ca="1" si="21"/>
        <v>0</v>
      </c>
      <c r="P186" s="2">
        <f ca="1"/>
        <v>45521</v>
      </c>
      <c r="Q186">
        <f ca="1"/>
        <v>51.46622138959966</v>
      </c>
      <c r="R186">
        <f ca="1"/>
        <v>0.27023849759863</v>
      </c>
      <c r="S186">
        <f ca="1"/>
        <v>0.30107988062954405</v>
      </c>
      <c r="T186">
        <f ca="1"/>
        <v>0</v>
      </c>
      <c r="U186">
        <f ca="1"/>
        <v>0</v>
      </c>
      <c r="V186">
        <f ca="1"/>
        <v>8.2884359999973292</v>
      </c>
      <c r="W186">
        <f ca="1"/>
        <v>7.5823840444419996</v>
      </c>
      <c r="X186">
        <f ca="1"/>
        <v>0.68808948651441315</v>
      </c>
      <c r="Y186">
        <f ca="1"/>
        <v>1</v>
      </c>
      <c r="Z186">
        <f ca="1"/>
        <v>4.2220200148195772</v>
      </c>
      <c r="AA186">
        <f ca="1"/>
        <v>0</v>
      </c>
      <c r="AB186">
        <f ca="1"/>
        <v>0.10531098998081299</v>
      </c>
      <c r="AD186" s="2">
        <f t="shared" ca="1" si="22"/>
        <v>45521</v>
      </c>
      <c r="AE186">
        <f t="shared" ca="1" si="23"/>
        <v>0</v>
      </c>
      <c r="AG186" s="65">
        <f t="shared" ca="1" si="27"/>
        <v>52.424549373712708</v>
      </c>
      <c r="AH186" s="65">
        <f t="shared" ca="1" si="28"/>
        <v>52.424549373712708</v>
      </c>
      <c r="AI186" s="3">
        <f t="shared" ca="1" si="29"/>
        <v>0</v>
      </c>
    </row>
    <row r="187" spans="7:35" x14ac:dyDescent="0.25">
      <c r="G187" s="3">
        <f t="shared" ca="1" si="24"/>
        <v>187</v>
      </c>
      <c r="H187" s="97">
        <f t="shared" ca="1" si="26"/>
        <v>45477</v>
      </c>
      <c r="I187" s="121">
        <f ca="1">HLOOKUP($H$4,'Met Data'!$A$2:$F$368,G187,FALSE)</f>
        <v>9.4</v>
      </c>
      <c r="J187" s="121">
        <f ca="1">HLOOKUP($H$4,'Met Data'!$H$2:$M$368,G187,FALSE)*L187</f>
        <v>0.16999999999999982</v>
      </c>
      <c r="K187" s="98">
        <f ca="1">HLOOKUP($H$4,'Met Data'!$O$2:$T$368,G187,FALSE)</f>
        <v>0.96939333533810901</v>
      </c>
      <c r="L187">
        <f t="shared" ca="1" si="20"/>
        <v>1.7</v>
      </c>
      <c r="N187" t="b">
        <f t="shared" ca="1" si="25"/>
        <v>0</v>
      </c>
      <c r="O187" t="b">
        <f t="shared" ca="1" si="21"/>
        <v>0</v>
      </c>
      <c r="P187" s="2">
        <f ca="1"/>
        <v>45522</v>
      </c>
      <c r="Q187">
        <f ca="1"/>
        <v>51.129000399904776</v>
      </c>
      <c r="R187">
        <f ca="1"/>
        <v>0.29978994205679799</v>
      </c>
      <c r="S187">
        <f ca="1"/>
        <v>0.29702988144187259</v>
      </c>
      <c r="T187">
        <f ca="1"/>
        <v>0</v>
      </c>
      <c r="U187">
        <f ca="1"/>
        <v>0</v>
      </c>
      <c r="V187">
        <f ca="1"/>
        <v>8.5882259420541196</v>
      </c>
      <c r="W187">
        <f ca="1"/>
        <v>7.8566363247680302</v>
      </c>
      <c r="X187">
        <f ca="1"/>
        <v>0.33446092907996111</v>
      </c>
      <c r="Y187">
        <f ca="1"/>
        <v>1</v>
      </c>
      <c r="Z187">
        <f ca="1"/>
        <v>2.0657403809187258</v>
      </c>
      <c r="AA187">
        <f ca="1"/>
        <v>0</v>
      </c>
      <c r="AB187">
        <f ca="1"/>
        <v>0.116773097421636</v>
      </c>
      <c r="AD187" s="2">
        <f t="shared" ca="1" si="22"/>
        <v>45522</v>
      </c>
      <c r="AE187">
        <f t="shared" ca="1" si="23"/>
        <v>0</v>
      </c>
      <c r="AG187" s="65">
        <f t="shared" ca="1" si="27"/>
        <v>51.763251271041533</v>
      </c>
      <c r="AH187" s="65">
        <f t="shared" ca="1" si="28"/>
        <v>51.763251271041533</v>
      </c>
      <c r="AI187" s="3">
        <f t="shared" ca="1" si="29"/>
        <v>0</v>
      </c>
    </row>
    <row r="188" spans="7:35" x14ac:dyDescent="0.25">
      <c r="G188" s="3">
        <f t="shared" ca="1" si="24"/>
        <v>188</v>
      </c>
      <c r="H188" s="97">
        <f t="shared" ca="1" si="26"/>
        <v>45478</v>
      </c>
      <c r="I188" s="121">
        <f ca="1">HLOOKUP($H$4,'Met Data'!$A$2:$F$368,G188,FALSE)</f>
        <v>9.12083333333333</v>
      </c>
      <c r="J188" s="121">
        <f ca="1">HLOOKUP($H$4,'Met Data'!$H$2:$M$368,G188,FALSE)*L188</f>
        <v>3.7116666666666611</v>
      </c>
      <c r="K188" s="98">
        <f ca="1">HLOOKUP($H$4,'Met Data'!$O$2:$T$368,G188,FALSE)</f>
        <v>0.851628840058262</v>
      </c>
      <c r="L188">
        <f t="shared" ca="1" si="20"/>
        <v>1.7</v>
      </c>
      <c r="N188" t="b">
        <f t="shared" ca="1" si="25"/>
        <v>0</v>
      </c>
      <c r="O188" t="b">
        <f t="shared" ca="1" si="21"/>
        <v>0</v>
      </c>
      <c r="P188" s="2">
        <f ca="1"/>
        <v>45523</v>
      </c>
      <c r="Q188">
        <f ca="1"/>
        <v>50.334972714351537</v>
      </c>
      <c r="R188">
        <f ca="1"/>
        <v>0.302621503538749</v>
      </c>
      <c r="S188">
        <f ca="1"/>
        <v>0.26774359439380646</v>
      </c>
      <c r="T188">
        <f ca="1"/>
        <v>0</v>
      </c>
      <c r="U188">
        <f ca="1"/>
        <v>0</v>
      </c>
      <c r="V188">
        <f ca="1"/>
        <v>8.8908474455928701</v>
      </c>
      <c r="W188">
        <f ca="1"/>
        <v>8.1334789594868102</v>
      </c>
      <c r="X188">
        <f ca="1"/>
        <v>0.75914977640829606</v>
      </c>
      <c r="Y188">
        <f ca="1"/>
        <v>1</v>
      </c>
      <c r="Z188">
        <f ca="1"/>
        <v>4.7627225249515135</v>
      </c>
      <c r="AA188">
        <f ca="1"/>
        <v>0</v>
      </c>
      <c r="AB188">
        <f ca="1"/>
        <v>0.128992356954543</v>
      </c>
      <c r="AD188" s="2">
        <f t="shared" ca="1" si="22"/>
        <v>45523</v>
      </c>
      <c r="AE188">
        <f t="shared" ca="1" si="23"/>
        <v>0</v>
      </c>
      <c r="AG188" s="65">
        <f t="shared" ca="1" si="27"/>
        <v>51.396743994298582</v>
      </c>
      <c r="AH188" s="65">
        <f t="shared" ca="1" si="28"/>
        <v>51.396743994298582</v>
      </c>
      <c r="AI188" s="3">
        <f t="shared" ca="1" si="29"/>
        <v>0</v>
      </c>
    </row>
    <row r="189" spans="7:35" x14ac:dyDescent="0.25">
      <c r="G189" s="3">
        <f t="shared" ca="1" si="24"/>
        <v>189</v>
      </c>
      <c r="H189" s="97">
        <f t="shared" ca="1" si="26"/>
        <v>45479</v>
      </c>
      <c r="I189" s="121">
        <f ca="1">HLOOKUP($H$4,'Met Data'!$A$2:$F$368,G189,FALSE)</f>
        <v>9.6583333333333297</v>
      </c>
      <c r="J189" s="121">
        <f ca="1">HLOOKUP($H$4,'Met Data'!$H$2:$M$368,G189,FALSE)*L189</f>
        <v>7.7633333333333221</v>
      </c>
      <c r="K189" s="98">
        <f ca="1">HLOOKUP($H$4,'Met Data'!$O$2:$T$368,G189,FALSE)</f>
        <v>0.80851868655974801</v>
      </c>
      <c r="L189">
        <f t="shared" ca="1" si="20"/>
        <v>1.7</v>
      </c>
      <c r="N189" t="b">
        <f t="shared" ca="1" si="25"/>
        <v>0</v>
      </c>
      <c r="O189" t="b">
        <f t="shared" ca="1" si="21"/>
        <v>0</v>
      </c>
      <c r="P189" s="2">
        <f ca="1"/>
        <v>45524</v>
      </c>
      <c r="Q189">
        <f ca="1"/>
        <v>49.89780212453006</v>
      </c>
      <c r="R189">
        <f ca="1"/>
        <v>0.33035596973414999</v>
      </c>
      <c r="S189">
        <f ca="1"/>
        <v>0.25956013523317267</v>
      </c>
      <c r="T189">
        <f ca="1"/>
        <v>0</v>
      </c>
      <c r="U189">
        <f ca="1"/>
        <v>0</v>
      </c>
      <c r="V189">
        <f ca="1"/>
        <v>9.2212034153270199</v>
      </c>
      <c r="W189">
        <f ca="1"/>
        <v>8.4356934947621305</v>
      </c>
      <c r="X189">
        <f ca="1"/>
        <v>0.36637475532049674</v>
      </c>
      <c r="Y189">
        <f ca="1"/>
        <v>1</v>
      </c>
      <c r="Z189">
        <f ca="1"/>
        <v>2.3186851169335085</v>
      </c>
      <c r="AA189">
        <f ca="1"/>
        <v>0</v>
      </c>
      <c r="AB189">
        <f ca="1"/>
        <v>0.14305242323433001</v>
      </c>
      <c r="AD189" s="2">
        <f t="shared" ca="1" si="22"/>
        <v>45524</v>
      </c>
      <c r="AE189">
        <f t="shared" ca="1" si="23"/>
        <v>0</v>
      </c>
      <c r="AG189" s="65">
        <f t="shared" ca="1" si="27"/>
        <v>50.594532849584709</v>
      </c>
      <c r="AH189" s="65">
        <f t="shared" ca="1" si="28"/>
        <v>50.594532849584709</v>
      </c>
      <c r="AI189" s="3">
        <f t="shared" ca="1" si="29"/>
        <v>0</v>
      </c>
    </row>
    <row r="190" spans="7:35" x14ac:dyDescent="0.25">
      <c r="G190" s="3">
        <f t="shared" ca="1" si="24"/>
        <v>190</v>
      </c>
      <c r="H190" s="97">
        <f t="shared" ca="1" si="26"/>
        <v>45480</v>
      </c>
      <c r="I190" s="121">
        <f ca="1">HLOOKUP($H$4,'Met Data'!$A$2:$F$368,G190,FALSE)</f>
        <v>8.5291666666666597</v>
      </c>
      <c r="J190" s="121">
        <f ca="1">HLOOKUP($H$4,'Met Data'!$H$2:$M$368,G190,FALSE)*L190</f>
        <v>6.4316666666666613</v>
      </c>
      <c r="K190" s="98">
        <f ca="1">HLOOKUP($H$4,'Met Data'!$O$2:$T$368,G190,FALSE)</f>
        <v>1.09493770994468</v>
      </c>
      <c r="L190">
        <f t="shared" ca="1" si="20"/>
        <v>1.7</v>
      </c>
      <c r="N190" t="b">
        <f t="shared" ca="1" si="25"/>
        <v>0</v>
      </c>
      <c r="O190" t="b">
        <f t="shared" ca="1" si="21"/>
        <v>0</v>
      </c>
      <c r="P190" s="2">
        <f ca="1"/>
        <v>45525</v>
      </c>
      <c r="Q190">
        <f ca="1"/>
        <v>48.881725436541309</v>
      </c>
      <c r="R190">
        <f ca="1"/>
        <v>0.333083011560452</v>
      </c>
      <c r="S190">
        <f ca="1"/>
        <v>0.23291912301100126</v>
      </c>
      <c r="T190">
        <f ca="1"/>
        <v>0</v>
      </c>
      <c r="U190">
        <f ca="1"/>
        <v>0</v>
      </c>
      <c r="V190">
        <f ca="1"/>
        <v>9.5542864268874705</v>
      </c>
      <c r="W190">
        <f ca="1"/>
        <v>8.7404027683007595</v>
      </c>
      <c r="X190">
        <f ca="1"/>
        <v>0.91591279943929915</v>
      </c>
      <c r="Y190">
        <f ca="1"/>
        <v>1</v>
      </c>
      <c r="Z190">
        <f ca="1"/>
        <v>5.9170501510028828</v>
      </c>
      <c r="AA190">
        <f ca="1"/>
        <v>0</v>
      </c>
      <c r="AB190">
        <f ca="1"/>
        <v>0.157958483805965</v>
      </c>
      <c r="AD190" s="2">
        <f t="shared" ca="1" si="22"/>
        <v>45525</v>
      </c>
      <c r="AE190">
        <f t="shared" ca="1" si="23"/>
        <v>0</v>
      </c>
      <c r="AG190" s="65">
        <f t="shared" ca="1" si="27"/>
        <v>50.130721247541061</v>
      </c>
      <c r="AH190" s="65">
        <f t="shared" ca="1" si="28"/>
        <v>50.130721247541061</v>
      </c>
      <c r="AI190" s="3">
        <f t="shared" ca="1" si="29"/>
        <v>0</v>
      </c>
    </row>
    <row r="191" spans="7:35" x14ac:dyDescent="0.25">
      <c r="G191" s="3">
        <f t="shared" ca="1" si="24"/>
        <v>191</v>
      </c>
      <c r="H191" s="97">
        <f t="shared" ca="1" si="26"/>
        <v>45481</v>
      </c>
      <c r="I191" s="121">
        <f ca="1">HLOOKUP($H$4,'Met Data'!$A$2:$F$368,G191,FALSE)</f>
        <v>8.1583333333333297</v>
      </c>
      <c r="J191" s="121">
        <f ca="1">HLOOKUP($H$4,'Met Data'!$H$2:$M$368,G191,FALSE)*L191</f>
        <v>7.111666666666661</v>
      </c>
      <c r="K191" s="98">
        <f ca="1">HLOOKUP($H$4,'Met Data'!$O$2:$T$368,G191,FALSE)</f>
        <v>0.89025740200721304</v>
      </c>
      <c r="L191">
        <f t="shared" ca="1" si="20"/>
        <v>1.7</v>
      </c>
      <c r="N191" t="b">
        <f t="shared" ca="1" si="25"/>
        <v>0</v>
      </c>
      <c r="O191" t="b">
        <f t="shared" ca="1" si="21"/>
        <v>0</v>
      </c>
      <c r="P191" s="2">
        <f ca="1"/>
        <v>45526</v>
      </c>
      <c r="Q191">
        <f ca="1"/>
        <v>48.584851780162232</v>
      </c>
      <c r="R191">
        <f ca="1"/>
        <v>0.34659990957079501</v>
      </c>
      <c r="S191">
        <f ca="1"/>
        <v>0.21572136530171804</v>
      </c>
      <c r="T191">
        <f ca="1"/>
        <v>0</v>
      </c>
      <c r="U191">
        <f ca="1"/>
        <v>0</v>
      </c>
      <c r="V191">
        <f ca="1"/>
        <v>9.9008863364582709</v>
      </c>
      <c r="W191">
        <f ca="1"/>
        <v>9.0574775003896004</v>
      </c>
      <c r="X191">
        <f ca="1"/>
        <v>0.16599511211000254</v>
      </c>
      <c r="Y191">
        <f ca="1"/>
        <v>1</v>
      </c>
      <c r="Z191">
        <f ca="1"/>
        <v>1.0789270146291301</v>
      </c>
      <c r="AA191">
        <f ca="1"/>
        <v>0</v>
      </c>
      <c r="AB191">
        <f ca="1"/>
        <v>0.17420500477713199</v>
      </c>
      <c r="AD191" s="2">
        <f t="shared" ca="1" si="22"/>
        <v>45526</v>
      </c>
      <c r="AE191">
        <f t="shared" ca="1" si="23"/>
        <v>0</v>
      </c>
      <c r="AG191" s="65">
        <f t="shared" ca="1" si="27"/>
        <v>49.097446801843027</v>
      </c>
      <c r="AH191" s="65">
        <f t="shared" ca="1" si="28"/>
        <v>49.097446801843027</v>
      </c>
      <c r="AI191" s="3">
        <f t="shared" ca="1" si="29"/>
        <v>0</v>
      </c>
    </row>
    <row r="192" spans="7:35" x14ac:dyDescent="0.25">
      <c r="G192" s="3">
        <f t="shared" ca="1" si="24"/>
        <v>192</v>
      </c>
      <c r="H192" s="97">
        <f t="shared" ca="1" si="26"/>
        <v>45482</v>
      </c>
      <c r="I192" s="121">
        <f ca="1">HLOOKUP($H$4,'Met Data'!$A$2:$F$368,G192,FALSE)</f>
        <v>8.24166666666666</v>
      </c>
      <c r="J192" s="121">
        <f ca="1">HLOOKUP($H$4,'Met Data'!$H$2:$M$368,G192,FALSE)*L192</f>
        <v>3.853333333333322</v>
      </c>
      <c r="K192" s="98">
        <f ca="1">HLOOKUP($H$4,'Met Data'!$O$2:$T$368,G192,FALSE)</f>
        <v>1.06467045295546</v>
      </c>
      <c r="L192">
        <f t="shared" ca="1" si="20"/>
        <v>1.7</v>
      </c>
      <c r="N192" t="b">
        <f t="shared" ca="1" si="25"/>
        <v>0</v>
      </c>
      <c r="O192" t="b">
        <f t="shared" ca="1" si="21"/>
        <v>0</v>
      </c>
      <c r="P192" s="2">
        <f ca="1"/>
        <v>45527</v>
      </c>
      <c r="Q192">
        <f ca="1"/>
        <v>48.419169927543571</v>
      </c>
      <c r="R192">
        <f ca="1"/>
        <v>0.37019539148991298</v>
      </c>
      <c r="S192">
        <f ca="1"/>
        <v>0.20451353887125379</v>
      </c>
      <c r="T192">
        <f ca="1"/>
        <v>0</v>
      </c>
      <c r="U192">
        <f ca="1"/>
        <v>0</v>
      </c>
      <c r="V192">
        <f ca="1"/>
        <v>10.2710817279482</v>
      </c>
      <c r="W192">
        <f ca="1"/>
        <v>9.3961377289007402</v>
      </c>
      <c r="X192">
        <f ca="1"/>
        <v>0</v>
      </c>
      <c r="Y192">
        <f ca="1"/>
        <v>0.99353883179060065</v>
      </c>
      <c r="Z192">
        <f ca="1"/>
        <v>0</v>
      </c>
      <c r="AA192">
        <f ca="1"/>
        <v>0</v>
      </c>
      <c r="AB192">
        <f ca="1"/>
        <v>0.19232826026474001</v>
      </c>
      <c r="AD192" s="2">
        <f t="shared" ca="1" si="22"/>
        <v>45527</v>
      </c>
      <c r="AE192">
        <f t="shared" ca="1" si="23"/>
        <v>0</v>
      </c>
      <c r="AG192" s="65">
        <f t="shared" ca="1" si="27"/>
        <v>48.789365319033486</v>
      </c>
      <c r="AH192" s="65">
        <f t="shared" ca="1" si="28"/>
        <v>48.789365319033486</v>
      </c>
      <c r="AI192" s="3">
        <f t="shared" ca="1" si="29"/>
        <v>0</v>
      </c>
    </row>
    <row r="193" spans="7:35" x14ac:dyDescent="0.25">
      <c r="G193" s="3">
        <f t="shared" ca="1" si="24"/>
        <v>193</v>
      </c>
      <c r="H193" s="97">
        <f t="shared" ca="1" si="26"/>
        <v>45483</v>
      </c>
      <c r="I193" s="121">
        <f ca="1">HLOOKUP($H$4,'Met Data'!$A$2:$F$368,G193,FALSE)</f>
        <v>8.0333333333333297</v>
      </c>
      <c r="J193" s="121">
        <f ca="1">HLOOKUP($H$4,'Met Data'!$H$2:$M$368,G193,FALSE)*L193</f>
        <v>7.9050000000000002</v>
      </c>
      <c r="K193" s="98">
        <f ca="1">HLOOKUP($H$4,'Met Data'!$O$2:$T$368,G193,FALSE)</f>
        <v>1.03430816091664</v>
      </c>
      <c r="L193">
        <f t="shared" ca="1" si="20"/>
        <v>1.7</v>
      </c>
      <c r="N193" t="b">
        <f t="shared" ca="1" si="25"/>
        <v>0</v>
      </c>
      <c r="O193" t="b">
        <f t="shared" ca="1" si="21"/>
        <v>0</v>
      </c>
      <c r="P193" s="2">
        <f ca="1"/>
        <v>45528</v>
      </c>
      <c r="Q193">
        <f ca="1"/>
        <v>47.928399909819717</v>
      </c>
      <c r="R193">
        <f ca="1"/>
        <v>0.376646153986121</v>
      </c>
      <c r="S193">
        <f ca="1"/>
        <v>0.18487361622193532</v>
      </c>
      <c r="T193">
        <f ca="1"/>
        <v>0</v>
      </c>
      <c r="U193">
        <f ca="1"/>
        <v>0</v>
      </c>
      <c r="V193">
        <f ca="1"/>
        <v>10.6477278819343</v>
      </c>
      <c r="W193">
        <f ca="1"/>
        <v>9.7406992105102699</v>
      </c>
      <c r="X193">
        <f ca="1"/>
        <v>0.29899747995966436</v>
      </c>
      <c r="Y193">
        <f ca="1"/>
        <v>1</v>
      </c>
      <c r="Z193">
        <f ca="1"/>
        <v>1.9700273117196758</v>
      </c>
      <c r="AA193">
        <f ca="1"/>
        <v>0</v>
      </c>
      <c r="AB193">
        <f ca="1"/>
        <v>0.21151244201851599</v>
      </c>
      <c r="AD193" s="2">
        <f t="shared" ca="1" si="22"/>
        <v>45528</v>
      </c>
      <c r="AE193">
        <f t="shared" ca="1" si="23"/>
        <v>0</v>
      </c>
      <c r="AG193" s="65">
        <f t="shared" ca="1" si="27"/>
        <v>48.604043543765506</v>
      </c>
      <c r="AH193" s="65">
        <f t="shared" ca="1" si="28"/>
        <v>48.604043543765506</v>
      </c>
      <c r="AI193" s="3">
        <f t="shared" ca="1" si="29"/>
        <v>0</v>
      </c>
    </row>
    <row r="194" spans="7:35" x14ac:dyDescent="0.25">
      <c r="G194" s="3">
        <f t="shared" ca="1" si="24"/>
        <v>194</v>
      </c>
      <c r="H194" s="97">
        <f t="shared" ca="1" si="26"/>
        <v>45484</v>
      </c>
      <c r="I194" s="121">
        <f ca="1">HLOOKUP($H$4,'Met Data'!$A$2:$F$368,G194,FALSE)</f>
        <v>8.37083333333333</v>
      </c>
      <c r="J194" s="121">
        <f ca="1">HLOOKUP($H$4,'Met Data'!$H$2:$M$368,G194,FALSE)*L194</f>
        <v>2.748333333333322</v>
      </c>
      <c r="K194" s="98">
        <f ca="1">HLOOKUP($H$4,'Met Data'!$O$2:$T$368,G194,FALSE)</f>
        <v>1.0039262064680501</v>
      </c>
      <c r="L194">
        <f t="shared" ca="1" si="20"/>
        <v>1.7</v>
      </c>
      <c r="N194" t="b">
        <f t="shared" ca="1" si="25"/>
        <v>0</v>
      </c>
      <c r="O194" t="b">
        <f t="shared" ca="1" si="21"/>
        <v>0</v>
      </c>
      <c r="P194" s="2">
        <f ca="1"/>
        <v>45529</v>
      </c>
      <c r="Q194">
        <f ca="1"/>
        <v>47.129061656044705</v>
      </c>
      <c r="R194">
        <f ca="1"/>
        <v>0.43026689541248497</v>
      </c>
      <c r="S194">
        <f ca="1"/>
        <v>0.18661224840343493</v>
      </c>
      <c r="T194">
        <f ca="1"/>
        <v>0</v>
      </c>
      <c r="U194">
        <f ca="1"/>
        <v>0</v>
      </c>
      <c r="V194">
        <f ca="1"/>
        <v>11.077994777346801</v>
      </c>
      <c r="W194">
        <f ca="1"/>
        <v>10.134313740758</v>
      </c>
      <c r="X194">
        <f ca="1"/>
        <v>0.55568360676595985</v>
      </c>
      <c r="Y194">
        <f ca="1"/>
        <v>1</v>
      </c>
      <c r="Z194">
        <f ca="1"/>
        <v>3.7233721094690964</v>
      </c>
      <c r="AA194">
        <f ca="1"/>
        <v>0</v>
      </c>
      <c r="AB194">
        <f ca="1"/>
        <v>0.234242160507976</v>
      </c>
      <c r="AD194" s="2">
        <f t="shared" ca="1" si="22"/>
        <v>45529</v>
      </c>
      <c r="AE194">
        <f t="shared" ca="1" si="23"/>
        <v>0</v>
      </c>
      <c r="AG194" s="65">
        <f t="shared" ca="1" si="27"/>
        <v>48.115012158223152</v>
      </c>
      <c r="AH194" s="65">
        <f t="shared" ca="1" si="28"/>
        <v>48.115012158223152</v>
      </c>
      <c r="AI194" s="3">
        <f t="shared" ca="1" si="29"/>
        <v>0</v>
      </c>
    </row>
    <row r="195" spans="7:35" x14ac:dyDescent="0.25">
      <c r="G195" s="3">
        <f t="shared" ca="1" si="24"/>
        <v>195</v>
      </c>
      <c r="H195" s="97">
        <f t="shared" ca="1" si="26"/>
        <v>45485</v>
      </c>
      <c r="I195" s="121">
        <f ca="1">HLOOKUP($H$4,'Met Data'!$A$2:$F$368,G195,FALSE)</f>
        <v>8.0916666666666597</v>
      </c>
      <c r="J195" s="121">
        <f ca="1">HLOOKUP($H$4,'Met Data'!$H$2:$M$368,G195,FALSE)*L195</f>
        <v>8.6133333333333226</v>
      </c>
      <c r="K195" s="98">
        <f ca="1">HLOOKUP($H$4,'Met Data'!$O$2:$T$368,G195,FALSE)</f>
        <v>0.87492032925951801</v>
      </c>
      <c r="L195">
        <f t="shared" ca="1" si="20"/>
        <v>1.7</v>
      </c>
      <c r="N195" t="b">
        <f t="shared" ca="1" si="25"/>
        <v>0</v>
      </c>
      <c r="O195" t="b">
        <f t="shared" ca="1" si="21"/>
        <v>0</v>
      </c>
      <c r="P195" s="2">
        <f ca="1"/>
        <v>45530</v>
      </c>
      <c r="Q195">
        <f ca="1"/>
        <v>46.83657237472287</v>
      </c>
      <c r="R195">
        <f ca="1"/>
        <v>0.44812485557147502</v>
      </c>
      <c r="S195">
        <f ca="1"/>
        <v>0.1708109462650782</v>
      </c>
      <c r="T195">
        <f ca="1"/>
        <v>0</v>
      </c>
      <c r="U195">
        <f ca="1"/>
        <v>0</v>
      </c>
      <c r="V195">
        <f ca="1"/>
        <v>11.5261196329183</v>
      </c>
      <c r="W195">
        <f ca="1"/>
        <v>10.5442649975215</v>
      </c>
      <c r="X195">
        <f ca="1"/>
        <v>1.5175372015432056E-2</v>
      </c>
      <c r="Y195">
        <f ca="1"/>
        <v>1</v>
      </c>
      <c r="Z195">
        <f ca="1"/>
        <v>0.10231796433296836</v>
      </c>
      <c r="AA195">
        <f ca="1"/>
        <v>0</v>
      </c>
      <c r="AB195">
        <f ca="1"/>
        <v>0.25870145417770901</v>
      </c>
      <c r="AD195" s="2">
        <f t="shared" ca="1" si="22"/>
        <v>45530</v>
      </c>
      <c r="AE195">
        <f t="shared" ca="1" si="23"/>
        <v>0</v>
      </c>
      <c r="AG195" s="65">
        <f t="shared" ca="1" si="27"/>
        <v>47.299872602309783</v>
      </c>
      <c r="AH195" s="65">
        <f t="shared" ca="1" si="28"/>
        <v>47.299872602309783</v>
      </c>
      <c r="AI195" s="3">
        <f t="shared" ca="1" si="29"/>
        <v>0</v>
      </c>
    </row>
    <row r="196" spans="7:35" x14ac:dyDescent="0.25">
      <c r="G196" s="3">
        <f t="shared" ca="1" si="24"/>
        <v>196</v>
      </c>
      <c r="H196" s="97">
        <f t="shared" ca="1" si="26"/>
        <v>45486</v>
      </c>
      <c r="I196" s="121">
        <f ca="1">HLOOKUP($H$4,'Met Data'!$A$2:$F$368,G196,FALSE)</f>
        <v>7.9156250000000004</v>
      </c>
      <c r="J196" s="121">
        <f ca="1">HLOOKUP($H$4,'Met Data'!$H$2:$M$368,G196,FALSE)*L196</f>
        <v>7.0833333333333215</v>
      </c>
      <c r="K196" s="98">
        <f ca="1">HLOOKUP($H$4,'Met Data'!$O$2:$T$368,G196,FALSE)</f>
        <v>0.80250527716076203</v>
      </c>
      <c r="L196">
        <f t="shared" ca="1" si="20"/>
        <v>1.7</v>
      </c>
      <c r="N196" t="b">
        <f t="shared" ca="1" si="25"/>
        <v>0</v>
      </c>
      <c r="O196" t="b">
        <f t="shared" ca="1" si="21"/>
        <v>0</v>
      </c>
      <c r="P196" s="2">
        <f ca="1"/>
        <v>45531</v>
      </c>
      <c r="Q196">
        <f ca="1"/>
        <v>46.284889631084923</v>
      </c>
      <c r="R196">
        <f ca="1"/>
        <v>0.47954015857309801</v>
      </c>
      <c r="S196">
        <f ca="1"/>
        <v>0.16053276456824506</v>
      </c>
      <c r="T196">
        <f ca="1"/>
        <v>0</v>
      </c>
      <c r="U196">
        <f ca="1"/>
        <v>0</v>
      </c>
      <c r="V196">
        <f ca="1"/>
        <v>12.0056597914914</v>
      </c>
      <c r="W196">
        <f ca="1"/>
        <v>10.982955438882801</v>
      </c>
      <c r="X196">
        <f ca="1"/>
        <v>0.23267534963308853</v>
      </c>
      <c r="Y196">
        <f ca="1"/>
        <v>1</v>
      </c>
      <c r="Z196">
        <f ca="1"/>
        <v>1.5874819360177526</v>
      </c>
      <c r="AA196">
        <f ca="1"/>
        <v>0</v>
      </c>
      <c r="AB196">
        <f ca="1"/>
        <v>0.28558724496139298</v>
      </c>
      <c r="AD196" s="2">
        <f t="shared" ca="1" si="22"/>
        <v>45531</v>
      </c>
      <c r="AE196">
        <f t="shared" ca="1" si="23"/>
        <v>0</v>
      </c>
      <c r="AG196" s="65">
        <f t="shared" ca="1" si="27"/>
        <v>46.997105139291115</v>
      </c>
      <c r="AH196" s="65">
        <f t="shared" ca="1" si="28"/>
        <v>46.997105139291115</v>
      </c>
      <c r="AI196" s="3">
        <f t="shared" ca="1" si="29"/>
        <v>0</v>
      </c>
    </row>
    <row r="197" spans="7:35" x14ac:dyDescent="0.25">
      <c r="G197" s="3">
        <f t="shared" ca="1" si="24"/>
        <v>197</v>
      </c>
      <c r="H197" s="97">
        <f t="shared" ca="1" si="26"/>
        <v>45487</v>
      </c>
      <c r="I197" s="121">
        <f ca="1">HLOOKUP($H$4,'Met Data'!$A$2:$F$368,G197,FALSE)</f>
        <v>8.8590909090909093</v>
      </c>
      <c r="J197" s="121">
        <f ca="1">HLOOKUP($H$4,'Met Data'!$H$2:$M$368,G197,FALSE)*L197</f>
        <v>3.5133333333333221</v>
      </c>
      <c r="K197" s="98">
        <f ca="1">HLOOKUP($H$4,'Met Data'!$O$2:$T$368,G197,FALSE)</f>
        <v>0.97822362204517799</v>
      </c>
      <c r="L197">
        <f t="shared" ca="1" si="20"/>
        <v>1.7</v>
      </c>
      <c r="N197" t="b">
        <f t="shared" ca="1" si="25"/>
        <v>0</v>
      </c>
      <c r="O197" t="b">
        <f t="shared" ca="1" si="21"/>
        <v>0</v>
      </c>
      <c r="P197" s="2">
        <f ca="1"/>
        <v>45532</v>
      </c>
      <c r="Q197">
        <f ca="1"/>
        <v>45.428341605859217</v>
      </c>
      <c r="R197">
        <f ca="1"/>
        <v>0.47502077730989001</v>
      </c>
      <c r="S197">
        <f ca="1"/>
        <v>0.1394961256230971</v>
      </c>
      <c r="T197">
        <f ca="1"/>
        <v>0</v>
      </c>
      <c r="U197">
        <f ca="1"/>
        <v>0</v>
      </c>
      <c r="V197">
        <f ca="1"/>
        <v>12.480680568801301</v>
      </c>
      <c r="W197">
        <f ca="1"/>
        <v>11.4175114833108</v>
      </c>
      <c r="X197">
        <f ca="1"/>
        <v>0.52102337353890604</v>
      </c>
      <c r="Y197">
        <f ca="1"/>
        <v>1</v>
      </c>
      <c r="Z197">
        <f ca="1"/>
        <v>3.6218292610048053</v>
      </c>
      <c r="AA197">
        <f ca="1"/>
        <v>0</v>
      </c>
      <c r="AB197">
        <f ca="1"/>
        <v>0.31275387072040001</v>
      </c>
      <c r="AD197" s="2">
        <f t="shared" ca="1" si="22"/>
        <v>45532</v>
      </c>
      <c r="AE197">
        <f t="shared" ca="1" si="23"/>
        <v>0</v>
      </c>
      <c r="AG197" s="65">
        <f t="shared" ca="1" si="27"/>
        <v>46.42438575670802</v>
      </c>
      <c r="AH197" s="65">
        <f t="shared" ca="1" si="28"/>
        <v>46.42438575670802</v>
      </c>
      <c r="AI197" s="3">
        <f t="shared" ca="1" si="29"/>
        <v>0</v>
      </c>
    </row>
    <row r="198" spans="7:35" x14ac:dyDescent="0.25">
      <c r="G198" s="3">
        <f t="shared" ca="1" si="24"/>
        <v>198</v>
      </c>
      <c r="H198" s="97">
        <f t="shared" ca="1" si="26"/>
        <v>45488</v>
      </c>
      <c r="I198" s="121">
        <f ca="1">HLOOKUP($H$4,'Met Data'!$A$2:$F$368,G198,FALSE)</f>
        <v>8.8590909090909093</v>
      </c>
      <c r="J198" s="121">
        <f ca="1">HLOOKUP($H$4,'Met Data'!$H$2:$M$368,G198,FALSE)*L198</f>
        <v>10.313333333333322</v>
      </c>
      <c r="K198" s="98">
        <f ca="1">HLOOKUP($H$4,'Met Data'!$O$2:$T$368,G198,FALSE)</f>
        <v>0.78802331007485205</v>
      </c>
      <c r="L198">
        <f t="shared" ref="L198:L261" ca="1" si="30">IF(H198&lt;$B$31,$J$3,$J$4)</f>
        <v>1.7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45533</v>
      </c>
      <c r="Q198">
        <f ca="1"/>
        <v>44.918294539564499</v>
      </c>
      <c r="R198">
        <f ca="1"/>
        <v>0.51813387022217605</v>
      </c>
      <c r="S198">
        <f ca="1"/>
        <v>0.13398328202332266</v>
      </c>
      <c r="T198">
        <f ca="1"/>
        <v>0</v>
      </c>
      <c r="U198">
        <f ca="1"/>
        <v>0</v>
      </c>
      <c r="V198">
        <f ca="1"/>
        <v>12.9988144390234</v>
      </c>
      <c r="W198">
        <f ca="1"/>
        <v>11.8915080238474</v>
      </c>
      <c r="X198">
        <f ca="1"/>
        <v>0.12589647809585991</v>
      </c>
      <c r="Y198">
        <f ca="1"/>
        <v>1</v>
      </c>
      <c r="Z198">
        <f ca="1"/>
        <v>0.88509109626967586</v>
      </c>
      <c r="AA198">
        <f ca="1"/>
        <v>0</v>
      </c>
      <c r="AB198">
        <f ca="1"/>
        <v>0.34276399337062502</v>
      </c>
      <c r="AD198" s="2">
        <f t="shared" ref="AD198:AD261" ca="1" si="32">IFERROR(P198,$AD$4)</f>
        <v>45533</v>
      </c>
      <c r="AE198">
        <f t="shared" ref="AE198:AE261" ca="1" si="33">IFERROR(U198,0)</f>
        <v>0</v>
      </c>
      <c r="AG198" s="65">
        <f t="shared" ca="1" si="27"/>
        <v>45.562324887882539</v>
      </c>
      <c r="AH198" s="65">
        <f t="shared" ca="1" si="28"/>
        <v>45.562324887882539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199</v>
      </c>
      <c r="H199" s="97">
        <f t="shared" ca="1" si="26"/>
        <v>45489</v>
      </c>
      <c r="I199" s="121">
        <f ca="1">HLOOKUP($H$4,'Met Data'!$A$2:$F$368,G199,FALSE)</f>
        <v>9.5909090909090899</v>
      </c>
      <c r="J199" s="121">
        <f ca="1">HLOOKUP($H$4,'Met Data'!$H$2:$M$368,G199,FALSE)*L199</f>
        <v>7.8199999999999994</v>
      </c>
      <c r="K199" s="98">
        <f ca="1">HLOOKUP($H$4,'Met Data'!$O$2:$T$368,G199,FALSE)</f>
        <v>0.944748845250029</v>
      </c>
      <c r="L199">
        <f t="shared" ca="1" si="30"/>
        <v>1.7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45534</v>
      </c>
      <c r="Q199">
        <f ca="1"/>
        <v>44.359682629348747</v>
      </c>
      <c r="R199">
        <f ca="1"/>
        <v>0.51563048016352298</v>
      </c>
      <c r="S199">
        <f ca="1"/>
        <v>0.1170381794169657</v>
      </c>
      <c r="T199">
        <f ca="1"/>
        <v>0</v>
      </c>
      <c r="U199">
        <f ca="1"/>
        <v>0</v>
      </c>
      <c r="V199">
        <f ca="1"/>
        <v>13.5144449191869</v>
      </c>
      <c r="W199">
        <f ca="1"/>
        <v>12.363214426071</v>
      </c>
      <c r="X199">
        <f ca="1"/>
        <v>0.16001960946919758</v>
      </c>
      <c r="Y199">
        <f ca="1"/>
        <v>1</v>
      </c>
      <c r="Z199">
        <f ca="1"/>
        <v>1.1391539627472014</v>
      </c>
      <c r="AA199">
        <f ca="1"/>
        <v>0</v>
      </c>
      <c r="AB199">
        <f ca="1"/>
        <v>0.37278408409761199</v>
      </c>
      <c r="AD199" s="2">
        <f t="shared" ca="1" si="32"/>
        <v>45534</v>
      </c>
      <c r="AE199">
        <f t="shared" ca="1" si="33"/>
        <v>0</v>
      </c>
      <c r="AG199" s="65">
        <f t="shared" ca="1" si="27"/>
        <v>45.035332718981465</v>
      </c>
      <c r="AH199" s="65">
        <f t="shared" ca="1" si="28"/>
        <v>45.035332718981465</v>
      </c>
      <c r="AI199" s="3">
        <f t="shared" ca="1" si="29"/>
        <v>0</v>
      </c>
    </row>
    <row r="200" spans="7:35" x14ac:dyDescent="0.25">
      <c r="G200" s="3">
        <f t="shared" ca="1" si="34"/>
        <v>200</v>
      </c>
      <c r="H200" s="97">
        <f t="shared" ref="H200:H263" ca="1" si="36">H199+1</f>
        <v>45490</v>
      </c>
      <c r="I200" s="121">
        <f ca="1">HLOOKUP($H$4,'Met Data'!$A$2:$F$368,G200,FALSE)</f>
        <v>8.8450000000000006</v>
      </c>
      <c r="J200" s="121">
        <f ca="1">HLOOKUP($H$4,'Met Data'!$H$2:$M$368,G200,FALSE)*L200</f>
        <v>1.87</v>
      </c>
      <c r="K200" s="98">
        <f ca="1">HLOOKUP($H$4,'Met Data'!$O$2:$T$368,G200,FALSE)</f>
        <v>1.0240187106181899</v>
      </c>
      <c r="L200">
        <f t="shared" ca="1" si="30"/>
        <v>1.7</v>
      </c>
      <c r="N200" t="b">
        <f t="shared" ca="1" si="35"/>
        <v>0</v>
      </c>
      <c r="O200" t="b">
        <f t="shared" ca="1" si="31"/>
        <v>0</v>
      </c>
      <c r="P200" s="2">
        <f ca="1"/>
        <v>45535</v>
      </c>
      <c r="Q200">
        <f ca="1"/>
        <v>43.954786757163944</v>
      </c>
      <c r="R200">
        <f ca="1"/>
        <v>0.50664107367121103</v>
      </c>
      <c r="S200">
        <f ca="1"/>
        <v>0.10174520148640909</v>
      </c>
      <c r="T200">
        <f ca="1"/>
        <v>0</v>
      </c>
      <c r="U200">
        <f ca="1"/>
        <v>0</v>
      </c>
      <c r="V200">
        <f ca="1"/>
        <v>14.0210859928582</v>
      </c>
      <c r="W200">
        <f ca="1"/>
        <v>12.8266971860591</v>
      </c>
      <c r="X200">
        <f ca="1"/>
        <v>0</v>
      </c>
      <c r="Y200">
        <f ca="1"/>
        <v>0.99629623657088473</v>
      </c>
      <c r="Z200">
        <f ca="1"/>
        <v>0</v>
      </c>
      <c r="AA200">
        <f ca="1"/>
        <v>0</v>
      </c>
      <c r="AB200">
        <f ca="1"/>
        <v>0.40220871225403398</v>
      </c>
      <c r="AD200" s="2">
        <f t="shared" ca="1" si="32"/>
        <v>45535</v>
      </c>
      <c r="AE200">
        <f t="shared" ca="1" si="33"/>
        <v>0</v>
      </c>
      <c r="AG200" s="65">
        <f ca="1">Q199+S200+T200+U200</f>
        <v>44.461427830835156</v>
      </c>
      <c r="AH200" s="65">
        <f ca="1">Q200+R200+X200</f>
        <v>44.461427830835156</v>
      </c>
      <c r="AI200" s="3">
        <f ca="1">AH200-AG200</f>
        <v>0</v>
      </c>
    </row>
    <row r="201" spans="7:35" x14ac:dyDescent="0.25">
      <c r="G201" s="3">
        <f t="shared" ca="1" si="34"/>
        <v>201</v>
      </c>
      <c r="H201" s="97">
        <f t="shared" ca="1" si="36"/>
        <v>45491</v>
      </c>
      <c r="I201" s="121">
        <f ca="1">HLOOKUP($H$4,'Met Data'!$A$2:$F$368,G201,FALSE)</f>
        <v>8.99166666666666</v>
      </c>
      <c r="J201" s="121">
        <f ca="1">HLOOKUP($H$4,'Met Data'!$H$2:$M$368,G201,FALSE)*L201</f>
        <v>2.2949999999999831</v>
      </c>
      <c r="K201" s="98">
        <f ca="1">HLOOKUP($H$4,'Met Data'!$O$2:$T$368,G201,FALSE)</f>
        <v>1.16174529470798</v>
      </c>
      <c r="L201">
        <f t="shared" ca="1" si="30"/>
        <v>1.7</v>
      </c>
      <c r="N201" t="b">
        <f t="shared" ca="1" si="35"/>
        <v>0</v>
      </c>
      <c r="O201" t="b">
        <f t="shared" ca="1" si="31"/>
        <v>0</v>
      </c>
      <c r="P201" s="2">
        <f ca="1"/>
        <v>45536</v>
      </c>
      <c r="Q201">
        <f ca="1"/>
        <v>43.087510048817393</v>
      </c>
      <c r="R201">
        <f ca="1"/>
        <v>0.49994818790003998</v>
      </c>
      <c r="S201">
        <f ca="1"/>
        <v>8.9557083838514018E-2</v>
      </c>
      <c r="T201">
        <f ca="1"/>
        <v>0</v>
      </c>
      <c r="U201">
        <f ca="1"/>
        <v>0</v>
      </c>
      <c r="V201">
        <f ca="1"/>
        <v>14.5210341807582</v>
      </c>
      <c r="W201">
        <f ca="1"/>
        <v>13.2840571949899</v>
      </c>
      <c r="X201">
        <f ca="1"/>
        <v>0.45688560428503033</v>
      </c>
      <c r="Y201">
        <f ca="1"/>
        <v>1</v>
      </c>
      <c r="Z201">
        <f ca="1"/>
        <v>3.3485263907706866</v>
      </c>
      <c r="AA201">
        <f ca="1"/>
        <v>0</v>
      </c>
      <c r="AB201">
        <f ca="1"/>
        <v>0.43097702084321399</v>
      </c>
      <c r="AD201" s="2">
        <f t="shared" ca="1" si="32"/>
        <v>45536</v>
      </c>
      <c r="AE201">
        <f t="shared" ca="1" si="33"/>
        <v>0</v>
      </c>
      <c r="AG201" s="65">
        <f ca="1">Q200+S201+T201+U201</f>
        <v>44.044343841002458</v>
      </c>
      <c r="AH201" s="65">
        <f ca="1">Q201+R201+X201</f>
        <v>44.044343841002458</v>
      </c>
      <c r="AI201" s="3">
        <f ca="1">AH201-AG201</f>
        <v>0</v>
      </c>
    </row>
    <row r="202" spans="7:35" x14ac:dyDescent="0.25">
      <c r="G202" s="3">
        <f t="shared" ca="1" si="34"/>
        <v>202</v>
      </c>
      <c r="H202" s="97">
        <f t="shared" ca="1" si="36"/>
        <v>45492</v>
      </c>
      <c r="I202" s="121">
        <f ca="1">HLOOKUP($H$4,'Met Data'!$A$2:$F$368,G202,FALSE)</f>
        <v>9.5</v>
      </c>
      <c r="J202" s="121">
        <f ca="1">HLOOKUP($H$4,'Met Data'!$H$2:$M$368,G202,FALSE)*L202</f>
        <v>4.6749999999999998</v>
      </c>
      <c r="K202" s="98">
        <f ca="1">HLOOKUP($H$4,'Met Data'!$O$2:$T$368,G202,FALSE)</f>
        <v>0.94669865516537999</v>
      </c>
      <c r="L202">
        <f t="shared" ca="1" si="30"/>
        <v>1.7</v>
      </c>
      <c r="N202" t="b">
        <f t="shared" ca="1" si="35"/>
        <v>0</v>
      </c>
      <c r="O202" t="b">
        <f t="shared" ca="1" si="31"/>
        <v>0</v>
      </c>
      <c r="P202" s="2">
        <f ca="1"/>
        <v>45537</v>
      </c>
      <c r="Q202">
        <f ca="1"/>
        <v>42.638442036332378</v>
      </c>
      <c r="R202">
        <f ca="1"/>
        <v>0.521223890951939</v>
      </c>
      <c r="S202">
        <f ca="1"/>
        <v>8.3409518364220503E-2</v>
      </c>
      <c r="T202">
        <f ca="1"/>
        <v>0</v>
      </c>
      <c r="U202">
        <f ca="1"/>
        <v>0</v>
      </c>
      <c r="V202">
        <f ca="1"/>
        <v>15.0422580717101</v>
      </c>
      <c r="W202">
        <f ca="1"/>
        <v>13.7608805322682</v>
      </c>
      <c r="X202">
        <f ca="1"/>
        <v>1.1253639897301028E-2</v>
      </c>
      <c r="Y202">
        <f ca="1"/>
        <v>1</v>
      </c>
      <c r="Z202">
        <f ca="1"/>
        <v>8.3346877851965928E-2</v>
      </c>
      <c r="AA202">
        <f ca="1"/>
        <v>0</v>
      </c>
      <c r="AB202">
        <f ca="1"/>
        <v>0.46049792808154399</v>
      </c>
      <c r="AD202" s="2">
        <f t="shared" ca="1" si="32"/>
        <v>45537</v>
      </c>
      <c r="AE202">
        <f t="shared" ca="1" si="33"/>
        <v>0</v>
      </c>
      <c r="AG202" s="65">
        <f ca="1">Q201+S202+T202+U202</f>
        <v>43.170919567181613</v>
      </c>
      <c r="AH202" s="65">
        <f ca="1">Q202+R202+X202</f>
        <v>43.170919567181613</v>
      </c>
      <c r="AI202" s="3">
        <f ca="1">AH202-AG202</f>
        <v>0</v>
      </c>
    </row>
    <row r="203" spans="7:35" x14ac:dyDescent="0.25">
      <c r="G203" s="3">
        <f t="shared" ca="1" si="34"/>
        <v>203</v>
      </c>
      <c r="H203" s="97">
        <f t="shared" ca="1" si="36"/>
        <v>45493</v>
      </c>
      <c r="I203" s="121">
        <f ca="1">HLOOKUP($H$4,'Met Data'!$A$2:$F$368,G203,FALSE)</f>
        <v>9.8333333333333304</v>
      </c>
      <c r="J203" s="121">
        <f ca="1">HLOOKUP($H$4,'Met Data'!$H$2:$M$368,G203,FALSE)*L203</f>
        <v>6.1766666666666614</v>
      </c>
      <c r="K203" s="98">
        <f ca="1">HLOOKUP($H$4,'Met Data'!$O$2:$T$368,G203,FALSE)</f>
        <v>1.0815395194790001</v>
      </c>
      <c r="L203">
        <f t="shared" ca="1" si="30"/>
        <v>1.7</v>
      </c>
      <c r="N203" t="b">
        <f t="shared" ca="1" si="35"/>
        <v>0</v>
      </c>
      <c r="O203" t="b">
        <f t="shared" ca="1" si="31"/>
        <v>0</v>
      </c>
      <c r="P203" s="2">
        <f ca="1"/>
        <v>45538</v>
      </c>
      <c r="Q203">
        <f ca="1"/>
        <v>41.849019043230719</v>
      </c>
      <c r="R203">
        <f ca="1"/>
        <v>0.55533043474782995</v>
      </c>
      <c r="S203">
        <f ca="1"/>
        <v>7.9254536533653663E-2</v>
      </c>
      <c r="T203">
        <f ca="1"/>
        <v>0</v>
      </c>
      <c r="U203">
        <f ca="1"/>
        <v>0</v>
      </c>
      <c r="V203">
        <f ca="1"/>
        <v>15.597588506458001</v>
      </c>
      <c r="W203">
        <f ca="1"/>
        <v>14.268905041092999</v>
      </c>
      <c r="X203">
        <f ca="1"/>
        <v>0.31334709488748053</v>
      </c>
      <c r="Y203">
        <f ca="1"/>
        <v>1</v>
      </c>
      <c r="Z203">
        <f ca="1"/>
        <v>2.3644930380034737</v>
      </c>
      <c r="AA203">
        <f ca="1"/>
        <v>0</v>
      </c>
      <c r="AB203">
        <f ca="1"/>
        <v>0.49123009285434399</v>
      </c>
      <c r="AD203" s="2">
        <f t="shared" ca="1" si="32"/>
        <v>45538</v>
      </c>
      <c r="AE203">
        <f t="shared" ca="1" si="33"/>
        <v>0</v>
      </c>
      <c r="AG203" s="65">
        <f t="shared" ref="AG203:AG266" ca="1" si="37">Q202+S203+T203+U203</f>
        <v>42.717696572866032</v>
      </c>
      <c r="AH203" s="65">
        <f t="shared" ref="AH203:AH266" ca="1" si="38">Q203+R203+X203</f>
        <v>42.717696572866032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204</v>
      </c>
      <c r="H204" s="97">
        <f t="shared" ca="1" si="36"/>
        <v>45494</v>
      </c>
      <c r="I204" s="121">
        <f ca="1">HLOOKUP($H$4,'Met Data'!$A$2:$F$368,G204,FALSE)</f>
        <v>10.029166666666599</v>
      </c>
      <c r="J204" s="121">
        <f ca="1">HLOOKUP($H$4,'Met Data'!$H$2:$M$368,G204,FALSE)*L204</f>
        <v>7.9616666666666607</v>
      </c>
      <c r="K204" s="98">
        <f ca="1">HLOOKUP($H$4,'Met Data'!$O$2:$T$368,G204,FALSE)</f>
        <v>1.0771273773513399</v>
      </c>
      <c r="L204">
        <f t="shared" ca="1" si="30"/>
        <v>1.7</v>
      </c>
      <c r="N204" t="b">
        <f t="shared" ca="1" si="35"/>
        <v>0</v>
      </c>
      <c r="O204" t="b">
        <f t="shared" ca="1" si="31"/>
        <v>0</v>
      </c>
      <c r="P204" s="2">
        <f ca="1"/>
        <v>45539</v>
      </c>
      <c r="Q204">
        <f ca="1"/>
        <v>40.852817371168271</v>
      </c>
      <c r="R204">
        <f ca="1"/>
        <v>0.55750541256720598</v>
      </c>
      <c r="S204">
        <f ca="1"/>
        <v>7.1114267732767189E-2</v>
      </c>
      <c r="T204">
        <f ca="1"/>
        <v>0</v>
      </c>
      <c r="U204">
        <f ca="1"/>
        <v>0</v>
      </c>
      <c r="V204">
        <f ca="1"/>
        <v>16.155093919025202</v>
      </c>
      <c r="W204">
        <f ca="1"/>
        <v>14.778919251849</v>
      </c>
      <c r="X204">
        <f ca="1"/>
        <v>0.50981052722801334</v>
      </c>
      <c r="Y204">
        <f ca="1"/>
        <v>1</v>
      </c>
      <c r="Z204">
        <f ca="1"/>
        <v>3.9408003763682729</v>
      </c>
      <c r="AA204">
        <f ca="1"/>
        <v>0</v>
      </c>
      <c r="AB204">
        <f ca="1"/>
        <v>0.52116231049108197</v>
      </c>
      <c r="AD204" s="2">
        <f t="shared" ca="1" si="32"/>
        <v>45539</v>
      </c>
      <c r="AE204">
        <f t="shared" ca="1" si="33"/>
        <v>0</v>
      </c>
      <c r="AG204" s="65">
        <f t="shared" ca="1" si="37"/>
        <v>41.920133310963486</v>
      </c>
      <c r="AH204" s="65">
        <f t="shared" ca="1" si="38"/>
        <v>41.920133310963486</v>
      </c>
      <c r="AI204" s="3">
        <f t="shared" ca="1" si="39"/>
        <v>0</v>
      </c>
    </row>
    <row r="205" spans="7:35" x14ac:dyDescent="0.25">
      <c r="G205" s="3">
        <f t="shared" ca="1" si="34"/>
        <v>205</v>
      </c>
      <c r="H205" s="97">
        <f t="shared" ca="1" si="36"/>
        <v>45495</v>
      </c>
      <c r="I205" s="121">
        <f ca="1">HLOOKUP($H$4,'Met Data'!$A$2:$F$368,G205,FALSE)</f>
        <v>9.4250000000000007</v>
      </c>
      <c r="J205" s="121">
        <f ca="1">HLOOKUP($H$4,'Met Data'!$H$2:$M$368,G205,FALSE)*L205</f>
        <v>8.9533333333333225</v>
      </c>
      <c r="K205" s="98">
        <f ca="1">HLOOKUP($H$4,'Met Data'!$O$2:$T$368,G205,FALSE)</f>
        <v>0.87955885998233896</v>
      </c>
      <c r="L205">
        <f t="shared" ca="1" si="30"/>
        <v>1.7</v>
      </c>
      <c r="N205" t="b">
        <f t="shared" ca="1" si="35"/>
        <v>0</v>
      </c>
      <c r="O205" t="b">
        <f t="shared" ca="1" si="31"/>
        <v>0</v>
      </c>
      <c r="P205" s="2">
        <f ca="1"/>
        <v>45540</v>
      </c>
      <c r="Q205">
        <f ca="1"/>
        <v>39.242838252943486</v>
      </c>
      <c r="R205">
        <f ca="1"/>
        <v>0.60894040018298801</v>
      </c>
      <c r="S205">
        <f ca="1"/>
        <v>6.9302531964083869E-2</v>
      </c>
      <c r="T205">
        <f ca="1"/>
        <v>0</v>
      </c>
      <c r="U205">
        <f ca="1"/>
        <v>0</v>
      </c>
      <c r="V205">
        <f ca="1"/>
        <v>16.7640343192082</v>
      </c>
      <c r="W205">
        <f ca="1"/>
        <v>15.335986951275601</v>
      </c>
      <c r="X205">
        <f ca="1"/>
        <v>1.07034125000588</v>
      </c>
      <c r="Y205">
        <f ca="1"/>
        <v>1</v>
      </c>
      <c r="Z205">
        <f ca="1"/>
        <v>8.6131002508847416</v>
      </c>
      <c r="AA205">
        <f ca="1"/>
        <v>0</v>
      </c>
      <c r="AB205">
        <f ca="1"/>
        <v>0.55263544738006998</v>
      </c>
      <c r="AD205" s="2">
        <f t="shared" ca="1" si="32"/>
        <v>45540</v>
      </c>
      <c r="AE205">
        <f t="shared" ca="1" si="33"/>
        <v>0</v>
      </c>
      <c r="AG205" s="65">
        <f t="shared" ca="1" si="37"/>
        <v>40.922119903132355</v>
      </c>
      <c r="AH205" s="65">
        <f t="shared" ca="1" si="38"/>
        <v>40.922119903132355</v>
      </c>
      <c r="AI205" s="3">
        <f t="shared" ca="1" si="39"/>
        <v>0</v>
      </c>
    </row>
    <row r="206" spans="7:35" x14ac:dyDescent="0.25">
      <c r="G206" s="3">
        <f t="shared" ca="1" si="34"/>
        <v>206</v>
      </c>
      <c r="H206" s="97">
        <f t="shared" ca="1" si="36"/>
        <v>45496</v>
      </c>
      <c r="I206" s="121">
        <f ca="1">HLOOKUP($H$4,'Met Data'!$A$2:$F$368,G206,FALSE)</f>
        <v>9.4</v>
      </c>
      <c r="J206" s="121">
        <f ca="1">HLOOKUP($H$4,'Met Data'!$H$2:$M$368,G206,FALSE)*L206</f>
        <v>3.4849999999999994</v>
      </c>
      <c r="K206" s="98">
        <f ca="1">HLOOKUP($H$4,'Met Data'!$O$2:$T$368,G206,FALSE)</f>
        <v>0.953998897248024</v>
      </c>
      <c r="L206">
        <f t="shared" ca="1" si="30"/>
        <v>1.7</v>
      </c>
      <c r="N206" t="b">
        <f t="shared" ca="1" si="35"/>
        <v>0</v>
      </c>
      <c r="O206" t="b">
        <f t="shared" ca="1" si="31"/>
        <v>0</v>
      </c>
      <c r="P206" s="2">
        <f ca="1"/>
        <v>45541</v>
      </c>
      <c r="Q206">
        <f ca="1"/>
        <v>38.62535126809663</v>
      </c>
      <c r="R206">
        <f ca="1"/>
        <v>0.65670950641169401</v>
      </c>
      <c r="S206">
        <f ca="1"/>
        <v>6.6495976197472828E-2</v>
      </c>
      <c r="T206">
        <f ca="1"/>
        <v>0</v>
      </c>
      <c r="U206">
        <f ca="1"/>
        <v>0</v>
      </c>
      <c r="V206">
        <f ca="1"/>
        <v>17.420743825619901</v>
      </c>
      <c r="W206">
        <f ca="1"/>
        <v>15.936754536770801</v>
      </c>
      <c r="X206">
        <f ca="1"/>
        <v>2.7273454632633493E-2</v>
      </c>
      <c r="Y206">
        <f ca="1"/>
        <v>1</v>
      </c>
      <c r="Z206">
        <f ca="1"/>
        <v>0.22297971672048789</v>
      </c>
      <c r="AA206">
        <f ca="1"/>
        <v>0</v>
      </c>
      <c r="AB206">
        <f ca="1"/>
        <v>0.58499452465526203</v>
      </c>
      <c r="AD206" s="2">
        <f t="shared" ca="1" si="32"/>
        <v>45541</v>
      </c>
      <c r="AE206">
        <f t="shared" ca="1" si="33"/>
        <v>0</v>
      </c>
      <c r="AG206" s="65">
        <f t="shared" ca="1" si="37"/>
        <v>39.309334229140958</v>
      </c>
      <c r="AH206" s="65">
        <f t="shared" ca="1" si="38"/>
        <v>39.309334229140958</v>
      </c>
      <c r="AI206" s="3">
        <f t="shared" ca="1" si="39"/>
        <v>0</v>
      </c>
    </row>
    <row r="207" spans="7:35" x14ac:dyDescent="0.25">
      <c r="G207" s="3">
        <f t="shared" ca="1" si="34"/>
        <v>207</v>
      </c>
      <c r="H207" s="97">
        <f t="shared" ca="1" si="36"/>
        <v>45497</v>
      </c>
      <c r="I207" s="121">
        <f ca="1">HLOOKUP($H$4,'Met Data'!$A$2:$F$368,G207,FALSE)</f>
        <v>8.92916666666666</v>
      </c>
      <c r="J207" s="121">
        <f ca="1">HLOOKUP($H$4,'Met Data'!$H$2:$M$368,G207,FALSE)*L207</f>
        <v>1.9549999999999998</v>
      </c>
      <c r="K207" s="98">
        <f ca="1">HLOOKUP($H$4,'Met Data'!$O$2:$T$368,G207,FALSE)</f>
        <v>1.2467505566806001</v>
      </c>
      <c r="L207">
        <f t="shared" ca="1" si="30"/>
        <v>1.7</v>
      </c>
      <c r="N207" t="b">
        <f t="shared" ca="1" si="35"/>
        <v>0</v>
      </c>
      <c r="O207" t="b">
        <f t="shared" ca="1" si="31"/>
        <v>0</v>
      </c>
      <c r="P207" s="2">
        <f ca="1"/>
        <v>45542</v>
      </c>
      <c r="Q207">
        <f ca="1"/>
        <v>38.017978353646292</v>
      </c>
      <c r="R207">
        <f ca="1"/>
        <v>0.667438491712392</v>
      </c>
      <c r="S207">
        <f ca="1"/>
        <v>6.0065577262051306E-2</v>
      </c>
      <c r="T207">
        <f ca="1"/>
        <v>0</v>
      </c>
      <c r="U207">
        <f ca="1"/>
        <v>0</v>
      </c>
      <c r="V207">
        <f ca="1"/>
        <v>18.088182317332301</v>
      </c>
      <c r="W207">
        <f ca="1"/>
        <v>16.547337156966901</v>
      </c>
      <c r="X207">
        <f ca="1"/>
        <v>0</v>
      </c>
      <c r="Y207">
        <f ca="1"/>
        <v>0.99686929664420076</v>
      </c>
      <c r="Z207">
        <f ca="1"/>
        <v>0</v>
      </c>
      <c r="AA207">
        <f ca="1"/>
        <v>0</v>
      </c>
      <c r="AB207">
        <f ca="1"/>
        <v>0.616081298916758</v>
      </c>
      <c r="AD207" s="2">
        <f t="shared" ca="1" si="32"/>
        <v>45542</v>
      </c>
      <c r="AE207">
        <f t="shared" ca="1" si="33"/>
        <v>0</v>
      </c>
      <c r="AG207" s="65">
        <f t="shared" ca="1" si="37"/>
        <v>38.685416845358681</v>
      </c>
      <c r="AH207" s="65">
        <f t="shared" ca="1" si="38"/>
        <v>38.685416845358681</v>
      </c>
      <c r="AI207" s="3">
        <f t="shared" ca="1" si="39"/>
        <v>0</v>
      </c>
    </row>
    <row r="208" spans="7:35" x14ac:dyDescent="0.25">
      <c r="G208" s="3">
        <f t="shared" ca="1" si="34"/>
        <v>208</v>
      </c>
      <c r="H208" s="97">
        <f t="shared" ca="1" si="36"/>
        <v>45498</v>
      </c>
      <c r="I208" s="121">
        <f ca="1">HLOOKUP($H$4,'Met Data'!$A$2:$F$368,G208,FALSE)</f>
        <v>8.7624999999999993</v>
      </c>
      <c r="J208" s="121">
        <f ca="1">HLOOKUP($H$4,'Met Data'!$H$2:$M$368,G208,FALSE)*L208</f>
        <v>0.76500000000000001</v>
      </c>
      <c r="K208" s="98">
        <f ca="1">HLOOKUP($H$4,'Met Data'!$O$2:$T$368,G208,FALSE)</f>
        <v>1.3150067848265401</v>
      </c>
      <c r="L208">
        <f t="shared" ca="1" si="30"/>
        <v>1.7</v>
      </c>
      <c r="N208" t="b">
        <f t="shared" ca="1" si="35"/>
        <v>0</v>
      </c>
      <c r="O208" t="b">
        <f t="shared" ca="1" si="31"/>
        <v>0</v>
      </c>
      <c r="P208" s="2">
        <f ca="1"/>
        <v>45543</v>
      </c>
      <c r="Q208">
        <f ca="1"/>
        <v>36.836105008620649</v>
      </c>
      <c r="R208">
        <f ca="1"/>
        <v>0.62619002645001498</v>
      </c>
      <c r="S208">
        <f ca="1"/>
        <v>5.0557959234055261E-2</v>
      </c>
      <c r="T208">
        <f ca="1"/>
        <v>0</v>
      </c>
      <c r="U208">
        <f ca="1"/>
        <v>0</v>
      </c>
      <c r="V208">
        <f ca="1"/>
        <v>18.714372343782301</v>
      </c>
      <c r="W208">
        <f ca="1"/>
        <v>17.120185070052699</v>
      </c>
      <c r="X208">
        <f ca="1"/>
        <v>0.60624127780967674</v>
      </c>
      <c r="Y208">
        <f ca="1"/>
        <v>1</v>
      </c>
      <c r="Z208">
        <f ca="1"/>
        <v>5.1972002468870642</v>
      </c>
      <c r="AA208">
        <f ca="1"/>
        <v>0</v>
      </c>
      <c r="AB208">
        <f ca="1"/>
        <v>0.64353489734679703</v>
      </c>
      <c r="AD208" s="2">
        <f t="shared" ca="1" si="32"/>
        <v>45543</v>
      </c>
      <c r="AE208">
        <f t="shared" ca="1" si="33"/>
        <v>0</v>
      </c>
      <c r="AG208" s="65">
        <f t="shared" ca="1" si="37"/>
        <v>38.068536312880347</v>
      </c>
      <c r="AH208" s="65">
        <f t="shared" ca="1" si="38"/>
        <v>38.068536312880347</v>
      </c>
      <c r="AI208" s="3">
        <f t="shared" ca="1" si="39"/>
        <v>0</v>
      </c>
    </row>
    <row r="209" spans="7:35" x14ac:dyDescent="0.25">
      <c r="G209" s="3">
        <f t="shared" ca="1" si="34"/>
        <v>209</v>
      </c>
      <c r="H209" s="97">
        <f t="shared" ca="1" si="36"/>
        <v>45499</v>
      </c>
      <c r="I209" s="121">
        <f ca="1">HLOOKUP($H$4,'Met Data'!$A$2:$F$368,G209,FALSE)</f>
        <v>9.3333333333333304</v>
      </c>
      <c r="J209" s="121">
        <f ca="1">HLOOKUP($H$4,'Met Data'!$H$2:$M$368,G209,FALSE)*L209</f>
        <v>3.4283333333333217</v>
      </c>
      <c r="K209" s="98">
        <f ca="1">HLOOKUP($H$4,'Met Data'!$O$2:$T$368,G209,FALSE)</f>
        <v>1.11956275252086</v>
      </c>
      <c r="L209">
        <f t="shared" ca="1" si="30"/>
        <v>1.7</v>
      </c>
      <c r="N209" t="b">
        <f t="shared" ca="1" si="35"/>
        <v>0</v>
      </c>
      <c r="O209" t="b">
        <f t="shared" ca="1" si="31"/>
        <v>0</v>
      </c>
      <c r="P209" s="2">
        <f ca="1"/>
        <v>45544</v>
      </c>
      <c r="Q209">
        <f ca="1"/>
        <v>35.733458665047465</v>
      </c>
      <c r="R209">
        <f ca="1"/>
        <v>0.67781848643669595</v>
      </c>
      <c r="S209">
        <f ca="1"/>
        <v>4.9193509990487883E-2</v>
      </c>
      <c r="T209">
        <f ca="1"/>
        <v>0</v>
      </c>
      <c r="U209">
        <f ca="1"/>
        <v>0</v>
      </c>
      <c r="V209">
        <f ca="1"/>
        <v>19.392190830219</v>
      </c>
      <c r="W209">
        <f ca="1"/>
        <v>17.7402634632003</v>
      </c>
      <c r="X209">
        <f ca="1"/>
        <v>0.47402136712697146</v>
      </c>
      <c r="Y209">
        <f ca="1"/>
        <v>1</v>
      </c>
      <c r="Z209">
        <f ca="1"/>
        <v>4.189097938804224</v>
      </c>
      <c r="AA209">
        <f ca="1"/>
        <v>0</v>
      </c>
      <c r="AB209">
        <f ca="1"/>
        <v>0.67136215823026801</v>
      </c>
      <c r="AD209" s="2">
        <f t="shared" ca="1" si="32"/>
        <v>45544</v>
      </c>
      <c r="AE209">
        <f t="shared" ca="1" si="33"/>
        <v>0</v>
      </c>
      <c r="AG209" s="65">
        <f t="shared" ca="1" si="37"/>
        <v>36.885298518611137</v>
      </c>
      <c r="AH209" s="65">
        <f t="shared" ca="1" si="38"/>
        <v>36.885298518611137</v>
      </c>
      <c r="AI209" s="3">
        <f t="shared" ca="1" si="39"/>
        <v>0</v>
      </c>
    </row>
    <row r="210" spans="7:35" x14ac:dyDescent="0.25">
      <c r="G210" s="3">
        <f t="shared" ca="1" si="34"/>
        <v>210</v>
      </c>
      <c r="H210" s="97">
        <f t="shared" ca="1" si="36"/>
        <v>45500</v>
      </c>
      <c r="I210" s="121">
        <f ca="1">HLOOKUP($H$4,'Met Data'!$A$2:$F$368,G210,FALSE)</f>
        <v>8.9875000000000007</v>
      </c>
      <c r="J210" s="121">
        <f ca="1">HLOOKUP($H$4,'Met Data'!$H$2:$M$368,G210,FALSE)*L210</f>
        <v>2.1533333333333218</v>
      </c>
      <c r="K210" s="98">
        <f ca="1">HLOOKUP($H$4,'Met Data'!$O$2:$T$368,G210,FALSE)</f>
        <v>1.28515382274214</v>
      </c>
      <c r="L210">
        <f t="shared" ca="1" si="30"/>
        <v>1.7</v>
      </c>
      <c r="N210" t="b">
        <f t="shared" ca="1" si="35"/>
        <v>0</v>
      </c>
      <c r="O210" t="b">
        <f t="shared" ca="1" si="31"/>
        <v>0</v>
      </c>
      <c r="P210" s="2">
        <f ca="1"/>
        <v>45545</v>
      </c>
      <c r="Q210">
        <f ca="1"/>
        <v>34.041938369288808</v>
      </c>
      <c r="R210">
        <f ca="1"/>
        <v>0.73854378854581504</v>
      </c>
      <c r="S210">
        <f ca="1"/>
        <v>4.8081323764094464E-2</v>
      </c>
      <c r="T210">
        <f ca="1"/>
        <v>0</v>
      </c>
      <c r="U210">
        <f ca="1"/>
        <v>0</v>
      </c>
      <c r="V210">
        <f ca="1"/>
        <v>20.130734618764802</v>
      </c>
      <c r="W210">
        <f ca="1"/>
        <v>18.4158942623515</v>
      </c>
      <c r="X210">
        <f ca="1"/>
        <v>1.0010578309769391</v>
      </c>
      <c r="Y210">
        <f ca="1"/>
        <v>1</v>
      </c>
      <c r="Z210">
        <f ca="1"/>
        <v>9.2862962779128395</v>
      </c>
      <c r="AA210">
        <f ca="1"/>
        <v>0</v>
      </c>
      <c r="AB210">
        <f ca="1"/>
        <v>0.69946585039857101</v>
      </c>
      <c r="AD210" s="2">
        <f t="shared" ca="1" si="32"/>
        <v>45545</v>
      </c>
      <c r="AE210">
        <f t="shared" ca="1" si="33"/>
        <v>0</v>
      </c>
      <c r="AG210" s="65">
        <f t="shared" ca="1" si="37"/>
        <v>35.781539988811559</v>
      </c>
      <c r="AH210" s="65">
        <f t="shared" ca="1" si="38"/>
        <v>35.781539988811559</v>
      </c>
      <c r="AI210" s="3">
        <f t="shared" ca="1" si="39"/>
        <v>0</v>
      </c>
    </row>
    <row r="211" spans="7:35" x14ac:dyDescent="0.25">
      <c r="G211" s="3">
        <f t="shared" ca="1" si="34"/>
        <v>211</v>
      </c>
      <c r="H211" s="97">
        <f t="shared" ca="1" si="36"/>
        <v>45501</v>
      </c>
      <c r="I211" s="121">
        <f ca="1">HLOOKUP($H$4,'Met Data'!$A$2:$F$368,G211,FALSE)</f>
        <v>9.0374999999999996</v>
      </c>
      <c r="J211" s="121">
        <f ca="1">HLOOKUP($H$4,'Met Data'!$H$2:$M$368,G211,FALSE)*L211</f>
        <v>4.7599999999999829</v>
      </c>
      <c r="K211" s="98">
        <f ca="1">HLOOKUP($H$4,'Met Data'!$O$2:$T$368,G211,FALSE)</f>
        <v>1.1959337492079301</v>
      </c>
      <c r="L211">
        <f t="shared" ca="1" si="30"/>
        <v>1.7</v>
      </c>
      <c r="N211" t="b">
        <f t="shared" ca="1" si="35"/>
        <v>0</v>
      </c>
      <c r="O211" t="b">
        <f t="shared" ca="1" si="31"/>
        <v>0</v>
      </c>
      <c r="P211" s="2">
        <f ca="1"/>
        <v>45546</v>
      </c>
      <c r="Q211">
        <f ca="1"/>
        <v>33.177874175033601</v>
      </c>
      <c r="R211">
        <f ca="1"/>
        <v>0.74955145893617503</v>
      </c>
      <c r="S211">
        <f ca="1"/>
        <v>4.3748975274468194E-2</v>
      </c>
      <c r="T211">
        <f ca="1"/>
        <v>0</v>
      </c>
      <c r="U211">
        <f ca="1"/>
        <v>0</v>
      </c>
      <c r="V211">
        <f ca="1"/>
        <v>20.880286077701001</v>
      </c>
      <c r="W211">
        <f ca="1"/>
        <v>19.101595041452399</v>
      </c>
      <c r="X211">
        <f ca="1"/>
        <v>0.15826171059349725</v>
      </c>
      <c r="Y211">
        <f ca="1"/>
        <v>1</v>
      </c>
      <c r="Z211">
        <f ca="1"/>
        <v>1.5063467306260208</v>
      </c>
      <c r="AA211">
        <f ca="1"/>
        <v>0</v>
      </c>
      <c r="AB211">
        <f ca="1"/>
        <v>0.72568942326405295</v>
      </c>
      <c r="AD211" s="2">
        <f t="shared" ca="1" si="32"/>
        <v>45546</v>
      </c>
      <c r="AE211">
        <f t="shared" ca="1" si="33"/>
        <v>0</v>
      </c>
      <c r="AG211" s="65">
        <f t="shared" ca="1" si="37"/>
        <v>34.085687344563276</v>
      </c>
      <c r="AH211" s="65">
        <f t="shared" ca="1" si="38"/>
        <v>34.085687344563276</v>
      </c>
      <c r="AI211" s="3">
        <f t="shared" ca="1" si="39"/>
        <v>0</v>
      </c>
    </row>
    <row r="212" spans="7:35" x14ac:dyDescent="0.25">
      <c r="G212" s="3">
        <f t="shared" ca="1" si="34"/>
        <v>212</v>
      </c>
      <c r="H212" s="97">
        <f t="shared" ca="1" si="36"/>
        <v>45502</v>
      </c>
      <c r="I212" s="121">
        <f ca="1">HLOOKUP($H$4,'Met Data'!$A$2:$F$368,G212,FALSE)</f>
        <v>8.17916666666666</v>
      </c>
      <c r="J212" s="121">
        <f ca="1">HLOOKUP($H$4,'Met Data'!$H$2:$M$368,G212,FALSE)*L212</f>
        <v>2.6349999999999998</v>
      </c>
      <c r="K212" s="98">
        <f ca="1">HLOOKUP($H$4,'Met Data'!$O$2:$T$368,G212,FALSE)</f>
        <v>1.3658842309244701</v>
      </c>
      <c r="L212">
        <f t="shared" ca="1" si="30"/>
        <v>1.7</v>
      </c>
      <c r="N212" t="b">
        <f t="shared" ca="1" si="35"/>
        <v>0</v>
      </c>
      <c r="O212" t="b">
        <f t="shared" ca="1" si="31"/>
        <v>0</v>
      </c>
      <c r="P212" s="2">
        <f ca="1"/>
        <v>45547</v>
      </c>
      <c r="Q212">
        <f ca="1"/>
        <v>32.322506191669078</v>
      </c>
      <c r="R212">
        <f ca="1"/>
        <v>0.83130388004976996</v>
      </c>
      <c r="S212">
        <f ca="1"/>
        <v>4.3586386692808787E-2</v>
      </c>
      <c r="T212">
        <f ca="1"/>
        <v>0</v>
      </c>
      <c r="U212">
        <f ca="1"/>
        <v>0</v>
      </c>
      <c r="V212">
        <f ca="1"/>
        <v>21.7115899577507</v>
      </c>
      <c r="W212">
        <f ca="1"/>
        <v>19.862084146534901</v>
      </c>
      <c r="X212">
        <f ca="1"/>
        <v>6.7650490007566816E-2</v>
      </c>
      <c r="Y212">
        <f ca="1"/>
        <v>1</v>
      </c>
      <c r="Z212">
        <f ca="1"/>
        <v>0.6609423324814685</v>
      </c>
      <c r="AA212">
        <f ca="1"/>
        <v>0</v>
      </c>
      <c r="AB212">
        <f ca="1"/>
        <v>0.75218698628555702</v>
      </c>
      <c r="AD212" s="2">
        <f t="shared" ca="1" si="32"/>
        <v>45547</v>
      </c>
      <c r="AE212">
        <f t="shared" ca="1" si="33"/>
        <v>0</v>
      </c>
      <c r="AG212" s="65">
        <f t="shared" ca="1" si="37"/>
        <v>33.22146056172641</v>
      </c>
      <c r="AH212" s="65">
        <f t="shared" ca="1" si="38"/>
        <v>33.22146056172641</v>
      </c>
      <c r="AI212" s="3">
        <f t="shared" ca="1" si="39"/>
        <v>0</v>
      </c>
    </row>
    <row r="213" spans="7:35" x14ac:dyDescent="0.25">
      <c r="G213" s="3">
        <f t="shared" ca="1" si="34"/>
        <v>213</v>
      </c>
      <c r="H213" s="97">
        <f t="shared" ca="1" si="36"/>
        <v>45503</v>
      </c>
      <c r="I213" s="121">
        <f ca="1">HLOOKUP($H$4,'Met Data'!$A$2:$F$368,G213,FALSE)</f>
        <v>8.75</v>
      </c>
      <c r="J213" s="121">
        <f ca="1">HLOOKUP($H$4,'Met Data'!$H$2:$M$368,G213,FALSE)*L213</f>
        <v>4.1649999999999832</v>
      </c>
      <c r="K213" s="98">
        <f ca="1">HLOOKUP($H$4,'Met Data'!$O$2:$T$368,G213,FALSE)</f>
        <v>0.89818915942500899</v>
      </c>
      <c r="L213">
        <f t="shared" ca="1" si="30"/>
        <v>1.7</v>
      </c>
      <c r="N213" t="b">
        <f t="shared" ca="1" si="35"/>
        <v>0</v>
      </c>
      <c r="O213" t="b">
        <f t="shared" ca="1" si="31"/>
        <v>0</v>
      </c>
      <c r="P213" s="2">
        <f ca="1"/>
        <v>45548</v>
      </c>
      <c r="Q213">
        <f ca="1"/>
        <v>31.268299636742995</v>
      </c>
      <c r="R213">
        <f ca="1"/>
        <v>0.85087503421810196</v>
      </c>
      <c r="S213">
        <f ca="1"/>
        <v>3.9926144358119586E-2</v>
      </c>
      <c r="T213">
        <f ca="1"/>
        <v>0</v>
      </c>
      <c r="U213">
        <f ca="1"/>
        <v>0</v>
      </c>
      <c r="V213">
        <f ca="1"/>
        <v>22.562464991968799</v>
      </c>
      <c r="W213">
        <f ca="1"/>
        <v>20.6404772333937</v>
      </c>
      <c r="X213">
        <f ca="1"/>
        <v>0.24325766506610139</v>
      </c>
      <c r="Y213">
        <f ca="1"/>
        <v>1</v>
      </c>
      <c r="Z213">
        <f ca="1"/>
        <v>2.4567440798925304</v>
      </c>
      <c r="AA213">
        <f ca="1"/>
        <v>0</v>
      </c>
      <c r="AB213">
        <f ca="1"/>
        <v>0.77666393903544495</v>
      </c>
      <c r="AD213" s="2">
        <f t="shared" ca="1" si="32"/>
        <v>45548</v>
      </c>
      <c r="AE213">
        <f t="shared" ca="1" si="33"/>
        <v>0</v>
      </c>
      <c r="AG213" s="65">
        <f t="shared" ca="1" si="37"/>
        <v>32.362432336027197</v>
      </c>
      <c r="AH213" s="65">
        <f t="shared" ca="1" si="38"/>
        <v>32.362432336027197</v>
      </c>
      <c r="AI213" s="3">
        <f t="shared" ca="1" si="39"/>
        <v>0</v>
      </c>
    </row>
    <row r="214" spans="7:35" x14ac:dyDescent="0.25">
      <c r="G214" s="3">
        <f t="shared" ca="1" si="34"/>
        <v>214</v>
      </c>
      <c r="H214" s="97">
        <f t="shared" ca="1" si="36"/>
        <v>45504</v>
      </c>
      <c r="I214" s="121">
        <f ca="1">HLOOKUP($H$4,'Met Data'!$A$2:$F$368,G214,FALSE)</f>
        <v>10.3375</v>
      </c>
      <c r="J214" s="121">
        <f ca="1">HLOOKUP($H$4,'Met Data'!$H$2:$M$368,G214,FALSE)*L214</f>
        <v>8.9533333333333225</v>
      </c>
      <c r="K214" s="98">
        <f ca="1">HLOOKUP($H$4,'Met Data'!$O$2:$T$368,G214,FALSE)</f>
        <v>0.94454335980482496</v>
      </c>
      <c r="L214">
        <f t="shared" ca="1" si="30"/>
        <v>1.7</v>
      </c>
      <c r="N214" t="b">
        <f t="shared" ca="1" si="35"/>
        <v>0</v>
      </c>
      <c r="O214" t="b">
        <f t="shared" ca="1" si="31"/>
        <v>0</v>
      </c>
      <c r="P214" s="2">
        <f ca="1"/>
        <v>45549</v>
      </c>
      <c r="Q214">
        <f ca="1"/>
        <v>30.365879612483738</v>
      </c>
      <c r="R214">
        <f ca="1"/>
        <v>0.90138557797825003</v>
      </c>
      <c r="S214">
        <f ca="1"/>
        <v>3.8004878061926206E-2</v>
      </c>
      <c r="T214">
        <f ca="1"/>
        <v>0</v>
      </c>
      <c r="U214">
        <f ca="1"/>
        <v>0</v>
      </c>
      <c r="V214">
        <f ca="1"/>
        <v>23.463850569947098</v>
      </c>
      <c r="W214">
        <f ca="1"/>
        <v>21.4650781139886</v>
      </c>
      <c r="X214">
        <f ca="1"/>
        <v>3.9039324342934223E-2</v>
      </c>
      <c r="Y214">
        <f ca="1"/>
        <v>1</v>
      </c>
      <c r="Z214">
        <f ca="1"/>
        <v>0.40598882181480178</v>
      </c>
      <c r="AA214">
        <f ca="1"/>
        <v>0</v>
      </c>
      <c r="AB214">
        <f ca="1"/>
        <v>0.79989985230847904</v>
      </c>
      <c r="AD214" s="2">
        <f t="shared" ca="1" si="32"/>
        <v>45549</v>
      </c>
      <c r="AE214">
        <f t="shared" ca="1" si="33"/>
        <v>0</v>
      </c>
      <c r="AG214" s="65">
        <f t="shared" ca="1" si="37"/>
        <v>31.306304514804921</v>
      </c>
      <c r="AH214" s="65">
        <f t="shared" ca="1" si="38"/>
        <v>31.306304514804921</v>
      </c>
      <c r="AI214" s="3">
        <f t="shared" ca="1" si="39"/>
        <v>0</v>
      </c>
    </row>
    <row r="215" spans="7:35" x14ac:dyDescent="0.25">
      <c r="G215" s="3">
        <f t="shared" ca="1" si="34"/>
        <v>215</v>
      </c>
      <c r="H215" s="97">
        <f t="shared" ca="1" si="36"/>
        <v>45505</v>
      </c>
      <c r="I215" s="121">
        <f ca="1">HLOOKUP($H$4,'Met Data'!$A$2:$F$368,G215,FALSE)</f>
        <v>10.595454545454499</v>
      </c>
      <c r="J215" s="121">
        <f ca="1">HLOOKUP($H$4,'Met Data'!$H$2:$M$368,G215,FALSE)*L215</f>
        <v>7.5083333333333213</v>
      </c>
      <c r="K215" s="98">
        <f ca="1">HLOOKUP($H$4,'Met Data'!$O$2:$T$368,G215,FALSE)</f>
        <v>1.0832642567801201</v>
      </c>
      <c r="L215">
        <f t="shared" ca="1" si="30"/>
        <v>1.7</v>
      </c>
      <c r="N215" t="b">
        <f t="shared" ca="1" si="35"/>
        <v>0</v>
      </c>
      <c r="O215" t="b">
        <f t="shared" ca="1" si="31"/>
        <v>0</v>
      </c>
      <c r="P215" s="2">
        <f ca="1"/>
        <v>45550</v>
      </c>
      <c r="Q215">
        <f ca="1"/>
        <v>29.240969033037359</v>
      </c>
      <c r="R215">
        <f ca="1"/>
        <v>0.92553563095750102</v>
      </c>
      <c r="S215">
        <f ca="1"/>
        <v>3.5072353305864112E-2</v>
      </c>
      <c r="T215">
        <f ca="1"/>
        <v>0</v>
      </c>
      <c r="U215">
        <f ca="1"/>
        <v>0</v>
      </c>
      <c r="V215">
        <f ca="1"/>
        <v>24.3893862009046</v>
      </c>
      <c r="W215">
        <f ca="1"/>
        <v>22.311771820827499</v>
      </c>
      <c r="X215">
        <f ca="1"/>
        <v>0.2344473017947406</v>
      </c>
      <c r="Y215">
        <f ca="1"/>
        <v>1</v>
      </c>
      <c r="Z215">
        <f ca="1"/>
        <v>2.5319266935646425</v>
      </c>
      <c r="AA215">
        <f ca="1"/>
        <v>0</v>
      </c>
      <c r="AB215">
        <f ca="1"/>
        <v>0.82113216443227899</v>
      </c>
      <c r="AD215" s="2">
        <f t="shared" ca="1" si="32"/>
        <v>45550</v>
      </c>
      <c r="AE215">
        <f t="shared" ca="1" si="33"/>
        <v>0</v>
      </c>
      <c r="AG215" s="65">
        <f t="shared" ca="1" si="37"/>
        <v>30.400951965789602</v>
      </c>
      <c r="AH215" s="65">
        <f t="shared" ca="1" si="38"/>
        <v>30.400951965789602</v>
      </c>
      <c r="AI215" s="3">
        <f t="shared" ca="1" si="39"/>
        <v>0</v>
      </c>
    </row>
    <row r="216" spans="7:35" x14ac:dyDescent="0.25">
      <c r="G216" s="3">
        <f t="shared" ca="1" si="34"/>
        <v>216</v>
      </c>
      <c r="H216" s="97">
        <f t="shared" ca="1" si="36"/>
        <v>45506</v>
      </c>
      <c r="I216" s="121">
        <f ca="1">HLOOKUP($H$4,'Met Data'!$A$2:$F$368,G216,FALSE)</f>
        <v>10.1041666666666</v>
      </c>
      <c r="J216" s="121">
        <f ca="1">HLOOKUP($H$4,'Met Data'!$H$2:$M$368,G216,FALSE)*L216</f>
        <v>3.5416666666666607</v>
      </c>
      <c r="K216" s="98">
        <f ca="1">HLOOKUP($H$4,'Met Data'!$O$2:$T$368,G216,FALSE)</f>
        <v>1.39183263100002</v>
      </c>
      <c r="L216">
        <f t="shared" ca="1" si="30"/>
        <v>1.7</v>
      </c>
      <c r="N216" t="b">
        <f t="shared" ca="1" si="35"/>
        <v>0</v>
      </c>
      <c r="O216" t="b">
        <f t="shared" ca="1" si="31"/>
        <v>0</v>
      </c>
      <c r="P216" s="2">
        <f ca="1"/>
        <v>45551</v>
      </c>
      <c r="Q216">
        <f ca="1"/>
        <v>27.732869234387209</v>
      </c>
      <c r="R216">
        <f ca="1"/>
        <v>1.0358520235508499</v>
      </c>
      <c r="S216">
        <f ca="1"/>
        <v>3.5507646327573639E-2</v>
      </c>
      <c r="T216">
        <f ca="1"/>
        <v>0</v>
      </c>
      <c r="U216">
        <f ca="1"/>
        <v>0</v>
      </c>
      <c r="V216">
        <f ca="1"/>
        <v>25.425238224455398</v>
      </c>
      <c r="W216">
        <f ca="1"/>
        <v>23.259384597927699</v>
      </c>
      <c r="X216">
        <f ca="1"/>
        <v>0.50775542142687669</v>
      </c>
      <c r="Y216">
        <f ca="1"/>
        <v>1</v>
      </c>
      <c r="Z216">
        <f ca="1"/>
        <v>5.7817247807118548</v>
      </c>
      <c r="AA216">
        <f ca="1"/>
        <v>0</v>
      </c>
      <c r="AB216">
        <f ca="1"/>
        <v>0.84206705979904894</v>
      </c>
      <c r="AD216" s="2">
        <f t="shared" ca="1" si="32"/>
        <v>45551</v>
      </c>
      <c r="AE216">
        <f t="shared" ca="1" si="33"/>
        <v>0</v>
      </c>
      <c r="AG216" s="65">
        <f t="shared" ca="1" si="37"/>
        <v>29.276476679364933</v>
      </c>
      <c r="AH216" s="65">
        <f t="shared" ca="1" si="38"/>
        <v>29.276476679364933</v>
      </c>
      <c r="AI216" s="3">
        <f t="shared" ca="1" si="39"/>
        <v>0</v>
      </c>
    </row>
    <row r="217" spans="7:35" x14ac:dyDescent="0.25">
      <c r="G217" s="3">
        <f t="shared" ca="1" si="34"/>
        <v>217</v>
      </c>
      <c r="H217" s="97">
        <f t="shared" ca="1" si="36"/>
        <v>45507</v>
      </c>
      <c r="I217" s="121">
        <f ca="1">HLOOKUP($H$4,'Met Data'!$A$2:$F$368,G217,FALSE)</f>
        <v>10.1833333333333</v>
      </c>
      <c r="J217" s="121">
        <f ca="1">HLOOKUP($H$4,'Met Data'!$H$2:$M$368,G217,FALSE)*L217</f>
        <v>10.17166666666666</v>
      </c>
      <c r="K217" s="98">
        <f ca="1">HLOOKUP($H$4,'Met Data'!$O$2:$T$368,G217,FALSE)</f>
        <v>1.0301492818772899</v>
      </c>
      <c r="L217">
        <f t="shared" ca="1" si="30"/>
        <v>1.7</v>
      </c>
      <c r="N217" t="b">
        <f t="shared" ca="1" si="35"/>
        <v>0</v>
      </c>
      <c r="O217" t="b">
        <f t="shared" ca="1" si="31"/>
        <v>0</v>
      </c>
      <c r="P217" s="2">
        <f ca="1"/>
        <v>45552</v>
      </c>
      <c r="Q217">
        <f ca="1"/>
        <v>26.376812355224949</v>
      </c>
      <c r="R217">
        <f ca="1"/>
        <v>0.99579248260211295</v>
      </c>
      <c r="S217">
        <f ca="1"/>
        <v>3.0574566782178181E-2</v>
      </c>
      <c r="T217">
        <f ca="1"/>
        <v>0</v>
      </c>
      <c r="U217">
        <f ca="1"/>
        <v>0</v>
      </c>
      <c r="V217">
        <f ca="1"/>
        <v>26.421030707057501</v>
      </c>
      <c r="W217">
        <f ca="1"/>
        <v>24.170350313493401</v>
      </c>
      <c r="X217">
        <f ca="1"/>
        <v>0.39083896334232421</v>
      </c>
      <c r="Y217">
        <f ca="1"/>
        <v>1</v>
      </c>
      <c r="Z217">
        <f ca="1"/>
        <v>4.6792170663755854</v>
      </c>
      <c r="AA217">
        <f ca="1"/>
        <v>0</v>
      </c>
      <c r="AB217">
        <f ca="1"/>
        <v>0.85969659751735195</v>
      </c>
      <c r="AD217" s="2">
        <f t="shared" ca="1" si="32"/>
        <v>45552</v>
      </c>
      <c r="AE217">
        <f t="shared" ca="1" si="33"/>
        <v>0</v>
      </c>
      <c r="AG217" s="65">
        <f t="shared" ca="1" si="37"/>
        <v>27.763443801169387</v>
      </c>
      <c r="AH217" s="65">
        <f t="shared" ca="1" si="38"/>
        <v>27.763443801169387</v>
      </c>
      <c r="AI217" s="3">
        <f t="shared" ca="1" si="39"/>
        <v>0</v>
      </c>
    </row>
    <row r="218" spans="7:35" x14ac:dyDescent="0.25">
      <c r="G218" s="3">
        <f t="shared" ca="1" si="34"/>
        <v>218</v>
      </c>
      <c r="H218" s="97">
        <f t="shared" ca="1" si="36"/>
        <v>45508</v>
      </c>
      <c r="I218" s="121">
        <f ca="1">HLOOKUP($H$4,'Met Data'!$A$2:$F$368,G218,FALSE)</f>
        <v>9.7708333333333304</v>
      </c>
      <c r="J218" s="121">
        <f ca="1">HLOOKUP($H$4,'Met Data'!$H$2:$M$368,G218,FALSE)*L218</f>
        <v>5.071666666666661</v>
      </c>
      <c r="K218" s="98">
        <f ca="1">HLOOKUP($H$4,'Met Data'!$O$2:$T$368,G218,FALSE)</f>
        <v>1.3432284560273799</v>
      </c>
      <c r="L218">
        <f t="shared" ca="1" si="30"/>
        <v>1.7</v>
      </c>
      <c r="N218" t="b">
        <f t="shared" ca="1" si="35"/>
        <v>0</v>
      </c>
      <c r="O218" t="b">
        <f t="shared" ca="1" si="31"/>
        <v>0</v>
      </c>
      <c r="P218" s="2">
        <f ca="1"/>
        <v>45553</v>
      </c>
      <c r="Q218">
        <f ca="1"/>
        <v>24.453301873539861</v>
      </c>
      <c r="R218">
        <f ca="1"/>
        <v>0.95050595248187997</v>
      </c>
      <c r="S218">
        <f ca="1"/>
        <v>2.6525424858533597E-2</v>
      </c>
      <c r="T218">
        <f ca="1"/>
        <v>0</v>
      </c>
      <c r="U218">
        <f ca="1"/>
        <v>0</v>
      </c>
      <c r="V218">
        <f ca="1"/>
        <v>27.371536659539402</v>
      </c>
      <c r="W218">
        <f ca="1"/>
        <v>25.039887240393501</v>
      </c>
      <c r="X218">
        <f ca="1"/>
        <v>0.99952995406174205</v>
      </c>
      <c r="Y218">
        <f ca="1"/>
        <v>1</v>
      </c>
      <c r="Z218">
        <f ca="1"/>
        <v>12.907910749930494</v>
      </c>
      <c r="AA218">
        <f ca="1"/>
        <v>0</v>
      </c>
      <c r="AB218">
        <f ca="1"/>
        <v>0.87451580892981395</v>
      </c>
      <c r="AD218" s="2">
        <f t="shared" ca="1" si="32"/>
        <v>45553</v>
      </c>
      <c r="AE218">
        <f t="shared" ca="1" si="33"/>
        <v>0</v>
      </c>
      <c r="AG218" s="65">
        <f t="shared" ca="1" si="37"/>
        <v>26.403337780083483</v>
      </c>
      <c r="AH218" s="65">
        <f t="shared" ca="1" si="38"/>
        <v>26.403337780083483</v>
      </c>
      <c r="AI218" s="3">
        <f t="shared" ca="1" si="39"/>
        <v>0</v>
      </c>
    </row>
    <row r="219" spans="7:35" x14ac:dyDescent="0.25">
      <c r="G219" s="3">
        <f t="shared" ca="1" si="34"/>
        <v>219</v>
      </c>
      <c r="H219" s="97">
        <f t="shared" ca="1" si="36"/>
        <v>45509</v>
      </c>
      <c r="I219" s="121">
        <f ca="1">HLOOKUP($H$4,'Met Data'!$A$2:$F$368,G219,FALSE)</f>
        <v>9.8791666666666593</v>
      </c>
      <c r="J219" s="121">
        <f ca="1">HLOOKUP($H$4,'Met Data'!$H$2:$M$368,G219,FALSE)*L219</f>
        <v>7.6216666666666608</v>
      </c>
      <c r="K219" s="98">
        <f ca="1">HLOOKUP($H$4,'Met Data'!$O$2:$T$368,G219,FALSE)</f>
        <v>1.0259838566514501</v>
      </c>
      <c r="L219">
        <f t="shared" ca="1" si="30"/>
        <v>1.7</v>
      </c>
      <c r="N219" t="b">
        <f t="shared" ca="1" si="35"/>
        <v>0</v>
      </c>
      <c r="O219" t="b">
        <f t="shared" ca="1" si="31"/>
        <v>0</v>
      </c>
      <c r="P219" s="2">
        <f ca="1"/>
        <v>45554</v>
      </c>
      <c r="Q219">
        <f ca="1"/>
        <v>23.183038135550717</v>
      </c>
      <c r="R219">
        <f ca="1"/>
        <v>0.967727826652375</v>
      </c>
      <c r="S219">
        <f ca="1"/>
        <v>2.4799015709277228E-2</v>
      </c>
      <c r="T219">
        <f ca="1"/>
        <v>0</v>
      </c>
      <c r="U219">
        <f ca="1"/>
        <v>0</v>
      </c>
      <c r="V219">
        <f ca="1"/>
        <v>28.339264486191801</v>
      </c>
      <c r="W219">
        <f ca="1"/>
        <v>25.925178992923598</v>
      </c>
      <c r="X219">
        <f ca="1"/>
        <v>0.32733492704604633</v>
      </c>
      <c r="Y219">
        <f ca="1"/>
        <v>1</v>
      </c>
      <c r="Z219">
        <f ca="1"/>
        <v>4.4588169905054968</v>
      </c>
      <c r="AA219">
        <f ca="1"/>
        <v>0</v>
      </c>
      <c r="AB219">
        <f ca="1"/>
        <v>0.88783144811651304</v>
      </c>
      <c r="AD219" s="2">
        <f t="shared" ca="1" si="32"/>
        <v>45554</v>
      </c>
      <c r="AE219">
        <f t="shared" ca="1" si="33"/>
        <v>0</v>
      </c>
      <c r="AG219" s="65">
        <f t="shared" ca="1" si="37"/>
        <v>24.478100889249138</v>
      </c>
      <c r="AH219" s="65">
        <f t="shared" ca="1" si="38"/>
        <v>24.478100889249138</v>
      </c>
      <c r="AI219" s="3">
        <f t="shared" ca="1" si="39"/>
        <v>0</v>
      </c>
    </row>
    <row r="220" spans="7:35" x14ac:dyDescent="0.25">
      <c r="G220" s="3">
        <f t="shared" ca="1" si="34"/>
        <v>220</v>
      </c>
      <c r="H220" s="97">
        <f t="shared" ca="1" si="36"/>
        <v>45510</v>
      </c>
      <c r="I220" s="121">
        <f ca="1">HLOOKUP($H$4,'Met Data'!$A$2:$F$368,G220,FALSE)</f>
        <v>9.9874999999999901</v>
      </c>
      <c r="J220" s="121">
        <f ca="1">HLOOKUP($H$4,'Met Data'!$H$2:$M$368,G220,FALSE)*L220</f>
        <v>3.74</v>
      </c>
      <c r="K220" s="98">
        <f ca="1">HLOOKUP($H$4,'Met Data'!$O$2:$T$368,G220,FALSE)</f>
        <v>1.1029484647982599</v>
      </c>
      <c r="L220">
        <f t="shared" ca="1" si="30"/>
        <v>1.7</v>
      </c>
      <c r="N220" t="b">
        <f t="shared" ca="1" si="35"/>
        <v>0</v>
      </c>
      <c r="O220" t="b">
        <f t="shared" ca="1" si="31"/>
        <v>0</v>
      </c>
      <c r="P220" s="2">
        <f ca="1"/>
        <v>45555</v>
      </c>
      <c r="Q220">
        <f ca="1"/>
        <v>22.197168102428435</v>
      </c>
      <c r="R220">
        <f ca="1"/>
        <v>0.94353192725242996</v>
      </c>
      <c r="S220">
        <f ca="1"/>
        <v>2.2342545879098452E-2</v>
      </c>
      <c r="T220">
        <f ca="1"/>
        <v>0</v>
      </c>
      <c r="U220">
        <f ca="1"/>
        <v>0</v>
      </c>
      <c r="V220">
        <f ca="1"/>
        <v>29.282796413444199</v>
      </c>
      <c r="W220">
        <f ca="1"/>
        <v>26.7883359782249</v>
      </c>
      <c r="X220">
        <f ca="1"/>
        <v>6.4680651748949394E-2</v>
      </c>
      <c r="Y220">
        <f ca="1"/>
        <v>1</v>
      </c>
      <c r="Z220">
        <f ca="1"/>
        <v>0.92018355130255713</v>
      </c>
      <c r="AA220">
        <f ca="1"/>
        <v>0</v>
      </c>
      <c r="AB220">
        <f ca="1"/>
        <v>0.89930094945168604</v>
      </c>
      <c r="AD220" s="2">
        <f t="shared" ca="1" si="32"/>
        <v>45555</v>
      </c>
      <c r="AE220">
        <f t="shared" ca="1" si="33"/>
        <v>0</v>
      </c>
      <c r="AG220" s="65">
        <f t="shared" ca="1" si="37"/>
        <v>23.205380681429816</v>
      </c>
      <c r="AH220" s="65">
        <f t="shared" ca="1" si="38"/>
        <v>23.205380681429816</v>
      </c>
      <c r="AI220" s="3">
        <f t="shared" ca="1" si="39"/>
        <v>0</v>
      </c>
    </row>
    <row r="221" spans="7:35" x14ac:dyDescent="0.25">
      <c r="G221" s="3">
        <f t="shared" ca="1" si="34"/>
        <v>221</v>
      </c>
      <c r="H221" s="97">
        <f t="shared" ca="1" si="36"/>
        <v>45511</v>
      </c>
      <c r="I221" s="121">
        <f ca="1">HLOOKUP($H$4,'Met Data'!$A$2:$F$368,G221,FALSE)</f>
        <v>9.4625000000000004</v>
      </c>
      <c r="J221" s="121">
        <f ca="1">HLOOKUP($H$4,'Met Data'!$H$2:$M$368,G221,FALSE)*L221</f>
        <v>6.1483333333333219</v>
      </c>
      <c r="K221" s="98">
        <f ca="1">HLOOKUP($H$4,'Met Data'!$O$2:$T$368,G221,FALSE)</f>
        <v>1.10790183862933</v>
      </c>
      <c r="L221">
        <f t="shared" ca="1" si="30"/>
        <v>1.7</v>
      </c>
      <c r="N221" t="b">
        <f t="shared" ca="1" si="35"/>
        <v>0</v>
      </c>
      <c r="O221" t="b">
        <f t="shared" ca="1" si="31"/>
        <v>0</v>
      </c>
      <c r="P221" s="2">
        <f ca="1"/>
        <v>45556</v>
      </c>
      <c r="Q221">
        <f ca="1"/>
        <v>20.929511980945293</v>
      </c>
      <c r="R221">
        <f ca="1"/>
        <v>0.99979742441213704</v>
      </c>
      <c r="S221">
        <f ca="1"/>
        <v>2.1939594481580116E-2</v>
      </c>
      <c r="T221">
        <f ca="1"/>
        <v>0</v>
      </c>
      <c r="U221">
        <f ca="1"/>
        <v>0</v>
      </c>
      <c r="V221">
        <f ca="1"/>
        <v>30.2825938378564</v>
      </c>
      <c r="W221">
        <f ca="1"/>
        <v>27.702965473890799</v>
      </c>
      <c r="X221">
        <f ca="1"/>
        <v>0.28979829155258435</v>
      </c>
      <c r="Y221">
        <f ca="1"/>
        <v>1</v>
      </c>
      <c r="Z221">
        <f ca="1"/>
        <v>4.3725458122144261</v>
      </c>
      <c r="AA221">
        <f ca="1"/>
        <v>0</v>
      </c>
      <c r="AB221">
        <f ca="1"/>
        <v>0.91002676810601602</v>
      </c>
      <c r="AD221" s="2">
        <f t="shared" ca="1" si="32"/>
        <v>45556</v>
      </c>
      <c r="AE221">
        <f t="shared" ca="1" si="33"/>
        <v>0</v>
      </c>
      <c r="AG221" s="65">
        <f t="shared" ca="1" si="37"/>
        <v>22.219107696910015</v>
      </c>
      <c r="AH221" s="65">
        <f t="shared" ca="1" si="38"/>
        <v>22.219107696910015</v>
      </c>
      <c r="AI221" s="3">
        <f t="shared" ca="1" si="39"/>
        <v>0</v>
      </c>
    </row>
    <row r="222" spans="7:35" x14ac:dyDescent="0.25">
      <c r="G222" s="3">
        <f t="shared" ca="1" si="34"/>
        <v>222</v>
      </c>
      <c r="H222" s="97">
        <f t="shared" ca="1" si="36"/>
        <v>45512</v>
      </c>
      <c r="I222" s="121">
        <f ca="1">HLOOKUP($H$4,'Met Data'!$A$2:$F$368,G222,FALSE)</f>
        <v>8.42916666666666</v>
      </c>
      <c r="J222" s="121">
        <f ca="1">HLOOKUP($H$4,'Met Data'!$H$2:$M$368,G222,FALSE)*L222</f>
        <v>5.7799999999999994</v>
      </c>
      <c r="K222" s="98">
        <f ca="1">HLOOKUP($H$4,'Met Data'!$O$2:$T$368,G222,FALSE)</f>
        <v>1.32402542664303</v>
      </c>
      <c r="L222">
        <f t="shared" ca="1" si="30"/>
        <v>1.7</v>
      </c>
      <c r="N222" t="b">
        <f t="shared" ca="1" si="35"/>
        <v>0</v>
      </c>
      <c r="O222" t="b">
        <f t="shared" ca="1" si="31"/>
        <v>0</v>
      </c>
      <c r="P222" s="2">
        <f ca="1"/>
        <v>45557</v>
      </c>
      <c r="Q222">
        <f ca="1"/>
        <v>19.781735815865218</v>
      </c>
      <c r="R222">
        <f ca="1"/>
        <v>1.1097648533864199</v>
      </c>
      <c r="S222">
        <f ca="1"/>
        <v>2.2587005178309028E-2</v>
      </c>
      <c r="T222">
        <f ca="1"/>
        <v>0</v>
      </c>
      <c r="U222">
        <f ca="1"/>
        <v>0</v>
      </c>
      <c r="V222">
        <f ca="1"/>
        <v>31.392358691242801</v>
      </c>
      <c r="W222">
        <f ca="1"/>
        <v>28.718194802729499</v>
      </c>
      <c r="X222">
        <f ca="1"/>
        <v>6.0598316871962758E-2</v>
      </c>
      <c r="Y222">
        <f ca="1"/>
        <v>1</v>
      </c>
      <c r="Z222">
        <f ca="1"/>
        <v>0.96737266988463944</v>
      </c>
      <c r="AA222">
        <f ca="1"/>
        <v>0</v>
      </c>
      <c r="AB222">
        <f ca="1"/>
        <v>0.92043679026194702</v>
      </c>
      <c r="AD222" s="2">
        <f t="shared" ca="1" si="32"/>
        <v>45557</v>
      </c>
      <c r="AE222">
        <f t="shared" ca="1" si="33"/>
        <v>0</v>
      </c>
      <c r="AG222" s="65">
        <f t="shared" ca="1" si="37"/>
        <v>20.952098986123602</v>
      </c>
      <c r="AH222" s="65">
        <f t="shared" ca="1" si="38"/>
        <v>20.952098986123602</v>
      </c>
      <c r="AI222" s="3">
        <f t="shared" ca="1" si="39"/>
        <v>0</v>
      </c>
    </row>
    <row r="223" spans="7:35" x14ac:dyDescent="0.25">
      <c r="G223" s="3">
        <f t="shared" ca="1" si="34"/>
        <v>223</v>
      </c>
      <c r="H223" s="97">
        <f t="shared" ca="1" si="36"/>
        <v>45513</v>
      </c>
      <c r="I223" s="121">
        <f ca="1">HLOOKUP($H$4,'Met Data'!$A$2:$F$368,G223,FALSE)</f>
        <v>7.8416666666666597</v>
      </c>
      <c r="J223" s="121">
        <f ca="1">HLOOKUP($H$4,'Met Data'!$H$2:$M$368,G223,FALSE)*L223</f>
        <v>2.3516666666666608</v>
      </c>
      <c r="K223" s="98">
        <f ca="1">HLOOKUP($H$4,'Met Data'!$O$2:$T$368,G223,FALSE)</f>
        <v>1.2882274194230801</v>
      </c>
      <c r="L223">
        <f t="shared" ca="1" si="30"/>
        <v>1.7</v>
      </c>
      <c r="N223" t="b">
        <f t="shared" ca="1" si="35"/>
        <v>0</v>
      </c>
      <c r="O223" t="b">
        <f t="shared" ca="1" si="31"/>
        <v>0</v>
      </c>
      <c r="P223" s="2">
        <f ca="1"/>
        <v>45558</v>
      </c>
      <c r="Q223">
        <f ca="1"/>
        <v>18.147616519028986</v>
      </c>
      <c r="R223">
        <f ca="1"/>
        <v>1.2143945028576699</v>
      </c>
      <c r="S223">
        <f ca="1"/>
        <v>2.2936852380325945E-2</v>
      </c>
      <c r="T223">
        <f ca="1"/>
        <v>0</v>
      </c>
      <c r="U223">
        <f ca="1"/>
        <v>0</v>
      </c>
      <c r="V223">
        <f ca="1"/>
        <v>32.606753194100499</v>
      </c>
      <c r="W223">
        <f ca="1"/>
        <v>29.829140884973398</v>
      </c>
      <c r="X223">
        <f ca="1"/>
        <v>0.44266164635888766</v>
      </c>
      <c r="Y223">
        <f ca="1"/>
        <v>1</v>
      </c>
      <c r="Z223">
        <f ca="1"/>
        <v>7.7028235734032791</v>
      </c>
      <c r="AA223">
        <f ca="1"/>
        <v>0</v>
      </c>
      <c r="AB223">
        <f ca="1"/>
        <v>0.93028041768292602</v>
      </c>
      <c r="AD223" s="2">
        <f t="shared" ca="1" si="32"/>
        <v>45558</v>
      </c>
      <c r="AE223">
        <f t="shared" ca="1" si="33"/>
        <v>0</v>
      </c>
      <c r="AG223" s="65">
        <f t="shared" ca="1" si="37"/>
        <v>19.804672668245544</v>
      </c>
      <c r="AH223" s="65">
        <f t="shared" ca="1" si="38"/>
        <v>19.804672668245544</v>
      </c>
      <c r="AI223" s="3">
        <f t="shared" ca="1" si="39"/>
        <v>0</v>
      </c>
    </row>
    <row r="224" spans="7:35" x14ac:dyDescent="0.25">
      <c r="G224" s="3">
        <f t="shared" ca="1" si="34"/>
        <v>224</v>
      </c>
      <c r="H224" s="97">
        <f t="shared" ca="1" si="36"/>
        <v>45514</v>
      </c>
      <c r="I224" s="121">
        <f ca="1">HLOOKUP($H$4,'Met Data'!$A$2:$F$368,G224,FALSE)</f>
        <v>8.7916666666666607</v>
      </c>
      <c r="J224" s="121">
        <f ca="1">HLOOKUP($H$4,'Met Data'!$H$2:$M$368,G224,FALSE)*L224</f>
        <v>7.99</v>
      </c>
      <c r="K224" s="98">
        <f ca="1">HLOOKUP($H$4,'Met Data'!$O$2:$T$368,G224,FALSE)</f>
        <v>1.2700812995642401</v>
      </c>
      <c r="L224">
        <f t="shared" ca="1" si="30"/>
        <v>1.7</v>
      </c>
      <c r="N224" t="b">
        <f t="shared" ca="1" si="35"/>
        <v>0</v>
      </c>
      <c r="O224" t="b">
        <f t="shared" ca="1" si="31"/>
        <v>0</v>
      </c>
      <c r="P224" s="2">
        <f ca="1"/>
        <v>45559</v>
      </c>
      <c r="Q224">
        <f ca="1"/>
        <v>16.841740105005741</v>
      </c>
      <c r="R224">
        <f ca="1"/>
        <v>1.3022271243459</v>
      </c>
      <c r="S224">
        <f ca="1"/>
        <v>2.282312125515773E-2</v>
      </c>
      <c r="T224">
        <f ca="1"/>
        <v>0</v>
      </c>
      <c r="U224">
        <f ca="1"/>
        <v>0</v>
      </c>
      <c r="V224">
        <f ca="1"/>
        <v>33.908980318446403</v>
      </c>
      <c r="W224">
        <f ca="1"/>
        <v>31.020437550578698</v>
      </c>
      <c r="X224">
        <f ca="1"/>
        <v>2.6472410932502893E-2</v>
      </c>
      <c r="Y224">
        <f ca="1"/>
        <v>1</v>
      </c>
      <c r="Z224">
        <f ca="1"/>
        <v>0.49636846688083835</v>
      </c>
      <c r="AA224">
        <f ca="1"/>
        <v>0</v>
      </c>
      <c r="AB224">
        <f ca="1"/>
        <v>0.93931370866562003</v>
      </c>
      <c r="AD224" s="2">
        <f t="shared" ca="1" si="32"/>
        <v>45559</v>
      </c>
      <c r="AE224">
        <f t="shared" ca="1" si="33"/>
        <v>0</v>
      </c>
      <c r="AG224" s="65">
        <f t="shared" ca="1" si="37"/>
        <v>18.170439640284144</v>
      </c>
      <c r="AH224" s="65">
        <f t="shared" ca="1" si="38"/>
        <v>18.170439640284144</v>
      </c>
      <c r="AI224" s="3">
        <f t="shared" ca="1" si="39"/>
        <v>0</v>
      </c>
    </row>
    <row r="225" spans="7:35" x14ac:dyDescent="0.25">
      <c r="G225" s="3">
        <f t="shared" ca="1" si="34"/>
        <v>225</v>
      </c>
      <c r="H225" s="97">
        <f t="shared" ca="1" si="36"/>
        <v>45515</v>
      </c>
      <c r="I225" s="121">
        <f ca="1">HLOOKUP($H$4,'Met Data'!$A$2:$F$368,G225,FALSE)</f>
        <v>9.2041666666666604</v>
      </c>
      <c r="J225" s="121">
        <f ca="1">HLOOKUP($H$4,'Met Data'!$H$2:$M$368,G225,FALSE)*L225</f>
        <v>8.4433333333333209</v>
      </c>
      <c r="K225" s="98">
        <f ca="1">HLOOKUP($H$4,'Met Data'!$O$2:$T$368,G225,FALSE)</f>
        <v>1.216678160996</v>
      </c>
      <c r="L225">
        <f t="shared" ca="1" si="30"/>
        <v>1.7</v>
      </c>
      <c r="N225" t="b">
        <f t="shared" ca="1" si="35"/>
        <v>0</v>
      </c>
      <c r="O225" t="b">
        <f t="shared" ca="1" si="31"/>
        <v>0</v>
      </c>
      <c r="P225" s="2">
        <f ca="1"/>
        <v>45560</v>
      </c>
      <c r="Q225">
        <f ca="1"/>
        <v>15.567979936114918</v>
      </c>
      <c r="R225">
        <f ca="1"/>
        <v>1.2947541622459</v>
      </c>
      <c r="S225">
        <f ca="1"/>
        <v>2.0993993355077123E-2</v>
      </c>
      <c r="T225">
        <f ca="1"/>
        <v>0</v>
      </c>
      <c r="U225">
        <f ca="1"/>
        <v>0</v>
      </c>
      <c r="V225">
        <f ca="1"/>
        <v>35.203734480692297</v>
      </c>
      <c r="W225">
        <f ca="1"/>
        <v>32.204897839744397</v>
      </c>
      <c r="X225">
        <f ca="1"/>
        <v>0</v>
      </c>
      <c r="Y225">
        <f ca="1"/>
        <v>0.99666112393444295</v>
      </c>
      <c r="Z225">
        <f ca="1"/>
        <v>0</v>
      </c>
      <c r="AA225">
        <f ca="1"/>
        <v>0</v>
      </c>
      <c r="AB225">
        <f ca="1"/>
        <v>0.94698209849169801</v>
      </c>
      <c r="AD225" s="2">
        <f t="shared" ca="1" si="32"/>
        <v>45560</v>
      </c>
      <c r="AE225">
        <f t="shared" ca="1" si="33"/>
        <v>0</v>
      </c>
      <c r="AG225" s="65">
        <f t="shared" ca="1" si="37"/>
        <v>16.862734098360818</v>
      </c>
      <c r="AH225" s="65">
        <f t="shared" ca="1" si="38"/>
        <v>16.862734098360818</v>
      </c>
      <c r="AI225" s="3">
        <f t="shared" ca="1" si="39"/>
        <v>0</v>
      </c>
    </row>
    <row r="226" spans="7:35" x14ac:dyDescent="0.25">
      <c r="G226" s="3">
        <f t="shared" ca="1" si="34"/>
        <v>226</v>
      </c>
      <c r="H226" s="97">
        <f t="shared" ca="1" si="36"/>
        <v>45516</v>
      </c>
      <c r="I226" s="121">
        <f ca="1">HLOOKUP($H$4,'Met Data'!$A$2:$F$368,G226,FALSE)</f>
        <v>9.49583333333333</v>
      </c>
      <c r="J226" s="121">
        <f ca="1">HLOOKUP($H$4,'Met Data'!$H$2:$M$368,G226,FALSE)*L226</f>
        <v>5.2983333333333222</v>
      </c>
      <c r="K226" s="98">
        <f ca="1">HLOOKUP($H$4,'Met Data'!$O$2:$T$368,G226,FALSE)</f>
        <v>1.2041756804414001</v>
      </c>
      <c r="L226">
        <f t="shared" ca="1" si="30"/>
        <v>1.7</v>
      </c>
      <c r="N226" t="b">
        <f t="shared" ca="1" si="35"/>
        <v>0</v>
      </c>
      <c r="O226" t="b">
        <f t="shared" ca="1" si="31"/>
        <v>0</v>
      </c>
      <c r="P226" s="2">
        <f ca="1"/>
        <v>45561</v>
      </c>
      <c r="Q226">
        <f ca="1"/>
        <v>14.213825119520768</v>
      </c>
      <c r="R226">
        <f ca="1"/>
        <v>1.37500198387561</v>
      </c>
      <c r="S226">
        <f ca="1"/>
        <v>2.0847167281459633E-2</v>
      </c>
      <c r="T226">
        <f ca="1"/>
        <v>0</v>
      </c>
      <c r="U226">
        <f ca="1"/>
        <v>0</v>
      </c>
      <c r="V226">
        <f ca="1"/>
        <v>36.578736464567903</v>
      </c>
      <c r="W226">
        <f ca="1"/>
        <v>33.462770024993603</v>
      </c>
      <c r="X226">
        <f ca="1"/>
        <v>0</v>
      </c>
      <c r="Y226">
        <f ca="1"/>
        <v>0.99113525456111917</v>
      </c>
      <c r="Z226">
        <f ca="1"/>
        <v>0</v>
      </c>
      <c r="AA226">
        <f ca="1"/>
        <v>0</v>
      </c>
      <c r="AB226">
        <f ca="1"/>
        <v>0.95392711180218304</v>
      </c>
      <c r="AD226" s="2">
        <f t="shared" ca="1" si="32"/>
        <v>45561</v>
      </c>
      <c r="AE226">
        <f t="shared" ca="1" si="33"/>
        <v>0</v>
      </c>
      <c r="AG226" s="65">
        <f t="shared" ca="1" si="37"/>
        <v>15.588827103396378</v>
      </c>
      <c r="AH226" s="65">
        <f t="shared" ca="1" si="38"/>
        <v>15.588827103396378</v>
      </c>
      <c r="AI226" s="3">
        <f t="shared" ca="1" si="39"/>
        <v>0</v>
      </c>
    </row>
    <row r="227" spans="7:35" x14ac:dyDescent="0.25">
      <c r="G227" s="3">
        <f t="shared" ca="1" si="34"/>
        <v>227</v>
      </c>
      <c r="H227" s="97">
        <f t="shared" ca="1" si="36"/>
        <v>45517</v>
      </c>
      <c r="I227" s="121">
        <f ca="1">HLOOKUP($H$4,'Met Data'!$A$2:$F$368,G227,FALSE)</f>
        <v>9.7791666666666597</v>
      </c>
      <c r="J227" s="121">
        <f ca="1">HLOOKUP($H$4,'Met Data'!$H$2:$M$368,G227,FALSE)*L227</f>
        <v>11.39</v>
      </c>
      <c r="K227" s="98">
        <f ca="1">HLOOKUP($H$4,'Met Data'!$O$2:$T$368,G227,FALSE)</f>
        <v>1.1357294741412001</v>
      </c>
      <c r="L227">
        <f t="shared" ca="1" si="30"/>
        <v>1.7</v>
      </c>
      <c r="N227" t="b">
        <f t="shared" ca="1" si="35"/>
        <v>0</v>
      </c>
      <c r="O227" t="b">
        <f t="shared" ca="1" si="31"/>
        <v>0</v>
      </c>
      <c r="P227" s="2">
        <f ca="1"/>
        <v>45562</v>
      </c>
      <c r="Q227">
        <f ca="1"/>
        <v>12.58933765452525</v>
      </c>
      <c r="R227">
        <f ca="1"/>
        <v>1.4482466391948201</v>
      </c>
      <c r="S227">
        <f ca="1"/>
        <v>2.0569631748415418E-2</v>
      </c>
      <c r="T227">
        <f ca="1"/>
        <v>0</v>
      </c>
      <c r="U227">
        <f ca="1"/>
        <v>0</v>
      </c>
      <c r="V227">
        <f ca="1"/>
        <v>38.026983103762703</v>
      </c>
      <c r="W227">
        <f ca="1"/>
        <v>34.787647506034801</v>
      </c>
      <c r="X227">
        <f ca="1"/>
        <v>0.22161762161701601</v>
      </c>
      <c r="Y227">
        <f ca="1"/>
        <v>1</v>
      </c>
      <c r="Z227">
        <f ca="1"/>
        <v>5.5590305074094175</v>
      </c>
      <c r="AA227">
        <f ca="1"/>
        <v>0</v>
      </c>
      <c r="AB227">
        <f ca="1"/>
        <v>0.96012999814097799</v>
      </c>
      <c r="AD227" s="2">
        <f t="shared" ca="1" si="32"/>
        <v>45562</v>
      </c>
      <c r="AE227">
        <f t="shared" ca="1" si="33"/>
        <v>0</v>
      </c>
      <c r="AG227" s="65">
        <f t="shared" ca="1" si="37"/>
        <v>14.234394751269184</v>
      </c>
      <c r="AH227" s="65">
        <f t="shared" ca="1" si="38"/>
        <v>14.259201915337087</v>
      </c>
      <c r="AI227" s="3">
        <f t="shared" ca="1" si="39"/>
        <v>2.4807164067903287E-2</v>
      </c>
    </row>
    <row r="228" spans="7:35" x14ac:dyDescent="0.25">
      <c r="G228" s="3">
        <f t="shared" ca="1" si="34"/>
        <v>228</v>
      </c>
      <c r="H228" s="97">
        <f t="shared" ca="1" si="36"/>
        <v>45518</v>
      </c>
      <c r="I228" s="121">
        <f ca="1">HLOOKUP($H$4,'Met Data'!$A$2:$F$368,G228,FALSE)</f>
        <v>9.4375</v>
      </c>
      <c r="J228" s="121">
        <f ca="1">HLOOKUP($H$4,'Met Data'!$H$2:$M$368,G228,FALSE)*L228</f>
        <v>5.5816666666666608</v>
      </c>
      <c r="K228" s="98">
        <f ca="1">HLOOKUP($H$4,'Met Data'!$O$2:$T$368,G228,FALSE)</f>
        <v>1.2410385498851699</v>
      </c>
      <c r="L228">
        <f t="shared" ca="1" si="30"/>
        <v>1.7</v>
      </c>
      <c r="N228" t="b">
        <f t="shared" ca="1" si="35"/>
        <v>0</v>
      </c>
      <c r="O228" t="b">
        <f t="shared" ca="1" si="31"/>
        <v>0</v>
      </c>
      <c r="P228" s="2">
        <f ca="1"/>
        <v>45563</v>
      </c>
      <c r="Q228">
        <f ca="1"/>
        <v>11.300540875272494</v>
      </c>
      <c r="R228">
        <f ca="1"/>
        <v>1.53012795805639</v>
      </c>
      <c r="S228">
        <f ca="1"/>
        <v>2.0426641563091152E-2</v>
      </c>
      <c r="T228">
        <f ca="1"/>
        <v>0</v>
      </c>
      <c r="U228">
        <f ca="1"/>
        <v>0</v>
      </c>
      <c r="V228">
        <f ca="1"/>
        <v>39.5571110618191</v>
      </c>
      <c r="W228">
        <f ca="1"/>
        <v>36.187431230627098</v>
      </c>
      <c r="X228">
        <f ca="1"/>
        <v>4.824699120701334E-2</v>
      </c>
      <c r="Y228">
        <f ca="1"/>
        <v>1</v>
      </c>
      <c r="Z228">
        <f ca="1"/>
        <v>1.3482444892038927</v>
      </c>
      <c r="AA228">
        <f ca="1"/>
        <v>0</v>
      </c>
      <c r="AB228">
        <f ca="1"/>
        <v>0.96565857126091803</v>
      </c>
      <c r="AD228" s="2">
        <f t="shared" ca="1" si="32"/>
        <v>45563</v>
      </c>
      <c r="AE228">
        <f t="shared" ca="1" si="33"/>
        <v>0</v>
      </c>
      <c r="AG228" s="65">
        <f t="shared" ca="1" si="37"/>
        <v>12.609764296088342</v>
      </c>
      <c r="AH228" s="65">
        <f t="shared" ca="1" si="38"/>
        <v>12.878915824535898</v>
      </c>
      <c r="AI228" s="3">
        <f t="shared" ca="1" si="39"/>
        <v>0.26915152844755674</v>
      </c>
    </row>
    <row r="229" spans="7:35" x14ac:dyDescent="0.25">
      <c r="G229" s="3">
        <f t="shared" ca="1" si="34"/>
        <v>229</v>
      </c>
      <c r="H229" s="97">
        <f t="shared" ca="1" si="36"/>
        <v>45519</v>
      </c>
      <c r="I229" s="121">
        <f ca="1">HLOOKUP($H$4,'Met Data'!$A$2:$F$368,G229,FALSE)</f>
        <v>9.6999999999999993</v>
      </c>
      <c r="J229" s="121">
        <f ca="1">HLOOKUP($H$4,'Met Data'!$H$2:$M$368,G229,FALSE)*L229</f>
        <v>2.7199999999999829</v>
      </c>
      <c r="K229" s="98">
        <f ca="1">HLOOKUP($H$4,'Met Data'!$O$2:$T$368,G229,FALSE)</f>
        <v>1.30158376837533</v>
      </c>
      <c r="L229">
        <f t="shared" ca="1" si="30"/>
        <v>1.7</v>
      </c>
      <c r="N229" t="b">
        <f t="shared" ca="1" si="35"/>
        <v>0</v>
      </c>
      <c r="O229" t="b">
        <f t="shared" ca="1" si="31"/>
        <v>0</v>
      </c>
      <c r="P229" s="2">
        <f ca="1"/>
        <v>45564</v>
      </c>
      <c r="Q229">
        <f ca="1"/>
        <v>9.9639951532801359</v>
      </c>
      <c r="R229">
        <f ca="1"/>
        <v>1.55866690484743</v>
      </c>
      <c r="S229">
        <f ca="1"/>
        <v>1.9541264268482905E-2</v>
      </c>
      <c r="T229">
        <f ca="1"/>
        <v>0</v>
      </c>
      <c r="U229">
        <f ca="1"/>
        <v>0</v>
      </c>
      <c r="V229">
        <f ca="1"/>
        <v>41.115777966666499</v>
      </c>
      <c r="W229">
        <f ca="1"/>
        <v>37.613322806543103</v>
      </c>
      <c r="X229">
        <f ca="1"/>
        <v>0.22407877230674339</v>
      </c>
      <c r="Y229">
        <f ca="1"/>
        <v>1</v>
      </c>
      <c r="Z229">
        <f ca="1"/>
        <v>7.1017414683562805</v>
      </c>
      <c r="AA229">
        <f ca="1"/>
        <v>0</v>
      </c>
      <c r="AB229">
        <f ca="1"/>
        <v>0.97039869135891299</v>
      </c>
      <c r="AD229" s="2">
        <f t="shared" ca="1" si="32"/>
        <v>45564</v>
      </c>
      <c r="AE229">
        <f t="shared" ca="1" si="33"/>
        <v>0</v>
      </c>
      <c r="AG229" s="65">
        <f t="shared" ca="1" si="37"/>
        <v>11.320082139540977</v>
      </c>
      <c r="AH229" s="65">
        <f t="shared" ca="1" si="38"/>
        <v>11.746740830434309</v>
      </c>
      <c r="AI229" s="3">
        <f t="shared" ca="1" si="39"/>
        <v>0.42665869089333164</v>
      </c>
    </row>
    <row r="230" spans="7:35" x14ac:dyDescent="0.25">
      <c r="G230" s="3">
        <f t="shared" ca="1" si="34"/>
        <v>230</v>
      </c>
      <c r="H230" s="97">
        <f t="shared" ca="1" si="36"/>
        <v>45520</v>
      </c>
      <c r="I230" s="121">
        <f ca="1">HLOOKUP($H$4,'Met Data'!$A$2:$F$368,G230,FALSE)</f>
        <v>9.61666666666666</v>
      </c>
      <c r="J230" s="121">
        <f ca="1">HLOOKUP($H$4,'Met Data'!$H$2:$M$368,G230,FALSE)*L230</f>
        <v>11.219999999999983</v>
      </c>
      <c r="K230" s="98">
        <f ca="1">HLOOKUP($H$4,'Met Data'!$O$2:$T$368,G230,FALSE)</f>
        <v>1.3713845776081399</v>
      </c>
      <c r="L230">
        <f t="shared" ca="1" si="30"/>
        <v>1.7</v>
      </c>
      <c r="N230" t="b">
        <f t="shared" ca="1" si="35"/>
        <v>0</v>
      </c>
      <c r="O230" t="b">
        <f t="shared" ca="1" si="31"/>
        <v>0</v>
      </c>
      <c r="P230" s="2">
        <f ca="1"/>
        <v>45565</v>
      </c>
      <c r="Q230">
        <f ca="1"/>
        <v>8.9401373939610789</v>
      </c>
      <c r="R230">
        <f ca="1"/>
        <v>1.4897029185455199</v>
      </c>
      <c r="S230">
        <f ca="1"/>
        <v>1.7544647436537275E-2</v>
      </c>
      <c r="T230">
        <f ca="1"/>
        <v>0</v>
      </c>
      <c r="U230">
        <f ca="1"/>
        <v>0</v>
      </c>
      <c r="V230">
        <f ca="1"/>
        <v>42.605480885212003</v>
      </c>
      <c r="W230">
        <f ca="1"/>
        <v>38.976125106101399</v>
      </c>
      <c r="X230">
        <f ca="1"/>
        <v>4.3248426683926838E-2</v>
      </c>
      <c r="Y230">
        <f ca="1"/>
        <v>1</v>
      </c>
      <c r="Z230">
        <f ca="1"/>
        <v>1.5276496655871057</v>
      </c>
      <c r="AA230">
        <f ca="1"/>
        <v>0</v>
      </c>
      <c r="AB230">
        <f ca="1"/>
        <v>0.97423530706432104</v>
      </c>
      <c r="AD230" s="2">
        <f t="shared" ca="1" si="32"/>
        <v>45565</v>
      </c>
      <c r="AE230">
        <f t="shared" ca="1" si="33"/>
        <v>0</v>
      </c>
      <c r="AG230" s="65">
        <f t="shared" ca="1" si="37"/>
        <v>9.9815398007166731</v>
      </c>
      <c r="AH230" s="65">
        <f t="shared" ca="1" si="38"/>
        <v>10.473088739190526</v>
      </c>
      <c r="AI230" s="3">
        <f t="shared" ca="1" si="39"/>
        <v>0.49154893847385317</v>
      </c>
    </row>
    <row r="231" spans="7:35" x14ac:dyDescent="0.25">
      <c r="G231" s="3">
        <f t="shared" ca="1" si="34"/>
        <v>231</v>
      </c>
      <c r="H231" s="97">
        <f t="shared" ca="1" si="36"/>
        <v>45521</v>
      </c>
      <c r="I231" s="121">
        <f ca="1">HLOOKUP($H$4,'Met Data'!$A$2:$F$368,G231,FALSE)</f>
        <v>8.8333333333333304</v>
      </c>
      <c r="J231" s="121">
        <f ca="1">HLOOKUP($H$4,'Met Data'!$H$2:$M$368,G231,FALSE)*L231</f>
        <v>5.6099999999999994</v>
      </c>
      <c r="K231" s="98">
        <f ca="1">HLOOKUP($H$4,'Met Data'!$O$2:$T$368,G231,FALSE)</f>
        <v>1.38797998518043</v>
      </c>
      <c r="L231">
        <f t="shared" ca="1" si="30"/>
        <v>1.7</v>
      </c>
      <c r="N231" t="b">
        <f t="shared" ca="1" si="35"/>
        <v>0</v>
      </c>
      <c r="O231" t="b">
        <f t="shared" ca="1" si="31"/>
        <v>0</v>
      </c>
      <c r="P231" s="2">
        <f ca="1"/>
        <v>45566</v>
      </c>
      <c r="Q231">
        <f ca="1"/>
        <v>8.0173292477295135</v>
      </c>
      <c r="R231">
        <f ca="1"/>
        <v>1.57631473004335</v>
      </c>
      <c r="S231">
        <f ca="1"/>
        <v>1.7704031424528921E-2</v>
      </c>
      <c r="T231">
        <f ca="1"/>
        <v>0</v>
      </c>
      <c r="U231">
        <f ca="1"/>
        <v>0</v>
      </c>
      <c r="V231">
        <f ca="1"/>
        <v>44.181795615255403</v>
      </c>
      <c r="W231">
        <f ca="1"/>
        <v>40.418161173955802</v>
      </c>
      <c r="X231">
        <f ca="1"/>
        <v>4.4728035117532525E-2</v>
      </c>
      <c r="Y231">
        <f ca="1"/>
        <v>1</v>
      </c>
      <c r="Z231">
        <f ca="1"/>
        <v>1.7617640778186257</v>
      </c>
      <c r="AA231">
        <f ca="1"/>
        <v>0</v>
      </c>
      <c r="AB231">
        <f ca="1"/>
        <v>0.97768438622394804</v>
      </c>
      <c r="AD231" s="2">
        <f t="shared" ca="1" si="32"/>
        <v>45566</v>
      </c>
      <c r="AE231">
        <f t="shared" ca="1" si="33"/>
        <v>0</v>
      </c>
      <c r="AG231" s="65">
        <f t="shared" ca="1" si="37"/>
        <v>8.9578414253856078</v>
      </c>
      <c r="AH231" s="65">
        <f t="shared" ca="1" si="38"/>
        <v>9.6383720128903967</v>
      </c>
      <c r="AI231" s="3">
        <f t="shared" ca="1" si="39"/>
        <v>0.6805305875047889</v>
      </c>
    </row>
    <row r="232" spans="7:35" x14ac:dyDescent="0.25">
      <c r="G232" s="3">
        <f t="shared" ca="1" si="34"/>
        <v>232</v>
      </c>
      <c r="H232" s="97">
        <f t="shared" ca="1" si="36"/>
        <v>45522</v>
      </c>
      <c r="I232" s="121">
        <f ca="1">HLOOKUP($H$4,'Met Data'!$A$2:$F$368,G232,FALSE)</f>
        <v>9.4833333333333307</v>
      </c>
      <c r="J232" s="121">
        <f ca="1">HLOOKUP($H$4,'Met Data'!$H$2:$M$368,G232,FALSE)*L232</f>
        <v>3.6266666666666612</v>
      </c>
      <c r="K232" s="98">
        <f ca="1">HLOOKUP($H$4,'Met Data'!$O$2:$T$368,G232,FALSE)</f>
        <v>1.56092628574794</v>
      </c>
      <c r="L232">
        <f t="shared" ca="1" si="30"/>
        <v>1.7</v>
      </c>
      <c r="N232" t="b">
        <f t="shared" ca="1" si="35"/>
        <v>0</v>
      </c>
      <c r="O232" t="b">
        <f t="shared" ca="1" si="31"/>
        <v>0</v>
      </c>
      <c r="P232" s="2">
        <f ca="1"/>
        <v>45567</v>
      </c>
      <c r="Q232">
        <f ca="1"/>
        <v>7.1280995907392519</v>
      </c>
      <c r="R232">
        <f ca="1"/>
        <v>1.7425327805084101</v>
      </c>
      <c r="S232">
        <f ca="1"/>
        <v>1.8796733683970501E-2</v>
      </c>
      <c r="T232">
        <f ca="1"/>
        <v>0</v>
      </c>
      <c r="U232">
        <f ca="1"/>
        <v>0</v>
      </c>
      <c r="V232">
        <f ca="1"/>
        <v>45.924328395763801</v>
      </c>
      <c r="W232">
        <f ca="1"/>
        <v>42.012255976865397</v>
      </c>
      <c r="X232">
        <f ca="1"/>
        <v>0.10441379253288405</v>
      </c>
      <c r="Y232">
        <f ca="1"/>
        <v>1</v>
      </c>
      <c r="Z232">
        <f ca="1"/>
        <v>4.6257457783235338</v>
      </c>
      <c r="AA232">
        <f ca="1"/>
        <v>0</v>
      </c>
      <c r="AB232">
        <f ca="1"/>
        <v>0.98089448344020702</v>
      </c>
      <c r="AD232" s="2">
        <f t="shared" ca="1" si="32"/>
        <v>45567</v>
      </c>
      <c r="AE232">
        <f t="shared" ca="1" si="33"/>
        <v>0</v>
      </c>
      <c r="AG232" s="65">
        <f t="shared" ca="1" si="37"/>
        <v>8.036125981413484</v>
      </c>
      <c r="AH232" s="65">
        <f t="shared" ca="1" si="38"/>
        <v>8.9750461637805472</v>
      </c>
      <c r="AI232" s="3">
        <f t="shared" ca="1" si="39"/>
        <v>0.93892018236706321</v>
      </c>
    </row>
    <row r="233" spans="7:35" x14ac:dyDescent="0.25">
      <c r="G233" s="3">
        <f t="shared" ca="1" si="34"/>
        <v>233</v>
      </c>
      <c r="H233" s="97">
        <f t="shared" ca="1" si="36"/>
        <v>45523</v>
      </c>
      <c r="I233" s="121">
        <f ca="1">HLOOKUP($H$4,'Met Data'!$A$2:$F$368,G233,FALSE)</f>
        <v>9.2583333333333293</v>
      </c>
      <c r="J233" s="121">
        <f ca="1">HLOOKUP($H$4,'Met Data'!$H$2:$M$368,G233,FALSE)*L233</f>
        <v>6.2050000000000001</v>
      </c>
      <c r="K233" s="98">
        <f ca="1">HLOOKUP($H$4,'Met Data'!$O$2:$T$368,G233,FALSE)</f>
        <v>1.4422774750484899</v>
      </c>
      <c r="L233">
        <f t="shared" ca="1" si="30"/>
        <v>1.7</v>
      </c>
      <c r="N233" t="b">
        <f t="shared" ca="1" si="35"/>
        <v>0</v>
      </c>
      <c r="O233" t="b">
        <f t="shared" ca="1" si="31"/>
        <v>0</v>
      </c>
      <c r="P233" s="2">
        <f ca="1"/>
        <v>45568</v>
      </c>
      <c r="Q233">
        <f ca="1"/>
        <v>6.4304380112187571</v>
      </c>
      <c r="R233">
        <f ca="1"/>
        <v>1.6500077619845499</v>
      </c>
      <c r="S233">
        <f ca="1"/>
        <v>1.6831532837144891E-2</v>
      </c>
      <c r="T233">
        <f ca="1"/>
        <v>0</v>
      </c>
      <c r="U233">
        <f ca="1"/>
        <v>0</v>
      </c>
      <c r="V233">
        <f ca="1"/>
        <v>47.574336157748299</v>
      </c>
      <c r="W233">
        <f ca="1"/>
        <v>43.521707522088299</v>
      </c>
      <c r="X233">
        <f ca="1"/>
        <v>0</v>
      </c>
      <c r="Y233">
        <f ca="1"/>
        <v>0.99751255095231994</v>
      </c>
      <c r="Z233">
        <f ca="1"/>
        <v>0</v>
      </c>
      <c r="AA233">
        <f ca="1"/>
        <v>0</v>
      </c>
      <c r="AB233">
        <f ca="1"/>
        <v>0.98345394888444504</v>
      </c>
      <c r="AD233" s="2">
        <f t="shared" ca="1" si="32"/>
        <v>45568</v>
      </c>
      <c r="AE233">
        <f t="shared" ca="1" si="33"/>
        <v>0</v>
      </c>
      <c r="AG233" s="65">
        <f t="shared" ca="1" si="37"/>
        <v>7.1449311235763968</v>
      </c>
      <c r="AH233" s="65">
        <f t="shared" ca="1" si="38"/>
        <v>8.0804457732033068</v>
      </c>
      <c r="AI233" s="3">
        <f t="shared" ca="1" si="39"/>
        <v>0.93551464962691</v>
      </c>
    </row>
    <row r="234" spans="7:35" x14ac:dyDescent="0.25">
      <c r="G234" s="3">
        <f t="shared" ca="1" si="34"/>
        <v>234</v>
      </c>
      <c r="H234" s="97">
        <f t="shared" ca="1" si="36"/>
        <v>45524</v>
      </c>
      <c r="I234" s="121">
        <f ca="1">HLOOKUP($H$4,'Met Data'!$A$2:$F$368,G234,FALSE)</f>
        <v>9.7708333333333304</v>
      </c>
      <c r="J234" s="121">
        <f ca="1">HLOOKUP($H$4,'Met Data'!$H$2:$M$368,G234,FALSE)*L234</f>
        <v>4.0233333333333219</v>
      </c>
      <c r="K234" s="98">
        <f ca="1">HLOOKUP($H$4,'Met Data'!$O$2:$T$368,G234,FALSE)</f>
        <v>1.70464821639982</v>
      </c>
      <c r="L234">
        <f t="shared" ca="1" si="30"/>
        <v>1.7</v>
      </c>
      <c r="N234" t="b">
        <f t="shared" ca="1" si="35"/>
        <v>0</v>
      </c>
      <c r="O234" t="b">
        <f t="shared" ca="1" si="31"/>
        <v>0</v>
      </c>
      <c r="P234" s="2">
        <f ca="1"/>
        <v>45569</v>
      </c>
      <c r="Q234">
        <f ca="1"/>
        <v>5.7838753506101801</v>
      </c>
      <c r="R234">
        <f ca="1"/>
        <v>1.6812032100252099</v>
      </c>
      <c r="S234">
        <f ca="1"/>
        <v>1.6453971419764457E-2</v>
      </c>
      <c r="T234">
        <f ca="1"/>
        <v>0</v>
      </c>
      <c r="U234">
        <f ca="1"/>
        <v>0</v>
      </c>
      <c r="V234">
        <f ca="1"/>
        <v>49.255539367773501</v>
      </c>
      <c r="W234">
        <f ca="1"/>
        <v>45.059697125333599</v>
      </c>
      <c r="X234">
        <f ca="1"/>
        <v>1.8327433764489857E-2</v>
      </c>
      <c r="Y234">
        <f ca="1"/>
        <v>1</v>
      </c>
      <c r="Z234">
        <f ca="1"/>
        <v>1.000645814723498</v>
      </c>
      <c r="AA234">
        <f ca="1"/>
        <v>0</v>
      </c>
      <c r="AB234">
        <f ca="1"/>
        <v>0.98566616860927903</v>
      </c>
      <c r="AD234" s="2">
        <f t="shared" ca="1" si="32"/>
        <v>45569</v>
      </c>
      <c r="AE234">
        <f t="shared" ca="1" si="33"/>
        <v>0</v>
      </c>
      <c r="AG234" s="65">
        <f t="shared" ca="1" si="37"/>
        <v>6.4468919826385216</v>
      </c>
      <c r="AH234" s="65">
        <f t="shared" ca="1" si="38"/>
        <v>7.4834059943998792</v>
      </c>
      <c r="AI234" s="3">
        <f t="shared" ca="1" si="39"/>
        <v>1.0365140117613576</v>
      </c>
    </row>
    <row r="235" spans="7:35" x14ac:dyDescent="0.25">
      <c r="G235" s="3">
        <f t="shared" ca="1" si="34"/>
        <v>235</v>
      </c>
      <c r="H235" s="97">
        <f t="shared" ca="1" si="36"/>
        <v>45525</v>
      </c>
      <c r="I235" s="121">
        <f ca="1">HLOOKUP($H$4,'Met Data'!$A$2:$F$368,G235,FALSE)</f>
        <v>9.5208333333333304</v>
      </c>
      <c r="J235" s="121">
        <f ca="1">HLOOKUP($H$4,'Met Data'!$H$2:$M$368,G235,FALSE)*L235</f>
        <v>7.5933333333333213</v>
      </c>
      <c r="K235" s="98">
        <f ca="1">HLOOKUP($H$4,'Met Data'!$O$2:$T$368,G235,FALSE)</f>
        <v>1.6762831823304301</v>
      </c>
      <c r="L235">
        <f t="shared" ca="1" si="30"/>
        <v>1.7</v>
      </c>
      <c r="N235" t="b">
        <f t="shared" ca="1" si="35"/>
        <v>0</v>
      </c>
      <c r="O235" t="b">
        <f t="shared" ca="1" si="31"/>
        <v>0</v>
      </c>
      <c r="P235" s="2">
        <f ca="1"/>
        <v>45570</v>
      </c>
      <c r="Q235">
        <f ca="1"/>
        <v>5.2199821968551632</v>
      </c>
      <c r="R235">
        <f ca="1"/>
        <v>1.71014054608791</v>
      </c>
      <c r="S235">
        <f ca="1"/>
        <v>1.6104868117778892E-2</v>
      </c>
      <c r="T235">
        <f ca="1"/>
        <v>0</v>
      </c>
      <c r="U235">
        <f ca="1"/>
        <v>0</v>
      </c>
      <c r="V235">
        <f ca="1"/>
        <v>50.965679913861401</v>
      </c>
      <c r="W235">
        <f ca="1"/>
        <v>46.624159032310303</v>
      </c>
      <c r="X235">
        <f ca="1"/>
        <v>0</v>
      </c>
      <c r="Y235">
        <f ca="1"/>
        <v>0.99929083716364209</v>
      </c>
      <c r="Z235">
        <f ca="1"/>
        <v>0</v>
      </c>
      <c r="AA235">
        <f ca="1"/>
        <v>0</v>
      </c>
      <c r="AB235">
        <f ca="1"/>
        <v>0.98757695347704599</v>
      </c>
      <c r="AD235" s="2">
        <f t="shared" ca="1" si="32"/>
        <v>45570</v>
      </c>
      <c r="AE235">
        <f t="shared" ca="1" si="33"/>
        <v>0</v>
      </c>
      <c r="AG235" s="65">
        <f t="shared" ca="1" si="37"/>
        <v>5.799980218727959</v>
      </c>
      <c r="AH235" s="65">
        <f t="shared" ca="1" si="38"/>
        <v>6.9301227429430732</v>
      </c>
      <c r="AI235" s="3">
        <f t="shared" ca="1" si="39"/>
        <v>1.1301425242151142</v>
      </c>
    </row>
    <row r="236" spans="7:35" x14ac:dyDescent="0.25">
      <c r="G236" s="3">
        <f t="shared" ca="1" si="34"/>
        <v>236</v>
      </c>
      <c r="H236" s="97">
        <f t="shared" ca="1" si="36"/>
        <v>45526</v>
      </c>
      <c r="I236" s="121">
        <f ca="1">HLOOKUP($H$4,'Met Data'!$A$2:$F$368,G236,FALSE)</f>
        <v>9.5791666666666604</v>
      </c>
      <c r="J236" s="121">
        <f ca="1">HLOOKUP($H$4,'Met Data'!$H$2:$M$368,G236,FALSE)*L236</f>
        <v>2.5216666666666612</v>
      </c>
      <c r="K236" s="98">
        <f ca="1">HLOOKUP($H$4,'Met Data'!$O$2:$T$368,G236,FALSE)</f>
        <v>1.44273965203753</v>
      </c>
      <c r="L236">
        <f t="shared" ca="1" si="30"/>
        <v>1.7</v>
      </c>
      <c r="N236" t="b">
        <f t="shared" ca="1" si="35"/>
        <v>0</v>
      </c>
      <c r="O236" t="b">
        <f t="shared" ca="1" si="31"/>
        <v>0</v>
      </c>
      <c r="P236" s="2">
        <f ca="1"/>
        <v>45571</v>
      </c>
      <c r="Q236">
        <f ca="1"/>
        <v>4.7126741367344556</v>
      </c>
      <c r="R236">
        <f ca="1"/>
        <v>1.79196541056499</v>
      </c>
      <c r="S236">
        <f ca="1"/>
        <v>1.6322399516454311E-2</v>
      </c>
      <c r="T236">
        <f ca="1"/>
        <v>0</v>
      </c>
      <c r="U236">
        <f ca="1"/>
        <v>0</v>
      </c>
      <c r="V236">
        <f ca="1"/>
        <v>52.757645324426399</v>
      </c>
      <c r="W236">
        <f ca="1"/>
        <v>48.263475537530802</v>
      </c>
      <c r="X236">
        <f ca="1"/>
        <v>0</v>
      </c>
      <c r="Y236">
        <f ca="1"/>
        <v>0.99976652647854125</v>
      </c>
      <c r="Z236">
        <f ca="1"/>
        <v>0</v>
      </c>
      <c r="AA236">
        <f ca="1"/>
        <v>0</v>
      </c>
      <c r="AB236">
        <f ca="1"/>
        <v>0.98927487623406796</v>
      </c>
      <c r="AD236" s="2">
        <f t="shared" ca="1" si="32"/>
        <v>45571</v>
      </c>
      <c r="AE236">
        <f t="shared" ca="1" si="33"/>
        <v>0</v>
      </c>
      <c r="AG236" s="65">
        <f t="shared" ca="1" si="37"/>
        <v>5.2363045963716175</v>
      </c>
      <c r="AH236" s="65">
        <f t="shared" ca="1" si="38"/>
        <v>6.5046395472994458</v>
      </c>
      <c r="AI236" s="3">
        <f t="shared" ca="1" si="39"/>
        <v>1.2683349509278283</v>
      </c>
    </row>
    <row r="237" spans="7:35" x14ac:dyDescent="0.25">
      <c r="G237" s="3">
        <f t="shared" ca="1" si="34"/>
        <v>237</v>
      </c>
      <c r="H237" s="97">
        <f t="shared" ca="1" si="36"/>
        <v>45527</v>
      </c>
      <c r="I237" s="121">
        <f ca="1">HLOOKUP($H$4,'Met Data'!$A$2:$F$368,G237,FALSE)</f>
        <v>9.8874999999999993</v>
      </c>
      <c r="J237" s="121">
        <f ca="1">HLOOKUP($H$4,'Met Data'!$H$2:$M$368,G237,FALSE)*L237</f>
        <v>0.96333333333333215</v>
      </c>
      <c r="K237" s="98">
        <f ca="1">HLOOKUP($H$4,'Met Data'!$O$2:$T$368,G237,FALSE)</f>
        <v>1.7386735184612501</v>
      </c>
      <c r="L237">
        <f t="shared" ca="1" si="30"/>
        <v>1.7</v>
      </c>
      <c r="N237" t="b">
        <f t="shared" ca="1" si="35"/>
        <v>0</v>
      </c>
      <c r="O237" t="b">
        <f t="shared" ca="1" si="31"/>
        <v>0</v>
      </c>
      <c r="P237" s="2">
        <f ca="1"/>
        <v>45572</v>
      </c>
      <c r="Q237">
        <f ca="1"/>
        <v>4.189364768534281</v>
      </c>
      <c r="R237">
        <f ca="1"/>
        <v>1.7901475981500301</v>
      </c>
      <c r="S237">
        <f ca="1"/>
        <v>1.5735810399760908E-2</v>
      </c>
      <c r="T237">
        <f ca="1"/>
        <v>0</v>
      </c>
      <c r="U237">
        <f ca="1"/>
        <v>0</v>
      </c>
      <c r="V237">
        <f ca="1"/>
        <v>54.547792922576498</v>
      </c>
      <c r="W237">
        <f ca="1"/>
        <v>49.901129081023598</v>
      </c>
      <c r="X237">
        <f ca="1"/>
        <v>6.6204183886514056E-2</v>
      </c>
      <c r="Y237">
        <f ca="1"/>
        <v>1</v>
      </c>
      <c r="Z237">
        <f ca="1"/>
        <v>4.9903948546665902</v>
      </c>
      <c r="AA237">
        <f ca="1"/>
        <v>0</v>
      </c>
      <c r="AB237">
        <f ca="1"/>
        <v>0.99071336219374595</v>
      </c>
      <c r="AD237" s="2">
        <f t="shared" ca="1" si="32"/>
        <v>45572</v>
      </c>
      <c r="AE237">
        <f t="shared" ca="1" si="33"/>
        <v>0</v>
      </c>
      <c r="AG237" s="65">
        <f t="shared" ca="1" si="37"/>
        <v>4.7284099471342165</v>
      </c>
      <c r="AH237" s="65">
        <f t="shared" ca="1" si="38"/>
        <v>6.045716550570825</v>
      </c>
      <c r="AI237" s="3">
        <f t="shared" ca="1" si="39"/>
        <v>1.3173066034366085</v>
      </c>
    </row>
    <row r="238" spans="7:35" x14ac:dyDescent="0.25">
      <c r="G238" s="3">
        <f t="shared" ca="1" si="34"/>
        <v>238</v>
      </c>
      <c r="H238" s="97">
        <f t="shared" ca="1" si="36"/>
        <v>45528</v>
      </c>
      <c r="I238" s="121">
        <f ca="1">HLOOKUP($H$4,'Met Data'!$A$2:$F$368,G238,FALSE)</f>
        <v>9.7208333333333297</v>
      </c>
      <c r="J238" s="121">
        <f ca="1">HLOOKUP($H$4,'Met Data'!$H$2:$M$368,G238,FALSE)*L238</f>
        <v>4.1933333333333218</v>
      </c>
      <c r="K238" s="98">
        <f ca="1">HLOOKUP($H$4,'Met Data'!$O$2:$T$368,G238,FALSE)</f>
        <v>1.45538034550647</v>
      </c>
      <c r="L238">
        <f t="shared" ca="1" si="30"/>
        <v>1.7</v>
      </c>
      <c r="N238" t="b">
        <f t="shared" ca="1" si="35"/>
        <v>0</v>
      </c>
      <c r="O238" t="b">
        <f t="shared" ca="1" si="31"/>
        <v>0</v>
      </c>
      <c r="P238" s="2">
        <f ca="1"/>
        <v>45573</v>
      </c>
      <c r="Q238">
        <f ca="1"/>
        <v>3.7666860021672459</v>
      </c>
      <c r="R238">
        <f ca="1"/>
        <v>1.7728015775035899</v>
      </c>
      <c r="S238">
        <f ca="1"/>
        <v>1.5081320491191263E-2</v>
      </c>
      <c r="T238">
        <f ca="1"/>
        <v>0</v>
      </c>
      <c r="U238">
        <f ca="1"/>
        <v>0</v>
      </c>
      <c r="V238">
        <f ca="1"/>
        <v>56.320594500079999</v>
      </c>
      <c r="W238">
        <f ca="1"/>
        <v>51.522914227850997</v>
      </c>
      <c r="X238">
        <f ca="1"/>
        <v>1.7315477955678973E-2</v>
      </c>
      <c r="Y238">
        <f ca="1"/>
        <v>1</v>
      </c>
      <c r="Z238">
        <f ca="1"/>
        <v>1.4516860887974872</v>
      </c>
      <c r="AA238">
        <f ca="1"/>
        <v>0</v>
      </c>
      <c r="AB238">
        <f ca="1"/>
        <v>0.99192702395030596</v>
      </c>
      <c r="AD238" s="2">
        <f t="shared" ca="1" si="32"/>
        <v>45573</v>
      </c>
      <c r="AE238">
        <f t="shared" ca="1" si="33"/>
        <v>0</v>
      </c>
      <c r="AG238" s="65">
        <f t="shared" ca="1" si="37"/>
        <v>4.2044460890254722</v>
      </c>
      <c r="AH238" s="65">
        <f t="shared" ca="1" si="38"/>
        <v>5.5568030576265146</v>
      </c>
      <c r="AI238" s="3">
        <f t="shared" ca="1" si="39"/>
        <v>1.3523569686010424</v>
      </c>
    </row>
    <row r="239" spans="7:35" x14ac:dyDescent="0.25">
      <c r="G239" s="3">
        <f t="shared" ca="1" si="34"/>
        <v>239</v>
      </c>
      <c r="H239" s="97">
        <f t="shared" ca="1" si="36"/>
        <v>45529</v>
      </c>
      <c r="I239" s="121">
        <f ca="1">HLOOKUP($H$4,'Met Data'!$A$2:$F$368,G239,FALSE)</f>
        <v>10.716666666666599</v>
      </c>
      <c r="J239" s="121">
        <f ca="1">HLOOKUP($H$4,'Met Data'!$H$2:$M$368,G239,FALSE)*L239</f>
        <v>5.2133333333333223</v>
      </c>
      <c r="K239" s="98">
        <f ca="1">HLOOKUP($H$4,'Met Data'!$O$2:$T$368,G239,FALSE)</f>
        <v>1.4899612238642299</v>
      </c>
      <c r="L239">
        <f t="shared" ca="1" si="30"/>
        <v>1.7</v>
      </c>
      <c r="N239" t="b">
        <f t="shared" ca="1" si="35"/>
        <v>0</v>
      </c>
      <c r="O239" t="b">
        <f t="shared" ca="1" si="31"/>
        <v>0</v>
      </c>
      <c r="P239" s="2">
        <f ca="1"/>
        <v>45574</v>
      </c>
      <c r="Q239">
        <f ca="1"/>
        <v>3.3764782537247524</v>
      </c>
      <c r="R239">
        <f ca="1"/>
        <v>1.77202569832303</v>
      </c>
      <c r="S239">
        <f ca="1"/>
        <v>1.4646003260395446E-2</v>
      </c>
      <c r="T239">
        <f ca="1"/>
        <v>0</v>
      </c>
      <c r="U239">
        <f ca="1"/>
        <v>0</v>
      </c>
      <c r="V239">
        <f ca="1"/>
        <v>58.092620198403097</v>
      </c>
      <c r="W239">
        <f ca="1"/>
        <v>53.143989588909498</v>
      </c>
      <c r="X239">
        <f ca="1"/>
        <v>2.6720551160124565E-2</v>
      </c>
      <c r="Y239">
        <f ca="1"/>
        <v>1</v>
      </c>
      <c r="Z239">
        <f ca="1"/>
        <v>2.4990739324618261</v>
      </c>
      <c r="AA239">
        <f ca="1"/>
        <v>0</v>
      </c>
      <c r="AB239">
        <f ca="1"/>
        <v>0.992965030087814</v>
      </c>
      <c r="AD239" s="2">
        <f t="shared" ca="1" si="32"/>
        <v>45574</v>
      </c>
      <c r="AE239">
        <f t="shared" ca="1" si="33"/>
        <v>0</v>
      </c>
      <c r="AG239" s="65">
        <f t="shared" ca="1" si="37"/>
        <v>3.7813320054276414</v>
      </c>
      <c r="AH239" s="65">
        <f t="shared" ca="1" si="38"/>
        <v>5.1752245032079074</v>
      </c>
      <c r="AI239" s="3">
        <f t="shared" ca="1" si="39"/>
        <v>1.393892497780266</v>
      </c>
    </row>
    <row r="240" spans="7:35" x14ac:dyDescent="0.25">
      <c r="G240" s="3">
        <f t="shared" ca="1" si="34"/>
        <v>240</v>
      </c>
      <c r="H240" s="97">
        <f t="shared" ca="1" si="36"/>
        <v>45530</v>
      </c>
      <c r="I240" s="121">
        <f ca="1">HLOOKUP($H$4,'Met Data'!$A$2:$F$368,G240,FALSE)</f>
        <v>10.754166666666601</v>
      </c>
      <c r="J240" s="121">
        <f ca="1">HLOOKUP($H$4,'Met Data'!$H$2:$M$368,G240,FALSE)*L240</f>
        <v>1.756666666666661</v>
      </c>
      <c r="K240" s="98">
        <f ca="1">HLOOKUP($H$4,'Met Data'!$O$2:$T$368,G240,FALSE)</f>
        <v>1.6543487023337</v>
      </c>
      <c r="L240">
        <f t="shared" ca="1" si="30"/>
        <v>1.7</v>
      </c>
      <c r="N240" t="b">
        <f t="shared" ca="1" si="35"/>
        <v>0</v>
      </c>
      <c r="O240" t="b">
        <f t="shared" ca="1" si="31"/>
        <v>0</v>
      </c>
      <c r="P240" s="2">
        <f ca="1"/>
        <v>45575</v>
      </c>
      <c r="Q240">
        <f ca="1"/>
        <v>3.0193238394067961</v>
      </c>
      <c r="R240">
        <f ca="1"/>
        <v>1.9875683684235901</v>
      </c>
      <c r="S240">
        <f ca="1"/>
        <v>1.6138522612820339E-2</v>
      </c>
      <c r="T240">
        <f ca="1"/>
        <v>0</v>
      </c>
      <c r="U240">
        <f ca="1"/>
        <v>0</v>
      </c>
      <c r="V240">
        <f ca="1"/>
        <v>60.080188566826699</v>
      </c>
      <c r="W240">
        <f ca="1"/>
        <v>54.962246577800698</v>
      </c>
      <c r="X240">
        <f ca="1"/>
        <v>3.4031259297019452E-2</v>
      </c>
      <c r="Y240">
        <f ca="1"/>
        <v>1</v>
      </c>
      <c r="Z240">
        <f ca="1"/>
        <v>3.5593113007474102</v>
      </c>
      <c r="AA240">
        <f ca="1"/>
        <v>0</v>
      </c>
      <c r="AB240">
        <f ca="1"/>
        <v>0.99395565125885099</v>
      </c>
      <c r="AD240" s="2">
        <f t="shared" ca="1" si="32"/>
        <v>45575</v>
      </c>
      <c r="AE240">
        <f t="shared" ca="1" si="33"/>
        <v>0</v>
      </c>
      <c r="AG240" s="65">
        <f t="shared" ca="1" si="37"/>
        <v>3.3926167763375727</v>
      </c>
      <c r="AH240" s="65">
        <f t="shared" ca="1" si="38"/>
        <v>5.0409234671274055</v>
      </c>
      <c r="AI240" s="3">
        <f t="shared" ca="1" si="39"/>
        <v>1.6483066907898327</v>
      </c>
    </row>
    <row r="241" spans="7:35" x14ac:dyDescent="0.25">
      <c r="G241" s="3">
        <f t="shared" ca="1" si="34"/>
        <v>241</v>
      </c>
      <c r="H241" s="97">
        <f t="shared" ca="1" si="36"/>
        <v>45531</v>
      </c>
      <c r="I241" s="121">
        <f ca="1">HLOOKUP($H$4,'Met Data'!$A$2:$F$368,G241,FALSE)</f>
        <v>11.0833333333333</v>
      </c>
      <c r="J241" s="121">
        <f ca="1">HLOOKUP($H$4,'Met Data'!$H$2:$M$368,G241,FALSE)*L241</f>
        <v>3.23</v>
      </c>
      <c r="K241" s="98">
        <f ca="1">HLOOKUP($H$4,'Met Data'!$O$2:$T$368,G241,FALSE)</f>
        <v>1.6425180639822501</v>
      </c>
      <c r="L241">
        <f t="shared" ca="1" si="30"/>
        <v>1.7</v>
      </c>
      <c r="N241" t="b">
        <f t="shared" ca="1" si="35"/>
        <v>0</v>
      </c>
      <c r="O241" t="b">
        <f t="shared" ca="1" si="31"/>
        <v>0</v>
      </c>
      <c r="P241" s="2">
        <f ca="1"/>
        <v>45576</v>
      </c>
      <c r="Q241">
        <f ca="1"/>
        <v>2.7273406997854694</v>
      </c>
      <c r="R241">
        <f ca="1"/>
        <v>2.0397977414266899</v>
      </c>
      <c r="S241">
        <f ca="1"/>
        <v>1.6150517853333213E-2</v>
      </c>
      <c r="T241">
        <f ca="1"/>
        <v>0</v>
      </c>
      <c r="U241">
        <f ca="1"/>
        <v>0</v>
      </c>
      <c r="V241">
        <f ca="1"/>
        <v>62.119986308253402</v>
      </c>
      <c r="W241">
        <f ca="1"/>
        <v>56.828283770883601</v>
      </c>
      <c r="X241">
        <f ca="1"/>
        <v>4.5862217486469627E-3</v>
      </c>
      <c r="Y241">
        <f ca="1"/>
        <v>1</v>
      </c>
      <c r="Z241">
        <f ca="1"/>
        <v>0.53102296765425194</v>
      </c>
      <c r="AA241">
        <f ca="1"/>
        <v>0</v>
      </c>
      <c r="AB241">
        <f ca="1"/>
        <v>0.99481383471618001</v>
      </c>
      <c r="AD241" s="2">
        <f t="shared" ca="1" si="32"/>
        <v>45576</v>
      </c>
      <c r="AE241">
        <f t="shared" ca="1" si="33"/>
        <v>0</v>
      </c>
      <c r="AG241" s="65">
        <f t="shared" ca="1" si="37"/>
        <v>3.0354743572601293</v>
      </c>
      <c r="AH241" s="65">
        <f t="shared" ca="1" si="38"/>
        <v>4.7717246629608061</v>
      </c>
      <c r="AI241" s="3">
        <f t="shared" ca="1" si="39"/>
        <v>1.7362503057006768</v>
      </c>
    </row>
    <row r="242" spans="7:35" x14ac:dyDescent="0.25">
      <c r="G242" s="3">
        <f t="shared" ca="1" si="34"/>
        <v>242</v>
      </c>
      <c r="H242" s="97">
        <f t="shared" ca="1" si="36"/>
        <v>45532</v>
      </c>
      <c r="I242" s="121">
        <f ca="1">HLOOKUP($H$4,'Met Data'!$A$2:$F$368,G242,FALSE)</f>
        <v>10.5791666666666</v>
      </c>
      <c r="J242" s="121">
        <f ca="1">HLOOKUP($H$4,'Met Data'!$H$2:$M$368,G242,FALSE)*L242</f>
        <v>5.1283333333333214</v>
      </c>
      <c r="K242" s="98">
        <f ca="1">HLOOKUP($H$4,'Met Data'!$O$2:$T$368,G242,FALSE)</f>
        <v>1.5065040723285099</v>
      </c>
      <c r="L242">
        <f t="shared" ca="1" si="30"/>
        <v>1.7</v>
      </c>
      <c r="N242" t="b">
        <f t="shared" ca="1" si="35"/>
        <v>0</v>
      </c>
      <c r="O242" t="b">
        <f t="shared" ca="1" si="31"/>
        <v>0</v>
      </c>
      <c r="P242" s="2">
        <f ca="1"/>
        <v>45577</v>
      </c>
      <c r="Q242">
        <f ca="1"/>
        <v>2.4482658577867156</v>
      </c>
      <c r="R242">
        <f ca="1"/>
        <v>2.00258917430437</v>
      </c>
      <c r="S242">
        <f ca="1"/>
        <v>1.5416714364718587E-2</v>
      </c>
      <c r="T242">
        <f ca="1"/>
        <v>0</v>
      </c>
      <c r="U242">
        <f ca="1"/>
        <v>0</v>
      </c>
      <c r="V242">
        <f ca="1"/>
        <v>64.122575482557707</v>
      </c>
      <c r="W242">
        <f ca="1"/>
        <v>58.660282015524999</v>
      </c>
      <c r="X242">
        <f ca="1"/>
        <v>2.0215814948453373E-2</v>
      </c>
      <c r="Y242">
        <f ca="1"/>
        <v>1</v>
      </c>
      <c r="Z242">
        <f ca="1"/>
        <v>2.6075360820661473</v>
      </c>
      <c r="AA242">
        <f ca="1"/>
        <v>0</v>
      </c>
      <c r="AB242">
        <f ca="1"/>
        <v>0.99552713483012001</v>
      </c>
      <c r="AD242" s="2">
        <f t="shared" ca="1" si="32"/>
        <v>45577</v>
      </c>
      <c r="AE242">
        <f t="shared" ca="1" si="33"/>
        <v>0</v>
      </c>
      <c r="AG242" s="65">
        <f t="shared" ca="1" si="37"/>
        <v>2.742757414150188</v>
      </c>
      <c r="AH242" s="65">
        <f t="shared" ca="1" si="38"/>
        <v>4.4710708470395391</v>
      </c>
      <c r="AI242" s="3">
        <f t="shared" ca="1" si="39"/>
        <v>1.728313432889351</v>
      </c>
    </row>
    <row r="243" spans="7:35" x14ac:dyDescent="0.25">
      <c r="G243" s="3">
        <f t="shared" ca="1" si="34"/>
        <v>243</v>
      </c>
      <c r="H243" s="97">
        <f t="shared" ca="1" si="36"/>
        <v>45533</v>
      </c>
      <c r="I243" s="121">
        <f ca="1">HLOOKUP($H$4,'Met Data'!$A$2:$F$368,G243,FALSE)</f>
        <v>11.1208333333333</v>
      </c>
      <c r="J243" s="121">
        <f ca="1">HLOOKUP($H$4,'Met Data'!$H$2:$M$368,G243,FALSE)*L243</f>
        <v>2.663333333333322</v>
      </c>
      <c r="K243" s="98">
        <f ca="1">HLOOKUP($H$4,'Met Data'!$O$2:$T$368,G243,FALSE)</f>
        <v>1.7782422370636499</v>
      </c>
      <c r="L243">
        <f t="shared" ca="1" si="30"/>
        <v>1.7</v>
      </c>
      <c r="N243" t="b">
        <f t="shared" ca="1" si="35"/>
        <v>0</v>
      </c>
      <c r="O243" t="b">
        <f t="shared" ca="1" si="31"/>
        <v>0</v>
      </c>
      <c r="P243" s="2">
        <f ca="1"/>
        <v>45578</v>
      </c>
      <c r="Q243">
        <f ca="1"/>
        <v>2.1905700563152095</v>
      </c>
      <c r="R243">
        <f ca="1"/>
        <v>2.1398794052063601</v>
      </c>
      <c r="S243">
        <f ca="1"/>
        <v>1.6210993812322272E-2</v>
      </c>
      <c r="T243">
        <f ca="1"/>
        <v>0</v>
      </c>
      <c r="U243">
        <f ca="1"/>
        <v>0</v>
      </c>
      <c r="V243">
        <f ca="1"/>
        <v>66.262454887764093</v>
      </c>
      <c r="W243">
        <f ca="1"/>
        <v>60.617875397324902</v>
      </c>
      <c r="X243">
        <f ca="1"/>
        <v>2.7459110123924501E-2</v>
      </c>
      <c r="Y243">
        <f ca="1"/>
        <v>1</v>
      </c>
      <c r="Z243">
        <f ca="1"/>
        <v>3.9584663858945532</v>
      </c>
      <c r="AA243">
        <f ca="1"/>
        <v>0</v>
      </c>
      <c r="AB243">
        <f ca="1"/>
        <v>0.996172220027428</v>
      </c>
      <c r="AD243" s="2">
        <f t="shared" ca="1" si="32"/>
        <v>45578</v>
      </c>
      <c r="AE243">
        <f t="shared" ca="1" si="33"/>
        <v>0</v>
      </c>
      <c r="AG243" s="65">
        <f t="shared" ca="1" si="37"/>
        <v>2.4644768515990378</v>
      </c>
      <c r="AH243" s="65">
        <f t="shared" ca="1" si="38"/>
        <v>4.3579085716454937</v>
      </c>
      <c r="AI243" s="3">
        <f t="shared" ca="1" si="39"/>
        <v>1.8934317200464559</v>
      </c>
    </row>
    <row r="244" spans="7:35" x14ac:dyDescent="0.25">
      <c r="G244" s="3">
        <f t="shared" ca="1" si="34"/>
        <v>244</v>
      </c>
      <c r="H244" s="97">
        <f t="shared" ca="1" si="36"/>
        <v>45534</v>
      </c>
      <c r="I244" s="121">
        <f ca="1">HLOOKUP($H$4,'Met Data'!$A$2:$F$368,G244,FALSE)</f>
        <v>10.6666666666666</v>
      </c>
      <c r="J244" s="121">
        <f ca="1">HLOOKUP($H$4,'Met Data'!$H$2:$M$368,G244,FALSE)*L244</f>
        <v>2.946666666666661</v>
      </c>
      <c r="K244" s="98">
        <f ca="1">HLOOKUP($H$4,'Met Data'!$O$2:$T$368,G244,FALSE)</f>
        <v>1.8075127039194601</v>
      </c>
      <c r="L244">
        <f t="shared" ca="1" si="30"/>
        <v>1.7</v>
      </c>
      <c r="N244" t="b">
        <f t="shared" ca="1" si="35"/>
        <v>0</v>
      </c>
      <c r="O244" t="b">
        <f t="shared" ca="1" si="31"/>
        <v>0</v>
      </c>
      <c r="P244" s="2">
        <f ca="1"/>
        <v>45579</v>
      </c>
      <c r="Q244">
        <f ca="1"/>
        <v>1.9562449262968535</v>
      </c>
      <c r="R244">
        <f ca="1"/>
        <v>2.1573049167833598</v>
      </c>
      <c r="S244">
        <f ca="1"/>
        <v>1.5987555379425089E-2</v>
      </c>
      <c r="T244">
        <f ca="1"/>
        <v>0</v>
      </c>
      <c r="U244">
        <f ca="1"/>
        <v>0</v>
      </c>
      <c r="V244">
        <f ca="1"/>
        <v>68.419759804547397</v>
      </c>
      <c r="W244">
        <f ca="1"/>
        <v>62.591409895271198</v>
      </c>
      <c r="X244">
        <f ca="1"/>
        <v>2.9656924228317533E-2</v>
      </c>
      <c r="Y244">
        <f ca="1"/>
        <v>1</v>
      </c>
      <c r="Z244">
        <f ca="1"/>
        <v>4.787408962578823</v>
      </c>
      <c r="AA244">
        <f ca="1"/>
        <v>0</v>
      </c>
      <c r="AB244">
        <f ca="1"/>
        <v>0.99672107353963602</v>
      </c>
      <c r="AD244" s="2">
        <f t="shared" ca="1" si="32"/>
        <v>45579</v>
      </c>
      <c r="AE244">
        <f t="shared" ca="1" si="33"/>
        <v>0</v>
      </c>
      <c r="AG244" s="65">
        <f t="shared" ca="1" si="37"/>
        <v>2.2065576116946346</v>
      </c>
      <c r="AH244" s="65">
        <f t="shared" ca="1" si="38"/>
        <v>4.1432067673085307</v>
      </c>
      <c r="AI244" s="3">
        <f t="shared" ca="1" si="39"/>
        <v>1.9366491556138961</v>
      </c>
    </row>
    <row r="245" spans="7:35" x14ac:dyDescent="0.25">
      <c r="G245" s="3">
        <f t="shared" ca="1" si="34"/>
        <v>245</v>
      </c>
      <c r="H245" s="97">
        <f t="shared" ca="1" si="36"/>
        <v>45535</v>
      </c>
      <c r="I245" s="121">
        <f ca="1">HLOOKUP($H$4,'Met Data'!$A$2:$F$368,G245,FALSE)</f>
        <v>10.1208333333333</v>
      </c>
      <c r="J245" s="121">
        <f ca="1">HLOOKUP($H$4,'Met Data'!$H$2:$M$368,G245,FALSE)*L245</f>
        <v>1.36</v>
      </c>
      <c r="K245" s="98">
        <f ca="1">HLOOKUP($H$4,'Met Data'!$O$2:$T$368,G245,FALSE)</f>
        <v>1.80445161149383</v>
      </c>
      <c r="L245">
        <f t="shared" ca="1" si="30"/>
        <v>1.7</v>
      </c>
      <c r="N245" t="b">
        <f t="shared" ca="1" si="35"/>
        <v>0</v>
      </c>
      <c r="O245" t="b">
        <f t="shared" ca="1" si="31"/>
        <v>0</v>
      </c>
      <c r="P245" s="2">
        <f ca="1"/>
        <v>45580</v>
      </c>
      <c r="Q245">
        <f ca="1"/>
        <v>1.7744614091155952</v>
      </c>
      <c r="R245">
        <f ca="1"/>
        <v>2.1228913694582601</v>
      </c>
      <c r="S245">
        <f ca="1"/>
        <v>1.5378861609363526E-2</v>
      </c>
      <c r="T245">
        <f ca="1"/>
        <v>0</v>
      </c>
      <c r="U245">
        <f ca="1"/>
        <v>0</v>
      </c>
      <c r="V245">
        <f ca="1"/>
        <v>70.542651174005698</v>
      </c>
      <c r="W245">
        <f ca="1"/>
        <v>64.533462370294103</v>
      </c>
      <c r="X245">
        <f ca="1"/>
        <v>0</v>
      </c>
      <c r="Y245">
        <f ca="1"/>
        <v>0.99761079663859076</v>
      </c>
      <c r="Z245">
        <f ca="1"/>
        <v>0</v>
      </c>
      <c r="AA245">
        <f ca="1"/>
        <v>0</v>
      </c>
      <c r="AB245">
        <f ca="1"/>
        <v>0.99717869496146705</v>
      </c>
      <c r="AD245" s="2">
        <f t="shared" ca="1" si="32"/>
        <v>45580</v>
      </c>
      <c r="AE245">
        <f t="shared" ca="1" si="33"/>
        <v>0</v>
      </c>
      <c r="AG245" s="65">
        <f t="shared" ca="1" si="37"/>
        <v>1.9716237879062171</v>
      </c>
      <c r="AH245" s="65">
        <f t="shared" ca="1" si="38"/>
        <v>3.8973527785738553</v>
      </c>
      <c r="AI245" s="3">
        <f t="shared" ca="1" si="39"/>
        <v>1.9257289906676383</v>
      </c>
    </row>
    <row r="246" spans="7:35" x14ac:dyDescent="0.25">
      <c r="G246" s="3">
        <f t="shared" ca="1" si="34"/>
        <v>246</v>
      </c>
      <c r="H246" s="97">
        <f t="shared" ca="1" si="36"/>
        <v>45536</v>
      </c>
      <c r="I246" s="121">
        <f ca="1">HLOOKUP($H$4,'Met Data'!$A$2:$F$368,G246,FALSE)</f>
        <v>9.6624999999999996</v>
      </c>
      <c r="J246" s="121">
        <f ca="1">HLOOKUP($H$4,'Met Data'!$H$2:$M$368,G246,FALSE)*L246</f>
        <v>5.2416666666666609</v>
      </c>
      <c r="K246" s="98">
        <f ca="1">HLOOKUP($H$4,'Met Data'!$O$2:$T$368,G246,FALSE)</f>
        <v>1.4517482623371101</v>
      </c>
      <c r="L246">
        <f t="shared" ca="1" si="30"/>
        <v>1.7</v>
      </c>
      <c r="N246" t="b">
        <f t="shared" ca="1" si="35"/>
        <v>0</v>
      </c>
      <c r="O246" t="b">
        <f t="shared" ca="1" si="31"/>
        <v>0</v>
      </c>
      <c r="P246" s="2">
        <f ca="1"/>
        <v>45581</v>
      </c>
      <c r="Q246">
        <f ca="1"/>
        <v>1.602841651314258</v>
      </c>
      <c r="R246">
        <f ca="1"/>
        <v>2.2692966333384801</v>
      </c>
      <c r="S246">
        <f ca="1"/>
        <v>1.6268617025659182E-2</v>
      </c>
      <c r="T246">
        <f ca="1"/>
        <v>0</v>
      </c>
      <c r="U246">
        <f ca="1"/>
        <v>0</v>
      </c>
      <c r="V246">
        <f ca="1"/>
        <v>72.811947807344197</v>
      </c>
      <c r="W246">
        <f ca="1"/>
        <v>66.609448549681503</v>
      </c>
      <c r="X246">
        <f ca="1"/>
        <v>8.8153722128710282E-3</v>
      </c>
      <c r="Y246">
        <f ca="1"/>
        <v>1</v>
      </c>
      <c r="Z246">
        <f ca="1"/>
        <v>1.7367914972451359</v>
      </c>
      <c r="AA246">
        <f ca="1"/>
        <v>0</v>
      </c>
      <c r="AB246">
        <f ca="1"/>
        <v>0.99759279667277001</v>
      </c>
      <c r="AD246" s="2">
        <f t="shared" ca="1" si="32"/>
        <v>45581</v>
      </c>
      <c r="AE246">
        <f t="shared" ca="1" si="33"/>
        <v>0</v>
      </c>
      <c r="AG246" s="65">
        <f t="shared" ca="1" si="37"/>
        <v>1.7907300261412544</v>
      </c>
      <c r="AH246" s="65">
        <f t="shared" ca="1" si="38"/>
        <v>3.8809536568656093</v>
      </c>
      <c r="AI246" s="3">
        <f t="shared" ca="1" si="39"/>
        <v>2.0902236307243549</v>
      </c>
    </row>
    <row r="247" spans="7:35" x14ac:dyDescent="0.25">
      <c r="G247" s="3">
        <f t="shared" ca="1" si="34"/>
        <v>247</v>
      </c>
      <c r="H247" s="97">
        <f t="shared" ca="1" si="36"/>
        <v>45537</v>
      </c>
      <c r="I247" s="121">
        <f ca="1">HLOOKUP($H$4,'Met Data'!$A$2:$F$368,G247,FALSE)</f>
        <v>9.7541666666666593</v>
      </c>
      <c r="J247" s="121">
        <f ca="1">HLOOKUP($H$4,'Met Data'!$H$2:$M$368,G247,FALSE)*L247</f>
        <v>1.8416666666666608</v>
      </c>
      <c r="K247" s="98">
        <f ca="1">HLOOKUP($H$4,'Met Data'!$O$2:$T$368,G247,FALSE)</f>
        <v>1.75831978881469</v>
      </c>
      <c r="L247">
        <f t="shared" ca="1" si="30"/>
        <v>1.7</v>
      </c>
      <c r="N247" t="b">
        <f t="shared" ca="1" si="35"/>
        <v>0</v>
      </c>
      <c r="O247" t="b">
        <f t="shared" ca="1" si="31"/>
        <v>0</v>
      </c>
      <c r="P247" s="2">
        <f ca="1"/>
        <v>45582</v>
      </c>
      <c r="Q247">
        <f ca="1"/>
        <v>1.4432014225379188</v>
      </c>
      <c r="R247">
        <f ca="1"/>
        <v>2.2524978851163602</v>
      </c>
      <c r="S247">
        <f ca="1"/>
        <v>1.5841064552944317E-2</v>
      </c>
      <c r="T247">
        <f ca="1"/>
        <v>0</v>
      </c>
      <c r="U247">
        <f ca="1"/>
        <v>0</v>
      </c>
      <c r="V247">
        <f ca="1"/>
        <v>75.064445692460495</v>
      </c>
      <c r="W247">
        <f ca="1"/>
        <v>68.670066985324993</v>
      </c>
      <c r="X247">
        <f ca="1"/>
        <v>1.3613021742563311E-2</v>
      </c>
      <c r="Y247">
        <f ca="1"/>
        <v>1</v>
      </c>
      <c r="Z247">
        <f ca="1"/>
        <v>2.9786895330078806</v>
      </c>
      <c r="AA247">
        <f ca="1"/>
        <v>0</v>
      </c>
      <c r="AB247">
        <f ca="1"/>
        <v>0.99794005970369704</v>
      </c>
      <c r="AD247" s="2">
        <f t="shared" ca="1" si="32"/>
        <v>45582</v>
      </c>
      <c r="AE247">
        <f t="shared" ca="1" si="33"/>
        <v>0</v>
      </c>
      <c r="AG247" s="65">
        <f t="shared" ca="1" si="37"/>
        <v>1.6186827158672024</v>
      </c>
      <c r="AH247" s="65">
        <f t="shared" ca="1" si="38"/>
        <v>3.7093123293968424</v>
      </c>
      <c r="AI247" s="3">
        <f t="shared" ca="1" si="39"/>
        <v>2.0906296135296403</v>
      </c>
    </row>
    <row r="248" spans="7:35" x14ac:dyDescent="0.25">
      <c r="G248" s="3">
        <f t="shared" ca="1" si="34"/>
        <v>248</v>
      </c>
      <c r="H248" s="97">
        <f t="shared" ca="1" si="36"/>
        <v>45538</v>
      </c>
      <c r="I248" s="121">
        <f ca="1">HLOOKUP($H$4,'Met Data'!$A$2:$F$368,G248,FALSE)</f>
        <v>10.0583333333333</v>
      </c>
      <c r="J248" s="121">
        <f ca="1">HLOOKUP($H$4,'Met Data'!$H$2:$M$368,G248,FALSE)*L248</f>
        <v>4.1649999999999832</v>
      </c>
      <c r="K248" s="98">
        <f ca="1">HLOOKUP($H$4,'Met Data'!$O$2:$T$368,G248,FALSE)</f>
        <v>1.8005069619965</v>
      </c>
      <c r="L248">
        <f t="shared" ca="1" si="30"/>
        <v>1.7</v>
      </c>
      <c r="N248" t="b">
        <f t="shared" ca="1" si="35"/>
        <v>0</v>
      </c>
      <c r="O248" t="b">
        <f t="shared" ca="1" si="31"/>
        <v>0</v>
      </c>
      <c r="P248" s="2">
        <f ca="1"/>
        <v>45583</v>
      </c>
      <c r="Q248">
        <f ca="1"/>
        <v>1.3123437181737518</v>
      </c>
      <c r="R248">
        <f ca="1"/>
        <v>2.17056148657475</v>
      </c>
      <c r="S248">
        <f ca="1"/>
        <v>1.4958264321805359E-2</v>
      </c>
      <c r="T248">
        <f ca="1"/>
        <v>0</v>
      </c>
      <c r="U248">
        <f ca="1"/>
        <v>0</v>
      </c>
      <c r="V248">
        <f ca="1"/>
        <v>77.235007179035307</v>
      </c>
      <c r="W248">
        <f ca="1"/>
        <v>70.655728789710096</v>
      </c>
      <c r="X248">
        <f ca="1"/>
        <v>0</v>
      </c>
      <c r="Y248">
        <f ca="1"/>
        <v>0.99066249667484707</v>
      </c>
      <c r="Z248">
        <f ca="1"/>
        <v>0</v>
      </c>
      <c r="AA248">
        <f ca="1"/>
        <v>0</v>
      </c>
      <c r="AB248">
        <f ca="1"/>
        <v>0.99822460193779905</v>
      </c>
      <c r="AD248" s="2">
        <f t="shared" ca="1" si="32"/>
        <v>45583</v>
      </c>
      <c r="AE248">
        <f t="shared" ca="1" si="33"/>
        <v>0</v>
      </c>
      <c r="AG248" s="65">
        <f t="shared" ca="1" si="37"/>
        <v>1.4581596868597242</v>
      </c>
      <c r="AH248" s="65">
        <f t="shared" ca="1" si="38"/>
        <v>3.4829052047485018</v>
      </c>
      <c r="AI248" s="3">
        <f t="shared" ca="1" si="39"/>
        <v>2.0247455178887774</v>
      </c>
    </row>
    <row r="249" spans="7:35" x14ac:dyDescent="0.25">
      <c r="G249" s="3">
        <f t="shared" ca="1" si="34"/>
        <v>249</v>
      </c>
      <c r="H249" s="97">
        <f t="shared" ca="1" si="36"/>
        <v>45539</v>
      </c>
      <c r="I249" s="121">
        <f ca="1">HLOOKUP($H$4,'Met Data'!$A$2:$F$368,G249,FALSE)</f>
        <v>9.7750000000000004</v>
      </c>
      <c r="J249" s="121">
        <f ca="1">HLOOKUP($H$4,'Met Data'!$H$2:$M$368,G249,FALSE)*L249</f>
        <v>5.44</v>
      </c>
      <c r="K249" s="98">
        <f ca="1">HLOOKUP($H$4,'Met Data'!$O$2:$T$368,G249,FALSE)</f>
        <v>1.49919962363172</v>
      </c>
      <c r="L249">
        <f t="shared" ca="1" si="30"/>
        <v>1.7</v>
      </c>
      <c r="N249" t="b">
        <f t="shared" ca="1" si="35"/>
        <v>0</v>
      </c>
      <c r="O249" t="b">
        <f t="shared" ca="1" si="31"/>
        <v>0</v>
      </c>
      <c r="P249" s="2">
        <f ca="1"/>
        <v>45584</v>
      </c>
      <c r="Q249">
        <f ca="1"/>
        <v>1.1951523652411853</v>
      </c>
      <c r="R249">
        <f ca="1"/>
        <v>2.28247628840235</v>
      </c>
      <c r="S249">
        <f ca="1"/>
        <v>1.5603354316453988E-2</v>
      </c>
      <c r="T249">
        <f ca="1"/>
        <v>0</v>
      </c>
      <c r="U249">
        <f ca="1"/>
        <v>0</v>
      </c>
      <c r="V249">
        <f ca="1"/>
        <v>79.5174834674376</v>
      </c>
      <c r="W249">
        <f ca="1"/>
        <v>72.743771912804107</v>
      </c>
      <c r="X249">
        <f ca="1"/>
        <v>0</v>
      </c>
      <c r="Y249">
        <f ca="1"/>
        <v>0.98410648797751521</v>
      </c>
      <c r="Z249">
        <f ca="1"/>
        <v>0</v>
      </c>
      <c r="AA249">
        <f ca="1"/>
        <v>0</v>
      </c>
      <c r="AB249">
        <f ca="1"/>
        <v>0.99847946488146699</v>
      </c>
      <c r="AD249" s="2">
        <f t="shared" ca="1" si="32"/>
        <v>45584</v>
      </c>
      <c r="AE249">
        <f t="shared" ca="1" si="33"/>
        <v>0</v>
      </c>
      <c r="AG249" s="65">
        <f t="shared" ca="1" si="37"/>
        <v>1.3279470724902058</v>
      </c>
      <c r="AH249" s="65">
        <f t="shared" ca="1" si="38"/>
        <v>3.477628653643535</v>
      </c>
      <c r="AI249" s="3">
        <f t="shared" ca="1" si="39"/>
        <v>2.1496815811533292</v>
      </c>
    </row>
    <row r="250" spans="7:35" x14ac:dyDescent="0.25">
      <c r="G250" s="3">
        <f t="shared" ca="1" si="34"/>
        <v>250</v>
      </c>
      <c r="H250" s="97">
        <f t="shared" ca="1" si="36"/>
        <v>45540</v>
      </c>
      <c r="I250" s="121">
        <f ca="1">HLOOKUP($H$4,'Met Data'!$A$2:$F$368,G250,FALSE)</f>
        <v>10.3333333333333</v>
      </c>
      <c r="J250" s="121">
        <f ca="1">HLOOKUP($H$4,'Met Data'!$H$2:$M$368,G250,FALSE)*L250</f>
        <v>10.086666666666661</v>
      </c>
      <c r="K250" s="98">
        <f ca="1">HLOOKUP($H$4,'Met Data'!$O$2:$T$368,G250,FALSE)</f>
        <v>1.4735664157819599</v>
      </c>
      <c r="L250">
        <f t="shared" ca="1" si="30"/>
        <v>1.7</v>
      </c>
      <c r="N250" t="b">
        <f t="shared" ca="1" si="35"/>
        <v>0</v>
      </c>
      <c r="O250" t="b">
        <f t="shared" ca="1" si="31"/>
        <v>0</v>
      </c>
      <c r="P250" s="2">
        <f ca="1"/>
        <v>45585</v>
      </c>
      <c r="Q250">
        <f ca="1"/>
        <v>1.0894056004073733</v>
      </c>
      <c r="R250">
        <f ca="1"/>
        <v>2.2688587055505698</v>
      </c>
      <c r="S250">
        <f ca="1"/>
        <v>1.5298301878118536E-2</v>
      </c>
      <c r="T250">
        <f ca="1"/>
        <v>0</v>
      </c>
      <c r="U250">
        <f ca="1"/>
        <v>0</v>
      </c>
      <c r="V250">
        <f ca="1"/>
        <v>81.786342172988199</v>
      </c>
      <c r="W250">
        <f ca="1"/>
        <v>74.819357469363297</v>
      </c>
      <c r="X250">
        <f ca="1"/>
        <v>0</v>
      </c>
      <c r="Y250">
        <f ca="1"/>
        <v>0.97236405649418289</v>
      </c>
      <c r="Z250">
        <f ca="1"/>
        <v>0</v>
      </c>
      <c r="AA250">
        <f ca="1"/>
        <v>0</v>
      </c>
      <c r="AB250">
        <f ca="1"/>
        <v>0.99869499744486501</v>
      </c>
      <c r="AD250" s="2">
        <f t="shared" ca="1" si="32"/>
        <v>45585</v>
      </c>
      <c r="AE250">
        <f t="shared" ca="1" si="33"/>
        <v>0</v>
      </c>
      <c r="AG250" s="65">
        <f t="shared" ca="1" si="37"/>
        <v>1.2104506671193038</v>
      </c>
      <c r="AH250" s="65">
        <f t="shared" ca="1" si="38"/>
        <v>3.3582643059579431</v>
      </c>
      <c r="AI250" s="3">
        <f t="shared" ca="1" si="39"/>
        <v>2.1478136388386391</v>
      </c>
    </row>
    <row r="251" spans="7:35" x14ac:dyDescent="0.25">
      <c r="G251" s="3">
        <f t="shared" ca="1" si="34"/>
        <v>251</v>
      </c>
      <c r="H251" s="97">
        <f t="shared" ca="1" si="36"/>
        <v>45541</v>
      </c>
      <c r="I251" s="121">
        <f ca="1">HLOOKUP($H$4,'Met Data'!$A$2:$F$368,G251,FALSE)</f>
        <v>10.7708333333333</v>
      </c>
      <c r="J251" s="121">
        <f ca="1">HLOOKUP($H$4,'Met Data'!$H$2:$M$368,G251,FALSE)*L251</f>
        <v>2.04</v>
      </c>
      <c r="K251" s="98">
        <f ca="1">HLOOKUP($H$4,'Met Data'!$O$2:$T$368,G251,FALSE)</f>
        <v>1.8170202832795099</v>
      </c>
      <c r="L251">
        <f t="shared" ca="1" si="30"/>
        <v>1.7</v>
      </c>
      <c r="N251" t="b">
        <f t="shared" ca="1" si="35"/>
        <v>0</v>
      </c>
      <c r="O251" t="b">
        <f t="shared" ca="1" si="31"/>
        <v>0</v>
      </c>
      <c r="P251" s="2">
        <f ca="1"/>
        <v>45586</v>
      </c>
      <c r="Q251">
        <f ca="1"/>
        <v>0.99257345699342747</v>
      </c>
      <c r="R251">
        <f ca="1"/>
        <v>2.36357584295639</v>
      </c>
      <c r="S251">
        <f ca="1"/>
        <v>1.5839956719702286E-2</v>
      </c>
      <c r="T251">
        <f ca="1"/>
        <v>0</v>
      </c>
      <c r="U251">
        <f ca="1"/>
        <v>0</v>
      </c>
      <c r="V251">
        <f ca="1"/>
        <v>84.149918015944607</v>
      </c>
      <c r="W251">
        <f ca="1"/>
        <v>76.981591666438206</v>
      </c>
      <c r="X251">
        <f ca="1"/>
        <v>2.147544420940597E-3</v>
      </c>
      <c r="Y251">
        <f ca="1"/>
        <v>1</v>
      </c>
      <c r="Z251">
        <f ca="1"/>
        <v>0.68324607879050347</v>
      </c>
      <c r="AA251">
        <f ca="1"/>
        <v>0</v>
      </c>
      <c r="AB251">
        <f ca="1"/>
        <v>0.99888593784915702</v>
      </c>
      <c r="AD251" s="2">
        <f t="shared" ca="1" si="32"/>
        <v>45586</v>
      </c>
      <c r="AE251">
        <f t="shared" ca="1" si="33"/>
        <v>0</v>
      </c>
      <c r="AG251" s="65">
        <f t="shared" ca="1" si="37"/>
        <v>1.1052455571270756</v>
      </c>
      <c r="AH251" s="65">
        <f t="shared" ca="1" si="38"/>
        <v>3.3582968443707579</v>
      </c>
      <c r="AI251" s="3">
        <f t="shared" ca="1" si="39"/>
        <v>2.2530512872436823</v>
      </c>
    </row>
    <row r="252" spans="7:35" x14ac:dyDescent="0.25">
      <c r="G252" s="3">
        <f t="shared" ca="1" si="34"/>
        <v>252</v>
      </c>
      <c r="H252" s="97">
        <f t="shared" ca="1" si="36"/>
        <v>45542</v>
      </c>
      <c r="I252" s="121">
        <f ca="1">HLOOKUP($H$4,'Met Data'!$A$2:$F$368,G252,FALSE)</f>
        <v>10.5791666666666</v>
      </c>
      <c r="J252" s="121">
        <f ca="1">HLOOKUP($H$4,'Met Data'!$H$2:$M$368,G252,FALSE)*L252</f>
        <v>1.501666666666666</v>
      </c>
      <c r="K252" s="98">
        <f ca="1">HLOOKUP($H$4,'Met Data'!$O$2:$T$368,G252,FALSE)</f>
        <v>1.8773510693625799</v>
      </c>
      <c r="L252">
        <f t="shared" ca="1" si="30"/>
        <v>1.7</v>
      </c>
      <c r="N252" t="b">
        <f t="shared" ca="1" si="35"/>
        <v>0</v>
      </c>
      <c r="O252" t="b">
        <f t="shared" ca="1" si="31"/>
        <v>0</v>
      </c>
      <c r="P252" s="2">
        <f ca="1"/>
        <v>45587</v>
      </c>
      <c r="Q252">
        <f ca="1"/>
        <v>0.90066211635065685</v>
      </c>
      <c r="R252">
        <f ca="1"/>
        <v>2.2487360748739502</v>
      </c>
      <c r="S252">
        <f ca="1"/>
        <v>1.4822085193088697E-2</v>
      </c>
      <c r="T252">
        <f ca="1"/>
        <v>0</v>
      </c>
      <c r="U252">
        <f ca="1"/>
        <v>0</v>
      </c>
      <c r="V252">
        <f ca="1"/>
        <v>86.398654090818596</v>
      </c>
      <c r="W252">
        <f ca="1"/>
        <v>79.038768742341404</v>
      </c>
      <c r="X252">
        <f ca="1"/>
        <v>5.9938716172076778E-3</v>
      </c>
      <c r="Y252">
        <f ca="1"/>
        <v>1</v>
      </c>
      <c r="Z252">
        <f ca="1"/>
        <v>2.1015667573518897</v>
      </c>
      <c r="AA252">
        <f ca="1"/>
        <v>0</v>
      </c>
      <c r="AB252">
        <f ca="1"/>
        <v>0.999040831482501</v>
      </c>
      <c r="AD252" s="2">
        <f t="shared" ca="1" si="32"/>
        <v>45587</v>
      </c>
      <c r="AE252">
        <f t="shared" ca="1" si="33"/>
        <v>0</v>
      </c>
      <c r="AG252" s="65">
        <f t="shared" ca="1" si="37"/>
        <v>1.0073955421865162</v>
      </c>
      <c r="AH252" s="65">
        <f t="shared" ca="1" si="38"/>
        <v>3.1553920628418148</v>
      </c>
      <c r="AI252" s="3">
        <f t="shared" ca="1" si="39"/>
        <v>2.1479965206552984</v>
      </c>
    </row>
    <row r="253" spans="7:35" x14ac:dyDescent="0.25">
      <c r="G253" s="3">
        <f t="shared" ca="1" si="34"/>
        <v>253</v>
      </c>
      <c r="H253" s="97">
        <f t="shared" ca="1" si="36"/>
        <v>45543</v>
      </c>
      <c r="I253" s="121">
        <f ca="1">HLOOKUP($H$4,'Met Data'!$A$2:$F$368,G253,FALSE)</f>
        <v>9.6125000000000007</v>
      </c>
      <c r="J253" s="121">
        <f ca="1">HLOOKUP($H$4,'Met Data'!$H$2:$M$368,G253,FALSE)*L253</f>
        <v>7.4233333333333222</v>
      </c>
      <c r="K253" s="98">
        <f ca="1">HLOOKUP($H$4,'Met Data'!$O$2:$T$368,G253,FALSE)</f>
        <v>1.8525160666589899</v>
      </c>
      <c r="L253">
        <f t="shared" ca="1" si="30"/>
        <v>1.7</v>
      </c>
      <c r="N253" t="b">
        <f t="shared" ca="1" si="35"/>
        <v>0</v>
      </c>
      <c r="O253" t="b">
        <f t="shared" ca="1" si="31"/>
        <v>0</v>
      </c>
      <c r="P253" s="2">
        <f ca="1"/>
        <v>45588</v>
      </c>
      <c r="Q253">
        <f ca="1"/>
        <v>0.82393606079914627</v>
      </c>
      <c r="R253">
        <f ca="1"/>
        <v>2.2659529721386602</v>
      </c>
      <c r="S253">
        <f ca="1"/>
        <v>1.4822395648394604E-2</v>
      </c>
      <c r="T253">
        <f ca="1"/>
        <v>0</v>
      </c>
      <c r="U253">
        <f ca="1"/>
        <v>0</v>
      </c>
      <c r="V253">
        <f ca="1"/>
        <v>88.664607062957202</v>
      </c>
      <c r="W253">
        <f ca="1"/>
        <v>81.111696090927495</v>
      </c>
      <c r="X253">
        <f ca="1"/>
        <v>0</v>
      </c>
      <c r="Y253">
        <f ca="1"/>
        <v>0.9874497388306327</v>
      </c>
      <c r="Z253">
        <f ca="1"/>
        <v>0</v>
      </c>
      <c r="AA253">
        <f ca="1"/>
        <v>0</v>
      </c>
      <c r="AB253">
        <f ca="1"/>
        <v>0.99917462846426197</v>
      </c>
      <c r="AD253" s="2">
        <f t="shared" ca="1" si="32"/>
        <v>45588</v>
      </c>
      <c r="AE253">
        <f t="shared" ca="1" si="33"/>
        <v>0</v>
      </c>
      <c r="AG253" s="65">
        <f t="shared" ca="1" si="37"/>
        <v>0.91548451199905145</v>
      </c>
      <c r="AH253" s="65">
        <f t="shared" ca="1" si="38"/>
        <v>3.0898890329378066</v>
      </c>
      <c r="AI253" s="3">
        <f t="shared" ca="1" si="39"/>
        <v>2.1744045209387552</v>
      </c>
    </row>
    <row r="254" spans="7:35" x14ac:dyDescent="0.25">
      <c r="G254" s="3">
        <f t="shared" ca="1" si="34"/>
        <v>254</v>
      </c>
      <c r="H254" s="97">
        <f t="shared" ca="1" si="36"/>
        <v>45544</v>
      </c>
      <c r="I254" s="121">
        <f ca="1">HLOOKUP($H$4,'Met Data'!$A$2:$F$368,G254,FALSE)</f>
        <v>10.0875</v>
      </c>
      <c r="J254" s="121">
        <f ca="1">HLOOKUP($H$4,'Met Data'!$H$2:$M$368,G254,FALSE)*L254</f>
        <v>5.8649999999999824</v>
      </c>
      <c r="K254" s="98">
        <f ca="1">HLOOKUP($H$4,'Met Data'!$O$2:$T$368,G254,FALSE)</f>
        <v>1.67590206119575</v>
      </c>
      <c r="L254">
        <f t="shared" ca="1" si="30"/>
        <v>1.7</v>
      </c>
      <c r="N254" t="b">
        <f t="shared" ca="1" si="35"/>
        <v>0</v>
      </c>
      <c r="O254" t="b">
        <f t="shared" ca="1" si="31"/>
        <v>0</v>
      </c>
      <c r="P254" s="2">
        <f ca="1"/>
        <v>45589</v>
      </c>
      <c r="Q254">
        <f ca="1"/>
        <v>0.75555137203757994</v>
      </c>
      <c r="R254">
        <f ca="1"/>
        <v>2.3819056755532801</v>
      </c>
      <c r="S254">
        <f ca="1"/>
        <v>1.5565463687053693E-2</v>
      </c>
      <c r="T254">
        <f ca="1"/>
        <v>0</v>
      </c>
      <c r="U254">
        <f ca="1"/>
        <v>0</v>
      </c>
      <c r="V254">
        <f ca="1"/>
        <v>91.046512738510501</v>
      </c>
      <c r="W254">
        <f ca="1"/>
        <v>83.290698690415198</v>
      </c>
      <c r="X254">
        <f ca="1"/>
        <v>0</v>
      </c>
      <c r="Y254">
        <f ca="1"/>
        <v>0.97971988831529122</v>
      </c>
      <c r="Z254">
        <f ca="1"/>
        <v>0</v>
      </c>
      <c r="AA254">
        <f ca="1"/>
        <v>0</v>
      </c>
      <c r="AB254">
        <f ca="1"/>
        <v>0.99929486614066698</v>
      </c>
      <c r="AD254" s="2">
        <f t="shared" ca="1" si="32"/>
        <v>45589</v>
      </c>
      <c r="AE254">
        <f t="shared" ca="1" si="33"/>
        <v>0</v>
      </c>
      <c r="AG254" s="65">
        <f t="shared" ca="1" si="37"/>
        <v>0.83950152448619997</v>
      </c>
      <c r="AH254" s="65">
        <f t="shared" ca="1" si="38"/>
        <v>3.1374570475908601</v>
      </c>
      <c r="AI254" s="3">
        <f t="shared" ca="1" si="39"/>
        <v>2.29795552310466</v>
      </c>
    </row>
    <row r="255" spans="7:35" x14ac:dyDescent="0.25">
      <c r="G255" s="3">
        <f t="shared" ca="1" si="34"/>
        <v>255</v>
      </c>
      <c r="H255" s="97">
        <f t="shared" ca="1" si="36"/>
        <v>45545</v>
      </c>
      <c r="I255" s="121">
        <f ca="1">HLOOKUP($H$4,'Met Data'!$A$2:$F$368,G255,FALSE)</f>
        <v>10.6416666666666</v>
      </c>
      <c r="J255" s="121">
        <f ca="1">HLOOKUP($H$4,'Met Data'!$H$2:$M$368,G255,FALSE)*L255</f>
        <v>10.993333333333322</v>
      </c>
      <c r="K255" s="98">
        <f ca="1">HLOOKUP($H$4,'Met Data'!$O$2:$T$368,G255,FALSE)</f>
        <v>1.7070370554204599</v>
      </c>
      <c r="L255">
        <f t="shared" ca="1" si="30"/>
        <v>1.7</v>
      </c>
      <c r="N255" t="b">
        <f t="shared" ca="1" si="35"/>
        <v>0</v>
      </c>
      <c r="O255" t="b">
        <f t="shared" ca="1" si="31"/>
        <v>0</v>
      </c>
      <c r="P255" s="2">
        <f ca="1"/>
        <v>45590</v>
      </c>
      <c r="Q255">
        <f ca="1"/>
        <v>0.69372056150140138</v>
      </c>
      <c r="R255">
        <f ca="1"/>
        <v>2.5560519095767198</v>
      </c>
      <c r="S255">
        <f ca="1"/>
        <v>1.6790210243030401E-2</v>
      </c>
      <c r="T255">
        <f ca="1"/>
        <v>0</v>
      </c>
      <c r="U255">
        <f ca="1"/>
        <v>0</v>
      </c>
      <c r="V255">
        <f ca="1"/>
        <v>93.602564648087196</v>
      </c>
      <c r="W255">
        <f ca="1"/>
        <v>85.629012844731605</v>
      </c>
      <c r="X255">
        <f ca="1"/>
        <v>1.3868625511479979E-3</v>
      </c>
      <c r="Y255">
        <f ca="1"/>
        <v>1</v>
      </c>
      <c r="Z255">
        <f ca="1"/>
        <v>0.63131557489302281</v>
      </c>
      <c r="AA255">
        <f ca="1"/>
        <v>0</v>
      </c>
      <c r="AB255">
        <f ca="1"/>
        <v>0.99940429292946398</v>
      </c>
      <c r="AD255" s="2">
        <f t="shared" ca="1" si="32"/>
        <v>45590</v>
      </c>
      <c r="AE255">
        <f t="shared" ca="1" si="33"/>
        <v>0</v>
      </c>
      <c r="AG255" s="65">
        <f t="shared" ca="1" si="37"/>
        <v>0.77234158228061034</v>
      </c>
      <c r="AH255" s="65">
        <f t="shared" ca="1" si="38"/>
        <v>3.251159333629269</v>
      </c>
      <c r="AI255" s="3">
        <f t="shared" ca="1" si="39"/>
        <v>2.4788177513486587</v>
      </c>
    </row>
    <row r="256" spans="7:35" x14ac:dyDescent="0.25">
      <c r="G256" s="3">
        <f t="shared" ca="1" si="34"/>
        <v>256</v>
      </c>
      <c r="H256" s="97">
        <f t="shared" ca="1" si="36"/>
        <v>45546</v>
      </c>
      <c r="I256" s="121">
        <f ca="1">HLOOKUP($H$4,'Met Data'!$A$2:$F$368,G256,FALSE)</f>
        <v>10.4541666666666</v>
      </c>
      <c r="J256" s="121">
        <f ca="1">HLOOKUP($H$4,'Met Data'!$H$2:$M$368,G256,FALSE)*L256</f>
        <v>3.4283333333333217</v>
      </c>
      <c r="K256" s="98">
        <f ca="1">HLOOKUP($H$4,'Met Data'!$O$2:$T$368,G256,FALSE)</f>
        <v>1.9219866027073</v>
      </c>
      <c r="L256">
        <f t="shared" ca="1" si="30"/>
        <v>1.7</v>
      </c>
      <c r="N256" t="b">
        <f t="shared" ca="1" si="35"/>
        <v>0</v>
      </c>
      <c r="O256" t="b">
        <f t="shared" ca="1" si="31"/>
        <v>0</v>
      </c>
      <c r="P256" s="2">
        <f ca="1"/>
        <v>45591</v>
      </c>
      <c r="Q256">
        <f ca="1"/>
        <v>0.62837638816775754</v>
      </c>
      <c r="R256">
        <f ca="1"/>
        <v>2.5816911866630798</v>
      </c>
      <c r="S256">
        <f ca="1"/>
        <v>1.6901204124351921E-2</v>
      </c>
      <c r="T256">
        <f ca="1"/>
        <v>0</v>
      </c>
      <c r="U256">
        <f ca="1"/>
        <v>0</v>
      </c>
      <c r="V256">
        <f ca="1"/>
        <v>96.184255834750303</v>
      </c>
      <c r="W256">
        <f ca="1"/>
        <v>87.990782189567895</v>
      </c>
      <c r="X256">
        <f ca="1"/>
        <v>1.1183200895420463E-2</v>
      </c>
      <c r="Y256">
        <f ca="1"/>
        <v>1</v>
      </c>
      <c r="Z256">
        <f ca="1"/>
        <v>5.6200983858846172</v>
      </c>
      <c r="AA256">
        <f ca="1"/>
        <v>0</v>
      </c>
      <c r="AB256">
        <f ca="1"/>
        <v>0.99949754230722998</v>
      </c>
      <c r="AD256" s="2">
        <f t="shared" ca="1" si="32"/>
        <v>45591</v>
      </c>
      <c r="AE256">
        <f t="shared" ca="1" si="33"/>
        <v>0</v>
      </c>
      <c r="AG256" s="65">
        <f t="shared" ca="1" si="37"/>
        <v>0.7106217656257533</v>
      </c>
      <c r="AH256" s="65">
        <f t="shared" ca="1" si="38"/>
        <v>3.2212507757262578</v>
      </c>
      <c r="AI256" s="3">
        <f t="shared" ca="1" si="39"/>
        <v>2.5106290101005047</v>
      </c>
    </row>
    <row r="257" spans="7:35" x14ac:dyDescent="0.25">
      <c r="G257" s="3">
        <f t="shared" ca="1" si="34"/>
        <v>257</v>
      </c>
      <c r="H257" s="97">
        <f t="shared" ca="1" si="36"/>
        <v>45547</v>
      </c>
      <c r="I257" s="121">
        <f ca="1">HLOOKUP($H$4,'Met Data'!$A$2:$F$368,G257,FALSE)</f>
        <v>11.216666666666599</v>
      </c>
      <c r="J257" s="121">
        <f ca="1">HLOOKUP($H$4,'Met Data'!$H$2:$M$368,G257,FALSE)*L257</f>
        <v>2.5216666666666612</v>
      </c>
      <c r="K257" s="98">
        <f ca="1">HLOOKUP($H$4,'Met Data'!$O$2:$T$368,G257,FALSE)</f>
        <v>1.86072433418519</v>
      </c>
      <c r="L257">
        <f t="shared" ca="1" si="30"/>
        <v>1.7</v>
      </c>
      <c r="N257" t="b">
        <f t="shared" ca="1" si="35"/>
        <v>0</v>
      </c>
      <c r="O257" t="b">
        <f t="shared" ca="1" si="31"/>
        <v>0</v>
      </c>
      <c r="P257" s="2">
        <f ca="1"/>
        <v>45592</v>
      </c>
      <c r="Q257">
        <f ca="1"/>
        <v>0.56749671343370889</v>
      </c>
      <c r="R257">
        <f ca="1"/>
        <v>2.4914696887943499</v>
      </c>
      <c r="S257">
        <f ca="1"/>
        <v>1.6145450626268598E-2</v>
      </c>
      <c r="T257">
        <f ca="1"/>
        <v>0</v>
      </c>
      <c r="U257">
        <f ca="1"/>
        <v>0</v>
      </c>
      <c r="V257">
        <f ca="1"/>
        <v>98.675725523544699</v>
      </c>
      <c r="W257">
        <f ca="1"/>
        <v>90.270015571539005</v>
      </c>
      <c r="X257">
        <f ca="1"/>
        <v>1.2572941480914595E-2</v>
      </c>
      <c r="Y257">
        <f ca="1"/>
        <v>1</v>
      </c>
      <c r="Z257">
        <f ca="1"/>
        <v>6.9963446112260073</v>
      </c>
      <c r="AA257">
        <f ca="1"/>
        <v>0</v>
      </c>
      <c r="AB257">
        <f ca="1"/>
        <v>0.99957372809676703</v>
      </c>
      <c r="AD257" s="2">
        <f t="shared" ca="1" si="32"/>
        <v>45592</v>
      </c>
      <c r="AE257">
        <f t="shared" ca="1" si="33"/>
        <v>0</v>
      </c>
      <c r="AG257" s="65">
        <f t="shared" ca="1" si="37"/>
        <v>0.64452183879402614</v>
      </c>
      <c r="AH257" s="65">
        <f t="shared" ca="1" si="38"/>
        <v>3.0715393437089733</v>
      </c>
      <c r="AI257" s="3">
        <f t="shared" ca="1" si="39"/>
        <v>2.4270175049149474</v>
      </c>
    </row>
    <row r="258" spans="7:35" x14ac:dyDescent="0.25">
      <c r="G258" s="3">
        <f t="shared" ca="1" si="34"/>
        <v>258</v>
      </c>
      <c r="H258" s="97">
        <f t="shared" ca="1" si="36"/>
        <v>45548</v>
      </c>
      <c r="I258" s="121">
        <f ca="1">HLOOKUP($H$4,'Met Data'!$A$2:$F$368,G258,FALSE)</f>
        <v>11.1</v>
      </c>
      <c r="J258" s="121">
        <f ca="1">HLOOKUP($H$4,'Met Data'!$H$2:$M$368,G258,FALSE)*L258</f>
        <v>4.1083333333333218</v>
      </c>
      <c r="K258" s="98">
        <f ca="1">HLOOKUP($H$4,'Met Data'!$O$2:$T$368,G258,FALSE)</f>
        <v>1.6515892534407901</v>
      </c>
      <c r="L258">
        <f t="shared" ca="1" si="30"/>
        <v>1.7</v>
      </c>
      <c r="N258" t="b">
        <f t="shared" ca="1" si="35"/>
        <v>0</v>
      </c>
      <c r="O258" t="b">
        <f t="shared" ca="1" si="31"/>
        <v>0</v>
      </c>
      <c r="P258" s="2">
        <f ca="1"/>
        <v>45593</v>
      </c>
      <c r="Q258">
        <f ca="1"/>
        <v>0.52009921544048998</v>
      </c>
      <c r="R258">
        <f ca="1"/>
        <v>2.5853953963840302</v>
      </c>
      <c r="S258">
        <f ca="1"/>
        <v>1.6833768735992294E-2</v>
      </c>
      <c r="T258">
        <f ca="1"/>
        <v>0</v>
      </c>
      <c r="U258">
        <f ca="1"/>
        <v>0</v>
      </c>
      <c r="V258">
        <f ca="1"/>
        <v>101.261120919929</v>
      </c>
      <c r="W258">
        <f ca="1"/>
        <v>92.6351735823051</v>
      </c>
      <c r="X258">
        <f ca="1"/>
        <v>5.7982185122410716E-3</v>
      </c>
      <c r="Y258">
        <f ca="1"/>
        <v>1</v>
      </c>
      <c r="Z258">
        <f ca="1"/>
        <v>3.5205136211095862</v>
      </c>
      <c r="AA258">
        <f ca="1"/>
        <v>0</v>
      </c>
      <c r="AB258">
        <f ca="1"/>
        <v>0.99964073953202104</v>
      </c>
      <c r="AD258" s="2">
        <f t="shared" ca="1" si="32"/>
        <v>45593</v>
      </c>
      <c r="AE258">
        <f t="shared" ca="1" si="33"/>
        <v>0</v>
      </c>
      <c r="AG258" s="65">
        <f t="shared" ca="1" si="37"/>
        <v>0.58433048216970118</v>
      </c>
      <c r="AH258" s="65">
        <f t="shared" ca="1" si="38"/>
        <v>3.1112928303367613</v>
      </c>
      <c r="AI258" s="3">
        <f t="shared" ca="1" si="39"/>
        <v>2.5269623481670602</v>
      </c>
    </row>
    <row r="259" spans="7:35" x14ac:dyDescent="0.25">
      <c r="G259" s="3">
        <f t="shared" ca="1" si="34"/>
        <v>259</v>
      </c>
      <c r="H259" s="97">
        <f t="shared" ca="1" si="36"/>
        <v>45549</v>
      </c>
      <c r="I259" s="121">
        <f ca="1">HLOOKUP($H$4,'Met Data'!$A$2:$F$368,G259,FALSE)</f>
        <v>11.3708333333333</v>
      </c>
      <c r="J259" s="121">
        <f ca="1">HLOOKUP($H$4,'Met Data'!$H$2:$M$368,G259,FALSE)*L259</f>
        <v>2.21</v>
      </c>
      <c r="K259" s="98">
        <f ca="1">HLOOKUP($H$4,'Met Data'!$O$2:$T$368,G259,FALSE)</f>
        <v>1.8040111781852</v>
      </c>
      <c r="L259">
        <f t="shared" ca="1" si="30"/>
        <v>1.7</v>
      </c>
      <c r="N259" t="b">
        <f t="shared" ca="1" si="35"/>
        <v>0</v>
      </c>
      <c r="O259" t="b">
        <f t="shared" ca="1" si="31"/>
        <v>0</v>
      </c>
      <c r="P259" s="2">
        <f ca="1"/>
        <v>45594</v>
      </c>
      <c r="Q259">
        <f ca="1"/>
        <v>0.48200945621662233</v>
      </c>
      <c r="R259">
        <f ca="1"/>
        <v>2.4069433970329799</v>
      </c>
      <c r="S259">
        <f ca="1"/>
        <v>1.5466847022423735E-2</v>
      </c>
      <c r="T259">
        <f ca="1"/>
        <v>0</v>
      </c>
      <c r="U259">
        <f ca="1"/>
        <v>0</v>
      </c>
      <c r="V259">
        <f ca="1"/>
        <v>103.668064316962</v>
      </c>
      <c r="W259">
        <f ca="1"/>
        <v>94.837081060331599</v>
      </c>
      <c r="X259">
        <f ca="1"/>
        <v>0</v>
      </c>
      <c r="Y259">
        <f ca="1"/>
        <v>0.9790718032479524</v>
      </c>
      <c r="Z259">
        <f ca="1"/>
        <v>0</v>
      </c>
      <c r="AA259">
        <f ca="1"/>
        <v>0</v>
      </c>
      <c r="AB259">
        <f ca="1"/>
        <v>0.99969380051310097</v>
      </c>
      <c r="AD259" s="2">
        <f t="shared" ca="1" si="32"/>
        <v>45594</v>
      </c>
      <c r="AE259">
        <f t="shared" ca="1" si="33"/>
        <v>0</v>
      </c>
      <c r="AG259" s="65">
        <f t="shared" ca="1" si="37"/>
        <v>0.53556606246291372</v>
      </c>
      <c r="AH259" s="65">
        <f t="shared" ca="1" si="38"/>
        <v>2.8889528532496023</v>
      </c>
      <c r="AI259" s="3">
        <f t="shared" ca="1" si="39"/>
        <v>2.3533867907866886</v>
      </c>
    </row>
    <row r="260" spans="7:35" x14ac:dyDescent="0.25">
      <c r="G260" s="3">
        <f t="shared" ca="1" si="34"/>
        <v>260</v>
      </c>
      <c r="H260" s="97">
        <f t="shared" ca="1" si="36"/>
        <v>45550</v>
      </c>
      <c r="I260" s="121">
        <f ca="1">HLOOKUP($H$4,'Met Data'!$A$2:$F$368,G260,FALSE)</f>
        <v>11.2916666666666</v>
      </c>
      <c r="J260" s="121">
        <f ca="1">HLOOKUP($H$4,'Met Data'!$H$2:$M$368,G260,FALSE)*L260</f>
        <v>4.42</v>
      </c>
      <c r="K260" s="98">
        <f ca="1">HLOOKUP($H$4,'Met Data'!$O$2:$T$368,G260,FALSE)</f>
        <v>1.8880733064353601</v>
      </c>
      <c r="L260">
        <f t="shared" ca="1" si="30"/>
        <v>1.7</v>
      </c>
      <c r="N260" t="b">
        <f t="shared" ca="1" si="35"/>
        <v>0</v>
      </c>
      <c r="O260" t="b">
        <f t="shared" ca="1" si="31"/>
        <v>0</v>
      </c>
      <c r="P260" s="2">
        <f ca="1"/>
        <v>45595</v>
      </c>
      <c r="Q260">
        <f ca="1"/>
        <v>0.44685947027512218</v>
      </c>
      <c r="R260">
        <f ca="1"/>
        <v>2.3167817593776499</v>
      </c>
      <c r="S260">
        <f ca="1"/>
        <v>1.4816287999522615E-2</v>
      </c>
      <c r="T260">
        <f ca="1"/>
        <v>0</v>
      </c>
      <c r="U260">
        <f ca="1"/>
        <v>0</v>
      </c>
      <c r="V260">
        <f ca="1"/>
        <v>105.984846076339</v>
      </c>
      <c r="W260">
        <f ca="1"/>
        <v>96.956507336502995</v>
      </c>
      <c r="X260">
        <f ca="1"/>
        <v>2.8369951940828466E-4</v>
      </c>
      <c r="Y260">
        <f ca="1"/>
        <v>1</v>
      </c>
      <c r="Z260">
        <f ca="1"/>
        <v>0.20048656877126803</v>
      </c>
      <c r="AA260">
        <f ca="1"/>
        <v>0</v>
      </c>
      <c r="AB260">
        <f ca="1"/>
        <v>0.99973765098008904</v>
      </c>
      <c r="AD260" s="2">
        <f t="shared" ca="1" si="32"/>
        <v>45595</v>
      </c>
      <c r="AE260">
        <f t="shared" ca="1" si="33"/>
        <v>0</v>
      </c>
      <c r="AG260" s="65">
        <f t="shared" ca="1" si="37"/>
        <v>0.49682574421614495</v>
      </c>
      <c r="AH260" s="65">
        <f t="shared" ca="1" si="38"/>
        <v>2.7639249291721804</v>
      </c>
      <c r="AI260" s="3">
        <f t="shared" ca="1" si="39"/>
        <v>2.2670991849560354</v>
      </c>
    </row>
    <row r="261" spans="7:35" x14ac:dyDescent="0.25">
      <c r="G261" s="3">
        <f t="shared" ca="1" si="34"/>
        <v>261</v>
      </c>
      <c r="H261" s="97">
        <f t="shared" ca="1" si="36"/>
        <v>45551</v>
      </c>
      <c r="I261" s="121">
        <f ca="1">HLOOKUP($H$4,'Met Data'!$A$2:$F$368,G261,FALSE)</f>
        <v>12.2125</v>
      </c>
      <c r="J261" s="121">
        <f ca="1">HLOOKUP($H$4,'Met Data'!$H$2:$M$368,G261,FALSE)*L261</f>
        <v>7.8199999999999994</v>
      </c>
      <c r="K261" s="98">
        <f ca="1">HLOOKUP($H$4,'Met Data'!$O$2:$T$368,G261,FALSE)</f>
        <v>2.0382752192881299</v>
      </c>
      <c r="L261">
        <f t="shared" ca="1" si="30"/>
        <v>1.7</v>
      </c>
      <c r="N261" t="b">
        <f t="shared" ca="1" si="35"/>
        <v>0</v>
      </c>
      <c r="O261" t="b">
        <f t="shared" ca="1" si="31"/>
        <v>0</v>
      </c>
      <c r="P261" s="2">
        <f ca="1"/>
        <v>45596</v>
      </c>
      <c r="Q261">
        <f ca="1"/>
        <v>0.41336907202845091</v>
      </c>
      <c r="R261">
        <f ca="1"/>
        <v>2.2781973590686699</v>
      </c>
      <c r="S261">
        <f ca="1"/>
        <v>1.4564376281512637E-2</v>
      </c>
      <c r="T261">
        <f ca="1"/>
        <v>0</v>
      </c>
      <c r="U261">
        <f ca="1"/>
        <v>0</v>
      </c>
      <c r="V261">
        <f ca="1"/>
        <v>108.26304343540799</v>
      </c>
      <c r="W261">
        <f ca="1"/>
        <v>99.040636031651005</v>
      </c>
      <c r="X261">
        <f ca="1"/>
        <v>1.9123898725203815E-3</v>
      </c>
      <c r="Y261">
        <f ca="1"/>
        <v>1</v>
      </c>
      <c r="Z261">
        <f ca="1"/>
        <v>1.4609525293190302</v>
      </c>
      <c r="AA261">
        <f ca="1"/>
        <v>0</v>
      </c>
      <c r="AB261">
        <f ca="1"/>
        <v>0.99977484411861695</v>
      </c>
      <c r="AD261" s="2">
        <f t="shared" ca="1" si="32"/>
        <v>45596</v>
      </c>
      <c r="AE261">
        <f t="shared" ca="1" si="33"/>
        <v>0</v>
      </c>
      <c r="AG261" s="65">
        <f t="shared" ca="1" si="37"/>
        <v>0.46142384655663482</v>
      </c>
      <c r="AH261" s="65">
        <f t="shared" ca="1" si="38"/>
        <v>2.6934788209696414</v>
      </c>
      <c r="AI261" s="3">
        <f t="shared" ca="1" si="39"/>
        <v>2.2320549744130065</v>
      </c>
    </row>
    <row r="262" spans="7:35" x14ac:dyDescent="0.25">
      <c r="G262" s="3">
        <f t="shared" ca="1" si="34"/>
        <v>262</v>
      </c>
      <c r="H262" s="97">
        <f t="shared" ca="1" si="36"/>
        <v>45552</v>
      </c>
      <c r="I262" s="121">
        <f ca="1">HLOOKUP($H$4,'Met Data'!$A$2:$F$368,G262,FALSE)</f>
        <v>11.35</v>
      </c>
      <c r="J262" s="121">
        <f ca="1">HLOOKUP($H$4,'Met Data'!$H$2:$M$368,G262,FALSE)*L262</f>
        <v>6.6866666666666612</v>
      </c>
      <c r="K262" s="98">
        <f ca="1">HLOOKUP($H$4,'Met Data'!$O$2:$T$368,G262,FALSE)</f>
        <v>2.00744960029109</v>
      </c>
      <c r="L262">
        <f t="shared" ref="L262:L325" ca="1" si="40">IF(H262&lt;$B$31,$J$3,$J$4)</f>
        <v>1.7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45597</v>
      </c>
      <c r="Q262">
        <f ca="1"/>
        <v>0.38607611849355811</v>
      </c>
      <c r="R262">
        <f ca="1"/>
        <v>2.4127862776896198</v>
      </c>
      <c r="S262">
        <f ca="1"/>
        <v>1.5604392964391423E-2</v>
      </c>
      <c r="T262">
        <f ca="1"/>
        <v>0</v>
      </c>
      <c r="U262">
        <f ca="1"/>
        <v>0</v>
      </c>
      <c r="V262">
        <f ca="1"/>
        <v>110.675829713098</v>
      </c>
      <c r="W262">
        <f ca="1"/>
        <v>101.247888663463</v>
      </c>
      <c r="X262">
        <f ca="1"/>
        <v>0</v>
      </c>
      <c r="Y262">
        <f ca="1"/>
        <v>0.99464675554311566</v>
      </c>
      <c r="Z262">
        <f ca="1"/>
        <v>0</v>
      </c>
      <c r="AA262">
        <f ca="1"/>
        <v>0</v>
      </c>
      <c r="AB262">
        <f ca="1"/>
        <v>0.99980872825104605</v>
      </c>
      <c r="AD262" s="2">
        <f t="shared" ref="AD262:AD325" ca="1" si="42">IFERROR(P262,$AD$4)</f>
        <v>45597</v>
      </c>
      <c r="AE262">
        <f t="shared" ref="AE262:AE325" ca="1" si="43">IFERROR(U262,0)</f>
        <v>0</v>
      </c>
      <c r="AG262" s="65">
        <f t="shared" ca="1" si="37"/>
        <v>0.42897346499284233</v>
      </c>
      <c r="AH262" s="65">
        <f t="shared" ca="1" si="38"/>
        <v>2.798862396183178</v>
      </c>
      <c r="AI262" s="3">
        <f t="shared" ca="1" si="39"/>
        <v>2.3698889311903355</v>
      </c>
    </row>
    <row r="263" spans="7:35" x14ac:dyDescent="0.25">
      <c r="G263" s="3">
        <f t="shared" ref="G263:G326" ca="1" si="44">H263-DATE(YEAR(H263),1,0)+1</f>
        <v>263</v>
      </c>
      <c r="H263" s="97">
        <f t="shared" ca="1" si="36"/>
        <v>45553</v>
      </c>
      <c r="I263" s="121">
        <f ca="1">HLOOKUP($H$4,'Met Data'!$A$2:$F$368,G263,FALSE)</f>
        <v>10.504166666666601</v>
      </c>
      <c r="J263" s="121">
        <f ca="1">HLOOKUP($H$4,'Met Data'!$H$2:$M$368,G263,FALSE)*L263</f>
        <v>14.846666666666662</v>
      </c>
      <c r="K263" s="98">
        <f ca="1">HLOOKUP($H$4,'Met Data'!$O$2:$T$368,G263,FALSE)</f>
        <v>1.9387559167362001</v>
      </c>
      <c r="L263">
        <f t="shared" ca="1" si="40"/>
        <v>1.7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45598</v>
      </c>
      <c r="Q263">
        <f ca="1"/>
        <v>0.35656463587131043</v>
      </c>
      <c r="R263">
        <f ca="1"/>
        <v>2.5771153961267599</v>
      </c>
      <c r="S263">
        <f ca="1"/>
        <v>1.6965370811334424E-2</v>
      </c>
      <c r="T263">
        <f ca="1"/>
        <v>0</v>
      </c>
      <c r="U263">
        <f ca="1"/>
        <v>0</v>
      </c>
      <c r="V263">
        <f ca="1"/>
        <v>113.252945109224</v>
      </c>
      <c r="W263">
        <f ca="1"/>
        <v>103.60547200732699</v>
      </c>
      <c r="X263">
        <f ca="1"/>
        <v>6.1727045030928671E-3</v>
      </c>
      <c r="Y263">
        <f ca="1"/>
        <v>1</v>
      </c>
      <c r="Z263">
        <f ca="1"/>
        <v>5.4668211879076409</v>
      </c>
      <c r="AA263">
        <f ca="1"/>
        <v>0</v>
      </c>
      <c r="AB263">
        <f ca="1"/>
        <v>0.99983956629439097</v>
      </c>
      <c r="AD263" s="2">
        <f t="shared" ca="1" si="42"/>
        <v>45598</v>
      </c>
      <c r="AE263">
        <f t="shared" ca="1" si="43"/>
        <v>0</v>
      </c>
      <c r="AG263" s="65">
        <f t="shared" ca="1" si="37"/>
        <v>0.40304148930489253</v>
      </c>
      <c r="AH263" s="65">
        <f t="shared" ca="1" si="38"/>
        <v>2.9398527365011633</v>
      </c>
      <c r="AI263" s="3">
        <f t="shared" ca="1" si="39"/>
        <v>2.5368112471962707</v>
      </c>
    </row>
    <row r="264" spans="7:35" x14ac:dyDescent="0.25">
      <c r="G264" s="3">
        <f t="shared" ca="1" si="44"/>
        <v>264</v>
      </c>
      <c r="H264" s="97">
        <f t="shared" ref="H264:H327" ca="1" si="46">H263+1</f>
        <v>45554</v>
      </c>
      <c r="I264" s="121">
        <f ca="1">HLOOKUP($H$4,'Met Data'!$A$2:$F$368,G264,FALSE)</f>
        <v>10.387499999999999</v>
      </c>
      <c r="J264" s="121">
        <f ca="1">HLOOKUP($H$4,'Met Data'!$H$2:$M$368,G264,FALSE)*L264</f>
        <v>6.5449999999999999</v>
      </c>
      <c r="K264" s="98">
        <f ca="1">HLOOKUP($H$4,'Met Data'!$O$2:$T$368,G264,FALSE)</f>
        <v>2.0861830094945102</v>
      </c>
      <c r="L264">
        <f t="shared" ca="1" si="40"/>
        <v>1.7</v>
      </c>
      <c r="N264" t="b">
        <f t="shared" ca="1" si="45"/>
        <v>0</v>
      </c>
      <c r="O264" t="b">
        <f t="shared" ca="1" si="41"/>
        <v>0</v>
      </c>
      <c r="P264" s="2">
        <f ca="1"/>
        <v>45599</v>
      </c>
      <c r="Q264">
        <f ca="1"/>
        <v>0.33502055831742644</v>
      </c>
      <c r="R264">
        <f ca="1"/>
        <v>2.4650506569872199</v>
      </c>
      <c r="S264">
        <f ca="1"/>
        <v>1.6192103336265973E-2</v>
      </c>
      <c r="T264">
        <f ca="1"/>
        <v>0</v>
      </c>
      <c r="U264">
        <f ca="1"/>
        <v>0</v>
      </c>
      <c r="V264">
        <f ca="1"/>
        <v>115.717995766212</v>
      </c>
      <c r="W264">
        <f ca="1"/>
        <v>105.860536867608</v>
      </c>
      <c r="X264">
        <f ca="1"/>
        <v>4.6050696939233855E-4</v>
      </c>
      <c r="Y264">
        <f ca="1"/>
        <v>1</v>
      </c>
      <c r="Z264">
        <f ca="1"/>
        <v>0.43407262593876794</v>
      </c>
      <c r="AA264">
        <f ca="1"/>
        <v>0</v>
      </c>
      <c r="AB264">
        <f ca="1"/>
        <v>0.99986464765624705</v>
      </c>
      <c r="AD264" s="2">
        <f t="shared" ca="1" si="42"/>
        <v>45599</v>
      </c>
      <c r="AE264">
        <f t="shared" ca="1" si="43"/>
        <v>0</v>
      </c>
      <c r="AG264" s="65">
        <f t="shared" ca="1" si="37"/>
        <v>0.3727567392075764</v>
      </c>
      <c r="AH264" s="65">
        <f t="shared" ca="1" si="38"/>
        <v>2.8005317222740387</v>
      </c>
      <c r="AI264" s="3">
        <f t="shared" ca="1" si="39"/>
        <v>2.4277749830664623</v>
      </c>
    </row>
    <row r="265" spans="7:35" x14ac:dyDescent="0.25">
      <c r="G265" s="3">
        <f t="shared" ca="1" si="44"/>
        <v>265</v>
      </c>
      <c r="H265" s="97">
        <f t="shared" ca="1" si="46"/>
        <v>45555</v>
      </c>
      <c r="I265" s="121">
        <f ca="1">HLOOKUP($H$4,'Met Data'!$A$2:$F$368,G265,FALSE)</f>
        <v>9.85</v>
      </c>
      <c r="J265" s="121">
        <f ca="1">HLOOKUP($H$4,'Met Data'!$H$2:$M$368,G265,FALSE)*L265</f>
        <v>3.0599999999999832</v>
      </c>
      <c r="K265" s="98">
        <f ca="1">HLOOKUP($H$4,'Met Data'!$O$2:$T$368,G265,FALSE)</f>
        <v>2.1398164486974101</v>
      </c>
      <c r="L265">
        <f t="shared" ca="1" si="40"/>
        <v>1.7</v>
      </c>
      <c r="N265" t="b">
        <f t="shared" ca="1" si="45"/>
        <v>0</v>
      </c>
      <c r="O265" t="b">
        <f t="shared" ca="1" si="41"/>
        <v>0</v>
      </c>
      <c r="P265" s="2">
        <f ca="1"/>
        <v>45600</v>
      </c>
      <c r="Q265">
        <f ca="1"/>
        <v>0.31531781001242831</v>
      </c>
      <c r="R265">
        <f ca="1"/>
        <v>2.33813502805044</v>
      </c>
      <c r="S265">
        <f ca="1"/>
        <v>1.5332563918605047E-2</v>
      </c>
      <c r="T265">
        <f ca="1"/>
        <v>0</v>
      </c>
      <c r="U265">
        <f ca="1"/>
        <v>0</v>
      </c>
      <c r="V265">
        <f ca="1"/>
        <v>118.056130794262</v>
      </c>
      <c r="W265">
        <f ca="1"/>
        <v>107.99949743030599</v>
      </c>
      <c r="X265">
        <f ca="1"/>
        <v>0</v>
      </c>
      <c r="Y265">
        <f ca="1"/>
        <v>0.98760926775023961</v>
      </c>
      <c r="Z265">
        <f ca="1"/>
        <v>0</v>
      </c>
      <c r="AA265">
        <f ca="1"/>
        <v>0</v>
      </c>
      <c r="AB265">
        <f ca="1"/>
        <v>0.99988502450948102</v>
      </c>
      <c r="AD265" s="2">
        <f t="shared" ca="1" si="42"/>
        <v>45600</v>
      </c>
      <c r="AE265">
        <f t="shared" ca="1" si="43"/>
        <v>0</v>
      </c>
      <c r="AG265" s="65">
        <f t="shared" ca="1" si="37"/>
        <v>0.35035312223603149</v>
      </c>
      <c r="AH265" s="65">
        <f t="shared" ca="1" si="38"/>
        <v>2.6534528380628686</v>
      </c>
      <c r="AI265" s="3">
        <f t="shared" ca="1" si="39"/>
        <v>2.3030997158268369</v>
      </c>
    </row>
    <row r="266" spans="7:35" x14ac:dyDescent="0.25">
      <c r="G266" s="3">
        <f t="shared" ca="1" si="44"/>
        <v>266</v>
      </c>
      <c r="H266" s="97">
        <f t="shared" ca="1" si="46"/>
        <v>45556</v>
      </c>
      <c r="I266" s="121">
        <f ca="1">HLOOKUP($H$4,'Met Data'!$A$2:$F$368,G266,FALSE)</f>
        <v>10.158333333333299</v>
      </c>
      <c r="J266" s="121">
        <f ca="1">HLOOKUP($H$4,'Met Data'!$H$2:$M$368,G266,FALSE)*L266</f>
        <v>6.6866666666666612</v>
      </c>
      <c r="K266" s="98">
        <f ca="1">HLOOKUP($H$4,'Met Data'!$O$2:$T$368,G266,FALSE)</f>
        <v>2.31412085445224</v>
      </c>
      <c r="L266">
        <f t="shared" ca="1" si="40"/>
        <v>1.7</v>
      </c>
      <c r="N266" t="b">
        <f t="shared" ca="1" si="45"/>
        <v>0</v>
      </c>
      <c r="O266" t="b">
        <f t="shared" ca="1" si="41"/>
        <v>0</v>
      </c>
      <c r="P266" s="2">
        <f ca="1"/>
        <v>45601</v>
      </c>
      <c r="Q266">
        <f ca="1"/>
        <v>0.29729678467394005</v>
      </c>
      <c r="R266">
        <f ca="1"/>
        <v>2.2788031905167099</v>
      </c>
      <c r="S266">
        <f ca="1"/>
        <v>1.5011950736393942E-2</v>
      </c>
      <c r="T266">
        <f ca="1"/>
        <v>0</v>
      </c>
      <c r="U266">
        <f ca="1"/>
        <v>0</v>
      </c>
      <c r="V266">
        <f ca="1"/>
        <v>120.334933984779</v>
      </c>
      <c r="W266">
        <f ca="1"/>
        <v>110.08418034903799</v>
      </c>
      <c r="X266">
        <f ca="1"/>
        <v>0</v>
      </c>
      <c r="Y266">
        <f ca="1"/>
        <v>0.96683699426903924</v>
      </c>
      <c r="Z266">
        <f ca="1"/>
        <v>0</v>
      </c>
      <c r="AA266">
        <f ca="1"/>
        <v>0</v>
      </c>
      <c r="AB266">
        <f ca="1"/>
        <v>0.99990212889173002</v>
      </c>
      <c r="AD266" s="2">
        <f t="shared" ca="1" si="42"/>
        <v>45601</v>
      </c>
      <c r="AE266">
        <f t="shared" ca="1" si="43"/>
        <v>0</v>
      </c>
      <c r="AG266" s="65">
        <f t="shared" ca="1" si="37"/>
        <v>0.33032976074882225</v>
      </c>
      <c r="AH266" s="65">
        <f t="shared" ca="1" si="38"/>
        <v>2.5760999751906501</v>
      </c>
      <c r="AI266" s="3">
        <f t="shared" ca="1" si="39"/>
        <v>2.2457702144418281</v>
      </c>
    </row>
    <row r="267" spans="7:35" x14ac:dyDescent="0.25">
      <c r="G267" s="3">
        <f t="shared" ca="1" si="44"/>
        <v>267</v>
      </c>
      <c r="H267" s="97">
        <f t="shared" ca="1" si="46"/>
        <v>45557</v>
      </c>
      <c r="I267" s="121">
        <f ca="1">HLOOKUP($H$4,'Met Data'!$A$2:$F$368,G267,FALSE)</f>
        <v>10.9625</v>
      </c>
      <c r="J267" s="121">
        <f ca="1">HLOOKUP($H$4,'Met Data'!$H$2:$M$368,G267,FALSE)*L267</f>
        <v>3.1733333333333218</v>
      </c>
      <c r="K267" s="98">
        <f ca="1">HLOOKUP($H$4,'Met Data'!$O$2:$T$368,G267,FALSE)</f>
        <v>2.2059606634486699</v>
      </c>
      <c r="L267">
        <f t="shared" ca="1" si="40"/>
        <v>1.7</v>
      </c>
      <c r="N267" t="b">
        <f t="shared" ca="1" si="45"/>
        <v>0</v>
      </c>
      <c r="O267" t="b">
        <f t="shared" ca="1" si="41"/>
        <v>0</v>
      </c>
      <c r="P267" s="2">
        <f ca="1"/>
        <v>45602</v>
      </c>
      <c r="Q267">
        <f ca="1"/>
        <v>0.28131613203108391</v>
      </c>
      <c r="R267">
        <f ca="1"/>
        <v>2.2933072349600301</v>
      </c>
      <c r="S267">
        <f ca="1"/>
        <v>1.5276695360597614E-2</v>
      </c>
      <c r="T267">
        <f ca="1"/>
        <v>0</v>
      </c>
      <c r="U267">
        <f ca="1"/>
        <v>0</v>
      </c>
      <c r="V267">
        <f ca="1"/>
        <v>122.628241219739</v>
      </c>
      <c r="W267">
        <f ca="1"/>
        <v>112.182131782502</v>
      </c>
      <c r="X267">
        <f ca="1"/>
        <v>0</v>
      </c>
      <c r="Y267">
        <f ca="1"/>
        <v>0.97151908534033171</v>
      </c>
      <c r="Z267">
        <f ca="1"/>
        <v>0</v>
      </c>
      <c r="AA267">
        <f ca="1"/>
        <v>0</v>
      </c>
      <c r="AB267">
        <f ca="1"/>
        <v>0.99991696534132801</v>
      </c>
      <c r="AD267" s="2">
        <f t="shared" ca="1" si="42"/>
        <v>45602</v>
      </c>
      <c r="AE267">
        <f t="shared" ca="1" si="43"/>
        <v>0</v>
      </c>
      <c r="AG267" s="65">
        <f t="shared" ref="AG267:AG330" ca="1" si="47">Q266+S267+T267+U267</f>
        <v>0.31257348003453767</v>
      </c>
      <c r="AH267" s="65">
        <f t="shared" ref="AH267:AH330" ca="1" si="48">Q267+R267+X267</f>
        <v>2.5746233669911138</v>
      </c>
      <c r="AI267" s="3">
        <f t="shared" ref="AI267:AI330" ca="1" si="49">AH267-AG267</f>
        <v>2.2620498869565759</v>
      </c>
    </row>
    <row r="268" spans="7:35" x14ac:dyDescent="0.25">
      <c r="G268" s="3">
        <f t="shared" ca="1" si="44"/>
        <v>268</v>
      </c>
      <c r="H268" s="97">
        <f t="shared" ca="1" si="46"/>
        <v>45558</v>
      </c>
      <c r="I268" s="121">
        <f ca="1">HLOOKUP($H$4,'Met Data'!$A$2:$F$368,G268,FALSE)</f>
        <v>11.6458333333333</v>
      </c>
      <c r="J268" s="121">
        <f ca="1">HLOOKUP($H$4,'Met Data'!$H$2:$M$368,G268,FALSE)*L268</f>
        <v>9.3783333333333232</v>
      </c>
      <c r="K268" s="98">
        <f ca="1">HLOOKUP($H$4,'Met Data'!$O$2:$T$368,G268,FALSE)</f>
        <v>1.6755097599300399</v>
      </c>
      <c r="L268">
        <f t="shared" ca="1" si="40"/>
        <v>1.7</v>
      </c>
      <c r="N268" t="b">
        <f t="shared" ca="1" si="45"/>
        <v>0</v>
      </c>
      <c r="O268" t="b">
        <f t="shared" ca="1" si="41"/>
        <v>0</v>
      </c>
      <c r="P268" s="2">
        <f ca="1"/>
        <v>45603</v>
      </c>
      <c r="Q268">
        <f ca="1"/>
        <v>0.26738965236757883</v>
      </c>
      <c r="R268">
        <f ca="1"/>
        <v>2.3338610475896799</v>
      </c>
      <c r="S268">
        <f ca="1"/>
        <v>1.5783481710670344E-2</v>
      </c>
      <c r="T268">
        <f ca="1"/>
        <v>0</v>
      </c>
      <c r="U268">
        <f ca="1"/>
        <v>0</v>
      </c>
      <c r="V268">
        <f ca="1"/>
        <v>124.96210226732801</v>
      </c>
      <c r="W268">
        <f ca="1"/>
        <v>114.317182444556</v>
      </c>
      <c r="X268">
        <f ca="1"/>
        <v>0</v>
      </c>
      <c r="Y268">
        <f ca="1"/>
        <v>0.98631604257227301</v>
      </c>
      <c r="Z268">
        <f ca="1"/>
        <v>0</v>
      </c>
      <c r="AA268">
        <f ca="1"/>
        <v>0</v>
      </c>
      <c r="AB268">
        <f ca="1"/>
        <v>0.99992994381437506</v>
      </c>
      <c r="AD268" s="2">
        <f t="shared" ca="1" si="42"/>
        <v>45603</v>
      </c>
      <c r="AE268">
        <f t="shared" ca="1" si="43"/>
        <v>0</v>
      </c>
      <c r="AG268" s="65">
        <f t="shared" ca="1" si="47"/>
        <v>0.29709961374175425</v>
      </c>
      <c r="AH268" s="65">
        <f t="shared" ca="1" si="48"/>
        <v>2.6012506999572587</v>
      </c>
      <c r="AI268" s="3">
        <f t="shared" ca="1" si="49"/>
        <v>2.3041510862155046</v>
      </c>
    </row>
    <row r="269" spans="7:35" x14ac:dyDescent="0.25">
      <c r="G269" s="3">
        <f t="shared" ca="1" si="44"/>
        <v>269</v>
      </c>
      <c r="H269" s="97">
        <f t="shared" ca="1" si="46"/>
        <v>45559</v>
      </c>
      <c r="I269" s="121">
        <f ca="1">HLOOKUP($H$4,'Met Data'!$A$2:$F$368,G269,FALSE)</f>
        <v>12.112500000000001</v>
      </c>
      <c r="J269" s="121">
        <f ca="1">HLOOKUP($H$4,'Met Data'!$H$2:$M$368,G269,FALSE)*L269</f>
        <v>2.663333333333322</v>
      </c>
      <c r="K269" s="98">
        <f ca="1">HLOOKUP($H$4,'Met Data'!$O$2:$T$368,G269,FALSE)</f>
        <v>2.1669648664524801</v>
      </c>
      <c r="L269">
        <f t="shared" ca="1" si="40"/>
        <v>1.7</v>
      </c>
      <c r="N269" t="b">
        <f t="shared" ca="1" si="45"/>
        <v>0</v>
      </c>
      <c r="O269" t="b">
        <f t="shared" ca="1" si="41"/>
        <v>0</v>
      </c>
      <c r="P269" s="2">
        <f ca="1"/>
        <v>45604</v>
      </c>
      <c r="Q269">
        <f ca="1"/>
        <v>0.25468328943253182</v>
      </c>
      <c r="R269">
        <f ca="1"/>
        <v>2.3408196082716599</v>
      </c>
      <c r="S269">
        <f ca="1"/>
        <v>1.6061129614456604E-2</v>
      </c>
      <c r="T269">
        <f ca="1"/>
        <v>0</v>
      </c>
      <c r="U269">
        <f ca="1"/>
        <v>0</v>
      </c>
      <c r="V269">
        <f ca="1"/>
        <v>127.30292187560001</v>
      </c>
      <c r="W269">
        <f ca="1"/>
        <v>116.458598901012</v>
      </c>
      <c r="X269">
        <f ca="1"/>
        <v>4.2241435130009901E-4</v>
      </c>
      <c r="Y269">
        <f ca="1"/>
        <v>1</v>
      </c>
      <c r="Z269">
        <f ca="1"/>
        <v>0.52376426412166666</v>
      </c>
      <c r="AA269">
        <f ca="1"/>
        <v>0</v>
      </c>
      <c r="AB269">
        <f ca="1"/>
        <v>0.99994110170184303</v>
      </c>
      <c r="AD269" s="2">
        <f t="shared" ca="1" si="42"/>
        <v>45604</v>
      </c>
      <c r="AE269">
        <f t="shared" ca="1" si="43"/>
        <v>0</v>
      </c>
      <c r="AG269" s="65">
        <f t="shared" ca="1" si="47"/>
        <v>0.28345078198203544</v>
      </c>
      <c r="AH269" s="65">
        <f t="shared" ca="1" si="48"/>
        <v>2.5959253120554919</v>
      </c>
      <c r="AI269" s="3">
        <f t="shared" ca="1" si="49"/>
        <v>2.3124745300734566</v>
      </c>
    </row>
    <row r="270" spans="7:35" x14ac:dyDescent="0.25">
      <c r="G270" s="3">
        <f t="shared" ca="1" si="44"/>
        <v>270</v>
      </c>
      <c r="H270" s="97">
        <f t="shared" ca="1" si="46"/>
        <v>45560</v>
      </c>
      <c r="I270" s="121">
        <f ca="1">HLOOKUP($H$4,'Met Data'!$A$2:$F$368,G270,FALSE)</f>
        <v>11.6875</v>
      </c>
      <c r="J270" s="121">
        <f ca="1">HLOOKUP($H$4,'Met Data'!$H$2:$M$368,G270,FALSE)*L270</f>
        <v>1.8416666666666608</v>
      </c>
      <c r="K270" s="98">
        <f ca="1">HLOOKUP($H$4,'Met Data'!$O$2:$T$368,G270,FALSE)</f>
        <v>2.2423317945335</v>
      </c>
      <c r="L270">
        <f t="shared" ca="1" si="40"/>
        <v>1.7</v>
      </c>
      <c r="N270" t="b">
        <f t="shared" ca="1" si="45"/>
        <v>0</v>
      </c>
      <c r="O270" t="b">
        <f t="shared" ca="1" si="41"/>
        <v>0</v>
      </c>
      <c r="P270" s="2">
        <f ca="1"/>
        <v>45605</v>
      </c>
      <c r="Q270">
        <f ca="1"/>
        <v>0.24233675672068947</v>
      </c>
      <c r="R270">
        <f ca="1"/>
        <v>2.2175935786830898</v>
      </c>
      <c r="S270">
        <f ca="1"/>
        <v>1.5284339296783855E-2</v>
      </c>
      <c r="T270">
        <f ca="1"/>
        <v>0</v>
      </c>
      <c r="U270">
        <f ca="1"/>
        <v>0</v>
      </c>
      <c r="V270">
        <f ca="1"/>
        <v>129.52051545428299</v>
      </c>
      <c r="W270">
        <f ca="1"/>
        <v>118.487286360029</v>
      </c>
      <c r="X270">
        <f ca="1"/>
        <v>6.3410913569464096E-4</v>
      </c>
      <c r="Y270">
        <f ca="1"/>
        <v>1</v>
      </c>
      <c r="Z270">
        <f ca="1"/>
        <v>0.82630878175099554</v>
      </c>
      <c r="AA270">
        <f ca="1"/>
        <v>0</v>
      </c>
      <c r="AB270">
        <f ca="1"/>
        <v>0.99995018333139696</v>
      </c>
      <c r="AD270" s="2">
        <f t="shared" ca="1" si="42"/>
        <v>45605</v>
      </c>
      <c r="AE270">
        <f t="shared" ca="1" si="43"/>
        <v>0</v>
      </c>
      <c r="AG270" s="65">
        <f t="shared" ca="1" si="47"/>
        <v>0.26996762872931568</v>
      </c>
      <c r="AH270" s="65">
        <f t="shared" ca="1" si="48"/>
        <v>2.4605644445394739</v>
      </c>
      <c r="AI270" s="3">
        <f t="shared" ca="1" si="49"/>
        <v>2.1905968158101583</v>
      </c>
    </row>
    <row r="271" spans="7:35" x14ac:dyDescent="0.25">
      <c r="G271" s="3">
        <f t="shared" ca="1" si="44"/>
        <v>271</v>
      </c>
      <c r="H271" s="97">
        <f t="shared" ca="1" si="46"/>
        <v>45561</v>
      </c>
      <c r="I271" s="121">
        <f ca="1">HLOOKUP($H$4,'Met Data'!$A$2:$F$368,G271,FALSE)</f>
        <v>12.0541666666666</v>
      </c>
      <c r="J271" s="121">
        <f ca="1">HLOOKUP($H$4,'Met Data'!$H$2:$M$368,G271,FALSE)*L271</f>
        <v>1.7849999999999999</v>
      </c>
      <c r="K271" s="98">
        <f ca="1">HLOOKUP($H$4,'Met Data'!$O$2:$T$368,G271,FALSE)</f>
        <v>2.4484809787012698</v>
      </c>
      <c r="L271">
        <f t="shared" ca="1" si="40"/>
        <v>1.7</v>
      </c>
      <c r="N271" t="b">
        <f t="shared" ca="1" si="45"/>
        <v>0</v>
      </c>
      <c r="O271" t="b">
        <f t="shared" ca="1" si="41"/>
        <v>0</v>
      </c>
      <c r="P271" s="2">
        <f ca="1"/>
        <v>45606</v>
      </c>
      <c r="Q271">
        <f ca="1"/>
        <v>0.22924225558720551</v>
      </c>
      <c r="R271">
        <f ca="1"/>
        <v>2.2104765932030799</v>
      </c>
      <c r="S271">
        <f ca="1"/>
        <v>1.547354922155364E-2</v>
      </c>
      <c r="T271">
        <f ca="1"/>
        <v>0</v>
      </c>
      <c r="U271">
        <f ca="1"/>
        <v>0</v>
      </c>
      <c r="V271">
        <f ca="1"/>
        <v>131.73099204748601</v>
      </c>
      <c r="W271">
        <f ca="1"/>
        <v>120.509463095293</v>
      </c>
      <c r="X271">
        <f ca="1"/>
        <v>2.7870197608132513E-3</v>
      </c>
      <c r="Y271">
        <f ca="1"/>
        <v>1</v>
      </c>
      <c r="Z271">
        <f ca="1"/>
        <v>3.8392202221196072</v>
      </c>
      <c r="AA271">
        <f ca="1"/>
        <v>0</v>
      </c>
      <c r="AB271">
        <f ca="1"/>
        <v>0.99995798286187398</v>
      </c>
      <c r="AD271" s="2">
        <f t="shared" ca="1" si="42"/>
        <v>45606</v>
      </c>
      <c r="AE271">
        <f t="shared" ca="1" si="43"/>
        <v>0</v>
      </c>
      <c r="AG271" s="65">
        <f t="shared" ca="1" si="47"/>
        <v>0.25781030594224308</v>
      </c>
      <c r="AH271" s="65">
        <f t="shared" ca="1" si="48"/>
        <v>2.4425058685510983</v>
      </c>
      <c r="AI271" s="3">
        <f t="shared" ca="1" si="49"/>
        <v>2.1846955626088551</v>
      </c>
    </row>
    <row r="272" spans="7:35" x14ac:dyDescent="0.25">
      <c r="G272" s="3">
        <f t="shared" ca="1" si="44"/>
        <v>272</v>
      </c>
      <c r="H272" s="97">
        <f t="shared" ca="1" si="46"/>
        <v>45562</v>
      </c>
      <c r="I272" s="121">
        <f ca="1">HLOOKUP($H$4,'Met Data'!$A$2:$F$368,G272,FALSE)</f>
        <v>12.3291666666666</v>
      </c>
      <c r="J272" s="121">
        <f ca="1">HLOOKUP($H$4,'Met Data'!$H$2:$M$368,G272,FALSE)*L272</f>
        <v>8.754999999999983</v>
      </c>
      <c r="K272" s="98">
        <f ca="1">HLOOKUP($H$4,'Met Data'!$O$2:$T$368,G272,FALSE)</f>
        <v>2.13295390564413</v>
      </c>
      <c r="L272">
        <f t="shared" ca="1" si="40"/>
        <v>1.7</v>
      </c>
      <c r="N272" t="b">
        <f t="shared" ca="1" si="45"/>
        <v>0</v>
      </c>
      <c r="O272" t="b">
        <f t="shared" ca="1" si="41"/>
        <v>0</v>
      </c>
      <c r="P272" s="2">
        <f ca="1"/>
        <v>45607</v>
      </c>
      <c r="Q272">
        <f ca="1"/>
        <v>0.21757453201971766</v>
      </c>
      <c r="R272">
        <f ca="1"/>
        <v>2.0355195726645499</v>
      </c>
      <c r="S272">
        <f ca="1"/>
        <v>1.4282201024741425E-2</v>
      </c>
      <c r="T272">
        <f ca="1"/>
        <v>0</v>
      </c>
      <c r="U272">
        <f ca="1"/>
        <v>0</v>
      </c>
      <c r="V272">
        <f ca="1"/>
        <v>133.76651162015099</v>
      </c>
      <c r="W272">
        <f ca="1"/>
        <v>122.37158655621199</v>
      </c>
      <c r="X272">
        <f ca="1"/>
        <v>1.5974789310345696E-3</v>
      </c>
      <c r="Y272">
        <f ca="1"/>
        <v>1</v>
      </c>
      <c r="Z272">
        <f ca="1"/>
        <v>2.3185941211506531</v>
      </c>
      <c r="AA272">
        <f ca="1"/>
        <v>0</v>
      </c>
      <c r="AB272">
        <f ca="1"/>
        <v>0.999964197574846</v>
      </c>
      <c r="AD272" s="2">
        <f t="shared" ca="1" si="42"/>
        <v>45607</v>
      </c>
      <c r="AE272">
        <f t="shared" ca="1" si="43"/>
        <v>0</v>
      </c>
      <c r="AG272" s="65">
        <f t="shared" ca="1" si="47"/>
        <v>0.24352445661194694</v>
      </c>
      <c r="AH272" s="65">
        <f t="shared" ca="1" si="48"/>
        <v>2.2546915836153021</v>
      </c>
      <c r="AI272" s="3">
        <f t="shared" ca="1" si="49"/>
        <v>2.0111671270033553</v>
      </c>
    </row>
    <row r="273" spans="7:35" x14ac:dyDescent="0.25">
      <c r="G273" s="3">
        <f t="shared" ca="1" si="44"/>
        <v>273</v>
      </c>
      <c r="H273" s="97">
        <f t="shared" ca="1" si="46"/>
        <v>45563</v>
      </c>
      <c r="I273" s="121">
        <f ca="1">HLOOKUP($H$4,'Met Data'!$A$2:$F$368,G273,FALSE)</f>
        <v>12.65</v>
      </c>
      <c r="J273" s="121">
        <f ca="1">HLOOKUP($H$4,'Met Data'!$H$2:$M$368,G273,FALSE)*L273</f>
        <v>3.6549999999999998</v>
      </c>
      <c r="K273" s="98">
        <f ca="1">HLOOKUP($H$4,'Met Data'!$O$2:$T$368,G273,FALSE)</f>
        <v>2.3067555107961</v>
      </c>
      <c r="L273">
        <f t="shared" ca="1" si="40"/>
        <v>1.7</v>
      </c>
      <c r="N273" t="b">
        <f t="shared" ca="1" si="45"/>
        <v>0</v>
      </c>
      <c r="O273" t="b">
        <f t="shared" ca="1" si="41"/>
        <v>0</v>
      </c>
      <c r="P273" s="2">
        <f ca="1"/>
        <v>45608</v>
      </c>
      <c r="Q273">
        <f ca="1"/>
        <v>0.20800842937740113</v>
      </c>
      <c r="R273">
        <f ca="1"/>
        <v>1.91564427939682</v>
      </c>
      <c r="S273">
        <f ca="1"/>
        <v>1.3545945066283593E-2</v>
      </c>
      <c r="T273">
        <f ca="1"/>
        <v>0</v>
      </c>
      <c r="U273">
        <f ca="1"/>
        <v>0</v>
      </c>
      <c r="V273">
        <f ca="1"/>
        <v>135.68215589954801</v>
      </c>
      <c r="W273">
        <f ca="1"/>
        <v>124.124046322919</v>
      </c>
      <c r="X273">
        <f ca="1"/>
        <v>0</v>
      </c>
      <c r="Y273">
        <f ca="1"/>
        <v>0.98972733996249274</v>
      </c>
      <c r="Z273">
        <f ca="1"/>
        <v>0</v>
      </c>
      <c r="AA273">
        <f ca="1"/>
        <v>0</v>
      </c>
      <c r="AB273">
        <f ca="1"/>
        <v>0.99996930091790204</v>
      </c>
      <c r="AD273" s="2">
        <f t="shared" ca="1" si="42"/>
        <v>45608</v>
      </c>
      <c r="AE273">
        <f t="shared" ca="1" si="43"/>
        <v>0</v>
      </c>
      <c r="AG273" s="65">
        <f t="shared" ca="1" si="47"/>
        <v>0.23112047708600125</v>
      </c>
      <c r="AH273" s="65">
        <f t="shared" ca="1" si="48"/>
        <v>2.123652708774221</v>
      </c>
      <c r="AI273" s="3">
        <f t="shared" ca="1" si="49"/>
        <v>1.8925322316882198</v>
      </c>
    </row>
    <row r="274" spans="7:35" x14ac:dyDescent="0.25">
      <c r="G274" s="3">
        <f t="shared" ca="1" si="44"/>
        <v>274</v>
      </c>
      <c r="H274" s="97">
        <f t="shared" ca="1" si="46"/>
        <v>45564</v>
      </c>
      <c r="I274" s="121">
        <f ca="1">HLOOKUP($H$4,'Met Data'!$A$2:$F$368,G274,FALSE)</f>
        <v>12.5208333333333</v>
      </c>
      <c r="J274" s="121">
        <f ca="1">HLOOKUP($H$4,'Met Data'!$H$2:$M$368,G274,FALSE)*L274</f>
        <v>9.5483333333333213</v>
      </c>
      <c r="K274" s="98">
        <f ca="1">HLOOKUP($H$4,'Met Data'!$O$2:$T$368,G274,FALSE)</f>
        <v>2.4465918649770302</v>
      </c>
      <c r="L274">
        <f t="shared" ca="1" si="40"/>
        <v>1.7</v>
      </c>
      <c r="N274" t="b">
        <f t="shared" ca="1" si="45"/>
        <v>0</v>
      </c>
      <c r="O274" t="b">
        <f t="shared" ca="1" si="41"/>
        <v>0</v>
      </c>
      <c r="P274" s="2">
        <f ca="1"/>
        <v>45609</v>
      </c>
      <c r="Q274">
        <f ca="1"/>
        <v>0.19935636863330652</v>
      </c>
      <c r="R274">
        <f ca="1"/>
        <v>1.8814942454319501</v>
      </c>
      <c r="S274">
        <f ca="1"/>
        <v>1.3498646881828336E-2</v>
      </c>
      <c r="T274">
        <f ca="1"/>
        <v>0</v>
      </c>
      <c r="U274">
        <f ca="1"/>
        <v>0</v>
      </c>
      <c r="V274">
        <f ca="1"/>
        <v>137.56365014497999</v>
      </c>
      <c r="W274">
        <f ca="1"/>
        <v>125.845265132629</v>
      </c>
      <c r="X274">
        <f ca="1"/>
        <v>0</v>
      </c>
      <c r="Y274">
        <f ca="1"/>
        <v>0.98031671038941448</v>
      </c>
      <c r="Z274">
        <f ca="1"/>
        <v>0</v>
      </c>
      <c r="AA274">
        <f ca="1"/>
        <v>0</v>
      </c>
      <c r="AB274">
        <f ca="1"/>
        <v>0.99997369027667704</v>
      </c>
      <c r="AD274" s="2">
        <f t="shared" ca="1" si="42"/>
        <v>45609</v>
      </c>
      <c r="AE274">
        <f t="shared" ca="1" si="43"/>
        <v>0</v>
      </c>
      <c r="AG274" s="65">
        <f t="shared" ca="1" si="47"/>
        <v>0.22150707625922947</v>
      </c>
      <c r="AH274" s="65">
        <f t="shared" ca="1" si="48"/>
        <v>2.0808506140652567</v>
      </c>
      <c r="AI274" s="3">
        <f t="shared" ca="1" si="49"/>
        <v>1.8593435378060272</v>
      </c>
    </row>
    <row r="275" spans="7:35" x14ac:dyDescent="0.25">
      <c r="G275" s="3">
        <f t="shared" ca="1" si="44"/>
        <v>275</v>
      </c>
      <c r="H275" s="97">
        <f t="shared" ca="1" si="46"/>
        <v>45565</v>
      </c>
      <c r="I275" s="121">
        <f ca="1">HLOOKUP($H$4,'Met Data'!$A$2:$F$368,G275,FALSE)</f>
        <v>11.65</v>
      </c>
      <c r="J275" s="121">
        <f ca="1">HLOOKUP($H$4,'Met Data'!$H$2:$M$368,G275,FALSE)*L275</f>
        <v>3.9950000000000001</v>
      </c>
      <c r="K275" s="98">
        <f ca="1">HLOOKUP($H$4,'Met Data'!$O$2:$T$368,G275,FALSE)</f>
        <v>2.46735033441291</v>
      </c>
      <c r="L275">
        <f t="shared" ca="1" si="40"/>
        <v>1.7</v>
      </c>
      <c r="N275" t="b">
        <f t="shared" ca="1" si="45"/>
        <v>0</v>
      </c>
      <c r="O275" t="b">
        <f t="shared" ca="1" si="41"/>
        <v>0</v>
      </c>
      <c r="P275" s="2">
        <f ca="1"/>
        <v>45610</v>
      </c>
      <c r="Q275">
        <f ca="1"/>
        <v>0.19244198698289244</v>
      </c>
      <c r="R275">
        <f ca="1"/>
        <v>1.96566449798132</v>
      </c>
      <c r="S275">
        <f ca="1"/>
        <v>1.4468061347685079E-2</v>
      </c>
      <c r="T275">
        <f ca="1"/>
        <v>0</v>
      </c>
      <c r="U275">
        <f ca="1"/>
        <v>0</v>
      </c>
      <c r="V275">
        <f ca="1"/>
        <v>139.529314642961</v>
      </c>
      <c r="W275">
        <f ca="1"/>
        <v>127.643484136338</v>
      </c>
      <c r="X275">
        <f ca="1"/>
        <v>0</v>
      </c>
      <c r="Y275">
        <f ca="1"/>
        <v>0.98134146181124138</v>
      </c>
      <c r="Z275">
        <f ca="1"/>
        <v>0</v>
      </c>
      <c r="AA275">
        <f ca="1"/>
        <v>0</v>
      </c>
      <c r="AB275">
        <f ca="1"/>
        <v>0.99997769138775106</v>
      </c>
      <c r="AD275" s="2">
        <f t="shared" ca="1" si="42"/>
        <v>45610</v>
      </c>
      <c r="AE275">
        <f t="shared" ca="1" si="43"/>
        <v>0</v>
      </c>
      <c r="AG275" s="65">
        <f t="shared" ca="1" si="47"/>
        <v>0.2138244299809916</v>
      </c>
      <c r="AH275" s="65">
        <f t="shared" ca="1" si="48"/>
        <v>2.1581064849642124</v>
      </c>
      <c r="AI275" s="3">
        <f t="shared" ca="1" si="49"/>
        <v>1.9442820549832209</v>
      </c>
    </row>
    <row r="276" spans="7:35" x14ac:dyDescent="0.25">
      <c r="G276" s="3">
        <f t="shared" ca="1" si="44"/>
        <v>276</v>
      </c>
      <c r="H276" s="97">
        <f t="shared" ca="1" si="46"/>
        <v>45566</v>
      </c>
      <c r="I276" s="121">
        <f ca="1">HLOOKUP($H$4,'Met Data'!$A$2:$F$368,G276,FALSE)</f>
        <v>12.0166666666666</v>
      </c>
      <c r="J276" s="121">
        <f ca="1">HLOOKUP($H$4,'Met Data'!$H$2:$M$368,G276,FALSE)*L276</f>
        <v>3.881666666666661</v>
      </c>
      <c r="K276" s="98">
        <f ca="1">HLOOKUP($H$4,'Met Data'!$O$2:$T$368,G276,FALSE)</f>
        <v>2.1199025888480301</v>
      </c>
      <c r="L276">
        <f t="shared" ca="1" si="40"/>
        <v>1.7</v>
      </c>
      <c r="N276" t="b">
        <f t="shared" ca="1" si="45"/>
        <v>0</v>
      </c>
      <c r="O276" t="b">
        <f t="shared" ca="1" si="41"/>
        <v>0</v>
      </c>
      <c r="P276" s="2">
        <f ca="1"/>
        <v>45611</v>
      </c>
      <c r="Q276">
        <f ca="1"/>
        <v>0.1856986493404256</v>
      </c>
      <c r="R276">
        <f ca="1"/>
        <v>2.09741958097425</v>
      </c>
      <c r="S276">
        <f ca="1"/>
        <v>1.6003720712419067E-2</v>
      </c>
      <c r="T276">
        <f ca="1"/>
        <v>0</v>
      </c>
      <c r="U276">
        <f ca="1"/>
        <v>0</v>
      </c>
      <c r="V276">
        <f ca="1"/>
        <v>141.62673422393499</v>
      </c>
      <c r="W276">
        <f ca="1"/>
        <v>129.562234641896</v>
      </c>
      <c r="X276">
        <f ca="1"/>
        <v>1.9024875853547419E-3</v>
      </c>
      <c r="Y276">
        <f ca="1"/>
        <v>1</v>
      </c>
      <c r="Z276">
        <f ca="1"/>
        <v>3.2352715294581884</v>
      </c>
      <c r="AA276">
        <f ca="1"/>
        <v>0</v>
      </c>
      <c r="AB276">
        <f ca="1"/>
        <v>0.99998137917237395</v>
      </c>
      <c r="AD276" s="2">
        <f t="shared" ca="1" si="42"/>
        <v>45611</v>
      </c>
      <c r="AE276">
        <f t="shared" ca="1" si="43"/>
        <v>0</v>
      </c>
      <c r="AG276" s="65">
        <f t="shared" ca="1" si="47"/>
        <v>0.20844570769531151</v>
      </c>
      <c r="AH276" s="65">
        <f t="shared" ca="1" si="48"/>
        <v>2.2850207179000304</v>
      </c>
      <c r="AI276" s="3">
        <f t="shared" ca="1" si="49"/>
        <v>2.0765750102047189</v>
      </c>
    </row>
    <row r="277" spans="7:35" x14ac:dyDescent="0.25">
      <c r="G277" s="3">
        <f t="shared" ca="1" si="44"/>
        <v>277</v>
      </c>
      <c r="H277" s="97">
        <f t="shared" ca="1" si="46"/>
        <v>45567</v>
      </c>
      <c r="I277" s="121">
        <f ca="1">HLOOKUP($H$4,'Met Data'!$A$2:$F$368,G277,FALSE)</f>
        <v>12.941666666666601</v>
      </c>
      <c r="J277" s="121">
        <f ca="1">HLOOKUP($H$4,'Met Data'!$H$2:$M$368,G277,FALSE)*L277</f>
        <v>7.2533333333333223</v>
      </c>
      <c r="K277" s="98">
        <f ca="1">HLOOKUP($H$4,'Met Data'!$O$2:$T$368,G277,FALSE)</f>
        <v>2.6275875550097898</v>
      </c>
      <c r="L277">
        <f t="shared" ca="1" si="40"/>
        <v>1.7</v>
      </c>
      <c r="N277" t="b">
        <f t="shared" ca="1" si="45"/>
        <v>0</v>
      </c>
      <c r="O277" t="b">
        <f t="shared" ca="1" si="41"/>
        <v>0</v>
      </c>
      <c r="P277" s="2">
        <f ca="1"/>
        <v>45612</v>
      </c>
      <c r="Q277">
        <f ca="1"/>
        <v>0.17813667537244071</v>
      </c>
      <c r="R277">
        <f ca="1"/>
        <v>2.0654906664547101</v>
      </c>
      <c r="S277">
        <f ca="1"/>
        <v>1.6119534505378397E-2</v>
      </c>
      <c r="T277">
        <f ca="1"/>
        <v>0</v>
      </c>
      <c r="U277">
        <f ca="1"/>
        <v>0</v>
      </c>
      <c r="V277">
        <f ca="1"/>
        <v>143.69222489039001</v>
      </c>
      <c r="W277">
        <f ca="1"/>
        <v>131.451776103431</v>
      </c>
      <c r="X277">
        <f ca="1"/>
        <v>3.4996900887828814E-3</v>
      </c>
      <c r="Y277">
        <f ca="1"/>
        <v>1</v>
      </c>
      <c r="Z277">
        <f ca="1"/>
        <v>6.2040300734475977</v>
      </c>
      <c r="AA277">
        <f ca="1"/>
        <v>0</v>
      </c>
      <c r="AB277">
        <f ca="1"/>
        <v>0.99998449539217704</v>
      </c>
      <c r="AD277" s="2">
        <f t="shared" ca="1" si="42"/>
        <v>45612</v>
      </c>
      <c r="AE277">
        <f t="shared" ca="1" si="43"/>
        <v>0</v>
      </c>
      <c r="AG277" s="65">
        <f t="shared" ca="1" si="47"/>
        <v>0.20181818384580399</v>
      </c>
      <c r="AH277" s="65">
        <f t="shared" ca="1" si="48"/>
        <v>2.2471270319159333</v>
      </c>
      <c r="AI277" s="3">
        <f t="shared" ca="1" si="49"/>
        <v>2.0453088480701291</v>
      </c>
    </row>
    <row r="278" spans="7:35" x14ac:dyDescent="0.25">
      <c r="G278" s="3">
        <f t="shared" ca="1" si="44"/>
        <v>278</v>
      </c>
      <c r="H278" s="97">
        <f t="shared" ca="1" si="46"/>
        <v>45568</v>
      </c>
      <c r="I278" s="121">
        <f ca="1">HLOOKUP($H$4,'Met Data'!$A$2:$F$368,G278,FALSE)</f>
        <v>11.95</v>
      </c>
      <c r="J278" s="121">
        <f ca="1">HLOOKUP($H$4,'Met Data'!$H$2:$M$368,G278,FALSE)*L278</f>
        <v>1.926666666666661</v>
      </c>
      <c r="K278" s="98">
        <f ca="1">HLOOKUP($H$4,'Met Data'!$O$2:$T$368,G278,FALSE)</f>
        <v>2.2251605523882798</v>
      </c>
      <c r="L278">
        <f t="shared" ca="1" si="40"/>
        <v>1.7</v>
      </c>
      <c r="N278" t="b">
        <f t="shared" ca="1" si="45"/>
        <v>0</v>
      </c>
      <c r="O278" t="b">
        <f t="shared" ca="1" si="41"/>
        <v>0</v>
      </c>
      <c r="P278" s="2">
        <f ca="1"/>
        <v>45613</v>
      </c>
      <c r="Q278">
        <f ca="1"/>
        <v>0.17029268492855443</v>
      </c>
      <c r="R278">
        <f ca="1"/>
        <v>1.93840230641553</v>
      </c>
      <c r="S278">
        <f ca="1"/>
        <v>1.531730917547236E-2</v>
      </c>
      <c r="T278">
        <f ca="1"/>
        <v>0</v>
      </c>
      <c r="U278">
        <f ca="1"/>
        <v>0</v>
      </c>
      <c r="V278">
        <f ca="1"/>
        <v>145.63062719680499</v>
      </c>
      <c r="W278">
        <f ca="1"/>
        <v>133.225055250411</v>
      </c>
      <c r="X278">
        <f ca="1"/>
        <v>3.8159011645673346E-3</v>
      </c>
      <c r="Y278">
        <f ca="1"/>
        <v>1</v>
      </c>
      <c r="Z278">
        <f ca="1"/>
        <v>7.0761784095144549</v>
      </c>
      <c r="AA278">
        <f ca="1"/>
        <v>0</v>
      </c>
      <c r="AB278">
        <f ca="1"/>
        <v>0.99998701143765101</v>
      </c>
      <c r="AD278" s="2">
        <f t="shared" ca="1" si="42"/>
        <v>45613</v>
      </c>
      <c r="AE278">
        <f t="shared" ca="1" si="43"/>
        <v>0</v>
      </c>
      <c r="AG278" s="65">
        <f t="shared" ca="1" si="47"/>
        <v>0.19345398454791307</v>
      </c>
      <c r="AH278" s="65">
        <f t="shared" ca="1" si="48"/>
        <v>2.1125108925086518</v>
      </c>
      <c r="AI278" s="3">
        <f t="shared" ca="1" si="49"/>
        <v>1.9190569079607387</v>
      </c>
    </row>
    <row r="279" spans="7:35" x14ac:dyDescent="0.25">
      <c r="G279" s="3">
        <f t="shared" ca="1" si="44"/>
        <v>279</v>
      </c>
      <c r="H279" s="97">
        <f t="shared" ca="1" si="46"/>
        <v>45569</v>
      </c>
      <c r="I279" s="121">
        <f ca="1">HLOOKUP($H$4,'Met Data'!$A$2:$F$368,G279,FALSE)</f>
        <v>11.8958333333333</v>
      </c>
      <c r="J279" s="121">
        <f ca="1">HLOOKUP($H$4,'Met Data'!$H$2:$M$368,G279,FALSE)*L279</f>
        <v>3.5133333333333221</v>
      </c>
      <c r="K279" s="98">
        <f ca="1">HLOOKUP($H$4,'Met Data'!$O$2:$T$368,G279,FALSE)</f>
        <v>2.2142725820580198</v>
      </c>
      <c r="L279">
        <f t="shared" ca="1" si="40"/>
        <v>1.7</v>
      </c>
      <c r="N279" t="b">
        <f t="shared" ca="1" si="45"/>
        <v>0</v>
      </c>
      <c r="O279" t="b">
        <f t="shared" ca="1" si="41"/>
        <v>0</v>
      </c>
      <c r="P279" s="2">
        <f ca="1"/>
        <v>45614</v>
      </c>
      <c r="Q279">
        <f ca="1"/>
        <v>0.16634252079625733</v>
      </c>
      <c r="R279">
        <f ca="1"/>
        <v>1.8151410695885499</v>
      </c>
      <c r="S279">
        <f ca="1"/>
        <v>1.4532338178398163E-2</v>
      </c>
      <c r="T279">
        <f ca="1"/>
        <v>0</v>
      </c>
      <c r="U279">
        <f ca="1"/>
        <v>0</v>
      </c>
      <c r="V279">
        <f ca="1"/>
        <v>147.445768266394</v>
      </c>
      <c r="W279">
        <f ca="1"/>
        <v>134.88557319184901</v>
      </c>
      <c r="X279">
        <f ca="1"/>
        <v>0</v>
      </c>
      <c r="Y279">
        <f ca="1"/>
        <v>0.98395033807348231</v>
      </c>
      <c r="Z279">
        <f ca="1"/>
        <v>0</v>
      </c>
      <c r="AA279">
        <f ca="1"/>
        <v>0</v>
      </c>
      <c r="AB279">
        <f ca="1"/>
        <v>0.99998905120182202</v>
      </c>
      <c r="AD279" s="2">
        <f t="shared" ca="1" si="42"/>
        <v>45614</v>
      </c>
      <c r="AE279">
        <f t="shared" ca="1" si="43"/>
        <v>0</v>
      </c>
      <c r="AG279" s="65">
        <f t="shared" ca="1" si="47"/>
        <v>0.18482502310695259</v>
      </c>
      <c r="AH279" s="65">
        <f t="shared" ca="1" si="48"/>
        <v>1.9814835903848071</v>
      </c>
      <c r="AI279" s="3">
        <f t="shared" ca="1" si="49"/>
        <v>1.7966585672778546</v>
      </c>
    </row>
    <row r="280" spans="7:35" x14ac:dyDescent="0.25">
      <c r="G280" s="3">
        <f t="shared" ca="1" si="44"/>
        <v>280</v>
      </c>
      <c r="H280" s="97">
        <f t="shared" ca="1" si="46"/>
        <v>45570</v>
      </c>
      <c r="I280" s="121">
        <f ca="1">HLOOKUP($H$4,'Met Data'!$A$2:$F$368,G280,FALSE)</f>
        <v>11.8333333333333</v>
      </c>
      <c r="J280" s="121">
        <f ca="1">HLOOKUP($H$4,'Met Data'!$H$2:$M$368,G280,FALSE)*L280</f>
        <v>2.4366666666666608</v>
      </c>
      <c r="K280" s="98">
        <f ca="1">HLOOKUP($H$4,'Met Data'!$O$2:$T$368,G280,FALSE)</f>
        <v>2.5217662070296001</v>
      </c>
      <c r="L280">
        <f t="shared" ca="1" si="40"/>
        <v>1.7</v>
      </c>
      <c r="N280" t="b">
        <f t="shared" ca="1" si="45"/>
        <v>0</v>
      </c>
      <c r="O280" t="b">
        <f t="shared" ca="1" si="41"/>
        <v>0</v>
      </c>
      <c r="P280" s="2">
        <f ca="1"/>
        <v>45615</v>
      </c>
      <c r="Q280">
        <f ca="1"/>
        <v>0.16286517365611</v>
      </c>
      <c r="R280">
        <f ca="1"/>
        <v>1.7830447922366699</v>
      </c>
      <c r="S280">
        <f ca="1"/>
        <v>1.4618783266087121E-2</v>
      </c>
      <c r="T280">
        <f ca="1"/>
        <v>0</v>
      </c>
      <c r="U280">
        <f ca="1"/>
        <v>0</v>
      </c>
      <c r="V280">
        <f ca="1"/>
        <v>149.228813058631</v>
      </c>
      <c r="W280">
        <f ca="1"/>
        <v>136.51672898326601</v>
      </c>
      <c r="X280">
        <f ca="1"/>
        <v>0</v>
      </c>
      <c r="Y280">
        <f ca="1"/>
        <v>0.99033249297466586</v>
      </c>
      <c r="Z280">
        <f ca="1"/>
        <v>0</v>
      </c>
      <c r="AA280">
        <f ca="1"/>
        <v>0</v>
      </c>
      <c r="AB280">
        <f ca="1"/>
        <v>0.99999079087881304</v>
      </c>
      <c r="AD280" s="2">
        <f t="shared" ca="1" si="42"/>
        <v>45615</v>
      </c>
      <c r="AE280">
        <f t="shared" ca="1" si="43"/>
        <v>0</v>
      </c>
      <c r="AG280" s="65">
        <f t="shared" ca="1" si="47"/>
        <v>0.18096130406234445</v>
      </c>
      <c r="AH280" s="65">
        <f t="shared" ca="1" si="48"/>
        <v>1.9459099658927799</v>
      </c>
      <c r="AI280" s="3">
        <f t="shared" ca="1" si="49"/>
        <v>1.7649486618304353</v>
      </c>
    </row>
    <row r="281" spans="7:35" x14ac:dyDescent="0.25">
      <c r="G281" s="3">
        <f t="shared" ca="1" si="44"/>
        <v>281</v>
      </c>
      <c r="H281" s="97">
        <f t="shared" ca="1" si="46"/>
        <v>45571</v>
      </c>
      <c r="I281" s="121">
        <f ca="1">HLOOKUP($H$4,'Met Data'!$A$2:$F$368,G281,FALSE)</f>
        <v>12.133333333333301</v>
      </c>
      <c r="J281" s="121">
        <f ca="1">HLOOKUP($H$4,'Met Data'!$H$2:$M$368,G281,FALSE)*L281</f>
        <v>2.5499999999999998</v>
      </c>
      <c r="K281" s="98">
        <f ca="1">HLOOKUP($H$4,'Met Data'!$O$2:$T$368,G281,FALSE)</f>
        <v>2.4929362431341402</v>
      </c>
      <c r="L281">
        <f t="shared" ca="1" si="40"/>
        <v>1.7</v>
      </c>
      <c r="N281" t="b">
        <f t="shared" ca="1" si="45"/>
        <v>0</v>
      </c>
      <c r="O281" t="b">
        <f t="shared" ca="1" si="41"/>
        <v>0</v>
      </c>
      <c r="P281" s="2">
        <f ca="1"/>
        <v>45616</v>
      </c>
      <c r="Q281">
        <f ca="1"/>
        <v>0.15969697245277337</v>
      </c>
      <c r="R281">
        <f ca="1"/>
        <v>1.7366855531821599</v>
      </c>
      <c r="S281">
        <f ca="1"/>
        <v>1.457590684697152E-2</v>
      </c>
      <c r="T281">
        <f ca="1"/>
        <v>0</v>
      </c>
      <c r="U281">
        <f ca="1"/>
        <v>0</v>
      </c>
      <c r="V281">
        <f ca="1"/>
        <v>150.96549861181299</v>
      </c>
      <c r="W281">
        <f ca="1"/>
        <v>138.105474655992</v>
      </c>
      <c r="X281">
        <f ca="1"/>
        <v>0</v>
      </c>
      <c r="Y281">
        <f ca="1"/>
        <v>0.98352826662639248</v>
      </c>
      <c r="Z281">
        <f ca="1"/>
        <v>0</v>
      </c>
      <c r="AA281">
        <f ca="1"/>
        <v>0</v>
      </c>
      <c r="AB281">
        <f ca="1"/>
        <v>0.99999226164773902</v>
      </c>
      <c r="AD281" s="2">
        <f t="shared" ca="1" si="42"/>
        <v>45616</v>
      </c>
      <c r="AE281">
        <f t="shared" ca="1" si="43"/>
        <v>0</v>
      </c>
      <c r="AG281" s="65">
        <f t="shared" ca="1" si="47"/>
        <v>0.17744108050308152</v>
      </c>
      <c r="AH281" s="65">
        <f t="shared" ca="1" si="48"/>
        <v>1.8963825256349334</v>
      </c>
      <c r="AI281" s="3">
        <f t="shared" ca="1" si="49"/>
        <v>1.7189414451318519</v>
      </c>
    </row>
    <row r="282" spans="7:35" x14ac:dyDescent="0.25">
      <c r="G282" s="3">
        <f t="shared" ca="1" si="44"/>
        <v>282</v>
      </c>
      <c r="H282" s="97">
        <f t="shared" ca="1" si="46"/>
        <v>45572</v>
      </c>
      <c r="I282" s="121">
        <f ca="1">HLOOKUP($H$4,'Met Data'!$A$2:$F$368,G282,FALSE)</f>
        <v>11.8708333333333</v>
      </c>
      <c r="J282" s="121">
        <f ca="1">HLOOKUP($H$4,'Met Data'!$H$2:$M$368,G282,FALSE)*L282</f>
        <v>7.111666666666661</v>
      </c>
      <c r="K282" s="98">
        <f ca="1">HLOOKUP($H$4,'Met Data'!$O$2:$T$368,G282,FALSE)</f>
        <v>2.0932595279969002</v>
      </c>
      <c r="L282">
        <f t="shared" ca="1" si="40"/>
        <v>1.7</v>
      </c>
      <c r="N282" t="b">
        <f t="shared" ca="1" si="45"/>
        <v>0</v>
      </c>
      <c r="O282" t="b">
        <f t="shared" ca="1" si="41"/>
        <v>0</v>
      </c>
      <c r="P282" s="2">
        <f ca="1"/>
        <v>45617</v>
      </c>
      <c r="Q282">
        <f ca="1"/>
        <v>0.15681753514243862</v>
      </c>
      <c r="R282">
        <f ca="1"/>
        <v>1.6909011654033499</v>
      </c>
      <c r="S282">
        <f ca="1"/>
        <v>1.4544733261047327E-2</v>
      </c>
      <c r="T282">
        <f ca="1"/>
        <v>0</v>
      </c>
      <c r="U282">
        <f ca="1"/>
        <v>0</v>
      </c>
      <c r="V282">
        <f ca="1"/>
        <v>152.656399777216</v>
      </c>
      <c r="W282">
        <f ca="1"/>
        <v>139.65233609249</v>
      </c>
      <c r="X282">
        <f ca="1"/>
        <v>0</v>
      </c>
      <c r="Y282">
        <f ca="1"/>
        <v>0.97408127343144568</v>
      </c>
      <c r="Z282">
        <f ca="1"/>
        <v>0</v>
      </c>
      <c r="AA282">
        <f ca="1"/>
        <v>0</v>
      </c>
      <c r="AB282">
        <f ca="1"/>
        <v>0.99999350482483895</v>
      </c>
      <c r="AD282" s="2">
        <f t="shared" ca="1" si="42"/>
        <v>45617</v>
      </c>
      <c r="AE282">
        <f t="shared" ca="1" si="43"/>
        <v>0</v>
      </c>
      <c r="AG282" s="65">
        <f t="shared" ca="1" si="47"/>
        <v>0.17424170571382069</v>
      </c>
      <c r="AH282" s="65">
        <f t="shared" ca="1" si="48"/>
        <v>1.8477187005457885</v>
      </c>
      <c r="AI282" s="3">
        <f t="shared" ca="1" si="49"/>
        <v>1.6734769948319679</v>
      </c>
    </row>
    <row r="283" spans="7:35" x14ac:dyDescent="0.25">
      <c r="G283" s="3">
        <f t="shared" ca="1" si="44"/>
        <v>283</v>
      </c>
      <c r="H283" s="97">
        <f t="shared" ca="1" si="46"/>
        <v>45573</v>
      </c>
      <c r="I283" s="121">
        <f ca="1">HLOOKUP($H$4,'Met Data'!$A$2:$F$368,G283,FALSE)</f>
        <v>11.529166666666599</v>
      </c>
      <c r="J283" s="121">
        <f ca="1">HLOOKUP($H$4,'Met Data'!$H$2:$M$368,G283,FALSE)*L283</f>
        <v>3.768333333333322</v>
      </c>
      <c r="K283" s="98">
        <f ca="1">HLOOKUP($H$4,'Met Data'!$O$2:$T$368,G283,FALSE)</f>
        <v>2.3166472445358202</v>
      </c>
      <c r="L283">
        <f t="shared" ca="1" si="40"/>
        <v>1.7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5" t="e">
        <f t="shared" ca="1" si="47"/>
        <v>#N/A</v>
      </c>
      <c r="AH283" s="65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284</v>
      </c>
      <c r="H284" s="97">
        <f t="shared" ca="1" si="46"/>
        <v>45574</v>
      </c>
      <c r="I284" s="121">
        <f ca="1">HLOOKUP($H$4,'Met Data'!$A$2:$F$368,G284,FALSE)</f>
        <v>11.316666666666601</v>
      </c>
      <c r="J284" s="121">
        <f ca="1">HLOOKUP($H$4,'Met Data'!$H$2:$M$368,G284,FALSE)*L284</f>
        <v>5.071666666666661</v>
      </c>
      <c r="K284" s="98">
        <f ca="1">HLOOKUP($H$4,'Met Data'!$O$2:$T$368,G284,FALSE)</f>
        <v>2.57259273420483</v>
      </c>
      <c r="L284">
        <f t="shared" ca="1" si="40"/>
        <v>1.7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5" t="e">
        <f t="shared" ca="1" si="47"/>
        <v>#N/A</v>
      </c>
      <c r="AH284" s="65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285</v>
      </c>
      <c r="H285" s="97">
        <f t="shared" ca="1" si="46"/>
        <v>45575</v>
      </c>
      <c r="I285" s="121">
        <f ca="1">HLOOKUP($H$4,'Met Data'!$A$2:$F$368,G285,FALSE)</f>
        <v>12.466666666666599</v>
      </c>
      <c r="J285" s="121">
        <f ca="1">HLOOKUP($H$4,'Met Data'!$H$2:$M$368,G285,FALSE)*L285</f>
        <v>6.0066666666666606</v>
      </c>
      <c r="K285" s="98">
        <f ca="1">HLOOKUP($H$4,'Met Data'!$O$2:$T$368,G285,FALSE)</f>
        <v>2.44735536591925</v>
      </c>
      <c r="L285">
        <f t="shared" ca="1" si="40"/>
        <v>1.7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5" t="e">
        <f t="shared" ca="1" si="47"/>
        <v>#N/A</v>
      </c>
      <c r="AH285" s="65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286</v>
      </c>
      <c r="H286" s="97">
        <f t="shared" ca="1" si="46"/>
        <v>45576</v>
      </c>
      <c r="I286" s="121">
        <f ca="1">HLOOKUP($H$4,'Met Data'!$A$2:$F$368,G286,FALSE)</f>
        <v>12.566666666666601</v>
      </c>
      <c r="J286" s="121">
        <f ca="1">HLOOKUP($H$4,'Met Data'!$H$2:$M$368,G286,FALSE)*L286</f>
        <v>3.2016666666666609</v>
      </c>
      <c r="K286" s="98">
        <f ca="1">HLOOKUP($H$4,'Met Data'!$O$2:$T$368,G286,FALSE)</f>
        <v>2.6706436990123898</v>
      </c>
      <c r="L286">
        <f t="shared" ca="1" si="40"/>
        <v>1.7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5" t="e">
        <f t="shared" ca="1" si="47"/>
        <v>#N/A</v>
      </c>
      <c r="AH286" s="65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287</v>
      </c>
      <c r="H287" s="97">
        <f t="shared" ca="1" si="46"/>
        <v>45577</v>
      </c>
      <c r="I287" s="121">
        <f ca="1">HLOOKUP($H$4,'Met Data'!$A$2:$F$368,G287,FALSE)</f>
        <v>12.133333333333301</v>
      </c>
      <c r="J287" s="121">
        <f ca="1">HLOOKUP($H$4,'Met Data'!$H$2:$M$368,G287,FALSE)*L287</f>
        <v>4.5333333333333217</v>
      </c>
      <c r="K287" s="98">
        <f ca="1">HLOOKUP($H$4,'Met Data'!$O$2:$T$368,G287,FALSE)</f>
        <v>1.9257972512671799</v>
      </c>
      <c r="L287">
        <f t="shared" ca="1" si="40"/>
        <v>1.7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5" t="e">
        <f t="shared" ca="1" si="47"/>
        <v>#N/A</v>
      </c>
      <c r="AH287" s="65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288</v>
      </c>
      <c r="H288" s="97">
        <f t="shared" ca="1" si="46"/>
        <v>45578</v>
      </c>
      <c r="I288" s="121">
        <f ca="1">HLOOKUP($H$4,'Met Data'!$A$2:$F$368,G288,FALSE)</f>
        <v>12.762499999999999</v>
      </c>
      <c r="J288" s="121">
        <f ca="1">HLOOKUP($H$4,'Met Data'!$H$2:$M$368,G288,FALSE)*L288</f>
        <v>6.1766666666666614</v>
      </c>
      <c r="K288" s="98">
        <f ca="1">HLOOKUP($H$4,'Met Data'!$O$2:$T$368,G288,FALSE)</f>
        <v>2.2182002807721002</v>
      </c>
      <c r="L288">
        <f t="shared" ca="1" si="40"/>
        <v>1.7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5" t="e">
        <f t="shared" ca="1" si="47"/>
        <v>#N/A</v>
      </c>
      <c r="AH288" s="65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289</v>
      </c>
      <c r="H289" s="97">
        <f t="shared" ca="1" si="46"/>
        <v>45579</v>
      </c>
      <c r="I289" s="121">
        <f ca="1">HLOOKUP($H$4,'Met Data'!$A$2:$F$368,G289,FALSE)</f>
        <v>12.675000000000001</v>
      </c>
      <c r="J289" s="121">
        <f ca="1">HLOOKUP($H$4,'Met Data'!$H$2:$M$368,G289,FALSE)*L289</f>
        <v>7.1683333333333215</v>
      </c>
      <c r="K289" s="98">
        <f ca="1">HLOOKUP($H$4,'Met Data'!$O$2:$T$368,G289,FALSE)</f>
        <v>2.3809243707544998</v>
      </c>
      <c r="L289">
        <f t="shared" ca="1" si="40"/>
        <v>1.7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5" t="e">
        <f t="shared" ca="1" si="47"/>
        <v>#N/A</v>
      </c>
      <c r="AH289" s="65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290</v>
      </c>
      <c r="H290" s="97">
        <f t="shared" ca="1" si="46"/>
        <v>45580</v>
      </c>
      <c r="I290" s="121">
        <f ca="1">HLOOKUP($H$4,'Met Data'!$A$2:$F$368,G290,FALSE)</f>
        <v>12.3041666666666</v>
      </c>
      <c r="J290" s="121">
        <f ca="1">HLOOKUP($H$4,'Met Data'!$H$2:$M$368,G290,FALSE)*L290</f>
        <v>2.4933333333333216</v>
      </c>
      <c r="K290" s="98">
        <f ca="1">HLOOKUP($H$4,'Met Data'!$O$2:$T$368,G290,FALSE)</f>
        <v>2.7800377367024298</v>
      </c>
      <c r="L290">
        <f t="shared" ca="1" si="40"/>
        <v>1.7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5" t="e">
        <f t="shared" ca="1" si="47"/>
        <v>#N/A</v>
      </c>
      <c r="AH290" s="65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291</v>
      </c>
      <c r="H291" s="97">
        <f t="shared" ca="1" si="46"/>
        <v>45581</v>
      </c>
      <c r="I291" s="121">
        <f ca="1">HLOOKUP($H$4,'Met Data'!$A$2:$F$368,G291,FALSE)</f>
        <v>12.987499999999899</v>
      </c>
      <c r="J291" s="121">
        <f ca="1">HLOOKUP($H$4,'Met Data'!$H$2:$M$368,G291,FALSE)*L291</f>
        <v>4.6749999999999998</v>
      </c>
      <c r="K291" s="98">
        <f ca="1">HLOOKUP($H$4,'Met Data'!$O$2:$T$368,G291,FALSE)</f>
        <v>2.65151934906442</v>
      </c>
      <c r="L291">
        <f t="shared" ca="1" si="40"/>
        <v>1.7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5" t="e">
        <f t="shared" ca="1" si="47"/>
        <v>#N/A</v>
      </c>
      <c r="AH291" s="65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292</v>
      </c>
      <c r="H292" s="97">
        <f t="shared" ca="1" si="46"/>
        <v>45582</v>
      </c>
      <c r="I292" s="121">
        <f ca="1">HLOOKUP($H$4,'Met Data'!$A$2:$F$368,G292,FALSE)</f>
        <v>12.7416666666666</v>
      </c>
      <c r="J292" s="121">
        <f ca="1">HLOOKUP($H$4,'Met Data'!$H$2:$M$368,G292,FALSE)*L292</f>
        <v>5.2133333333333223</v>
      </c>
      <c r="K292" s="98">
        <f ca="1">HLOOKUP($H$4,'Met Data'!$O$2:$T$368,G292,FALSE)</f>
        <v>2.2346438003254501</v>
      </c>
      <c r="L292">
        <f t="shared" ca="1" si="40"/>
        <v>1.7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5" t="e">
        <f t="shared" ca="1" si="47"/>
        <v>#N/A</v>
      </c>
      <c r="AH292" s="65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293</v>
      </c>
      <c r="H293" s="97">
        <f t="shared" ca="1" si="46"/>
        <v>45583</v>
      </c>
      <c r="I293" s="121">
        <f ca="1">HLOOKUP($H$4,'Met Data'!$A$2:$F$368,G293,FALSE)</f>
        <v>12.154166666666599</v>
      </c>
      <c r="J293" s="121">
        <f ca="1">HLOOKUP($H$4,'Met Data'!$H$2:$M$368,G293,FALSE)*L293</f>
        <v>1.87</v>
      </c>
      <c r="K293" s="98">
        <f ca="1">HLOOKUP($H$4,'Met Data'!$O$2:$T$368,G293,FALSE)</f>
        <v>2.9905003990183601</v>
      </c>
      <c r="L293">
        <f t="shared" ca="1" si="40"/>
        <v>1.7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5" t="e">
        <f t="shared" ca="1" si="47"/>
        <v>#N/A</v>
      </c>
      <c r="AH293" s="65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294</v>
      </c>
      <c r="H294" s="97">
        <f t="shared" ca="1" si="46"/>
        <v>45584</v>
      </c>
      <c r="I294" s="121">
        <f ca="1">HLOOKUP($H$4,'Met Data'!$A$2:$F$368,G294,FALSE)</f>
        <v>12.6666666666666</v>
      </c>
      <c r="J294" s="121">
        <f ca="1">HLOOKUP($H$4,'Met Data'!$H$2:$M$368,G294,FALSE)*L294</f>
        <v>1.926666666666661</v>
      </c>
      <c r="K294" s="98">
        <f ca="1">HLOOKUP($H$4,'Met Data'!$O$2:$T$368,G294,FALSE)</f>
        <v>2.7134262355768599</v>
      </c>
      <c r="L294">
        <f t="shared" ca="1" si="40"/>
        <v>1.7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5" t="e">
        <f t="shared" ca="1" si="47"/>
        <v>#N/A</v>
      </c>
      <c r="AH294" s="65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295</v>
      </c>
      <c r="H295" s="97">
        <f t="shared" ca="1" si="46"/>
        <v>45585</v>
      </c>
      <c r="I295" s="121">
        <f ca="1">HLOOKUP($H$4,'Met Data'!$A$2:$F$368,G295,FALSE)</f>
        <v>12.4916666666666</v>
      </c>
      <c r="J295" s="121">
        <f ca="1">HLOOKUP($H$4,'Met Data'!$H$2:$M$368,G295,FALSE)*L295</f>
        <v>0.8783333333333323</v>
      </c>
      <c r="K295" s="98">
        <f ca="1">HLOOKUP($H$4,'Met Data'!$O$2:$T$368,G295,FALSE)</f>
        <v>2.2874725559703002</v>
      </c>
      <c r="L295">
        <f t="shared" ca="1" si="40"/>
        <v>1.7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5" t="e">
        <f t="shared" ca="1" si="47"/>
        <v>#N/A</v>
      </c>
      <c r="AH295" s="65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296</v>
      </c>
      <c r="H296" s="97">
        <f t="shared" ca="1" si="46"/>
        <v>45586</v>
      </c>
      <c r="I296" s="121">
        <f ca="1">HLOOKUP($H$4,'Met Data'!$A$2:$F$368,G296,FALSE)</f>
        <v>12.925000000000001</v>
      </c>
      <c r="J296" s="121">
        <f ca="1">HLOOKUP($H$4,'Met Data'!$H$2:$M$368,G296,FALSE)*L296</f>
        <v>6.3183333333333218</v>
      </c>
      <c r="K296" s="98">
        <f ca="1">HLOOKUP($H$4,'Met Data'!$O$2:$T$368,G296,FALSE)</f>
        <v>2.31884542682567</v>
      </c>
      <c r="L296">
        <f t="shared" ca="1" si="40"/>
        <v>1.7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5" t="e">
        <f t="shared" ca="1" si="47"/>
        <v>#N/A</v>
      </c>
      <c r="AH296" s="65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297</v>
      </c>
      <c r="H297" s="97">
        <f t="shared" ca="1" si="46"/>
        <v>45587</v>
      </c>
      <c r="I297" s="121">
        <f ca="1">HLOOKUP($H$4,'Met Data'!$A$2:$F$368,G297,FALSE)</f>
        <v>12.2291666666666</v>
      </c>
      <c r="J297" s="121">
        <f ca="1">HLOOKUP($H$4,'Met Data'!$H$2:$M$368,G297,FALSE)*L297</f>
        <v>4.8166666666666611</v>
      </c>
      <c r="K297" s="98">
        <f ca="1">HLOOKUP($H$4,'Met Data'!$O$2:$T$368,G297,FALSE)</f>
        <v>2.7150999093147798</v>
      </c>
      <c r="L297">
        <f t="shared" ca="1" si="40"/>
        <v>1.7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5" t="e">
        <f t="shared" ca="1" si="47"/>
        <v>#N/A</v>
      </c>
      <c r="AH297" s="65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298</v>
      </c>
      <c r="H298" s="97">
        <f t="shared" ca="1" si="46"/>
        <v>45588</v>
      </c>
      <c r="I298" s="121">
        <f ca="1">HLOOKUP($H$4,'Met Data'!$A$2:$F$368,G298,FALSE)</f>
        <v>12.2708333333333</v>
      </c>
      <c r="J298" s="121">
        <f ca="1">HLOOKUP($H$4,'Met Data'!$H$2:$M$368,G298,FALSE)*L298</f>
        <v>1.4449999999999998</v>
      </c>
      <c r="K298" s="98">
        <f ca="1">HLOOKUP($H$4,'Met Data'!$O$2:$T$368,G298,FALSE)</f>
        <v>2.95103134032406</v>
      </c>
      <c r="L298">
        <f t="shared" ca="1" si="40"/>
        <v>1.7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5" t="e">
        <f t="shared" ca="1" si="47"/>
        <v>#N/A</v>
      </c>
      <c r="AH298" s="65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299</v>
      </c>
      <c r="H299" s="97">
        <f t="shared" ca="1" si="46"/>
        <v>45589</v>
      </c>
      <c r="I299" s="121">
        <f ca="1">HLOOKUP($H$4,'Met Data'!$A$2:$F$368,G299,FALSE)</f>
        <v>12.858333333333301</v>
      </c>
      <c r="J299" s="121">
        <f ca="1">HLOOKUP($H$4,'Met Data'!$H$2:$M$368,G299,FALSE)*L299</f>
        <v>1.756666666666661</v>
      </c>
      <c r="K299" s="98">
        <f ca="1">HLOOKUP($H$4,'Met Data'!$O$2:$T$368,G299,FALSE)</f>
        <v>2.6842724832832401</v>
      </c>
      <c r="L299">
        <f t="shared" ca="1" si="40"/>
        <v>1.7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5" t="e">
        <f t="shared" ca="1" si="47"/>
        <v>#N/A</v>
      </c>
      <c r="AH299" s="65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300</v>
      </c>
      <c r="H300" s="97">
        <f t="shared" ca="1" si="46"/>
        <v>45590</v>
      </c>
      <c r="I300" s="121">
        <f ca="1">HLOOKUP($H$4,'Met Data'!$A$2:$F$368,G300,FALSE)</f>
        <v>13.7708333333333</v>
      </c>
      <c r="J300" s="121">
        <f ca="1">HLOOKUP($H$4,'Met Data'!$H$2:$M$368,G300,FALSE)*L300</f>
        <v>5.978333333333322</v>
      </c>
      <c r="K300" s="98">
        <f ca="1">HLOOKUP($H$4,'Met Data'!$O$2:$T$368,G300,FALSE)</f>
        <v>2.91343955355575</v>
      </c>
      <c r="L300">
        <f t="shared" ca="1" si="40"/>
        <v>1.7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5" t="e">
        <f t="shared" ca="1" si="47"/>
        <v>#N/A</v>
      </c>
      <c r="AH300" s="65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301</v>
      </c>
      <c r="H301" s="97">
        <f t="shared" ca="1" si="46"/>
        <v>45591</v>
      </c>
      <c r="I301" s="121">
        <f ca="1">HLOOKUP($H$4,'Met Data'!$A$2:$F$368,G301,FALSE)</f>
        <v>13.899999999999901</v>
      </c>
      <c r="J301" s="121">
        <f ca="1">HLOOKUP($H$4,'Met Data'!$H$2:$M$368,G301,FALSE)*L301</f>
        <v>8.0749999999999993</v>
      </c>
      <c r="K301" s="98">
        <f ca="1">HLOOKUP($H$4,'Met Data'!$O$2:$T$368,G301,FALSE)</f>
        <v>2.4549016141153701</v>
      </c>
      <c r="L301">
        <f t="shared" ca="1" si="40"/>
        <v>1.7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5" t="e">
        <f t="shared" ca="1" si="47"/>
        <v>#N/A</v>
      </c>
      <c r="AH301" s="65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302</v>
      </c>
      <c r="H302" s="97">
        <f t="shared" ca="1" si="46"/>
        <v>45592</v>
      </c>
      <c r="I302" s="121">
        <f ca="1">HLOOKUP($H$4,'Met Data'!$A$2:$F$368,G302,FALSE)</f>
        <v>13.425000000000001</v>
      </c>
      <c r="J302" s="121">
        <f ca="1">HLOOKUP($H$4,'Met Data'!$H$2:$M$368,G302,FALSE)*L302</f>
        <v>9.5766666666666609</v>
      </c>
      <c r="K302" s="98">
        <f ca="1">HLOOKUP($H$4,'Met Data'!$O$2:$T$368,G302,FALSE)</f>
        <v>2.5803220554406501</v>
      </c>
      <c r="L302">
        <f t="shared" ca="1" si="40"/>
        <v>1.7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5" t="e">
        <f t="shared" ca="1" si="47"/>
        <v>#N/A</v>
      </c>
      <c r="AH302" s="65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303</v>
      </c>
      <c r="H303" s="97">
        <f t="shared" ca="1" si="46"/>
        <v>45593</v>
      </c>
      <c r="I303" s="121">
        <f ca="1">HLOOKUP($H$4,'Met Data'!$A$2:$F$368,G303,FALSE)</f>
        <v>13.9625</v>
      </c>
      <c r="J303" s="121">
        <f ca="1">HLOOKUP($H$4,'Met Data'!$H$2:$M$368,G303,FALSE)*L303</f>
        <v>6.4316666666666613</v>
      </c>
      <c r="K303" s="98">
        <f ca="1">HLOOKUP($H$4,'Met Data'!$O$2:$T$368,G303,FALSE)</f>
        <v>2.91115304555708</v>
      </c>
      <c r="L303">
        <f t="shared" ca="1" si="40"/>
        <v>1.7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5" t="e">
        <f t="shared" ca="1" si="47"/>
        <v>#N/A</v>
      </c>
      <c r="AH303" s="65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304</v>
      </c>
      <c r="H304" s="97">
        <f t="shared" ca="1" si="46"/>
        <v>45594</v>
      </c>
      <c r="I304" s="121">
        <f ca="1">HLOOKUP($H$4,'Met Data'!$A$2:$F$368,G304,FALSE)</f>
        <v>13.045833333333301</v>
      </c>
      <c r="J304" s="121">
        <f ca="1">HLOOKUP($H$4,'Met Data'!$H$2:$M$368,G304,FALSE)*L304</f>
        <v>0.67999999999999827</v>
      </c>
      <c r="K304" s="98">
        <f ca="1">HLOOKUP($H$4,'Met Data'!$O$2:$T$368,G304,FALSE)</f>
        <v>3.19138361024571</v>
      </c>
      <c r="L304">
        <f t="shared" ca="1" si="40"/>
        <v>1.7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5" t="e">
        <f t="shared" ca="1" si="47"/>
        <v>#N/A</v>
      </c>
      <c r="AH304" s="65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305</v>
      </c>
      <c r="H305" s="97">
        <f t="shared" ca="1" si="46"/>
        <v>45595</v>
      </c>
      <c r="I305" s="121">
        <f ca="1">HLOOKUP($H$4,'Met Data'!$A$2:$F$368,G305,FALSE)</f>
        <v>12.6166666666666</v>
      </c>
      <c r="J305" s="121">
        <f ca="1">HLOOKUP($H$4,'Met Data'!$H$2:$M$368,G305,FALSE)*L305</f>
        <v>5.893333333333322</v>
      </c>
      <c r="K305" s="98">
        <f ca="1">HLOOKUP($H$4,'Met Data'!$O$2:$T$368,G305,FALSE)</f>
        <v>3.1814806222099299</v>
      </c>
      <c r="L305">
        <f t="shared" ca="1" si="40"/>
        <v>1.7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5" t="e">
        <f t="shared" ca="1" si="47"/>
        <v>#N/A</v>
      </c>
      <c r="AH305" s="65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306</v>
      </c>
      <c r="H306" s="97">
        <f t="shared" ca="1" si="46"/>
        <v>45596</v>
      </c>
      <c r="I306" s="121">
        <f ca="1">HLOOKUP($H$4,'Met Data'!$A$2:$F$368,G306,FALSE)</f>
        <v>12.4791666666666</v>
      </c>
      <c r="J306" s="121">
        <f ca="1">HLOOKUP($H$4,'Met Data'!$H$2:$M$368,G306,FALSE)*L306</f>
        <v>4.5616666666666612</v>
      </c>
      <c r="K306" s="98">
        <f ca="1">HLOOKUP($H$4,'Met Data'!$O$2:$T$368,G306,FALSE)</f>
        <v>3.1007141373476301</v>
      </c>
      <c r="L306">
        <f t="shared" ca="1" si="40"/>
        <v>1.7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5" t="e">
        <f t="shared" ca="1" si="47"/>
        <v>#N/A</v>
      </c>
      <c r="AH306" s="65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307</v>
      </c>
      <c r="H307" s="97">
        <f t="shared" ca="1" si="46"/>
        <v>45597</v>
      </c>
      <c r="I307" s="121">
        <f ca="1">HLOOKUP($H$4,'Met Data'!$A$2:$F$368,G307,FALSE)</f>
        <v>13.3125</v>
      </c>
      <c r="J307" s="121">
        <f ca="1">HLOOKUP($H$4,'Met Data'!$H$2:$M$368,G307,FALSE)*L307</f>
        <v>2.861666666666661</v>
      </c>
      <c r="K307" s="98">
        <f ca="1">HLOOKUP($H$4,'Met Data'!$O$2:$T$368,G307,FALSE)</f>
        <v>3.50405600149278</v>
      </c>
      <c r="L307">
        <f t="shared" ca="1" si="40"/>
        <v>1.7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5" t="e">
        <f t="shared" ca="1" si="47"/>
        <v>#N/A</v>
      </c>
      <c r="AH307" s="65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308</v>
      </c>
      <c r="H308" s="97">
        <f t="shared" ca="1" si="46"/>
        <v>45598</v>
      </c>
      <c r="I308" s="121">
        <f ca="1">HLOOKUP($H$4,'Met Data'!$A$2:$F$368,G308,FALSE)</f>
        <v>14.35</v>
      </c>
      <c r="J308" s="121">
        <f ca="1">HLOOKUP($H$4,'Met Data'!$H$2:$M$368,G308,FALSE)*L308</f>
        <v>8.7266666666666612</v>
      </c>
      <c r="K308" s="98">
        <f ca="1">HLOOKUP($H$4,'Met Data'!$O$2:$T$368,G308,FALSE)</f>
        <v>2.61745839191309</v>
      </c>
      <c r="L308">
        <f t="shared" ca="1" si="40"/>
        <v>1.7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5" t="e">
        <f t="shared" ca="1" si="47"/>
        <v>#N/A</v>
      </c>
      <c r="AH308" s="65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309</v>
      </c>
      <c r="H309" s="97">
        <f t="shared" ca="1" si="46"/>
        <v>45599</v>
      </c>
      <c r="I309" s="121">
        <f ca="1">HLOOKUP($H$4,'Met Data'!$A$2:$F$368,G309,FALSE)</f>
        <v>13.875</v>
      </c>
      <c r="J309" s="121">
        <f ca="1">HLOOKUP($H$4,'Met Data'!$H$2:$M$368,G309,FALSE)*L309</f>
        <v>3.1733333333333218</v>
      </c>
      <c r="K309" s="98">
        <f ca="1">HLOOKUP($H$4,'Met Data'!$O$2:$T$368,G309,FALSE)</f>
        <v>2.7392607073945601</v>
      </c>
      <c r="L309">
        <f t="shared" ca="1" si="40"/>
        <v>1.7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5" t="e">
        <f t="shared" ca="1" si="47"/>
        <v>#N/A</v>
      </c>
      <c r="AH309" s="65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310</v>
      </c>
      <c r="H310" s="97">
        <f t="shared" ca="1" si="46"/>
        <v>45600</v>
      </c>
      <c r="I310" s="121">
        <f ca="1">HLOOKUP($H$4,'Met Data'!$A$2:$F$368,G310,FALSE)</f>
        <v>13.316666666666601</v>
      </c>
      <c r="J310" s="121">
        <f ca="1">HLOOKUP($H$4,'Met Data'!$H$2:$M$368,G310,FALSE)*L310</f>
        <v>1.926666666666661</v>
      </c>
      <c r="K310" s="98">
        <f ca="1">HLOOKUP($H$4,'Met Data'!$O$2:$T$368,G310,FALSE)</f>
        <v>3.4135545366379101</v>
      </c>
      <c r="L310">
        <f t="shared" ca="1" si="40"/>
        <v>1.7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5" t="e">
        <f t="shared" ca="1" si="47"/>
        <v>#N/A</v>
      </c>
      <c r="AH310" s="65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311</v>
      </c>
      <c r="H311" s="97">
        <f t="shared" ca="1" si="46"/>
        <v>45601</v>
      </c>
      <c r="I311" s="121">
        <f ca="1">HLOOKUP($H$4,'Met Data'!$A$2:$F$368,G311,FALSE)</f>
        <v>13.1454545454545</v>
      </c>
      <c r="J311" s="121">
        <f ca="1">HLOOKUP($H$4,'Met Data'!$H$2:$M$368,G311,FALSE)*L311</f>
        <v>0.80363636363636237</v>
      </c>
      <c r="K311" s="98">
        <f ca="1">HLOOKUP($H$4,'Met Data'!$O$2:$T$368,G311,FALSE)</f>
        <v>3.2963131788019302</v>
      </c>
      <c r="L311">
        <f t="shared" ca="1" si="40"/>
        <v>1.7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5" t="e">
        <f t="shared" ca="1" si="47"/>
        <v>#N/A</v>
      </c>
      <c r="AH311" s="65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312</v>
      </c>
      <c r="H312" s="97">
        <f t="shared" ca="1" si="46"/>
        <v>45602</v>
      </c>
      <c r="I312" s="121">
        <f ca="1">HLOOKUP($H$4,'Met Data'!$A$2:$F$368,G312,FALSE)</f>
        <v>13.4166666666666</v>
      </c>
      <c r="J312" s="121">
        <f ca="1">HLOOKUP($H$4,'Met Data'!$H$2:$M$368,G312,FALSE)*L312</f>
        <v>3.9950000000000001</v>
      </c>
      <c r="K312" s="98">
        <f ca="1">HLOOKUP($H$4,'Met Data'!$O$2:$T$368,G312,FALSE)</f>
        <v>3.43315852526095</v>
      </c>
      <c r="L312">
        <f t="shared" ca="1" si="40"/>
        <v>1.7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5" t="e">
        <f t="shared" ca="1" si="47"/>
        <v>#N/A</v>
      </c>
      <c r="AH312" s="65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313</v>
      </c>
      <c r="H313" s="97">
        <f t="shared" ca="1" si="46"/>
        <v>45603</v>
      </c>
      <c r="I313" s="121">
        <f ca="1">HLOOKUP($H$4,'Met Data'!$A$2:$F$368,G313,FALSE)</f>
        <v>13.8708333333333</v>
      </c>
      <c r="J313" s="121">
        <f ca="1">HLOOKUP($H$4,'Met Data'!$H$2:$M$368,G313,FALSE)*L313</f>
        <v>4.8733333333333215</v>
      </c>
      <c r="K313" s="98">
        <f ca="1">HLOOKUP($H$4,'Met Data'!$O$2:$T$368,G313,FALSE)</f>
        <v>3.09770464623969</v>
      </c>
      <c r="L313">
        <f t="shared" ca="1" si="40"/>
        <v>1.7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5" t="e">
        <f t="shared" ca="1" si="47"/>
        <v>#N/A</v>
      </c>
      <c r="AH313" s="65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314</v>
      </c>
      <c r="H314" s="97">
        <f t="shared" ca="1" si="46"/>
        <v>45604</v>
      </c>
      <c r="I314" s="121">
        <f ca="1">HLOOKUP($H$4,'Met Data'!$A$2:$F$368,G314,FALSE)</f>
        <v>14.158333333333299</v>
      </c>
      <c r="J314" s="121">
        <f ca="1">HLOOKUP($H$4,'Met Data'!$H$2:$M$368,G314,FALSE)*L314</f>
        <v>5.4683333333333222</v>
      </c>
      <c r="K314" s="98">
        <f ca="1">HLOOKUP($H$4,'Met Data'!$O$2:$T$368,G314,FALSE)</f>
        <v>3.3024968395707299</v>
      </c>
      <c r="L314">
        <f t="shared" ca="1" si="40"/>
        <v>1.7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5" t="e">
        <f t="shared" ca="1" si="47"/>
        <v>#N/A</v>
      </c>
      <c r="AH314" s="65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315</v>
      </c>
      <c r="H315" s="97">
        <f t="shared" ca="1" si="46"/>
        <v>45605</v>
      </c>
      <c r="I315" s="121">
        <f ca="1">HLOOKUP($H$4,'Met Data'!$A$2:$F$368,G315,FALSE)</f>
        <v>13.6666666666666</v>
      </c>
      <c r="J315" s="121">
        <f ca="1">HLOOKUP($H$4,'Met Data'!$H$2:$M$368,G315,FALSE)*L315</f>
        <v>3.4849999999999994</v>
      </c>
      <c r="K315" s="98">
        <f ca="1">HLOOKUP($H$4,'Met Data'!$O$2:$T$368,G315,FALSE)</f>
        <v>2.6586912182490101</v>
      </c>
      <c r="L315">
        <f t="shared" ca="1" si="40"/>
        <v>1.7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5" t="e">
        <f t="shared" ca="1" si="47"/>
        <v>#N/A</v>
      </c>
      <c r="AH315" s="65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316</v>
      </c>
      <c r="H316" s="97">
        <f t="shared" ca="1" si="46"/>
        <v>45606</v>
      </c>
      <c r="I316" s="121">
        <f ca="1">HLOOKUP($H$4,'Met Data'!$A$2:$F$368,G316,FALSE)</f>
        <v>13.8958333333333</v>
      </c>
      <c r="J316" s="121">
        <f ca="1">HLOOKUP($H$4,'Met Data'!$H$2:$M$368,G316,FALSE)*L316</f>
        <v>6.714999999999983</v>
      </c>
      <c r="K316" s="98">
        <f ca="1">HLOOKUP($H$4,'Met Data'!$O$2:$T$368,G316,FALSE)</f>
        <v>2.87577977788037</v>
      </c>
      <c r="L316">
        <f t="shared" ca="1" si="40"/>
        <v>1.7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5" t="e">
        <f t="shared" ca="1" si="47"/>
        <v>#N/A</v>
      </c>
      <c r="AH316" s="65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317</v>
      </c>
      <c r="H317" s="97">
        <f t="shared" ca="1" si="46"/>
        <v>45607</v>
      </c>
      <c r="I317" s="121">
        <f ca="1">HLOOKUP($H$4,'Met Data'!$A$2:$F$368,G317,FALSE)</f>
        <v>13.0625</v>
      </c>
      <c r="J317" s="121">
        <f ca="1">HLOOKUP($H$4,'Met Data'!$H$2:$M$368,G317,FALSE)*L317</f>
        <v>5.2133333333333223</v>
      </c>
      <c r="K317" s="98">
        <f ca="1">HLOOKUP($H$4,'Met Data'!$O$2:$T$368,G317,FALSE)</f>
        <v>2.8947392121826798</v>
      </c>
      <c r="L317">
        <f t="shared" ca="1" si="40"/>
        <v>1.7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5" t="e">
        <f t="shared" ca="1" si="47"/>
        <v>#N/A</v>
      </c>
      <c r="AH317" s="65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318</v>
      </c>
      <c r="H318" s="97">
        <f t="shared" ca="1" si="46"/>
        <v>45608</v>
      </c>
      <c r="I318" s="121">
        <f ca="1">HLOOKUP($H$4,'Met Data'!$A$2:$F$368,G318,FALSE)</f>
        <v>12.55</v>
      </c>
      <c r="J318" s="121">
        <f ca="1">HLOOKUP($H$4,'Met Data'!$H$2:$M$368,G318,FALSE)*L318</f>
        <v>2.04</v>
      </c>
      <c r="K318" s="98">
        <f ca="1">HLOOKUP($H$4,'Met Data'!$O$2:$T$368,G318,FALSE)</f>
        <v>3.2727192045008802</v>
      </c>
      <c r="L318">
        <f t="shared" ca="1" si="40"/>
        <v>1.7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5" t="e">
        <f t="shared" ca="1" si="47"/>
        <v>#N/A</v>
      </c>
      <c r="AH318" s="65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319</v>
      </c>
      <c r="H319" s="97">
        <f t="shared" ca="1" si="46"/>
        <v>45609</v>
      </c>
      <c r="I319" s="121">
        <f ca="1">HLOOKUP($H$4,'Met Data'!$A$2:$F$368,G319,FALSE)</f>
        <v>12.591666666666599</v>
      </c>
      <c r="J319" s="121">
        <f ca="1">HLOOKUP($H$4,'Met Data'!$H$2:$M$368,G319,FALSE)*L319</f>
        <v>2.125</v>
      </c>
      <c r="K319" s="98">
        <f ca="1">HLOOKUP($H$4,'Met Data'!$O$2:$T$368,G319,FALSE)</f>
        <v>3.2542764283054399</v>
      </c>
      <c r="L319">
        <f t="shared" ca="1" si="40"/>
        <v>1.7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5" t="e">
        <f t="shared" ca="1" si="47"/>
        <v>#N/A</v>
      </c>
      <c r="AH319" s="65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320</v>
      </c>
      <c r="H320" s="97">
        <f t="shared" ca="1" si="46"/>
        <v>45610</v>
      </c>
      <c r="I320" s="121">
        <f ca="1">HLOOKUP($H$4,'Met Data'!$A$2:$F$368,G320,FALSE)</f>
        <v>13.462499999999901</v>
      </c>
      <c r="J320" s="121">
        <f ca="1">HLOOKUP($H$4,'Met Data'!$H$2:$M$368,G320,FALSE)*L320</f>
        <v>3.5133333333333221</v>
      </c>
      <c r="K320" s="98">
        <f ca="1">HLOOKUP($H$4,'Met Data'!$O$2:$T$368,G320,FALSE)</f>
        <v>3.39036465144653</v>
      </c>
      <c r="L320">
        <f t="shared" ca="1" si="40"/>
        <v>1.7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5" t="e">
        <f t="shared" ca="1" si="47"/>
        <v>#N/A</v>
      </c>
      <c r="AH320" s="65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321</v>
      </c>
      <c r="H321" s="97">
        <f t="shared" ca="1" si="46"/>
        <v>45611</v>
      </c>
      <c r="I321" s="121">
        <f ca="1">HLOOKUP($H$4,'Met Data'!$A$2:$F$368,G321,FALSE)</f>
        <v>14.7458333333333</v>
      </c>
      <c r="J321" s="121">
        <f ca="1">HLOOKUP($H$4,'Met Data'!$H$2:$M$368,G321,FALSE)*L321</f>
        <v>8.8683333333333216</v>
      </c>
      <c r="K321" s="98">
        <f ca="1">HLOOKUP($H$4,'Met Data'!$O$2:$T$368,G321,FALSE)</f>
        <v>3.3940384004400501</v>
      </c>
      <c r="L321">
        <f t="shared" ca="1" si="40"/>
        <v>1.7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5" t="e">
        <f t="shared" ca="1" si="47"/>
        <v>#N/A</v>
      </c>
      <c r="AH321" s="65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322</v>
      </c>
      <c r="H322" s="97">
        <f t="shared" ca="1" si="46"/>
        <v>45612</v>
      </c>
      <c r="I322" s="121">
        <f ca="1">HLOOKUP($H$4,'Met Data'!$A$2:$F$368,G322,FALSE)</f>
        <v>14.945833333333301</v>
      </c>
      <c r="J322" s="121">
        <f ca="1">HLOOKUP($H$4,'Met Data'!$H$2:$M$368,G322,FALSE)*L322</f>
        <v>9.0666666666666611</v>
      </c>
      <c r="K322" s="98">
        <f ca="1">HLOOKUP($H$4,'Met Data'!$O$2:$T$368,G322,FALSE)</f>
        <v>2.86263659321907</v>
      </c>
      <c r="L322">
        <f t="shared" ca="1" si="40"/>
        <v>1.7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5" t="e">
        <f t="shared" ca="1" si="47"/>
        <v>#N/A</v>
      </c>
      <c r="AH322" s="65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323</v>
      </c>
      <c r="H323" s="97">
        <f t="shared" ca="1" si="46"/>
        <v>45613</v>
      </c>
      <c r="I323" s="121">
        <f ca="1">HLOOKUP($H$4,'Met Data'!$A$2:$F$368,G323,FALSE)</f>
        <v>14.45</v>
      </c>
      <c r="J323" s="121">
        <f ca="1">HLOOKUP($H$4,'Met Data'!$H$2:$M$368,G323,FALSE)*L323</f>
        <v>10.341666666666661</v>
      </c>
      <c r="K323" s="98">
        <f ca="1">HLOOKUP($H$4,'Met Data'!$O$2:$T$368,G323,FALSE)</f>
        <v>3.2654882571522399</v>
      </c>
      <c r="L323">
        <f t="shared" ca="1" si="40"/>
        <v>1.7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5" t="e">
        <f t="shared" ca="1" si="47"/>
        <v>#N/A</v>
      </c>
      <c r="AH323" s="65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324</v>
      </c>
      <c r="H324" s="97">
        <f t="shared" ca="1" si="46"/>
        <v>45614</v>
      </c>
      <c r="I324" s="121">
        <f ca="1">HLOOKUP($H$4,'Met Data'!$A$2:$F$368,G324,FALSE)</f>
        <v>13.941666666666601</v>
      </c>
      <c r="J324" s="121">
        <f ca="1">HLOOKUP($H$4,'Met Data'!$H$2:$M$368,G324,FALSE)*L324</f>
        <v>1.671666666666666</v>
      </c>
      <c r="K324" s="98">
        <f ca="1">HLOOKUP($H$4,'Met Data'!$O$2:$T$368,G324,FALSE)</f>
        <v>3.5976260978488002</v>
      </c>
      <c r="L324">
        <f t="shared" ca="1" si="40"/>
        <v>1.7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5" t="e">
        <f t="shared" ca="1" si="47"/>
        <v>#N/A</v>
      </c>
      <c r="AH324" s="65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325</v>
      </c>
      <c r="H325" s="97">
        <f t="shared" ca="1" si="46"/>
        <v>45615</v>
      </c>
      <c r="I325" s="121">
        <f ca="1">HLOOKUP($H$4,'Met Data'!$A$2:$F$368,G325,FALSE)</f>
        <v>14.1208333333333</v>
      </c>
      <c r="J325" s="121">
        <f ca="1">HLOOKUP($H$4,'Met Data'!$H$2:$M$368,G325,FALSE)*L325</f>
        <v>4.0233333333333219</v>
      </c>
      <c r="K325" s="98">
        <f ca="1">HLOOKUP($H$4,'Met Data'!$O$2:$T$368,G325,FALSE)</f>
        <v>3.2574752266568199</v>
      </c>
      <c r="L325">
        <f t="shared" ca="1" si="40"/>
        <v>1.7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5" t="e">
        <f t="shared" ca="1" si="47"/>
        <v>#N/A</v>
      </c>
      <c r="AH325" s="65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326</v>
      </c>
      <c r="H326" s="97">
        <f t="shared" ca="1" si="46"/>
        <v>45616</v>
      </c>
      <c r="I326" s="121">
        <f ca="1">HLOOKUP($H$4,'Met Data'!$A$2:$F$368,G326,FALSE)</f>
        <v>14.2</v>
      </c>
      <c r="J326" s="121">
        <f ca="1">HLOOKUP($H$4,'Met Data'!$H$2:$M$368,G326,FALSE)*L326</f>
        <v>2.4083333333333221</v>
      </c>
      <c r="K326" s="98">
        <f ca="1">HLOOKUP($H$4,'Met Data'!$O$2:$T$368,G326,FALSE)</f>
        <v>3.2248407363783</v>
      </c>
      <c r="L326">
        <f t="shared" ref="L326:L389" ca="1" si="50">IF(H326&lt;$B$31,$J$3,$J$4)</f>
        <v>1.7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5" t="e">
        <f t="shared" ca="1" si="47"/>
        <v>#N/A</v>
      </c>
      <c r="AH326" s="65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327</v>
      </c>
      <c r="H327" s="97">
        <f t="shared" ca="1" si="46"/>
        <v>45617</v>
      </c>
      <c r="I327" s="121">
        <f ca="1">HLOOKUP($H$4,'Met Data'!$A$2:$F$368,G327,FALSE)</f>
        <v>14.2916666666666</v>
      </c>
      <c r="J327" s="121">
        <f ca="1">HLOOKUP($H$4,'Met Data'!$H$2:$M$368,G327,FALSE)*L327</f>
        <v>2.0966666666666609</v>
      </c>
      <c r="K327" s="98">
        <f ca="1">HLOOKUP($H$4,'Met Data'!$O$2:$T$368,G327,FALSE)</f>
        <v>3.2303061956604</v>
      </c>
      <c r="L327">
        <f t="shared" ca="1" si="50"/>
        <v>1.7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5" t="e">
        <f t="shared" ca="1" si="47"/>
        <v>#N/A</v>
      </c>
      <c r="AH327" s="65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328</v>
      </c>
      <c r="H328" s="97">
        <f t="shared" ref="H328:H391" ca="1" si="56">H327+1</f>
        <v>45618</v>
      </c>
      <c r="I328" s="121">
        <f ca="1">HLOOKUP($H$4,'Met Data'!$A$2:$F$368,G328,FALSE)</f>
        <v>14.8666666666666</v>
      </c>
      <c r="J328" s="121">
        <f ca="1">HLOOKUP($H$4,'Met Data'!$H$2:$M$368,G328,FALSE)*L328</f>
        <v>0.36833333333333218</v>
      </c>
      <c r="K328" s="98">
        <f ca="1">HLOOKUP($H$4,'Met Data'!$O$2:$T$368,G328,FALSE)</f>
        <v>3.8851743269165699</v>
      </c>
      <c r="L328">
        <f t="shared" ca="1" si="50"/>
        <v>1.7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5" t="e">
        <f t="shared" ca="1" si="47"/>
        <v>#N/A</v>
      </c>
      <c r="AH328" s="65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329</v>
      </c>
      <c r="H329" s="97">
        <f t="shared" ca="1" si="56"/>
        <v>45619</v>
      </c>
      <c r="I329" s="121">
        <f ca="1">HLOOKUP($H$4,'Met Data'!$A$2:$F$368,G329,FALSE)</f>
        <v>14.875</v>
      </c>
      <c r="J329" s="121">
        <f ca="1">HLOOKUP($H$4,'Met Data'!$H$2:$M$368,G329,FALSE)*L329</f>
        <v>3.1166666666666609</v>
      </c>
      <c r="K329" s="98">
        <f ca="1">HLOOKUP($H$4,'Met Data'!$O$2:$T$368,G329,FALSE)</f>
        <v>3.3424019609463702</v>
      </c>
      <c r="L329">
        <f t="shared" ca="1" si="50"/>
        <v>1.7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5" t="e">
        <f t="shared" ca="1" si="47"/>
        <v>#N/A</v>
      </c>
      <c r="AH329" s="65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330</v>
      </c>
      <c r="H330" s="97">
        <f t="shared" ca="1" si="56"/>
        <v>45620</v>
      </c>
      <c r="I330" s="121">
        <f ca="1">HLOOKUP($H$4,'Met Data'!$A$2:$F$368,G330,FALSE)</f>
        <v>15.8125</v>
      </c>
      <c r="J330" s="121">
        <f ca="1">HLOOKUP($H$4,'Met Data'!$H$2:$M$368,G330,FALSE)*L330</f>
        <v>3.4283333333333217</v>
      </c>
      <c r="K330" s="98">
        <f ca="1">HLOOKUP($H$4,'Met Data'!$O$2:$T$368,G330,FALSE)</f>
        <v>3.2688322627941302</v>
      </c>
      <c r="L330">
        <f t="shared" ca="1" si="50"/>
        <v>1.7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5" t="e">
        <f t="shared" ca="1" si="47"/>
        <v>#N/A</v>
      </c>
      <c r="AH330" s="65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331</v>
      </c>
      <c r="H331" s="97">
        <f t="shared" ca="1" si="56"/>
        <v>45621</v>
      </c>
      <c r="I331" s="121">
        <f ca="1">HLOOKUP($H$4,'Met Data'!$A$2:$F$368,G331,FALSE)</f>
        <v>15.945833333333301</v>
      </c>
      <c r="J331" s="121">
        <f ca="1">HLOOKUP($H$4,'Met Data'!$H$2:$M$368,G331,FALSE)*L331</f>
        <v>10.001666666666662</v>
      </c>
      <c r="K331" s="98">
        <f ca="1">HLOOKUP($H$4,'Met Data'!$O$2:$T$368,G331,FALSE)</f>
        <v>3.26798762006384</v>
      </c>
      <c r="L331">
        <f t="shared" ca="1" si="50"/>
        <v>1.7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5" t="e">
        <f t="shared" ref="AG331:AG394" ca="1" si="57">Q330+S331+T331+U331</f>
        <v>#N/A</v>
      </c>
      <c r="AH331" s="65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332</v>
      </c>
      <c r="H332" s="97">
        <f t="shared" ca="1" si="56"/>
        <v>45622</v>
      </c>
      <c r="I332" s="121">
        <f ca="1">HLOOKUP($H$4,'Met Data'!$A$2:$F$368,G332,FALSE)</f>
        <v>16.279166666666601</v>
      </c>
      <c r="J332" s="121">
        <f ca="1">HLOOKUP($H$4,'Met Data'!$H$2:$M$368,G332,FALSE)*L332</f>
        <v>2.5216666666666612</v>
      </c>
      <c r="K332" s="98">
        <f ca="1">HLOOKUP($H$4,'Met Data'!$O$2:$T$368,G332,FALSE)</f>
        <v>3.19082213890132</v>
      </c>
      <c r="L332">
        <f t="shared" ca="1" si="50"/>
        <v>1.7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5" t="e">
        <f t="shared" ca="1" si="57"/>
        <v>#N/A</v>
      </c>
      <c r="AH332" s="65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333</v>
      </c>
      <c r="H333" s="97">
        <f t="shared" ca="1" si="56"/>
        <v>45623</v>
      </c>
      <c r="I333" s="121">
        <f ca="1">HLOOKUP($H$4,'Met Data'!$A$2:$F$368,G333,FALSE)</f>
        <v>16.070833333333301</v>
      </c>
      <c r="J333" s="121">
        <f ca="1">HLOOKUP($H$4,'Met Data'!$H$2:$M$368,G333,FALSE)*L333</f>
        <v>12.636666666666661</v>
      </c>
      <c r="K333" s="98">
        <f ca="1">HLOOKUP($H$4,'Met Data'!$O$2:$T$368,G333,FALSE)</f>
        <v>3.00999975823754</v>
      </c>
      <c r="L333">
        <f t="shared" ca="1" si="50"/>
        <v>1.7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5" t="e">
        <f t="shared" ca="1" si="57"/>
        <v>#N/A</v>
      </c>
      <c r="AH333" s="65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334</v>
      </c>
      <c r="H334" s="97">
        <f t="shared" ca="1" si="56"/>
        <v>45624</v>
      </c>
      <c r="I334" s="121">
        <f ca="1">HLOOKUP($H$4,'Met Data'!$A$2:$F$368,G334,FALSE)</f>
        <v>15.033333333333299</v>
      </c>
      <c r="J334" s="121">
        <f ca="1">HLOOKUP($H$4,'Met Data'!$H$2:$M$368,G334,FALSE)*L334</f>
        <v>1.1333333333333322</v>
      </c>
      <c r="K334" s="98">
        <f ca="1">HLOOKUP($H$4,'Met Data'!$O$2:$T$368,G334,FALSE)</f>
        <v>4.1701433642644803</v>
      </c>
      <c r="L334">
        <f t="shared" ca="1" si="50"/>
        <v>1.7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5" t="e">
        <f t="shared" ca="1" si="57"/>
        <v>#N/A</v>
      </c>
      <c r="AH334" s="65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335</v>
      </c>
      <c r="H335" s="97">
        <f t="shared" ca="1" si="56"/>
        <v>45625</v>
      </c>
      <c r="I335" s="121">
        <f ca="1">HLOOKUP($H$4,'Met Data'!$A$2:$F$368,G335,FALSE)</f>
        <v>16.1166666666666</v>
      </c>
      <c r="J335" s="121">
        <f ca="1">HLOOKUP($H$4,'Met Data'!$H$2:$M$368,G335,FALSE)*L335</f>
        <v>8.8966666666666612</v>
      </c>
      <c r="K335" s="98">
        <f ca="1">HLOOKUP($H$4,'Met Data'!$O$2:$T$368,G335,FALSE)</f>
        <v>3.7664149911337801</v>
      </c>
      <c r="L335">
        <f t="shared" ca="1" si="50"/>
        <v>1.7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5" t="e">
        <f t="shared" ca="1" si="57"/>
        <v>#N/A</v>
      </c>
      <c r="AH335" s="65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336</v>
      </c>
      <c r="H336" s="97">
        <f t="shared" ca="1" si="56"/>
        <v>45626</v>
      </c>
      <c r="I336" s="121">
        <f ca="1">HLOOKUP($H$4,'Met Data'!$A$2:$F$368,G336,FALSE)</f>
        <v>15.887499999999999</v>
      </c>
      <c r="J336" s="121">
        <f ca="1">HLOOKUP($H$4,'Met Data'!$H$2:$M$368,G336,FALSE)*L336</f>
        <v>11.475</v>
      </c>
      <c r="K336" s="98">
        <f ca="1">HLOOKUP($H$4,'Met Data'!$O$2:$T$368,G336,FALSE)</f>
        <v>3.2490041935251899</v>
      </c>
      <c r="L336">
        <f t="shared" ca="1" si="50"/>
        <v>1.7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5" t="e">
        <f t="shared" ca="1" si="57"/>
        <v>#N/A</v>
      </c>
      <c r="AH336" s="65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337</v>
      </c>
      <c r="H337" s="97">
        <f t="shared" ca="1" si="56"/>
        <v>45627</v>
      </c>
      <c r="I337" s="121">
        <f ca="1">HLOOKUP($H$4,'Met Data'!$A$2:$F$368,G337,FALSE)</f>
        <v>16.1458333333333</v>
      </c>
      <c r="J337" s="121">
        <f ca="1">HLOOKUP($H$4,'Met Data'!$H$2:$M$368,G337,FALSE)*L337</f>
        <v>1.8416666666666608</v>
      </c>
      <c r="K337" s="98">
        <f ca="1">HLOOKUP($H$4,'Met Data'!$O$2:$T$368,G337,FALSE)</f>
        <v>3.8649058322152201</v>
      </c>
      <c r="L337">
        <f t="shared" ca="1" si="50"/>
        <v>1.7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5" t="e">
        <f t="shared" ca="1" si="57"/>
        <v>#N/A</v>
      </c>
      <c r="AH337" s="65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338</v>
      </c>
      <c r="H338" s="97">
        <f t="shared" ca="1" si="56"/>
        <v>45628</v>
      </c>
      <c r="I338" s="121">
        <f ca="1">HLOOKUP($H$4,'Met Data'!$A$2:$F$368,G338,FALSE)</f>
        <v>16.0625</v>
      </c>
      <c r="J338" s="121">
        <f ca="1">HLOOKUP($H$4,'Met Data'!$H$2:$M$368,G338,FALSE)*L338</f>
        <v>3.853333333333322</v>
      </c>
      <c r="K338" s="98">
        <f ca="1">HLOOKUP($H$4,'Met Data'!$O$2:$T$368,G338,FALSE)</f>
        <v>3.3633315244434101</v>
      </c>
      <c r="L338">
        <f t="shared" ca="1" si="50"/>
        <v>1.7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5" t="e">
        <f t="shared" ca="1" si="57"/>
        <v>#N/A</v>
      </c>
      <c r="AH338" s="65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339</v>
      </c>
      <c r="H339" s="97">
        <f t="shared" ca="1" si="56"/>
        <v>45629</v>
      </c>
      <c r="I339" s="121">
        <f ca="1">HLOOKUP($H$4,'Met Data'!$A$2:$F$368,G339,FALSE)</f>
        <v>16.591666666666601</v>
      </c>
      <c r="J339" s="121">
        <f ca="1">HLOOKUP($H$4,'Met Data'!$H$2:$M$368,G339,FALSE)*L339</f>
        <v>5.156666666666661</v>
      </c>
      <c r="K339" s="98">
        <f ca="1">HLOOKUP($H$4,'Met Data'!$O$2:$T$368,G339,FALSE)</f>
        <v>3.8332290024095501</v>
      </c>
      <c r="L339">
        <f t="shared" ca="1" si="50"/>
        <v>1.7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5" t="e">
        <f t="shared" ca="1" si="57"/>
        <v>#N/A</v>
      </c>
      <c r="AH339" s="65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340</v>
      </c>
      <c r="H340" s="97">
        <f t="shared" ca="1" si="56"/>
        <v>45630</v>
      </c>
      <c r="I340" s="121">
        <f ca="1">HLOOKUP($H$4,'Met Data'!$A$2:$F$368,G340,FALSE)</f>
        <v>16.441666666666599</v>
      </c>
      <c r="J340" s="121">
        <f ca="1">HLOOKUP($H$4,'Met Data'!$H$2:$M$368,G340,FALSE)*L340</f>
        <v>1.8416666666666608</v>
      </c>
      <c r="K340" s="98">
        <f ca="1">HLOOKUP($H$4,'Met Data'!$O$2:$T$368,G340,FALSE)</f>
        <v>3.3753600087216298</v>
      </c>
      <c r="L340">
        <f t="shared" ca="1" si="50"/>
        <v>1.7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5" t="e">
        <f t="shared" ca="1" si="57"/>
        <v>#N/A</v>
      </c>
      <c r="AH340" s="65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341</v>
      </c>
      <c r="H341" s="97">
        <f t="shared" ca="1" si="56"/>
        <v>45631</v>
      </c>
      <c r="I341" s="121">
        <f ca="1">HLOOKUP($H$4,'Met Data'!$A$2:$F$368,G341,FALSE)</f>
        <v>16.454166666666602</v>
      </c>
      <c r="J341" s="121">
        <f ca="1">HLOOKUP($H$4,'Met Data'!$H$2:$M$368,G341,FALSE)*L341</f>
        <v>4.4483333333333217</v>
      </c>
      <c r="K341" s="98">
        <f ca="1">HLOOKUP($H$4,'Met Data'!$O$2:$T$368,G341,FALSE)</f>
        <v>2.8811659068389401</v>
      </c>
      <c r="L341">
        <f t="shared" ca="1" si="50"/>
        <v>1.7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5" t="e">
        <f t="shared" ca="1" si="57"/>
        <v>#N/A</v>
      </c>
      <c r="AH341" s="65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342</v>
      </c>
      <c r="H342" s="97">
        <f t="shared" ca="1" si="56"/>
        <v>45632</v>
      </c>
      <c r="I342" s="121">
        <f ca="1">HLOOKUP($H$4,'Met Data'!$A$2:$F$368,G342,FALSE)</f>
        <v>15.879166666666601</v>
      </c>
      <c r="J342" s="121">
        <f ca="1">HLOOKUP($H$4,'Met Data'!$H$2:$M$368,G342,FALSE)*L342</f>
        <v>5.27</v>
      </c>
      <c r="K342" s="98">
        <f ca="1">HLOOKUP($H$4,'Met Data'!$O$2:$T$368,G342,FALSE)</f>
        <v>3.4185168625157498</v>
      </c>
      <c r="L342">
        <f t="shared" ca="1" si="50"/>
        <v>1.7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5" t="e">
        <f t="shared" ca="1" si="57"/>
        <v>#N/A</v>
      </c>
      <c r="AH342" s="65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343</v>
      </c>
      <c r="H343" s="97">
        <f t="shared" ca="1" si="56"/>
        <v>45633</v>
      </c>
      <c r="I343" s="121">
        <f ca="1">HLOOKUP($H$4,'Met Data'!$A$2:$F$368,G343,FALSE)</f>
        <v>15.259090909090901</v>
      </c>
      <c r="J343" s="121">
        <f ca="1">HLOOKUP($H$4,'Met Data'!$H$2:$M$368,G343,FALSE)*L343</f>
        <v>10.385454545454529</v>
      </c>
      <c r="K343" s="98">
        <f ca="1">HLOOKUP($H$4,'Met Data'!$O$2:$T$368,G343,FALSE)</f>
        <v>2.9122766026990501</v>
      </c>
      <c r="L343">
        <f t="shared" ca="1" si="50"/>
        <v>1.7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5" t="e">
        <f t="shared" ca="1" si="57"/>
        <v>#N/A</v>
      </c>
      <c r="AH343" s="65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344</v>
      </c>
      <c r="H344" s="97">
        <f t="shared" ca="1" si="56"/>
        <v>45634</v>
      </c>
      <c r="I344" s="121">
        <f ca="1">HLOOKUP($H$4,'Met Data'!$A$2:$F$368,G344,FALSE)</f>
        <v>15.9125</v>
      </c>
      <c r="J344" s="121">
        <f ca="1">HLOOKUP($H$4,'Met Data'!$H$2:$M$368,G344,FALSE)*L344</f>
        <v>3.031666666666661</v>
      </c>
      <c r="K344" s="98">
        <f ca="1">HLOOKUP($H$4,'Met Data'!$O$2:$T$368,G344,FALSE)</f>
        <v>3.7124167377990198</v>
      </c>
      <c r="L344">
        <f t="shared" ca="1" si="50"/>
        <v>1.7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5" t="e">
        <f t="shared" ca="1" si="57"/>
        <v>#N/A</v>
      </c>
      <c r="AH344" s="65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345</v>
      </c>
      <c r="H345" s="97">
        <f t="shared" ca="1" si="56"/>
        <v>45635</v>
      </c>
      <c r="I345" s="121">
        <f ca="1">HLOOKUP($H$4,'Met Data'!$A$2:$F$368,G345,FALSE)</f>
        <v>16.720833333333299</v>
      </c>
      <c r="J345" s="121">
        <f ca="1">HLOOKUP($H$4,'Met Data'!$H$2:$M$368,G345,FALSE)*L345</f>
        <v>11.248333333333322</v>
      </c>
      <c r="K345" s="98">
        <f ca="1">HLOOKUP($H$4,'Met Data'!$O$2:$T$368,G345,FALSE)</f>
        <v>3.19412245919293</v>
      </c>
      <c r="L345">
        <f t="shared" ca="1" si="50"/>
        <v>1.7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5" t="e">
        <f t="shared" ca="1" si="57"/>
        <v>#N/A</v>
      </c>
      <c r="AH345" s="65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346</v>
      </c>
      <c r="H346" s="97">
        <f t="shared" ca="1" si="56"/>
        <v>45636</v>
      </c>
      <c r="I346" s="121">
        <f ca="1">HLOOKUP($H$4,'Met Data'!$A$2:$F$368,G346,FALSE)</f>
        <v>17.529166666666601</v>
      </c>
      <c r="J346" s="121">
        <f ca="1">HLOOKUP($H$4,'Met Data'!$H$2:$M$368,G346,FALSE)*L346</f>
        <v>3.4566666666666612</v>
      </c>
      <c r="K346" s="98">
        <f ca="1">HLOOKUP($H$4,'Met Data'!$O$2:$T$368,G346,FALSE)</f>
        <v>3.0664285414958901</v>
      </c>
      <c r="L346">
        <f t="shared" ca="1" si="50"/>
        <v>1.7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5" t="e">
        <f t="shared" ca="1" si="57"/>
        <v>#N/A</v>
      </c>
      <c r="AH346" s="65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347</v>
      </c>
      <c r="H347" s="97">
        <f t="shared" ca="1" si="56"/>
        <v>45637</v>
      </c>
      <c r="I347" s="121">
        <f ca="1">HLOOKUP($H$4,'Met Data'!$A$2:$F$368,G347,FALSE)</f>
        <v>17.004166666666599</v>
      </c>
      <c r="J347" s="121">
        <f ca="1">HLOOKUP($H$4,'Met Data'!$H$2:$M$368,G347,FALSE)*L347</f>
        <v>4.1933333333333218</v>
      </c>
      <c r="K347" s="98">
        <f ca="1">HLOOKUP($H$4,'Met Data'!$O$2:$T$368,G347,FALSE)</f>
        <v>3.6044975025694099</v>
      </c>
      <c r="L347">
        <f t="shared" ca="1" si="50"/>
        <v>1.7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5" t="e">
        <f t="shared" ca="1" si="57"/>
        <v>#N/A</v>
      </c>
      <c r="AH347" s="65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348</v>
      </c>
      <c r="H348" s="97">
        <f t="shared" ca="1" si="56"/>
        <v>45638</v>
      </c>
      <c r="I348" s="121">
        <f ca="1">HLOOKUP($H$4,'Met Data'!$A$2:$F$368,G348,FALSE)</f>
        <v>16.883333333333301</v>
      </c>
      <c r="J348" s="121">
        <f ca="1">HLOOKUP($H$4,'Met Data'!$H$2:$M$368,G348,FALSE)*L348</f>
        <v>2.946666666666661</v>
      </c>
      <c r="K348" s="98">
        <f ca="1">HLOOKUP($H$4,'Met Data'!$O$2:$T$368,G348,FALSE)</f>
        <v>4.1436131117359496</v>
      </c>
      <c r="L348">
        <f t="shared" ca="1" si="50"/>
        <v>1.7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5" t="e">
        <f t="shared" ca="1" si="57"/>
        <v>#N/A</v>
      </c>
      <c r="AH348" s="65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349</v>
      </c>
      <c r="H349" s="97">
        <f t="shared" ca="1" si="56"/>
        <v>45639</v>
      </c>
      <c r="I349" s="121">
        <f ca="1">HLOOKUP($H$4,'Met Data'!$A$2:$F$368,G349,FALSE)</f>
        <v>16.191666666666599</v>
      </c>
      <c r="J349" s="121">
        <f ca="1">HLOOKUP($H$4,'Met Data'!$H$2:$M$368,G349,FALSE)*L349</f>
        <v>2.6066666666666611</v>
      </c>
      <c r="K349" s="98">
        <f ca="1">HLOOKUP($H$4,'Met Data'!$O$2:$T$368,G349,FALSE)</f>
        <v>3.8138486605430502</v>
      </c>
      <c r="L349">
        <f t="shared" ca="1" si="50"/>
        <v>1.7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5" t="e">
        <f t="shared" ca="1" si="57"/>
        <v>#N/A</v>
      </c>
      <c r="AH349" s="65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350</v>
      </c>
      <c r="H350" s="97">
        <f t="shared" ca="1" si="56"/>
        <v>45640</v>
      </c>
      <c r="I350" s="121">
        <f ca="1">HLOOKUP($H$4,'Met Data'!$A$2:$F$368,G350,FALSE)</f>
        <v>15.754166666666601</v>
      </c>
      <c r="J350" s="121">
        <f ca="1">HLOOKUP($H$4,'Met Data'!$H$2:$M$368,G350,FALSE)*L350</f>
        <v>8.3583333333333218</v>
      </c>
      <c r="K350" s="98">
        <f ca="1">HLOOKUP($H$4,'Met Data'!$O$2:$T$368,G350,FALSE)</f>
        <v>4.2245531095694204</v>
      </c>
      <c r="L350">
        <f t="shared" ca="1" si="50"/>
        <v>1.7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5" t="e">
        <f t="shared" ca="1" si="57"/>
        <v>#N/A</v>
      </c>
      <c r="AH350" s="65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351</v>
      </c>
      <c r="H351" s="97">
        <f t="shared" ca="1" si="56"/>
        <v>45641</v>
      </c>
      <c r="I351" s="121">
        <f ca="1">HLOOKUP($H$4,'Met Data'!$A$2:$F$368,G351,FALSE)</f>
        <v>16.766666666666602</v>
      </c>
      <c r="J351" s="121">
        <f ca="1">HLOOKUP($H$4,'Met Data'!$H$2:$M$368,G351,FALSE)*L351</f>
        <v>2.7199999999999829</v>
      </c>
      <c r="K351" s="98">
        <f ca="1">HLOOKUP($H$4,'Met Data'!$O$2:$T$368,G351,FALSE)</f>
        <v>4.0567025040665996</v>
      </c>
      <c r="L351">
        <f t="shared" ca="1" si="50"/>
        <v>1.7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5" t="e">
        <f t="shared" ca="1" si="57"/>
        <v>#N/A</v>
      </c>
      <c r="AH351" s="65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352</v>
      </c>
      <c r="H352" s="97">
        <f t="shared" ca="1" si="56"/>
        <v>45642</v>
      </c>
      <c r="I352" s="121">
        <f ca="1">HLOOKUP($H$4,'Met Data'!$A$2:$F$368,G352,FALSE)</f>
        <v>16.766666666666602</v>
      </c>
      <c r="J352" s="121">
        <f ca="1">HLOOKUP($H$4,'Met Data'!$H$2:$M$368,G352,FALSE)*L352</f>
        <v>7.3383333333333223</v>
      </c>
      <c r="K352" s="98">
        <f ca="1">HLOOKUP($H$4,'Met Data'!$O$2:$T$368,G352,FALSE)</f>
        <v>3.8858032497445998</v>
      </c>
      <c r="L352">
        <f t="shared" ca="1" si="50"/>
        <v>1.7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5" t="e">
        <f t="shared" ca="1" si="57"/>
        <v>#N/A</v>
      </c>
      <c r="AH352" s="65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353</v>
      </c>
      <c r="H353" s="97">
        <f t="shared" ca="1" si="56"/>
        <v>45643</v>
      </c>
      <c r="I353" s="121">
        <f ca="1">HLOOKUP($H$4,'Met Data'!$A$2:$F$368,G353,FALSE)</f>
        <v>17.191666666666599</v>
      </c>
      <c r="J353" s="121">
        <f ca="1">HLOOKUP($H$4,'Met Data'!$H$2:$M$368,G353,FALSE)*L353</f>
        <v>2.125</v>
      </c>
      <c r="K353" s="98">
        <f ca="1">HLOOKUP($H$4,'Met Data'!$O$2:$T$368,G353,FALSE)</f>
        <v>3.5439221574521702</v>
      </c>
      <c r="L353">
        <f t="shared" ca="1" si="50"/>
        <v>1.7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5" t="e">
        <f t="shared" ca="1" si="57"/>
        <v>#N/A</v>
      </c>
      <c r="AH353" s="65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354</v>
      </c>
      <c r="H354" s="97">
        <f t="shared" ca="1" si="56"/>
        <v>45644</v>
      </c>
      <c r="I354" s="121">
        <f ca="1">HLOOKUP($H$4,'Met Data'!$A$2:$F$368,G354,FALSE)</f>
        <v>16.725000000000001</v>
      </c>
      <c r="J354" s="121">
        <f ca="1">HLOOKUP($H$4,'Met Data'!$H$2:$M$368,G354,FALSE)*L354</f>
        <v>10.93666666666666</v>
      </c>
      <c r="K354" s="98">
        <f ca="1">HLOOKUP($H$4,'Met Data'!$O$2:$T$368,G354,FALSE)</f>
        <v>2.7226403112081199</v>
      </c>
      <c r="L354">
        <f t="shared" ca="1" si="50"/>
        <v>1.7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5" t="e">
        <f t="shared" ca="1" si="57"/>
        <v>#N/A</v>
      </c>
      <c r="AH354" s="65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355</v>
      </c>
      <c r="H355" s="97">
        <f t="shared" ca="1" si="56"/>
        <v>45645</v>
      </c>
      <c r="I355" s="121">
        <f ca="1">HLOOKUP($H$4,'Met Data'!$A$2:$F$368,G355,FALSE)</f>
        <v>15.9625</v>
      </c>
      <c r="J355" s="121">
        <f ca="1">HLOOKUP($H$4,'Met Data'!$H$2:$M$368,G355,FALSE)*L355</f>
        <v>7.3666666666666618</v>
      </c>
      <c r="K355" s="98">
        <f ca="1">HLOOKUP($H$4,'Met Data'!$O$2:$T$368,G355,FALSE)</f>
        <v>3.7253118866284498</v>
      </c>
      <c r="L355">
        <f t="shared" ca="1" si="50"/>
        <v>1.7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5" t="e">
        <f t="shared" ca="1" si="57"/>
        <v>#N/A</v>
      </c>
      <c r="AH355" s="65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356</v>
      </c>
      <c r="H356" s="97">
        <f t="shared" ca="1" si="56"/>
        <v>45646</v>
      </c>
      <c r="I356" s="121">
        <f ca="1">HLOOKUP($H$4,'Met Data'!$A$2:$F$368,G356,FALSE)</f>
        <v>16.074999999999999</v>
      </c>
      <c r="J356" s="121">
        <f ca="1">HLOOKUP($H$4,'Met Data'!$H$2:$M$368,G356,FALSE)*L356</f>
        <v>1.5299999999999983</v>
      </c>
      <c r="K356" s="98">
        <f ca="1">HLOOKUP($H$4,'Met Data'!$O$2:$T$368,G356,FALSE)</f>
        <v>3.69045556475041</v>
      </c>
      <c r="L356">
        <f t="shared" ca="1" si="50"/>
        <v>1.7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357</v>
      </c>
      <c r="H357" s="97">
        <f t="shared" ca="1" si="56"/>
        <v>45647</v>
      </c>
      <c r="I357" s="121">
        <f ca="1">HLOOKUP($H$4,'Met Data'!$A$2:$F$368,G357,FALSE)</f>
        <v>16.1458333333333</v>
      </c>
      <c r="J357" s="121">
        <f ca="1">HLOOKUP($H$4,'Met Data'!$H$2:$M$368,G357,FALSE)*L357</f>
        <v>1.3316666666666661</v>
      </c>
      <c r="K357" s="98">
        <f ca="1">HLOOKUP($H$4,'Met Data'!$O$2:$T$368,G357,FALSE)</f>
        <v>3.66376320931905</v>
      </c>
      <c r="L357">
        <f t="shared" ca="1" si="50"/>
        <v>1.7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358</v>
      </c>
      <c r="H358" s="97">
        <f t="shared" ca="1" si="56"/>
        <v>45648</v>
      </c>
      <c r="I358" s="121">
        <f ca="1">HLOOKUP($H$4,'Met Data'!$A$2:$F$368,G358,FALSE)</f>
        <v>16.820833333333301</v>
      </c>
      <c r="J358" s="121">
        <f ca="1">HLOOKUP($H$4,'Met Data'!$H$2:$M$368,G358,FALSE)*L358</f>
        <v>1.9833333333333221</v>
      </c>
      <c r="K358" s="98">
        <f ca="1">HLOOKUP($H$4,'Met Data'!$O$2:$T$368,G358,FALSE)</f>
        <v>4.2904592235930501</v>
      </c>
      <c r="L358">
        <f t="shared" ca="1" si="50"/>
        <v>1.7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359</v>
      </c>
      <c r="H359" s="97">
        <f t="shared" ca="1" si="56"/>
        <v>45649</v>
      </c>
      <c r="I359" s="121">
        <f ca="1">HLOOKUP($H$4,'Met Data'!$A$2:$F$368,G359,FALSE)</f>
        <v>16.883333333333301</v>
      </c>
      <c r="J359" s="121">
        <f ca="1">HLOOKUP($H$4,'Met Data'!$H$2:$M$368,G359,FALSE)*L359</f>
        <v>7.054999999999982</v>
      </c>
      <c r="K359" s="98">
        <f ca="1">HLOOKUP($H$4,'Met Data'!$O$2:$T$368,G359,FALSE)</f>
        <v>3.61274265774352</v>
      </c>
      <c r="L359">
        <f t="shared" ca="1" si="50"/>
        <v>1.7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360</v>
      </c>
      <c r="H360" s="97">
        <f t="shared" ca="1" si="56"/>
        <v>45650</v>
      </c>
      <c r="I360" s="121">
        <f ca="1">HLOOKUP($H$4,'Met Data'!$A$2:$F$368,G360,FALSE)</f>
        <v>17.399999999999999</v>
      </c>
      <c r="J360" s="121">
        <f ca="1">HLOOKUP($H$4,'Met Data'!$H$2:$M$368,G360,FALSE)*L360</f>
        <v>8.5283333333333218</v>
      </c>
      <c r="K360" s="98">
        <f ca="1">HLOOKUP($H$4,'Met Data'!$O$2:$T$368,G360,FALSE)</f>
        <v>4.09028075025509</v>
      </c>
      <c r="L360">
        <f t="shared" ca="1" si="50"/>
        <v>1.7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361</v>
      </c>
      <c r="H361" s="97">
        <f t="shared" ca="1" si="56"/>
        <v>45651</v>
      </c>
      <c r="I361" s="121">
        <f ca="1">HLOOKUP($H$4,'Met Data'!$A$2:$F$368,G361,FALSE)</f>
        <v>17.920833333333299</v>
      </c>
      <c r="J361" s="121">
        <f ca="1">HLOOKUP($H$4,'Met Data'!$H$2:$M$368,G361,FALSE)*L361</f>
        <v>0.96333333333333215</v>
      </c>
      <c r="K361" s="98">
        <f ca="1">HLOOKUP($H$4,'Met Data'!$O$2:$T$368,G361,FALSE)</f>
        <v>4.1244552423616296</v>
      </c>
      <c r="L361">
        <f t="shared" ca="1" si="50"/>
        <v>1.7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362</v>
      </c>
      <c r="H362" s="97">
        <f t="shared" ca="1" si="56"/>
        <v>45652</v>
      </c>
      <c r="I362" s="121">
        <f ca="1">HLOOKUP($H$4,'Met Data'!$A$2:$F$368,G362,FALSE)</f>
        <v>17.537500000000001</v>
      </c>
      <c r="J362" s="121">
        <f ca="1">HLOOKUP($H$4,'Met Data'!$H$2:$M$368,G362,FALSE)*L362</f>
        <v>2.1816666666666613</v>
      </c>
      <c r="K362" s="98">
        <f ca="1">HLOOKUP($H$4,'Met Data'!$O$2:$T$368,G362,FALSE)</f>
        <v>4.3692883234689903</v>
      </c>
      <c r="L362">
        <f t="shared" ca="1" si="50"/>
        <v>1.7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363</v>
      </c>
      <c r="H363" s="97">
        <f t="shared" ca="1" si="56"/>
        <v>45653</v>
      </c>
      <c r="I363" s="121">
        <f ca="1">HLOOKUP($H$4,'Met Data'!$A$2:$F$368,G363,FALSE)</f>
        <v>17.012499999999999</v>
      </c>
      <c r="J363" s="121">
        <f ca="1">HLOOKUP($H$4,'Met Data'!$H$2:$M$368,G363,FALSE)*L363</f>
        <v>2.6916666666666607</v>
      </c>
      <c r="K363" s="98">
        <f ca="1">HLOOKUP($H$4,'Met Data'!$O$2:$T$368,G363,FALSE)</f>
        <v>3.8686759650684999</v>
      </c>
      <c r="L363">
        <f t="shared" ca="1" si="50"/>
        <v>1.7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364</v>
      </c>
      <c r="H364" s="97">
        <f t="shared" ca="1" si="56"/>
        <v>45654</v>
      </c>
      <c r="I364" s="121">
        <f ca="1">HLOOKUP($H$4,'Met Data'!$A$2:$F$368,G364,FALSE)</f>
        <v>17.1041666666666</v>
      </c>
      <c r="J364" s="121">
        <f ca="1">HLOOKUP($H$4,'Met Data'!$H$2:$M$368,G364,FALSE)*L364</f>
        <v>7.2816666666666601</v>
      </c>
      <c r="K364" s="98">
        <f ca="1">HLOOKUP($H$4,'Met Data'!$O$2:$T$368,G364,FALSE)</f>
        <v>3.65125453231978</v>
      </c>
      <c r="L364">
        <f t="shared" ca="1" si="50"/>
        <v>1.7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365</v>
      </c>
      <c r="H365" s="97">
        <f t="shared" ca="1" si="56"/>
        <v>45655</v>
      </c>
      <c r="I365" s="121">
        <f ca="1">HLOOKUP($H$4,'Met Data'!$A$2:$F$368,G365,FALSE)</f>
        <v>17.0541666666666</v>
      </c>
      <c r="J365" s="121">
        <f ca="1">HLOOKUP($H$4,'Met Data'!$H$2:$M$368,G365,FALSE)*L365</f>
        <v>6.2616666666666605</v>
      </c>
      <c r="K365" s="98">
        <f ca="1">HLOOKUP($H$4,'Met Data'!$O$2:$T$368,G365,FALSE)</f>
        <v>3.3111049356888498</v>
      </c>
      <c r="L365">
        <f t="shared" ca="1" si="50"/>
        <v>1.7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366</v>
      </c>
      <c r="H366" s="97">
        <f t="shared" ca="1" si="56"/>
        <v>45656</v>
      </c>
      <c r="I366" s="121">
        <f ca="1">HLOOKUP($H$4,'Met Data'!$A$2:$F$368,G366,FALSE)</f>
        <v>16.6875</v>
      </c>
      <c r="J366" s="121">
        <f ca="1">HLOOKUP($H$4,'Met Data'!$H$2:$M$368,G366,FALSE)*L366</f>
        <v>7.9616666666666607</v>
      </c>
      <c r="K366" s="98">
        <f ca="1">HLOOKUP($H$4,'Met Data'!$O$2:$T$368,G366,FALSE)</f>
        <v>3.7095349810249001</v>
      </c>
      <c r="L366">
        <f t="shared" ca="1" si="50"/>
        <v>1.7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367</v>
      </c>
      <c r="H367" s="97">
        <f t="shared" ca="1" si="56"/>
        <v>45657</v>
      </c>
      <c r="I367" s="121">
        <f ca="1">HLOOKUP($H$4,'Met Data'!$A$2:$F$368,G367,FALSE)</f>
        <v>15.483333333333301</v>
      </c>
      <c r="J367" s="121">
        <f ca="1">HLOOKUP($H$4,'Met Data'!$H$2:$M$368,G367,FALSE)*L367</f>
        <v>0</v>
      </c>
      <c r="K367" s="98">
        <f ca="1">HLOOKUP($H$4,'Met Data'!$O$2:$T$368,G367,FALSE)</f>
        <v>5.2329405479025102</v>
      </c>
      <c r="L367">
        <f t="shared" ca="1" si="50"/>
        <v>1.7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2</v>
      </c>
      <c r="H368" s="97">
        <f t="shared" ca="1" si="56"/>
        <v>45658</v>
      </c>
      <c r="I368" s="121">
        <f ca="1">HLOOKUP($H$4,'Met Data'!$A$2:$F$368,G368,FALSE)</f>
        <v>17.908333333333299</v>
      </c>
      <c r="J368" s="121">
        <f ca="1">HLOOKUP($H$4,'Met Data'!$H$2:$M$368,G368,FALSE)*L368</f>
        <v>4.335</v>
      </c>
      <c r="K368" s="98">
        <f ca="1">HLOOKUP($H$4,'Met Data'!$O$2:$T$368,G368,FALSE)</f>
        <v>3.6545263506553698</v>
      </c>
      <c r="L368">
        <f t="shared" ca="1" si="50"/>
        <v>1.7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3</v>
      </c>
      <c r="H369" s="97">
        <f t="shared" ca="1" si="56"/>
        <v>45659</v>
      </c>
      <c r="I369" s="121">
        <f ca="1">HLOOKUP($H$4,'Met Data'!$A$2:$F$368,G369,FALSE)</f>
        <v>18.454166666666602</v>
      </c>
      <c r="J369" s="121">
        <f ca="1">HLOOKUP($H$4,'Met Data'!$H$2:$M$368,G369,FALSE)*L369</f>
        <v>3.9383333333333224</v>
      </c>
      <c r="K369" s="98">
        <f ca="1">HLOOKUP($H$4,'Met Data'!$O$2:$T$368,G369,FALSE)</f>
        <v>3.0374578661788201</v>
      </c>
      <c r="L369">
        <f t="shared" ca="1" si="50"/>
        <v>1.7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4</v>
      </c>
      <c r="H370" s="97">
        <f t="shared" ca="1" si="56"/>
        <v>45660</v>
      </c>
      <c r="I370" s="121">
        <f ca="1">HLOOKUP($H$4,'Met Data'!$A$2:$F$368,G370,FALSE)</f>
        <v>18.4916666666666</v>
      </c>
      <c r="J370" s="121">
        <f ca="1">HLOOKUP($H$4,'Met Data'!$H$2:$M$368,G370,FALSE)*L370</f>
        <v>11.27666666666666</v>
      </c>
      <c r="K370" s="98">
        <f ca="1">HLOOKUP($H$4,'Met Data'!$O$2:$T$368,G370,FALSE)</f>
        <v>3.5424660833564698</v>
      </c>
      <c r="L370">
        <f t="shared" ca="1" si="50"/>
        <v>1.7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5</v>
      </c>
      <c r="H371" s="97">
        <f t="shared" ca="1" si="56"/>
        <v>45661</v>
      </c>
      <c r="I371" s="121">
        <f ca="1">HLOOKUP($H$4,'Met Data'!$A$2:$F$368,G371,FALSE)</f>
        <v>17</v>
      </c>
      <c r="J371" s="121">
        <f ca="1">HLOOKUP($H$4,'Met Data'!$H$2:$M$368,G371,FALSE)*L371</f>
        <v>3.2866666666666609</v>
      </c>
      <c r="K371" s="98">
        <f ca="1">HLOOKUP($H$4,'Met Data'!$O$2:$T$368,G371,FALSE)</f>
        <v>4.6893309655458602</v>
      </c>
      <c r="L371">
        <f t="shared" ca="1" si="50"/>
        <v>1.7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6</v>
      </c>
      <c r="H372" s="97">
        <f t="shared" ca="1" si="56"/>
        <v>45662</v>
      </c>
      <c r="I372" s="121">
        <f ca="1">HLOOKUP($H$4,'Met Data'!$A$2:$F$368,G372,FALSE)</f>
        <v>16.4166666666666</v>
      </c>
      <c r="J372" s="121">
        <f ca="1">HLOOKUP($H$4,'Met Data'!$H$2:$M$368,G372,FALSE)*L372</f>
        <v>5.071666666666661</v>
      </c>
      <c r="K372" s="98">
        <f ca="1">HLOOKUP($H$4,'Met Data'!$O$2:$T$368,G372,FALSE)</f>
        <v>4.0957861961112103</v>
      </c>
      <c r="L372">
        <f t="shared" ca="1" si="50"/>
        <v>1.7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7</v>
      </c>
      <c r="H373" s="97">
        <f t="shared" ca="1" si="56"/>
        <v>45663</v>
      </c>
      <c r="I373" s="121">
        <f ca="1">HLOOKUP($H$4,'Met Data'!$A$2:$F$368,G373,FALSE)</f>
        <v>17.629166666666599</v>
      </c>
      <c r="J373" s="121">
        <f ca="1">HLOOKUP($H$4,'Met Data'!$H$2:$M$368,G373,FALSE)*L373</f>
        <v>0.73666666666666614</v>
      </c>
      <c r="K373" s="98">
        <f ca="1">HLOOKUP($H$4,'Met Data'!$O$2:$T$368,G373,FALSE)</f>
        <v>4.0765351917680999</v>
      </c>
      <c r="L373">
        <f t="shared" ca="1" si="50"/>
        <v>1.7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8</v>
      </c>
      <c r="H374" s="97">
        <f t="shared" ca="1" si="56"/>
        <v>45664</v>
      </c>
      <c r="I374" s="121">
        <f ca="1">HLOOKUP($H$4,'Met Data'!$A$2:$F$368,G374,FALSE)</f>
        <v>17.004166666666599</v>
      </c>
      <c r="J374" s="121">
        <f ca="1">HLOOKUP($H$4,'Met Data'!$H$2:$M$368,G374,FALSE)*L374</f>
        <v>4.7316666666666611</v>
      </c>
      <c r="K374" s="98">
        <f ca="1">HLOOKUP($H$4,'Met Data'!$O$2:$T$368,G374,FALSE)</f>
        <v>3.5869881049730998</v>
      </c>
      <c r="L374">
        <f t="shared" ca="1" si="50"/>
        <v>1.7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9</v>
      </c>
      <c r="H375" s="97">
        <f t="shared" ca="1" si="56"/>
        <v>45665</v>
      </c>
      <c r="I375" s="121">
        <f ca="1">HLOOKUP($H$4,'Met Data'!$A$2:$F$368,G375,FALSE)</f>
        <v>17.433333333333302</v>
      </c>
      <c r="J375" s="121">
        <f ca="1">HLOOKUP($H$4,'Met Data'!$H$2:$M$368,G375,FALSE)*L375</f>
        <v>4.0516666666666614</v>
      </c>
      <c r="K375" s="98">
        <f ca="1">HLOOKUP($H$4,'Met Data'!$O$2:$T$368,G375,FALSE)</f>
        <v>4.2605807421289903</v>
      </c>
      <c r="L375">
        <f t="shared" ca="1" si="50"/>
        <v>1.7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10</v>
      </c>
      <c r="H376" s="97">
        <f t="shared" ca="1" si="56"/>
        <v>45666</v>
      </c>
      <c r="I376" s="121">
        <f ca="1">HLOOKUP($H$4,'Met Data'!$A$2:$F$368,G376,FALSE)</f>
        <v>17.0208333333333</v>
      </c>
      <c r="J376" s="121">
        <f ca="1">HLOOKUP($H$4,'Met Data'!$H$2:$M$368,G376,FALSE)*L376</f>
        <v>0.51</v>
      </c>
      <c r="K376" s="98">
        <f ca="1">HLOOKUP($H$4,'Met Data'!$O$2:$T$368,G376,FALSE)</f>
        <v>4.14669035003873</v>
      </c>
      <c r="L376">
        <f t="shared" ca="1" si="50"/>
        <v>1.7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11</v>
      </c>
      <c r="H377" s="97">
        <f t="shared" ca="1" si="56"/>
        <v>45667</v>
      </c>
      <c r="I377" s="121">
        <f ca="1">HLOOKUP($H$4,'Met Data'!$A$2:$F$368,G377,FALSE)</f>
        <v>17.6041666666666</v>
      </c>
      <c r="J377" s="121">
        <f ca="1">HLOOKUP($H$4,'Met Data'!$H$2:$M$368,G377,FALSE)*L377</f>
        <v>1.501666666666666</v>
      </c>
      <c r="K377" s="98">
        <f ca="1">HLOOKUP($H$4,'Met Data'!$O$2:$T$368,G377,FALSE)</f>
        <v>3.4815515936566799</v>
      </c>
      <c r="L377">
        <f t="shared" ca="1" si="50"/>
        <v>1.7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12</v>
      </c>
      <c r="H378" s="97">
        <f t="shared" ca="1" si="56"/>
        <v>45668</v>
      </c>
      <c r="I378" s="121">
        <f ca="1">HLOOKUP($H$4,'Met Data'!$A$2:$F$368,G378,FALSE)</f>
        <v>17.654166666666601</v>
      </c>
      <c r="J378" s="121">
        <f ca="1">HLOOKUP($H$4,'Met Data'!$H$2:$M$368,G378,FALSE)*L378</f>
        <v>0.5666666666666661</v>
      </c>
      <c r="K378" s="98">
        <f ca="1">HLOOKUP($H$4,'Met Data'!$O$2:$T$368,G378,FALSE)</f>
        <v>4.1035718910061201</v>
      </c>
      <c r="L378">
        <f t="shared" ca="1" si="50"/>
        <v>1.7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13</v>
      </c>
      <c r="H379" s="97">
        <f t="shared" ca="1" si="56"/>
        <v>45669</v>
      </c>
      <c r="I379" s="121">
        <f ca="1">HLOOKUP($H$4,'Met Data'!$A$2:$F$368,G379,FALSE)</f>
        <v>18.175000000000001</v>
      </c>
      <c r="J379" s="121">
        <f ca="1">HLOOKUP($H$4,'Met Data'!$H$2:$M$368,G379,FALSE)*L379</f>
        <v>1.6433333333333322</v>
      </c>
      <c r="K379" s="98">
        <f ca="1">HLOOKUP($H$4,'Met Data'!$O$2:$T$368,G379,FALSE)</f>
        <v>3.7942004669494902</v>
      </c>
      <c r="L379">
        <f t="shared" ca="1" si="50"/>
        <v>1.7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14</v>
      </c>
      <c r="H380" s="97">
        <f t="shared" ca="1" si="56"/>
        <v>45670</v>
      </c>
      <c r="I380" s="121">
        <f ca="1">HLOOKUP($H$4,'Met Data'!$A$2:$F$368,G380,FALSE)</f>
        <v>17.883333333333301</v>
      </c>
      <c r="J380" s="121">
        <f ca="1">HLOOKUP($H$4,'Met Data'!$H$2:$M$368,G380,FALSE)*L380</f>
        <v>5.156666666666661</v>
      </c>
      <c r="K380" s="98">
        <f ca="1">HLOOKUP($H$4,'Met Data'!$O$2:$T$368,G380,FALSE)</f>
        <v>3.9941259720520699</v>
      </c>
      <c r="L380">
        <f t="shared" ca="1" si="50"/>
        <v>1.7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15</v>
      </c>
      <c r="H381" s="97">
        <f t="shared" ca="1" si="56"/>
        <v>45671</v>
      </c>
      <c r="I381" s="121">
        <f ca="1">HLOOKUP($H$4,'Met Data'!$A$2:$F$368,G381,FALSE)</f>
        <v>17.279166666666601</v>
      </c>
      <c r="J381" s="121">
        <f ca="1">HLOOKUP($H$4,'Met Data'!$H$2:$M$368,G381,FALSE)*L381</f>
        <v>4.9016666666666611</v>
      </c>
      <c r="K381" s="98">
        <f ca="1">HLOOKUP($H$4,'Met Data'!$O$2:$T$368,G381,FALSE)</f>
        <v>4.3919546564694203</v>
      </c>
      <c r="L381">
        <f t="shared" ca="1" si="50"/>
        <v>1.7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16</v>
      </c>
      <c r="H382" s="97">
        <f t="shared" ca="1" si="56"/>
        <v>45672</v>
      </c>
      <c r="I382" s="121">
        <f ca="1">HLOOKUP($H$4,'Met Data'!$A$2:$F$368,G382,FALSE)</f>
        <v>17.5208333333333</v>
      </c>
      <c r="J382" s="121">
        <f ca="1">HLOOKUP($H$4,'Met Data'!$H$2:$M$368,G382,FALSE)*L382</f>
        <v>4.3916666666666604</v>
      </c>
      <c r="K382" s="98">
        <f ca="1">HLOOKUP($H$4,'Met Data'!$O$2:$T$368,G382,FALSE)</f>
        <v>4.2128718222508397</v>
      </c>
      <c r="L382">
        <f t="shared" ca="1" si="50"/>
        <v>1.7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17</v>
      </c>
      <c r="H383" s="97">
        <f t="shared" ca="1" si="56"/>
        <v>45673</v>
      </c>
      <c r="I383" s="121">
        <f ca="1">HLOOKUP($H$4,'Met Data'!$A$2:$F$368,G383,FALSE)</f>
        <v>17.970833333333299</v>
      </c>
      <c r="J383" s="121">
        <f ca="1">HLOOKUP($H$4,'Met Data'!$H$2:$M$368,G383,FALSE)*L383</f>
        <v>0.4533333333333322</v>
      </c>
      <c r="K383" s="98">
        <f ca="1">HLOOKUP($H$4,'Met Data'!$O$2:$T$368,G383,FALSE)</f>
        <v>4.0252286180437302</v>
      </c>
      <c r="L383">
        <f t="shared" ca="1" si="50"/>
        <v>1.7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18</v>
      </c>
      <c r="H384" s="97">
        <f t="shared" ca="1" si="56"/>
        <v>45674</v>
      </c>
      <c r="I384" s="121">
        <f ca="1">HLOOKUP($H$4,'Met Data'!$A$2:$F$368,G384,FALSE)</f>
        <v>18.2708333333333</v>
      </c>
      <c r="J384" s="121">
        <f ca="1">HLOOKUP($H$4,'Met Data'!$H$2:$M$368,G384,FALSE)*L384</f>
        <v>3.0883333333333218</v>
      </c>
      <c r="K384" s="98">
        <f ca="1">HLOOKUP($H$4,'Met Data'!$O$2:$T$368,G384,FALSE)</f>
        <v>4.3125410240098896</v>
      </c>
      <c r="L384">
        <f t="shared" ca="1" si="50"/>
        <v>1.7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19</v>
      </c>
      <c r="H385" s="97">
        <f t="shared" ca="1" si="56"/>
        <v>45675</v>
      </c>
      <c r="I385" s="121">
        <f ca="1">HLOOKUP($H$4,'Met Data'!$A$2:$F$368,G385,FALSE)</f>
        <v>17.954166666666602</v>
      </c>
      <c r="J385" s="121">
        <f ca="1">HLOOKUP($H$4,'Met Data'!$H$2:$M$368,G385,FALSE)*L385</f>
        <v>7.054999999999982</v>
      </c>
      <c r="K385" s="98">
        <f ca="1">HLOOKUP($H$4,'Met Data'!$O$2:$T$368,G385,FALSE)</f>
        <v>3.9046074195490301</v>
      </c>
      <c r="L385">
        <f t="shared" ca="1" si="50"/>
        <v>1.7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20</v>
      </c>
      <c r="H386" s="97">
        <f t="shared" ca="1" si="56"/>
        <v>45676</v>
      </c>
      <c r="I386" s="121">
        <f ca="1">HLOOKUP($H$4,'Met Data'!$A$2:$F$368,G386,FALSE)</f>
        <v>18.454166666666602</v>
      </c>
      <c r="J386" s="121">
        <f ca="1">HLOOKUP($H$4,'Met Data'!$H$2:$M$368,G386,FALSE)*L386</f>
        <v>4.2783333333333218</v>
      </c>
      <c r="K386" s="98">
        <f ca="1">HLOOKUP($H$4,'Met Data'!$O$2:$T$368,G386,FALSE)</f>
        <v>4.0894627552594898</v>
      </c>
      <c r="L386">
        <f t="shared" ca="1" si="50"/>
        <v>1.7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21</v>
      </c>
      <c r="H387" s="97">
        <f t="shared" ca="1" si="56"/>
        <v>45677</v>
      </c>
      <c r="I387" s="121">
        <f ca="1">HLOOKUP($H$4,'Met Data'!$A$2:$F$368,G387,FALSE)</f>
        <v>18.125</v>
      </c>
      <c r="J387" s="121">
        <f ca="1">HLOOKUP($H$4,'Met Data'!$H$2:$M$368,G387,FALSE)*L387</f>
        <v>5.6666666666666607</v>
      </c>
      <c r="K387" s="98">
        <f ca="1">HLOOKUP($H$4,'Met Data'!$O$2:$T$368,G387,FALSE)</f>
        <v>4.4627747616983804</v>
      </c>
      <c r="L387">
        <f t="shared" ca="1" si="50"/>
        <v>1.7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22</v>
      </c>
      <c r="H388" s="97">
        <f t="shared" ca="1" si="56"/>
        <v>45678</v>
      </c>
      <c r="I388" s="121">
        <f ca="1">HLOOKUP($H$4,'Met Data'!$A$2:$F$368,G388,FALSE)</f>
        <v>17.6791666666666</v>
      </c>
      <c r="J388" s="121">
        <f ca="1">HLOOKUP($H$4,'Met Data'!$H$2:$M$368,G388,FALSE)*L388</f>
        <v>4.08</v>
      </c>
      <c r="K388" s="98">
        <f ca="1">HLOOKUP($H$4,'Met Data'!$O$2:$T$368,G388,FALSE)</f>
        <v>3.8954755691343999</v>
      </c>
      <c r="L388">
        <f t="shared" ca="1" si="50"/>
        <v>1.7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23</v>
      </c>
      <c r="H389" s="97">
        <f t="shared" ca="1" si="56"/>
        <v>45679</v>
      </c>
      <c r="I389" s="121">
        <f ca="1">HLOOKUP($H$4,'Met Data'!$A$2:$F$368,G389,FALSE)</f>
        <v>17.350000000000001</v>
      </c>
      <c r="J389" s="121">
        <f ca="1">HLOOKUP($H$4,'Met Data'!$H$2:$M$368,G389,FALSE)*L389</f>
        <v>4.4766666666666612</v>
      </c>
      <c r="K389" s="98">
        <f ca="1">HLOOKUP($H$4,'Met Data'!$O$2:$T$368,G389,FALSE)</f>
        <v>3.2997711779398098</v>
      </c>
      <c r="L389">
        <f t="shared" ca="1" si="50"/>
        <v>1.7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24</v>
      </c>
      <c r="H390" s="97">
        <f t="shared" ca="1" si="56"/>
        <v>45680</v>
      </c>
      <c r="I390" s="121">
        <f ca="1">HLOOKUP($H$4,'Met Data'!$A$2:$F$368,G390,FALSE)</f>
        <v>17.504166666666599</v>
      </c>
      <c r="J390" s="121">
        <f ca="1">HLOOKUP($H$4,'Met Data'!$H$2:$M$368,G390,FALSE)*L390</f>
        <v>9.3783333333333232</v>
      </c>
      <c r="K390" s="98">
        <f ca="1">HLOOKUP($H$4,'Met Data'!$O$2:$T$368,G390,FALSE)</f>
        <v>3.46570930270954</v>
      </c>
      <c r="L390">
        <f t="shared" ref="L390:L453" ca="1" si="60">IF(H390&lt;$B$31,$J$3,$J$4)</f>
        <v>1.7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25</v>
      </c>
      <c r="H391" s="97">
        <f t="shared" ca="1" si="56"/>
        <v>45681</v>
      </c>
      <c r="I391" s="121">
        <f ca="1">HLOOKUP($H$4,'Met Data'!$A$2:$F$368,G391,FALSE)</f>
        <v>17.713636363636301</v>
      </c>
      <c r="J391" s="121">
        <f ca="1">HLOOKUP($H$4,'Met Data'!$H$2:$M$368,G391,FALSE)*L391</f>
        <v>2.349090909090906</v>
      </c>
      <c r="K391" s="98">
        <f ca="1">HLOOKUP($H$4,'Met Data'!$O$2:$T$368,G391,FALSE)</f>
        <v>4.0186876239346203</v>
      </c>
      <c r="L391">
        <f t="shared" ca="1" si="60"/>
        <v>1.7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26</v>
      </c>
      <c r="H392" s="97">
        <f t="shared" ref="H392:H455" ca="1" si="66">H391+1</f>
        <v>45682</v>
      </c>
      <c r="I392" s="121">
        <f ca="1">HLOOKUP($H$4,'Met Data'!$A$2:$F$368,G392,FALSE)</f>
        <v>17.8541666666666</v>
      </c>
      <c r="J392" s="121">
        <f ca="1">HLOOKUP($H$4,'Met Data'!$H$2:$M$368,G392,FALSE)*L392</f>
        <v>0.79333333333333222</v>
      </c>
      <c r="K392" s="98">
        <f ca="1">HLOOKUP($H$4,'Met Data'!$O$2:$T$368,G392,FALSE)</f>
        <v>4.1496250953293998</v>
      </c>
      <c r="L392">
        <f t="shared" ca="1" si="60"/>
        <v>1.7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27</v>
      </c>
      <c r="H393" s="97">
        <f t="shared" ca="1" si="66"/>
        <v>45683</v>
      </c>
      <c r="I393" s="121">
        <f ca="1">HLOOKUP($H$4,'Met Data'!$A$2:$F$368,G393,FALSE)</f>
        <v>18.933333333333302</v>
      </c>
      <c r="J393" s="121">
        <f ca="1">HLOOKUP($H$4,'Met Data'!$H$2:$M$368,G393,FALSE)*L393</f>
        <v>3.06</v>
      </c>
      <c r="K393" s="98">
        <f ca="1">HLOOKUP($H$4,'Met Data'!$O$2:$T$368,G393,FALSE)</f>
        <v>4.1034832888531598</v>
      </c>
      <c r="L393">
        <f t="shared" ca="1" si="60"/>
        <v>1.7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28</v>
      </c>
      <c r="H394" s="97">
        <f t="shared" ca="1" si="66"/>
        <v>45684</v>
      </c>
      <c r="I394" s="121">
        <f ca="1">HLOOKUP($H$4,'Met Data'!$A$2:$F$368,G394,FALSE)</f>
        <v>18.524999999999999</v>
      </c>
      <c r="J394" s="121">
        <f ca="1">HLOOKUP($H$4,'Met Data'!$H$2:$M$368,G394,FALSE)*L394</f>
        <v>7.1683333333333215</v>
      </c>
      <c r="K394" s="98">
        <f ca="1">HLOOKUP($H$4,'Met Data'!$O$2:$T$368,G394,FALSE)</f>
        <v>3.2920480795367801</v>
      </c>
      <c r="L394">
        <f t="shared" ca="1" si="60"/>
        <v>1.7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29</v>
      </c>
      <c r="H395" s="97">
        <f t="shared" ca="1" si="66"/>
        <v>45685</v>
      </c>
      <c r="I395" s="121">
        <f ca="1">HLOOKUP($H$4,'Met Data'!$A$2:$F$368,G395,FALSE)</f>
        <v>18.283333333333299</v>
      </c>
      <c r="J395" s="121">
        <f ca="1">HLOOKUP($H$4,'Met Data'!$H$2:$M$368,G395,FALSE)*L395</f>
        <v>1.6433333333333322</v>
      </c>
      <c r="K395" s="98">
        <f ca="1">HLOOKUP($H$4,'Met Data'!$O$2:$T$368,G395,FALSE)</f>
        <v>3.7580315328576899</v>
      </c>
      <c r="L395">
        <f t="shared" ca="1" si="60"/>
        <v>1.7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30</v>
      </c>
      <c r="H396" s="97">
        <f t="shared" ca="1" si="66"/>
        <v>45686</v>
      </c>
      <c r="I396" s="121">
        <f ca="1">HLOOKUP($H$4,'Met Data'!$A$2:$F$368,G396,FALSE)</f>
        <v>18.95</v>
      </c>
      <c r="J396" s="121">
        <f ca="1">HLOOKUP($H$4,'Met Data'!$H$2:$M$368,G396,FALSE)*L396</f>
        <v>0.39666666666666611</v>
      </c>
      <c r="K396" s="98">
        <f ca="1">HLOOKUP($H$4,'Met Data'!$O$2:$T$368,G396,FALSE)</f>
        <v>4.4825712398856101</v>
      </c>
      <c r="L396">
        <f t="shared" ca="1" si="60"/>
        <v>1.7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31</v>
      </c>
      <c r="H397" s="97">
        <f t="shared" ca="1" si="66"/>
        <v>45687</v>
      </c>
      <c r="I397" s="121">
        <f ca="1">HLOOKUP($H$4,'Met Data'!$A$2:$F$368,G397,FALSE)</f>
        <v>19.070833333333301</v>
      </c>
      <c r="J397" s="121">
        <f ca="1">HLOOKUP($H$4,'Met Data'!$H$2:$M$368,G397,FALSE)*L397</f>
        <v>2.4649999999999999</v>
      </c>
      <c r="K397" s="98">
        <f ca="1">HLOOKUP($H$4,'Met Data'!$O$2:$T$368,G397,FALSE)</f>
        <v>4.1485395322845697</v>
      </c>
      <c r="L397">
        <f t="shared" ca="1" si="60"/>
        <v>1.7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32</v>
      </c>
      <c r="H398" s="97">
        <f t="shared" ca="1" si="66"/>
        <v>45688</v>
      </c>
      <c r="I398" s="121">
        <f ca="1">HLOOKUP($H$4,'Met Data'!$A$2:$F$368,G398,FALSE)</f>
        <v>18.716666666666601</v>
      </c>
      <c r="J398" s="121">
        <f ca="1">HLOOKUP($H$4,'Met Data'!$H$2:$M$368,G398,FALSE)*L398</f>
        <v>2.8333333333333221E-2</v>
      </c>
      <c r="K398" s="98">
        <f ca="1">HLOOKUP($H$4,'Met Data'!$O$2:$T$368,G398,FALSE)</f>
        <v>3.9002627778438899</v>
      </c>
      <c r="L398">
        <f t="shared" ca="1" si="60"/>
        <v>1.7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33</v>
      </c>
      <c r="H399" s="97">
        <f t="shared" ca="1" si="66"/>
        <v>45689</v>
      </c>
      <c r="I399" s="121">
        <f ca="1">HLOOKUP($H$4,'Met Data'!$A$2:$F$368,G399,FALSE)</f>
        <v>18.720833333333299</v>
      </c>
      <c r="J399" s="121">
        <f ca="1">HLOOKUP($H$4,'Met Data'!$H$2:$M$368,G399,FALSE)*L399</f>
        <v>8.7266666666666612</v>
      </c>
      <c r="K399" s="98">
        <f ca="1">HLOOKUP($H$4,'Met Data'!$O$2:$T$368,G399,FALSE)</f>
        <v>3.3425533464765702</v>
      </c>
      <c r="L399">
        <f t="shared" ca="1" si="60"/>
        <v>1.7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34</v>
      </c>
      <c r="H400" s="97">
        <f t="shared" ca="1" si="66"/>
        <v>45690</v>
      </c>
      <c r="I400" s="121">
        <f ca="1">HLOOKUP($H$4,'Met Data'!$A$2:$F$368,G400,FALSE)</f>
        <v>18.558333333333302</v>
      </c>
      <c r="J400" s="121">
        <f ca="1">HLOOKUP($H$4,'Met Data'!$H$2:$M$368,G400,FALSE)*L400</f>
        <v>8.7833333333333208</v>
      </c>
      <c r="K400" s="98">
        <f ca="1">HLOOKUP($H$4,'Met Data'!$O$2:$T$368,G400,FALSE)</f>
        <v>3.37031285883524</v>
      </c>
      <c r="L400">
        <f t="shared" ca="1" si="60"/>
        <v>1.7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35</v>
      </c>
      <c r="H401" s="97">
        <f t="shared" ca="1" si="66"/>
        <v>45691</v>
      </c>
      <c r="I401" s="121">
        <f ca="1">HLOOKUP($H$4,'Met Data'!$A$2:$F$368,G401,FALSE)</f>
        <v>18.841666666666601</v>
      </c>
      <c r="J401" s="121">
        <f ca="1">HLOOKUP($H$4,'Met Data'!$H$2:$M$368,G401,FALSE)*L401</f>
        <v>0.8216666666666661</v>
      </c>
      <c r="K401" s="98">
        <f ca="1">HLOOKUP($H$4,'Met Data'!$O$2:$T$368,G401,FALSE)</f>
        <v>4.5373745966907704</v>
      </c>
      <c r="L401">
        <f t="shared" ca="1" si="60"/>
        <v>1.7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36</v>
      </c>
      <c r="H402" s="97">
        <f t="shared" ca="1" si="66"/>
        <v>45692</v>
      </c>
      <c r="I402" s="121">
        <f ca="1">HLOOKUP($H$4,'Met Data'!$A$2:$F$368,G402,FALSE)</f>
        <v>18.441666666666599</v>
      </c>
      <c r="J402" s="121">
        <f ca="1">HLOOKUP($H$4,'Met Data'!$H$2:$M$368,G402,FALSE)*L402</f>
        <v>8.16</v>
      </c>
      <c r="K402" s="98">
        <f ca="1">HLOOKUP($H$4,'Met Data'!$O$2:$T$368,G402,FALSE)</f>
        <v>3.5125215918157</v>
      </c>
      <c r="L402">
        <f t="shared" ca="1" si="60"/>
        <v>1.7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37</v>
      </c>
      <c r="H403" s="97">
        <f t="shared" ca="1" si="66"/>
        <v>45693</v>
      </c>
      <c r="I403" s="121">
        <f ca="1">HLOOKUP($H$4,'Met Data'!$A$2:$F$368,G403,FALSE)</f>
        <v>17.975000000000001</v>
      </c>
      <c r="J403" s="121">
        <f ca="1">HLOOKUP($H$4,'Met Data'!$H$2:$M$368,G403,FALSE)*L403</f>
        <v>3.4283333333333217</v>
      </c>
      <c r="K403" s="98">
        <f ca="1">HLOOKUP($H$4,'Met Data'!$O$2:$T$368,G403,FALSE)</f>
        <v>3.7922889429532498</v>
      </c>
      <c r="L403">
        <f t="shared" ca="1" si="60"/>
        <v>1.7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38</v>
      </c>
      <c r="H404" s="97">
        <f t="shared" ca="1" si="66"/>
        <v>45694</v>
      </c>
      <c r="I404" s="121">
        <f ca="1">HLOOKUP($H$4,'Met Data'!$A$2:$F$368,G404,FALSE)</f>
        <v>17.383333333333301</v>
      </c>
      <c r="J404" s="121">
        <f ca="1">HLOOKUP($H$4,'Met Data'!$H$2:$M$368,G404,FALSE)*L404</f>
        <v>0.255</v>
      </c>
      <c r="K404" s="98">
        <f ca="1">HLOOKUP($H$4,'Met Data'!$O$2:$T$368,G404,FALSE)</f>
        <v>3.67022287265541</v>
      </c>
      <c r="L404">
        <f t="shared" ca="1" si="60"/>
        <v>1.7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39</v>
      </c>
      <c r="H405" s="97">
        <f t="shared" ca="1" si="66"/>
        <v>45695</v>
      </c>
      <c r="I405" s="121">
        <f ca="1">HLOOKUP($H$4,'Met Data'!$A$2:$F$368,G405,FALSE)</f>
        <v>17.0416666666666</v>
      </c>
      <c r="J405" s="121">
        <f ca="1">HLOOKUP($H$4,'Met Data'!$H$2:$M$368,G405,FALSE)*L405</f>
        <v>5.1283333333333214</v>
      </c>
      <c r="K405" s="98">
        <f ca="1">HLOOKUP($H$4,'Met Data'!$O$2:$T$368,G405,FALSE)</f>
        <v>3.8754357428809398</v>
      </c>
      <c r="L405">
        <f t="shared" ca="1" si="60"/>
        <v>1.7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40</v>
      </c>
      <c r="H406" s="97">
        <f t="shared" ca="1" si="66"/>
        <v>45696</v>
      </c>
      <c r="I406" s="121">
        <f ca="1">HLOOKUP($H$4,'Met Data'!$A$2:$F$368,G406,FALSE)</f>
        <v>17.483333333333299</v>
      </c>
      <c r="J406" s="121">
        <f ca="1">HLOOKUP($H$4,'Met Data'!$H$2:$M$368,G406,FALSE)*L406</f>
        <v>4.589999999999983</v>
      </c>
      <c r="K406" s="98">
        <f ca="1">HLOOKUP($H$4,'Met Data'!$O$2:$T$368,G406,FALSE)</f>
        <v>3.8024866154372199</v>
      </c>
      <c r="L406">
        <f t="shared" ca="1" si="60"/>
        <v>1.7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41</v>
      </c>
      <c r="H407" s="97">
        <f t="shared" ca="1" si="66"/>
        <v>45697</v>
      </c>
      <c r="I407" s="121">
        <f ca="1">HLOOKUP($H$4,'Met Data'!$A$2:$F$368,G407,FALSE)</f>
        <v>17.5625</v>
      </c>
      <c r="J407" s="121">
        <f ca="1">HLOOKUP($H$4,'Met Data'!$H$2:$M$368,G407,FALSE)*L407</f>
        <v>0.8783333333333323</v>
      </c>
      <c r="K407" s="98">
        <f ca="1">HLOOKUP($H$4,'Met Data'!$O$2:$T$368,G407,FALSE)</f>
        <v>3.9226252937625699</v>
      </c>
      <c r="L407">
        <f t="shared" ca="1" si="60"/>
        <v>1.7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42</v>
      </c>
      <c r="H408" s="97">
        <f t="shared" ca="1" si="66"/>
        <v>45698</v>
      </c>
      <c r="I408" s="121">
        <f ca="1">HLOOKUP($H$4,'Met Data'!$A$2:$F$368,G408,FALSE)</f>
        <v>17.7083333333333</v>
      </c>
      <c r="J408" s="121">
        <f ca="1">HLOOKUP($H$4,'Met Data'!$H$2:$M$368,G408,FALSE)*L408</f>
        <v>4.6466666666666603</v>
      </c>
      <c r="K408" s="98">
        <f ca="1">HLOOKUP($H$4,'Met Data'!$O$2:$T$368,G408,FALSE)</f>
        <v>3.6312925833969301</v>
      </c>
      <c r="L408">
        <f t="shared" ca="1" si="60"/>
        <v>1.7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43</v>
      </c>
      <c r="H409" s="97">
        <f t="shared" ca="1" si="66"/>
        <v>45699</v>
      </c>
      <c r="I409" s="121">
        <f ca="1">HLOOKUP($H$4,'Met Data'!$A$2:$F$368,G409,FALSE)</f>
        <v>17.654166666666601</v>
      </c>
      <c r="J409" s="121">
        <f ca="1">HLOOKUP($H$4,'Met Data'!$H$2:$M$368,G409,FALSE)*L409</f>
        <v>9.0383333333333216</v>
      </c>
      <c r="K409" s="98">
        <f ca="1">HLOOKUP($H$4,'Met Data'!$O$2:$T$368,G409,FALSE)</f>
        <v>3.7825096271499201</v>
      </c>
      <c r="L409">
        <f t="shared" ca="1" si="60"/>
        <v>1.7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44</v>
      </c>
      <c r="H410" s="97">
        <f t="shared" ca="1" si="66"/>
        <v>45700</v>
      </c>
      <c r="I410" s="121">
        <f ca="1">HLOOKUP($H$4,'Met Data'!$A$2:$F$368,G410,FALSE)</f>
        <v>18.245833333333302</v>
      </c>
      <c r="J410" s="121">
        <f ca="1">HLOOKUP($H$4,'Met Data'!$H$2:$M$368,G410,FALSE)*L410</f>
        <v>3.06</v>
      </c>
      <c r="K410" s="98">
        <f ca="1">HLOOKUP($H$4,'Met Data'!$O$2:$T$368,G410,FALSE)</f>
        <v>3.5345089397679601</v>
      </c>
      <c r="L410">
        <f t="shared" ca="1" si="60"/>
        <v>1.7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45</v>
      </c>
      <c r="H411" s="97">
        <f t="shared" ca="1" si="66"/>
        <v>45701</v>
      </c>
      <c r="I411" s="121">
        <f ca="1">HLOOKUP($H$4,'Met Data'!$A$2:$F$368,G411,FALSE)</f>
        <v>18.674999999999901</v>
      </c>
      <c r="J411" s="121">
        <f ca="1">HLOOKUP($H$4,'Met Data'!$H$2:$M$368,G411,FALSE)*L411</f>
        <v>0.76499999999999835</v>
      </c>
      <c r="K411" s="98">
        <f ca="1">HLOOKUP($H$4,'Met Data'!$O$2:$T$368,G411,FALSE)</f>
        <v>3.2860966338213999</v>
      </c>
      <c r="L411">
        <f t="shared" ca="1" si="60"/>
        <v>1.7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46</v>
      </c>
      <c r="H412" s="97">
        <f t="shared" ca="1" si="66"/>
        <v>45702</v>
      </c>
      <c r="I412" s="121">
        <f ca="1">HLOOKUP($H$4,'Met Data'!$A$2:$F$368,G412,FALSE)</f>
        <v>18.670833333333299</v>
      </c>
      <c r="J412" s="121">
        <f ca="1">HLOOKUP($H$4,'Met Data'!$H$2:$M$368,G412,FALSE)*L412</f>
        <v>1.926666666666661</v>
      </c>
      <c r="K412" s="98">
        <f ca="1">HLOOKUP($H$4,'Met Data'!$O$2:$T$368,G412,FALSE)</f>
        <v>3.8932908527116399</v>
      </c>
      <c r="L412">
        <f t="shared" ca="1" si="60"/>
        <v>1.7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47</v>
      </c>
      <c r="H413" s="97">
        <f t="shared" ca="1" si="66"/>
        <v>45703</v>
      </c>
      <c r="I413" s="121">
        <f ca="1">HLOOKUP($H$4,'Met Data'!$A$2:$F$368,G413,FALSE)</f>
        <v>18.1666666666666</v>
      </c>
      <c r="J413" s="121">
        <f ca="1">HLOOKUP($H$4,'Met Data'!$H$2:$M$368,G413,FALSE)*L413</f>
        <v>2.946666666666661</v>
      </c>
      <c r="K413" s="98">
        <f ca="1">HLOOKUP($H$4,'Met Data'!$O$2:$T$368,G413,FALSE)</f>
        <v>3.7918051722380999</v>
      </c>
      <c r="L413">
        <f t="shared" ca="1" si="60"/>
        <v>1.7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48</v>
      </c>
      <c r="H414" s="97">
        <f t="shared" ca="1" si="66"/>
        <v>45704</v>
      </c>
      <c r="I414" s="121">
        <f ca="1">HLOOKUP($H$4,'Met Data'!$A$2:$F$368,G414,FALSE)</f>
        <v>17.879166666666599</v>
      </c>
      <c r="J414" s="121">
        <f ca="1">HLOOKUP($H$4,'Met Data'!$H$2:$M$368,G414,FALSE)*L414</f>
        <v>1.2466666666666659</v>
      </c>
      <c r="K414" s="98">
        <f ca="1">HLOOKUP($H$4,'Met Data'!$O$2:$T$368,G414,FALSE)</f>
        <v>3.8813294167315999</v>
      </c>
      <c r="L414">
        <f t="shared" ca="1" si="60"/>
        <v>1.7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49</v>
      </c>
      <c r="H415" s="97">
        <f t="shared" ca="1" si="66"/>
        <v>45705</v>
      </c>
      <c r="I415" s="121">
        <f ca="1">HLOOKUP($H$4,'Met Data'!$A$2:$F$368,G415,FALSE)</f>
        <v>18.2083333333333</v>
      </c>
      <c r="J415" s="121">
        <f ca="1">HLOOKUP($H$4,'Met Data'!$H$2:$M$368,G415,FALSE)*L415</f>
        <v>4.9016666666666611</v>
      </c>
      <c r="K415" s="98">
        <f ca="1">HLOOKUP($H$4,'Met Data'!$O$2:$T$368,G415,FALSE)</f>
        <v>3.5062121478789399</v>
      </c>
      <c r="L415">
        <f t="shared" ca="1" si="60"/>
        <v>1.7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50</v>
      </c>
      <c r="H416" s="97">
        <f t="shared" ca="1" si="66"/>
        <v>45706</v>
      </c>
      <c r="I416" s="121">
        <f ca="1">HLOOKUP($H$4,'Met Data'!$A$2:$F$368,G416,FALSE)</f>
        <v>18.529166666666601</v>
      </c>
      <c r="J416" s="121">
        <f ca="1">HLOOKUP($H$4,'Met Data'!$H$2:$M$368,G416,FALSE)*L416</f>
        <v>4.8449999999999998</v>
      </c>
      <c r="K416" s="98">
        <f ca="1">HLOOKUP($H$4,'Met Data'!$O$2:$T$368,G416,FALSE)</f>
        <v>3.5342235016405201</v>
      </c>
      <c r="L416">
        <f t="shared" ca="1" si="60"/>
        <v>1.7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51</v>
      </c>
      <c r="H417" s="97">
        <f t="shared" ca="1" si="66"/>
        <v>45707</v>
      </c>
      <c r="I417" s="121">
        <f ca="1">HLOOKUP($H$4,'Met Data'!$A$2:$F$368,G417,FALSE)</f>
        <v>18.925000000000001</v>
      </c>
      <c r="J417" s="121">
        <f ca="1">HLOOKUP($H$4,'Met Data'!$H$2:$M$368,G417,FALSE)*L417</f>
        <v>6.5733333333333217</v>
      </c>
      <c r="K417" s="98">
        <f ca="1">HLOOKUP($H$4,'Met Data'!$O$2:$T$368,G417,FALSE)</f>
        <v>3.6338116563958698</v>
      </c>
      <c r="L417">
        <f t="shared" ca="1" si="60"/>
        <v>1.7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52</v>
      </c>
      <c r="H418" s="97">
        <f t="shared" ca="1" si="66"/>
        <v>45708</v>
      </c>
      <c r="I418" s="121">
        <f ca="1">HLOOKUP($H$4,'Met Data'!$A$2:$F$368,G418,FALSE)</f>
        <v>19.195833333333301</v>
      </c>
      <c r="J418" s="121">
        <f ca="1">HLOOKUP($H$4,'Met Data'!$H$2:$M$368,G418,FALSE)*L418</f>
        <v>2.0116666666666609</v>
      </c>
      <c r="K418" s="98">
        <f ca="1">HLOOKUP($H$4,'Met Data'!$O$2:$T$368,G418,FALSE)</f>
        <v>3.7477053916930299</v>
      </c>
      <c r="L418">
        <f t="shared" ca="1" si="60"/>
        <v>1.7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53</v>
      </c>
      <c r="H419" s="97">
        <f t="shared" ca="1" si="66"/>
        <v>45709</v>
      </c>
      <c r="I419" s="121">
        <f ca="1">HLOOKUP($H$4,'Met Data'!$A$2:$F$368,G419,FALSE)</f>
        <v>18.945833333333301</v>
      </c>
      <c r="J419" s="121">
        <f ca="1">HLOOKUP($H$4,'Met Data'!$H$2:$M$368,G419,FALSE)*L419</f>
        <v>2.2666666666666608</v>
      </c>
      <c r="K419" s="98">
        <f ca="1">HLOOKUP($H$4,'Met Data'!$O$2:$T$368,G419,FALSE)</f>
        <v>3.7395681594102799</v>
      </c>
      <c r="L419">
        <f t="shared" ca="1" si="60"/>
        <v>1.7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54</v>
      </c>
      <c r="H420" s="97">
        <f t="shared" ca="1" si="66"/>
        <v>45710</v>
      </c>
      <c r="I420" s="121">
        <f ca="1">HLOOKUP($H$4,'Met Data'!$A$2:$F$368,G420,FALSE)</f>
        <v>18.912499999999898</v>
      </c>
      <c r="J420" s="121">
        <f ca="1">HLOOKUP($H$4,'Met Data'!$H$2:$M$368,G420,FALSE)*L420</f>
        <v>10.511666666666661</v>
      </c>
      <c r="K420" s="98">
        <f ca="1">HLOOKUP($H$4,'Met Data'!$O$2:$T$368,G420,FALSE)</f>
        <v>3.0629444033618198</v>
      </c>
      <c r="L420">
        <f t="shared" ca="1" si="60"/>
        <v>1.7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55</v>
      </c>
      <c r="H421" s="97">
        <f t="shared" ca="1" si="66"/>
        <v>45711</v>
      </c>
      <c r="I421" s="121">
        <f ca="1">HLOOKUP($H$4,'Met Data'!$A$2:$F$368,G421,FALSE)</f>
        <v>17.745833333333302</v>
      </c>
      <c r="J421" s="121">
        <f ca="1">HLOOKUP($H$4,'Met Data'!$H$2:$M$368,G421,FALSE)*L421</f>
        <v>1.19</v>
      </c>
      <c r="K421" s="98">
        <f ca="1">HLOOKUP($H$4,'Met Data'!$O$2:$T$368,G421,FALSE)</f>
        <v>3.7397228058893299</v>
      </c>
      <c r="L421">
        <f t="shared" ca="1" si="60"/>
        <v>1.7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56</v>
      </c>
      <c r="H422" s="97">
        <f t="shared" ca="1" si="66"/>
        <v>45712</v>
      </c>
      <c r="I422" s="121">
        <f ca="1">HLOOKUP($H$4,'Met Data'!$A$2:$F$368,G422,FALSE)</f>
        <v>16.945833333333301</v>
      </c>
      <c r="J422" s="121">
        <f ca="1">HLOOKUP($H$4,'Met Data'!$H$2:$M$368,G422,FALSE)*L422</f>
        <v>2.7199999999999829</v>
      </c>
      <c r="K422" s="98">
        <f ca="1">HLOOKUP($H$4,'Met Data'!$O$2:$T$368,G422,FALSE)</f>
        <v>3.5683594386422701</v>
      </c>
      <c r="L422">
        <f t="shared" ca="1" si="60"/>
        <v>1.7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57</v>
      </c>
      <c r="H423" s="97">
        <f t="shared" ca="1" si="66"/>
        <v>45713</v>
      </c>
      <c r="I423" s="121">
        <f ca="1">HLOOKUP($H$4,'Met Data'!$A$2:$F$368,G423,FALSE)</f>
        <v>17.495833333333302</v>
      </c>
      <c r="J423" s="121">
        <f ca="1">HLOOKUP($H$4,'Met Data'!$H$2:$M$368,G423,FALSE)*L423</f>
        <v>1.4733333333333323</v>
      </c>
      <c r="K423" s="98">
        <f ca="1">HLOOKUP($H$4,'Met Data'!$O$2:$T$368,G423,FALSE)</f>
        <v>3.5556810366886502</v>
      </c>
      <c r="L423">
        <f t="shared" ca="1" si="60"/>
        <v>1.7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58</v>
      </c>
      <c r="H424" s="97">
        <f t="shared" ca="1" si="66"/>
        <v>45714</v>
      </c>
      <c r="I424" s="121">
        <f ca="1">HLOOKUP($H$4,'Met Data'!$A$2:$F$368,G424,FALSE)</f>
        <v>16.954166666666602</v>
      </c>
      <c r="J424" s="121">
        <f ca="1">HLOOKUP($H$4,'Met Data'!$H$2:$M$368,G424,FALSE)*L424</f>
        <v>1.586666666666666</v>
      </c>
      <c r="K424" s="98">
        <f ca="1">HLOOKUP($H$4,'Met Data'!$O$2:$T$368,G424,FALSE)</f>
        <v>3.6102637976598602</v>
      </c>
      <c r="L424">
        <f t="shared" ca="1" si="60"/>
        <v>1.7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59</v>
      </c>
      <c r="H425" s="97">
        <f t="shared" ca="1" si="66"/>
        <v>45715</v>
      </c>
      <c r="I425" s="121">
        <f ca="1">HLOOKUP($H$4,'Met Data'!$A$2:$F$368,G425,FALSE)</f>
        <v>16.829166666666602</v>
      </c>
      <c r="J425" s="121">
        <f ca="1">HLOOKUP($H$4,'Met Data'!$H$2:$M$368,G425,FALSE)*L425</f>
        <v>0.70833333333333226</v>
      </c>
      <c r="K425" s="98">
        <f ca="1">HLOOKUP($H$4,'Met Data'!$O$2:$T$368,G425,FALSE)</f>
        <v>3.6752740997587301</v>
      </c>
      <c r="L425">
        <f t="shared" ca="1" si="60"/>
        <v>1.7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60</v>
      </c>
      <c r="H426" s="97">
        <f t="shared" ca="1" si="66"/>
        <v>45716</v>
      </c>
      <c r="I426" s="121">
        <f ca="1">HLOOKUP($H$4,'Met Data'!$A$2:$F$368,G426,FALSE)</f>
        <v>17.512499999999999</v>
      </c>
      <c r="J426" s="121">
        <f ca="1">HLOOKUP($H$4,'Met Data'!$H$2:$M$368,G426,FALSE)*L426</f>
        <v>0.65166666666666617</v>
      </c>
      <c r="K426" s="98">
        <f ca="1">HLOOKUP($H$4,'Met Data'!$O$2:$T$368,G426,FALSE)</f>
        <v>3.6973328494211302</v>
      </c>
      <c r="L426">
        <f t="shared" ca="1" si="60"/>
        <v>1.7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61</v>
      </c>
      <c r="H427" s="97">
        <f t="shared" ca="1" si="66"/>
        <v>45717</v>
      </c>
      <c r="I427" s="121">
        <f ca="1">HLOOKUP($H$4,'Met Data'!$A$2:$F$368,G427,FALSE)</f>
        <v>17.1166666666666</v>
      </c>
      <c r="J427" s="121">
        <f ca="1">HLOOKUP($H$4,'Met Data'!$H$2:$M$368,G427,FALSE)*L427</f>
        <v>3.9383333333333224</v>
      </c>
      <c r="K427" s="98">
        <f ca="1">HLOOKUP($H$4,'Met Data'!$O$2:$T$368,G427,FALSE)</f>
        <v>3.5365052642272401</v>
      </c>
      <c r="L427">
        <f t="shared" ca="1" si="60"/>
        <v>1.7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62</v>
      </c>
      <c r="H428" s="97">
        <f t="shared" ca="1" si="66"/>
        <v>45718</v>
      </c>
      <c r="I428" s="121">
        <f ca="1">HLOOKUP($H$4,'Met Data'!$A$2:$F$368,G428,FALSE)</f>
        <v>17.037500000000001</v>
      </c>
      <c r="J428" s="121">
        <f ca="1">HLOOKUP($H$4,'Met Data'!$H$2:$M$368,G428,FALSE)*L428</f>
        <v>3.7116666666666611</v>
      </c>
      <c r="K428" s="98">
        <f ca="1">HLOOKUP($H$4,'Met Data'!$O$2:$T$368,G428,FALSE)</f>
        <v>3.0680063753167199</v>
      </c>
      <c r="L428">
        <f t="shared" ca="1" si="60"/>
        <v>1.7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63</v>
      </c>
      <c r="H429" s="97">
        <f t="shared" ca="1" si="66"/>
        <v>45719</v>
      </c>
      <c r="I429" s="121">
        <f ca="1">HLOOKUP($H$4,'Met Data'!$A$2:$F$368,G429,FALSE)</f>
        <v>17.204166666666602</v>
      </c>
      <c r="J429" s="121">
        <f ca="1">HLOOKUP($H$4,'Met Data'!$H$2:$M$368,G429,FALSE)*L429</f>
        <v>1.0483333333333322</v>
      </c>
      <c r="K429" s="98">
        <f ca="1">HLOOKUP($H$4,'Met Data'!$O$2:$T$368,G429,FALSE)</f>
        <v>3.2161744467378801</v>
      </c>
      <c r="L429">
        <f t="shared" ca="1" si="60"/>
        <v>1.7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64</v>
      </c>
      <c r="H430" s="97">
        <f t="shared" ca="1" si="66"/>
        <v>45720</v>
      </c>
      <c r="I430" s="121">
        <f ca="1">HLOOKUP($H$4,'Met Data'!$A$2:$F$368,G430,FALSE)</f>
        <v>16.720833333333299</v>
      </c>
      <c r="J430" s="121">
        <f ca="1">HLOOKUP($H$4,'Met Data'!$H$2:$M$368,G430,FALSE)*L430</f>
        <v>4.986666666666661</v>
      </c>
      <c r="K430" s="98">
        <f ca="1">HLOOKUP($H$4,'Met Data'!$O$2:$T$368,G430,FALSE)</f>
        <v>2.8476580172568502</v>
      </c>
      <c r="L430">
        <f t="shared" ca="1" si="60"/>
        <v>1.7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65</v>
      </c>
      <c r="H431" s="97">
        <f t="shared" ca="1" si="66"/>
        <v>45721</v>
      </c>
      <c r="I431" s="121">
        <f ca="1">HLOOKUP($H$4,'Met Data'!$A$2:$F$368,G431,FALSE)</f>
        <v>17.05</v>
      </c>
      <c r="J431" s="121">
        <f ca="1">HLOOKUP($H$4,'Met Data'!$H$2:$M$368,G431,FALSE)*L431</f>
        <v>5.95</v>
      </c>
      <c r="K431" s="98">
        <f ca="1">HLOOKUP($H$4,'Met Data'!$O$2:$T$368,G431,FALSE)</f>
        <v>3.0856400612975601</v>
      </c>
      <c r="L431">
        <f t="shared" ca="1" si="60"/>
        <v>1.7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66</v>
      </c>
      <c r="H432" s="97">
        <f t="shared" ca="1" si="66"/>
        <v>45722</v>
      </c>
      <c r="I432" s="121">
        <f ca="1">HLOOKUP($H$4,'Met Data'!$A$2:$F$368,G432,FALSE)</f>
        <v>16.5625</v>
      </c>
      <c r="J432" s="121">
        <f ca="1">HLOOKUP($H$4,'Met Data'!$H$2:$M$368,G432,FALSE)*L432</f>
        <v>3.2583333333333222</v>
      </c>
      <c r="K432" s="98">
        <f ca="1">HLOOKUP($H$4,'Met Data'!$O$2:$T$368,G432,FALSE)</f>
        <v>2.4477007585282702</v>
      </c>
      <c r="L432">
        <f t="shared" ca="1" si="60"/>
        <v>1.7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67</v>
      </c>
      <c r="H433" s="97">
        <f t="shared" ca="1" si="66"/>
        <v>45723</v>
      </c>
      <c r="I433" s="121">
        <f ca="1">HLOOKUP($H$4,'Met Data'!$A$2:$F$368,G433,FALSE)</f>
        <v>16.349999999999898</v>
      </c>
      <c r="J433" s="121">
        <f ca="1">HLOOKUP($H$4,'Met Data'!$H$2:$M$368,G433,FALSE)*L433</f>
        <v>9.18</v>
      </c>
      <c r="K433" s="98">
        <f ca="1">HLOOKUP($H$4,'Met Data'!$O$2:$T$368,G433,FALSE)</f>
        <v>3.2051572713162999</v>
      </c>
      <c r="L433">
        <f t="shared" ca="1" si="60"/>
        <v>1.7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68</v>
      </c>
      <c r="H434" s="97">
        <f t="shared" ca="1" si="66"/>
        <v>45724</v>
      </c>
      <c r="I434" s="121">
        <f ca="1">HLOOKUP($H$4,'Met Data'!$A$2:$F$368,G434,FALSE)</f>
        <v>16.404166666666601</v>
      </c>
      <c r="J434" s="121">
        <f ca="1">HLOOKUP($H$4,'Met Data'!$H$2:$M$368,G434,FALSE)*L434</f>
        <v>3.0033333333333219</v>
      </c>
      <c r="K434" s="98">
        <f ca="1">HLOOKUP($H$4,'Met Data'!$O$2:$T$368,G434,FALSE)</f>
        <v>3.3473688975414899</v>
      </c>
      <c r="L434">
        <f t="shared" ca="1" si="60"/>
        <v>1.7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69</v>
      </c>
      <c r="H435" s="97">
        <f t="shared" ca="1" si="66"/>
        <v>45725</v>
      </c>
      <c r="I435" s="121">
        <f ca="1">HLOOKUP($H$4,'Met Data'!$A$2:$F$368,G435,FALSE)</f>
        <v>16.174999999999901</v>
      </c>
      <c r="J435" s="121">
        <f ca="1">HLOOKUP($H$4,'Met Data'!$H$2:$M$368,G435,FALSE)*L435</f>
        <v>0.93499999999999839</v>
      </c>
      <c r="K435" s="98">
        <f ca="1">HLOOKUP($H$4,'Met Data'!$O$2:$T$368,G435,FALSE)</f>
        <v>3.3552920602916099</v>
      </c>
      <c r="L435">
        <f t="shared" ca="1" si="60"/>
        <v>1.7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70</v>
      </c>
      <c r="H436" s="97">
        <f t="shared" ca="1" si="66"/>
        <v>45726</v>
      </c>
      <c r="I436" s="121">
        <f ca="1">HLOOKUP($H$4,'Met Data'!$A$2:$F$368,G436,FALSE)</f>
        <v>16.625</v>
      </c>
      <c r="J436" s="121">
        <f ca="1">HLOOKUP($H$4,'Met Data'!$H$2:$M$368,G436,FALSE)*L436</f>
        <v>3.5133333333333221</v>
      </c>
      <c r="K436" s="98">
        <f ca="1">HLOOKUP($H$4,'Met Data'!$O$2:$T$368,G436,FALSE)</f>
        <v>3.2920876744510998</v>
      </c>
      <c r="L436">
        <f t="shared" ca="1" si="60"/>
        <v>1.7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71</v>
      </c>
      <c r="H437" s="97">
        <f t="shared" ca="1" si="66"/>
        <v>45727</v>
      </c>
      <c r="I437" s="121">
        <f ca="1">HLOOKUP($H$4,'Met Data'!$A$2:$F$368,G437,FALSE)</f>
        <v>16.266666666666602</v>
      </c>
      <c r="J437" s="121">
        <f ca="1">HLOOKUP($H$4,'Met Data'!$H$2:$M$368,G437,FALSE)*L437</f>
        <v>5.8649999999999824</v>
      </c>
      <c r="K437" s="98">
        <f ca="1">HLOOKUP($H$4,'Met Data'!$O$2:$T$368,G437,FALSE)</f>
        <v>2.5592177640993499</v>
      </c>
      <c r="L437">
        <f t="shared" ca="1" si="60"/>
        <v>1.7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72</v>
      </c>
      <c r="H438" s="97">
        <f t="shared" ca="1" si="66"/>
        <v>45728</v>
      </c>
      <c r="I438" s="121">
        <f ca="1">HLOOKUP($H$4,'Met Data'!$A$2:$F$368,G438,FALSE)</f>
        <v>16.404166666666601</v>
      </c>
      <c r="J438" s="121">
        <f ca="1">HLOOKUP($H$4,'Met Data'!$H$2:$M$368,G438,FALSE)*L438</f>
        <v>2.6916666666666607</v>
      </c>
      <c r="K438" s="98">
        <f ca="1">HLOOKUP($H$4,'Met Data'!$O$2:$T$368,G438,FALSE)</f>
        <v>2.85115032224514</v>
      </c>
      <c r="L438">
        <f t="shared" ca="1" si="60"/>
        <v>1.7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73</v>
      </c>
      <c r="H439" s="97">
        <f t="shared" ca="1" si="66"/>
        <v>45729</v>
      </c>
      <c r="I439" s="121">
        <f ca="1">HLOOKUP($H$4,'Met Data'!$A$2:$F$368,G439,FALSE)</f>
        <v>15.324999999999999</v>
      </c>
      <c r="J439" s="121">
        <f ca="1">HLOOKUP($H$4,'Met Data'!$H$2:$M$368,G439,FALSE)*L439</f>
        <v>2.3516666666666608</v>
      </c>
      <c r="K439" s="98">
        <f ca="1">HLOOKUP($H$4,'Met Data'!$O$2:$T$368,G439,FALSE)</f>
        <v>2.7545575054438101</v>
      </c>
      <c r="L439">
        <f t="shared" ca="1" si="60"/>
        <v>1.7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74</v>
      </c>
      <c r="H440" s="97">
        <f t="shared" ca="1" si="66"/>
        <v>45730</v>
      </c>
      <c r="I440" s="121">
        <f ca="1">HLOOKUP($H$4,'Met Data'!$A$2:$F$368,G440,FALSE)</f>
        <v>15.8333333333333</v>
      </c>
      <c r="J440" s="121">
        <f ca="1">HLOOKUP($H$4,'Met Data'!$H$2:$M$368,G440,FALSE)*L440</f>
        <v>0.8216666666666661</v>
      </c>
      <c r="K440" s="98">
        <f ca="1">HLOOKUP($H$4,'Met Data'!$O$2:$T$368,G440,FALSE)</f>
        <v>2.9925841251346701</v>
      </c>
      <c r="L440">
        <f t="shared" ca="1" si="60"/>
        <v>1.7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75</v>
      </c>
      <c r="H441" s="97">
        <f t="shared" ca="1" si="66"/>
        <v>45731</v>
      </c>
      <c r="I441" s="121">
        <f ca="1">HLOOKUP($H$4,'Met Data'!$A$2:$F$368,G441,FALSE)</f>
        <v>16.966666666666601</v>
      </c>
      <c r="J441" s="121">
        <f ca="1">HLOOKUP($H$4,'Met Data'!$H$2:$M$368,G441,FALSE)*L441</f>
        <v>0.53833333333333211</v>
      </c>
      <c r="K441" s="98">
        <f ca="1">HLOOKUP($H$4,'Met Data'!$O$2:$T$368,G441,FALSE)</f>
        <v>2.9125814341448</v>
      </c>
      <c r="L441">
        <f t="shared" ca="1" si="60"/>
        <v>1.7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76</v>
      </c>
      <c r="H442" s="97">
        <f t="shared" ca="1" si="66"/>
        <v>45732</v>
      </c>
      <c r="I442" s="121">
        <f ca="1">HLOOKUP($H$4,'Met Data'!$A$2:$F$368,G442,FALSE)</f>
        <v>17.766666666666602</v>
      </c>
      <c r="J442" s="121">
        <f ca="1">HLOOKUP($H$4,'Met Data'!$H$2:$M$368,G442,FALSE)*L442</f>
        <v>3.8249999999999997</v>
      </c>
      <c r="K442" s="98">
        <f ca="1">HLOOKUP($H$4,'Met Data'!$O$2:$T$368,G442,FALSE)</f>
        <v>2.3685635659939601</v>
      </c>
      <c r="L442">
        <f t="shared" ca="1" si="60"/>
        <v>1.7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77</v>
      </c>
      <c r="H443" s="97">
        <f t="shared" ca="1" si="66"/>
        <v>45733</v>
      </c>
      <c r="I443" s="121">
        <f ca="1">HLOOKUP($H$4,'Met Data'!$A$2:$F$368,G443,FALSE)</f>
        <v>16.100000000000001</v>
      </c>
      <c r="J443" s="121">
        <f ca="1">HLOOKUP($H$4,'Met Data'!$H$2:$M$368,G443,FALSE)*L443</f>
        <v>2.38</v>
      </c>
      <c r="K443" s="98">
        <f ca="1">HLOOKUP($H$4,'Met Data'!$O$2:$T$368,G443,FALSE)</f>
        <v>2.7759280674014901</v>
      </c>
      <c r="L443">
        <f t="shared" ca="1" si="60"/>
        <v>1.7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78</v>
      </c>
      <c r="H444" s="97">
        <f t="shared" ca="1" si="66"/>
        <v>45734</v>
      </c>
      <c r="I444" s="121">
        <f ca="1">HLOOKUP($H$4,'Met Data'!$A$2:$F$368,G444,FALSE)</f>
        <v>15.379166666666601</v>
      </c>
      <c r="J444" s="121">
        <f ca="1">HLOOKUP($H$4,'Met Data'!$H$2:$M$368,G444,FALSE)*L444</f>
        <v>6.2616666666666605</v>
      </c>
      <c r="K444" s="98">
        <f ca="1">HLOOKUP($H$4,'Met Data'!$O$2:$T$368,G444,FALSE)</f>
        <v>2.7162290778951999</v>
      </c>
      <c r="L444">
        <f t="shared" ca="1" si="60"/>
        <v>1.7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79</v>
      </c>
      <c r="H445" s="97">
        <f t="shared" ca="1" si="66"/>
        <v>45735</v>
      </c>
      <c r="I445" s="121">
        <f ca="1">HLOOKUP($H$4,'Met Data'!$A$2:$F$368,G445,FALSE)</f>
        <v>15.858333333333301</v>
      </c>
      <c r="J445" s="121">
        <f ca="1">HLOOKUP($H$4,'Met Data'!$H$2:$M$368,G445,FALSE)*L445</f>
        <v>1.4449999999999998</v>
      </c>
      <c r="K445" s="98">
        <f ca="1">HLOOKUP($H$4,'Met Data'!$O$2:$T$368,G445,FALSE)</f>
        <v>2.8216063312721902</v>
      </c>
      <c r="L445">
        <f t="shared" ca="1" si="60"/>
        <v>1.7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80</v>
      </c>
      <c r="H446" s="97">
        <f t="shared" ca="1" si="66"/>
        <v>45736</v>
      </c>
      <c r="I446" s="121">
        <f ca="1">HLOOKUP($H$4,'Met Data'!$A$2:$F$368,G446,FALSE)</f>
        <v>16.216666666666601</v>
      </c>
      <c r="J446" s="121">
        <f ca="1">HLOOKUP($H$4,'Met Data'!$H$2:$M$368,G446,FALSE)*L446</f>
        <v>0.14166666666666661</v>
      </c>
      <c r="K446" s="98">
        <f ca="1">HLOOKUP($H$4,'Met Data'!$O$2:$T$368,G446,FALSE)</f>
        <v>2.7500481593686201</v>
      </c>
      <c r="L446">
        <f t="shared" ca="1" si="60"/>
        <v>1.7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81</v>
      </c>
      <c r="H447" s="97">
        <f t="shared" ca="1" si="66"/>
        <v>45737</v>
      </c>
      <c r="I447" s="121">
        <f ca="1">HLOOKUP($H$4,'Met Data'!$A$2:$F$368,G447,FALSE)</f>
        <v>16.483333333333299</v>
      </c>
      <c r="J447" s="121">
        <f ca="1">HLOOKUP($H$4,'Met Data'!$H$2:$M$368,G447,FALSE)*L447</f>
        <v>1.8983333333333221</v>
      </c>
      <c r="K447" s="98">
        <f ca="1">HLOOKUP($H$4,'Met Data'!$O$2:$T$368,G447,FALSE)</f>
        <v>2.6292753041097501</v>
      </c>
      <c r="L447">
        <f t="shared" ca="1" si="60"/>
        <v>1.7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82</v>
      </c>
      <c r="H448" s="97">
        <f t="shared" ca="1" si="66"/>
        <v>45738</v>
      </c>
      <c r="I448" s="121">
        <f ca="1">HLOOKUP($H$4,'Met Data'!$A$2:$F$368,G448,FALSE)</f>
        <v>16.6791666666666</v>
      </c>
      <c r="J448" s="121">
        <f ca="1">HLOOKUP($H$4,'Met Data'!$H$2:$M$368,G448,FALSE)*L448</f>
        <v>2.7766666666666611</v>
      </c>
      <c r="K448" s="98">
        <f ca="1">HLOOKUP($H$4,'Met Data'!$O$2:$T$368,G448,FALSE)</f>
        <v>2.3413673129625598</v>
      </c>
      <c r="L448">
        <f t="shared" ca="1" si="60"/>
        <v>1.7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83</v>
      </c>
      <c r="H449" s="97">
        <f t="shared" ca="1" si="66"/>
        <v>45739</v>
      </c>
      <c r="I449" s="121">
        <f ca="1">HLOOKUP($H$4,'Met Data'!$A$2:$F$368,G449,FALSE)</f>
        <v>16.8</v>
      </c>
      <c r="J449" s="121">
        <f ca="1">HLOOKUP($H$4,'Met Data'!$H$2:$M$368,G449,FALSE)*L449</f>
        <v>3.881666666666661</v>
      </c>
      <c r="K449" s="98">
        <f ca="1">HLOOKUP($H$4,'Met Data'!$O$2:$T$368,G449,FALSE)</f>
        <v>2.7038604411954998</v>
      </c>
      <c r="L449">
        <f t="shared" ca="1" si="60"/>
        <v>1.7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84</v>
      </c>
      <c r="H450" s="97">
        <f t="shared" ca="1" si="66"/>
        <v>45740</v>
      </c>
      <c r="I450" s="121">
        <f ca="1">HLOOKUP($H$4,'Met Data'!$A$2:$F$368,G450,FALSE)</f>
        <v>16.237500000000001</v>
      </c>
      <c r="J450" s="121">
        <f ca="1">HLOOKUP($H$4,'Met Data'!$H$2:$M$368,G450,FALSE)*L450</f>
        <v>6.4316666666666613</v>
      </c>
      <c r="K450" s="98">
        <f ca="1">HLOOKUP($H$4,'Met Data'!$O$2:$T$368,G450,FALSE)</f>
        <v>2.1387131538714801</v>
      </c>
      <c r="L450">
        <f t="shared" ca="1" si="60"/>
        <v>1.7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85</v>
      </c>
      <c r="H451" s="97">
        <f t="shared" ca="1" si="66"/>
        <v>45741</v>
      </c>
      <c r="I451" s="121">
        <f ca="1">HLOOKUP($H$4,'Met Data'!$A$2:$F$368,G451,FALSE)</f>
        <v>16.875</v>
      </c>
      <c r="J451" s="121">
        <f ca="1">HLOOKUP($H$4,'Met Data'!$H$2:$M$368,G451,FALSE)*L451</f>
        <v>4.93</v>
      </c>
      <c r="K451" s="98">
        <f ca="1">HLOOKUP($H$4,'Met Data'!$O$2:$T$368,G451,FALSE)</f>
        <v>2.4308063740099</v>
      </c>
      <c r="L451">
        <f t="shared" ca="1" si="60"/>
        <v>1.7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86</v>
      </c>
      <c r="H452" s="97">
        <f t="shared" ca="1" si="66"/>
        <v>45742</v>
      </c>
      <c r="I452" s="121">
        <f ca="1">HLOOKUP($H$4,'Met Data'!$A$2:$F$368,G452,FALSE)</f>
        <v>17.024999999999999</v>
      </c>
      <c r="J452" s="121">
        <f ca="1">HLOOKUP($H$4,'Met Data'!$H$2:$M$368,G452,FALSE)*L452</f>
        <v>6.3466666666666605</v>
      </c>
      <c r="K452" s="98">
        <f ca="1">HLOOKUP($H$4,'Met Data'!$O$2:$T$368,G452,FALSE)</f>
        <v>2.3866525377963699</v>
      </c>
      <c r="L452">
        <f t="shared" ca="1" si="60"/>
        <v>1.7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87</v>
      </c>
      <c r="H453" s="97">
        <f t="shared" ca="1" si="66"/>
        <v>45743</v>
      </c>
      <c r="I453" s="121">
        <f ca="1">HLOOKUP($H$4,'Met Data'!$A$2:$F$368,G453,FALSE)</f>
        <v>17.3</v>
      </c>
      <c r="J453" s="121">
        <f ca="1">HLOOKUP($H$4,'Met Data'!$H$2:$M$368,G453,FALSE)*L453</f>
        <v>3.2866666666666609</v>
      </c>
      <c r="K453" s="98">
        <f ca="1">HLOOKUP($H$4,'Met Data'!$O$2:$T$368,G453,FALSE)</f>
        <v>2.6501779961824399</v>
      </c>
      <c r="L453">
        <f t="shared" ca="1" si="60"/>
        <v>1.7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88</v>
      </c>
      <c r="H454" s="97">
        <f t="shared" ca="1" si="66"/>
        <v>45744</v>
      </c>
      <c r="I454" s="121">
        <f ca="1">HLOOKUP($H$4,'Met Data'!$A$2:$F$368,G454,FALSE)</f>
        <v>15.983333333333301</v>
      </c>
      <c r="J454" s="121">
        <f ca="1">HLOOKUP($H$4,'Met Data'!$H$2:$M$368,G454,FALSE)*L454</f>
        <v>2.0683333333333218</v>
      </c>
      <c r="K454" s="98">
        <f ca="1">HLOOKUP($H$4,'Met Data'!$O$2:$T$368,G454,FALSE)</f>
        <v>2.2352735074469998</v>
      </c>
      <c r="L454">
        <f t="shared" ref="L454:L495" ca="1" si="70">IF(H454&lt;$B$31,$J$3,$J$4)</f>
        <v>1.7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89</v>
      </c>
      <c r="H455" s="97">
        <f t="shared" ca="1" si="66"/>
        <v>45745</v>
      </c>
      <c r="I455" s="121">
        <f ca="1">HLOOKUP($H$4,'Met Data'!$A$2:$F$368,G455,FALSE)</f>
        <v>16.404166666666601</v>
      </c>
      <c r="J455" s="121">
        <f ca="1">HLOOKUP($H$4,'Met Data'!$H$2:$M$368,G455,FALSE)*L455</f>
        <v>3.9666666666666606</v>
      </c>
      <c r="K455" s="98">
        <f ca="1">HLOOKUP($H$4,'Met Data'!$O$2:$T$368,G455,FALSE)</f>
        <v>2.3461969045698901</v>
      </c>
      <c r="L455">
        <f t="shared" ca="1" si="70"/>
        <v>1.7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90</v>
      </c>
      <c r="H456" s="97">
        <f t="shared" ref="H456:H519" ca="1" si="76">H455+1</f>
        <v>45746</v>
      </c>
      <c r="I456" s="121">
        <f ca="1">HLOOKUP($H$4,'Met Data'!$A$2:$F$368,G456,FALSE)</f>
        <v>16.629166666666599</v>
      </c>
      <c r="J456" s="121">
        <f ca="1">HLOOKUP($H$4,'Met Data'!$H$2:$M$368,G456,FALSE)*L456</f>
        <v>3.7966666666666606</v>
      </c>
      <c r="K456" s="98">
        <f ca="1">HLOOKUP($H$4,'Met Data'!$O$2:$T$368,G456,FALSE)</f>
        <v>2.5330458314755799</v>
      </c>
      <c r="L456">
        <f t="shared" ca="1" si="70"/>
        <v>1.7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91</v>
      </c>
      <c r="H457" s="97">
        <f t="shared" ca="1" si="76"/>
        <v>45747</v>
      </c>
      <c r="I457" s="121">
        <f ca="1">HLOOKUP($H$4,'Met Data'!$A$2:$F$368,G457,FALSE)</f>
        <v>16.112499999999901</v>
      </c>
      <c r="J457" s="121">
        <f ca="1">HLOOKUP($H$4,'Met Data'!$H$2:$M$368,G457,FALSE)*L457</f>
        <v>3.5416666666666607</v>
      </c>
      <c r="K457" s="98">
        <f ca="1">HLOOKUP($H$4,'Met Data'!$O$2:$T$368,G457,FALSE)</f>
        <v>2.4661161715906501</v>
      </c>
      <c r="L457">
        <f t="shared" ca="1" si="70"/>
        <v>1.7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92</v>
      </c>
      <c r="H458" s="97">
        <f t="shared" ca="1" si="76"/>
        <v>45748</v>
      </c>
      <c r="I458" s="121">
        <f ca="1">HLOOKUP($H$4,'Met Data'!$A$2:$F$368,G458,FALSE)</f>
        <v>15.862500000000001</v>
      </c>
      <c r="J458" s="121">
        <f ca="1">HLOOKUP($H$4,'Met Data'!$H$2:$M$368,G458,FALSE)*L458</f>
        <v>2.2666666666666608</v>
      </c>
      <c r="K458" s="98">
        <f ca="1">HLOOKUP($H$4,'Met Data'!$O$2:$T$368,G458,FALSE)</f>
        <v>2.3173978620084501</v>
      </c>
      <c r="L458">
        <f t="shared" ca="1" si="70"/>
        <v>1.7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93</v>
      </c>
      <c r="H459" s="97">
        <f t="shared" ca="1" si="76"/>
        <v>45749</v>
      </c>
      <c r="I459" s="121">
        <f ca="1">HLOOKUP($H$4,'Met Data'!$A$2:$F$368,G459,FALSE)</f>
        <v>15.299999999999899</v>
      </c>
      <c r="J459" s="121">
        <f ca="1">HLOOKUP($H$4,'Met Data'!$H$2:$M$368,G459,FALSE)*L459</f>
        <v>0.62333333333333218</v>
      </c>
      <c r="K459" s="98">
        <f ca="1">HLOOKUP($H$4,'Met Data'!$O$2:$T$368,G459,FALSE)</f>
        <v>2.1311275850035698</v>
      </c>
      <c r="L459">
        <f t="shared" ca="1" si="70"/>
        <v>1.7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94</v>
      </c>
      <c r="H460" s="97">
        <f t="shared" ca="1" si="76"/>
        <v>45750</v>
      </c>
      <c r="I460" s="121">
        <f ca="1">HLOOKUP($H$4,'Met Data'!$A$2:$F$368,G460,FALSE)</f>
        <v>16.266666666666602</v>
      </c>
      <c r="J460" s="121">
        <f ca="1">HLOOKUP($H$4,'Met Data'!$H$2:$M$368,G460,FALSE)*L460</f>
        <v>7.4233333333333222</v>
      </c>
      <c r="K460" s="98">
        <f ca="1">HLOOKUP($H$4,'Met Data'!$O$2:$T$368,G460,FALSE)</f>
        <v>2.1942415542804201</v>
      </c>
      <c r="L460">
        <f t="shared" ca="1" si="70"/>
        <v>1.7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95</v>
      </c>
      <c r="H461" s="97">
        <f t="shared" ca="1" si="76"/>
        <v>45751</v>
      </c>
      <c r="I461" s="121">
        <f ca="1">HLOOKUP($H$4,'Met Data'!$A$2:$F$368,G461,FALSE)</f>
        <v>16.008333333333301</v>
      </c>
      <c r="J461" s="121">
        <f ca="1">HLOOKUP($H$4,'Met Data'!$H$2:$M$368,G461,FALSE)*L461</f>
        <v>9.4916666666666618</v>
      </c>
      <c r="K461" s="98">
        <f ca="1">HLOOKUP($H$4,'Met Data'!$O$2:$T$368,G461,FALSE)</f>
        <v>2.18875214188912</v>
      </c>
      <c r="L461">
        <f t="shared" ca="1" si="70"/>
        <v>1.7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96</v>
      </c>
      <c r="H462" s="97">
        <f t="shared" ca="1" si="76"/>
        <v>45752</v>
      </c>
      <c r="I462" s="121">
        <f ca="1">HLOOKUP($H$4,'Met Data'!$A$2:$F$368,G462,FALSE)</f>
        <v>14.8083333333333</v>
      </c>
      <c r="J462" s="121">
        <f ca="1">HLOOKUP($H$4,'Met Data'!$H$2:$M$368,G462,FALSE)*L462</f>
        <v>6.6866666666666612</v>
      </c>
      <c r="K462" s="98">
        <f ca="1">HLOOKUP($H$4,'Met Data'!$O$2:$T$368,G462,FALSE)</f>
        <v>2.25899576438928</v>
      </c>
      <c r="L462">
        <f t="shared" ca="1" si="70"/>
        <v>1.7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97</v>
      </c>
      <c r="H463" s="97">
        <f t="shared" ca="1" si="76"/>
        <v>45753</v>
      </c>
      <c r="I463" s="121">
        <f ca="1">HLOOKUP($H$4,'Met Data'!$A$2:$F$368,G463,FALSE)</f>
        <v>14.283333333333299</v>
      </c>
      <c r="J463" s="121">
        <f ca="1">HLOOKUP($H$4,'Met Data'!$H$2:$M$368,G463,FALSE)*L463</f>
        <v>2.1533333333333218</v>
      </c>
      <c r="K463" s="98">
        <f ca="1">HLOOKUP($H$4,'Met Data'!$O$2:$T$368,G463,FALSE)</f>
        <v>2.2952223200603901</v>
      </c>
      <c r="L463">
        <f t="shared" ca="1" si="70"/>
        <v>1.7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98</v>
      </c>
      <c r="H464" s="97">
        <f t="shared" ca="1" si="76"/>
        <v>45754</v>
      </c>
      <c r="I464" s="121">
        <f ca="1">HLOOKUP($H$4,'Met Data'!$A$2:$F$368,G464,FALSE)</f>
        <v>13.258333333333301</v>
      </c>
      <c r="J464" s="121">
        <f ca="1">HLOOKUP($H$4,'Met Data'!$H$2:$M$368,G464,FALSE)*L464</f>
        <v>2.0116666666666609</v>
      </c>
      <c r="K464" s="98">
        <f ca="1">HLOOKUP($H$4,'Met Data'!$O$2:$T$368,G464,FALSE)</f>
        <v>1.94562323949851</v>
      </c>
      <c r="L464">
        <f t="shared" ca="1" si="70"/>
        <v>1.7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99</v>
      </c>
      <c r="H465" s="97">
        <f t="shared" ca="1" si="76"/>
        <v>45755</v>
      </c>
      <c r="I465" s="121">
        <f ca="1">HLOOKUP($H$4,'Met Data'!$A$2:$F$368,G465,FALSE)</f>
        <v>13.8666666666666</v>
      </c>
      <c r="J465" s="121">
        <f ca="1">HLOOKUP($H$4,'Met Data'!$H$2:$M$368,G465,FALSE)*L465</f>
        <v>8.0466666666666598</v>
      </c>
      <c r="K465" s="98">
        <f ca="1">HLOOKUP($H$4,'Met Data'!$O$2:$T$368,G465,FALSE)</f>
        <v>1.65226329552866</v>
      </c>
      <c r="L465">
        <f t="shared" ca="1" si="70"/>
        <v>1.7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100</v>
      </c>
      <c r="H466" s="97">
        <f t="shared" ca="1" si="76"/>
        <v>45756</v>
      </c>
      <c r="I466" s="121">
        <f ca="1">HLOOKUP($H$4,'Met Data'!$A$2:$F$368,G466,FALSE)</f>
        <v>14.404166666666599</v>
      </c>
      <c r="J466" s="121">
        <f ca="1">HLOOKUP($H$4,'Met Data'!$H$2:$M$368,G466,FALSE)*L466</f>
        <v>7.3383333333333223</v>
      </c>
      <c r="K466" s="98">
        <f ca="1">HLOOKUP($H$4,'Met Data'!$O$2:$T$368,G466,FALSE)</f>
        <v>1.8668252234765801</v>
      </c>
      <c r="L466">
        <f t="shared" ca="1" si="70"/>
        <v>1.7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101</v>
      </c>
      <c r="H467" s="97">
        <f t="shared" ca="1" si="76"/>
        <v>45757</v>
      </c>
      <c r="I467" s="121">
        <f ca="1">HLOOKUP($H$4,'Met Data'!$A$2:$F$368,G467,FALSE)</f>
        <v>14.5416666666666</v>
      </c>
      <c r="J467" s="121">
        <f ca="1">HLOOKUP($H$4,'Met Data'!$H$2:$M$368,G467,FALSE)*L467</f>
        <v>7.5366666666666609</v>
      </c>
      <c r="K467" s="98">
        <f ca="1">HLOOKUP($H$4,'Met Data'!$O$2:$T$368,G467,FALSE)</f>
        <v>1.97301093095216</v>
      </c>
      <c r="L467">
        <f t="shared" ca="1" si="70"/>
        <v>1.7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102</v>
      </c>
      <c r="H468" s="97">
        <f t="shared" ca="1" si="76"/>
        <v>45758</v>
      </c>
      <c r="I468" s="121">
        <f ca="1">HLOOKUP($H$4,'Met Data'!$A$2:$F$368,G468,FALSE)</f>
        <v>14.279166666666599</v>
      </c>
      <c r="J468" s="121">
        <f ca="1">HLOOKUP($H$4,'Met Data'!$H$2:$M$368,G468,FALSE)*L468</f>
        <v>2.2666666666666608</v>
      </c>
      <c r="K468" s="98">
        <f ca="1">HLOOKUP($H$4,'Met Data'!$O$2:$T$368,G468,FALSE)</f>
        <v>1.63836682585681</v>
      </c>
      <c r="L468">
        <f t="shared" ca="1" si="70"/>
        <v>1.7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103</v>
      </c>
      <c r="H469" s="97">
        <f t="shared" ca="1" si="76"/>
        <v>45759</v>
      </c>
      <c r="I469" s="121">
        <f ca="1">HLOOKUP($H$4,'Met Data'!$A$2:$F$368,G469,FALSE)</f>
        <v>15.1666666666666</v>
      </c>
      <c r="J469" s="121">
        <f ca="1">HLOOKUP($H$4,'Met Data'!$H$2:$M$368,G469,FALSE)*L469</f>
        <v>6.4316666666666613</v>
      </c>
      <c r="K469" s="98">
        <f ca="1">HLOOKUP($H$4,'Met Data'!$O$2:$T$368,G469,FALSE)</f>
        <v>1.8936832301932101</v>
      </c>
      <c r="L469">
        <f t="shared" ca="1" si="70"/>
        <v>1.7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104</v>
      </c>
      <c r="H470" s="97">
        <f t="shared" ca="1" si="76"/>
        <v>45760</v>
      </c>
      <c r="I470" s="121">
        <f ca="1">HLOOKUP($H$4,'Met Data'!$A$2:$F$368,G470,FALSE)</f>
        <v>14.675000000000001</v>
      </c>
      <c r="J470" s="121">
        <f ca="1">HLOOKUP($H$4,'Met Data'!$H$2:$M$368,G470,FALSE)*L470</f>
        <v>7.6783333333333221</v>
      </c>
      <c r="K470" s="98">
        <f ca="1">HLOOKUP($H$4,'Met Data'!$O$2:$T$368,G470,FALSE)</f>
        <v>1.6971366028359001</v>
      </c>
      <c r="L470">
        <f t="shared" ca="1" si="70"/>
        <v>1.7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105</v>
      </c>
      <c r="H471" s="97">
        <f t="shared" ca="1" si="76"/>
        <v>45761</v>
      </c>
      <c r="I471" s="121">
        <f ca="1">HLOOKUP($H$4,'Met Data'!$A$2:$F$368,G471,FALSE)</f>
        <v>13.504166666666601</v>
      </c>
      <c r="J471" s="121">
        <f ca="1">HLOOKUP($H$4,'Met Data'!$H$2:$M$368,G471,FALSE)*L471</f>
        <v>7.6499999999999995</v>
      </c>
      <c r="K471" s="98">
        <f ca="1">HLOOKUP($H$4,'Met Data'!$O$2:$T$368,G471,FALSE)</f>
        <v>1.6970685904410301</v>
      </c>
      <c r="L471">
        <f t="shared" ca="1" si="70"/>
        <v>1.7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106</v>
      </c>
      <c r="H472" s="97">
        <f t="shared" ca="1" si="76"/>
        <v>45762</v>
      </c>
      <c r="I472" s="121">
        <f ca="1">HLOOKUP($H$4,'Met Data'!$A$2:$F$368,G472,FALSE)</f>
        <v>13.779166666666599</v>
      </c>
      <c r="J472" s="121">
        <f ca="1">HLOOKUP($H$4,'Met Data'!$H$2:$M$368,G472,FALSE)*L472</f>
        <v>1.53</v>
      </c>
      <c r="K472" s="98">
        <f ca="1">HLOOKUP($H$4,'Met Data'!$O$2:$T$368,G472,FALSE)</f>
        <v>2.0649391337631702</v>
      </c>
      <c r="L472">
        <f t="shared" ca="1" si="70"/>
        <v>1.7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107</v>
      </c>
      <c r="H473" s="97">
        <f t="shared" ca="1" si="76"/>
        <v>45763</v>
      </c>
      <c r="I473" s="121">
        <f ca="1">HLOOKUP($H$4,'Met Data'!$A$2:$F$368,G473,FALSE)</f>
        <v>13.920833333333301</v>
      </c>
      <c r="J473" s="121">
        <f ca="1">HLOOKUP($H$4,'Met Data'!$H$2:$M$368,G473,FALSE)*L473</f>
        <v>12.92</v>
      </c>
      <c r="K473" s="98">
        <f ca="1">HLOOKUP($H$4,'Met Data'!$O$2:$T$368,G473,FALSE)</f>
        <v>1.7084212444020199</v>
      </c>
      <c r="L473">
        <f t="shared" ca="1" si="70"/>
        <v>1.7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108</v>
      </c>
      <c r="H474" s="97">
        <f t="shared" ca="1" si="76"/>
        <v>45764</v>
      </c>
      <c r="I474" s="121">
        <f ca="1">HLOOKUP($H$4,'Met Data'!$A$2:$F$368,G474,FALSE)</f>
        <v>13.6416666666666</v>
      </c>
      <c r="J474" s="121">
        <f ca="1">HLOOKUP($H$4,'Met Data'!$H$2:$M$368,G474,FALSE)*L474</f>
        <v>5.8649999999999824</v>
      </c>
      <c r="K474" s="98">
        <f ca="1">HLOOKUP($H$4,'Met Data'!$O$2:$T$368,G474,FALSE)</f>
        <v>1.46996077972592</v>
      </c>
      <c r="L474">
        <f t="shared" ca="1" si="70"/>
        <v>1.7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109</v>
      </c>
      <c r="H475" s="97">
        <f t="shared" ca="1" si="76"/>
        <v>45765</v>
      </c>
      <c r="I475" s="121">
        <f ca="1">HLOOKUP($H$4,'Met Data'!$A$2:$F$368,G475,FALSE)</f>
        <v>13.6833333333333</v>
      </c>
      <c r="J475" s="121">
        <f ca="1">HLOOKUP($H$4,'Met Data'!$H$2:$M$368,G475,FALSE)*L475</f>
        <v>4.1083333333333218</v>
      </c>
      <c r="K475" s="98">
        <f ca="1">HLOOKUP($H$4,'Met Data'!$O$2:$T$368,G475,FALSE)</f>
        <v>1.64274717869015</v>
      </c>
      <c r="L475">
        <f t="shared" ca="1" si="70"/>
        <v>1.7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110</v>
      </c>
      <c r="H476" s="97">
        <f t="shared" ca="1" si="76"/>
        <v>45766</v>
      </c>
      <c r="I476" s="121">
        <f ca="1">HLOOKUP($H$4,'Met Data'!$A$2:$F$368,G476,FALSE)</f>
        <v>12.945833333333301</v>
      </c>
      <c r="J476" s="121">
        <f ca="1">HLOOKUP($H$4,'Met Data'!$H$2:$M$368,G476,FALSE)*L476</f>
        <v>2.7199999999999829</v>
      </c>
      <c r="K476" s="98">
        <f ca="1">HLOOKUP($H$4,'Met Data'!$O$2:$T$368,G476,FALSE)</f>
        <v>1.70342846945819</v>
      </c>
      <c r="L476">
        <f t="shared" ca="1" si="70"/>
        <v>1.7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111</v>
      </c>
      <c r="H477" s="97">
        <f t="shared" ca="1" si="76"/>
        <v>45767</v>
      </c>
      <c r="I477" s="121">
        <f ca="1">HLOOKUP($H$4,'Met Data'!$A$2:$F$368,G477,FALSE)</f>
        <v>14.2875</v>
      </c>
      <c r="J477" s="121">
        <f ca="1">HLOOKUP($H$4,'Met Data'!$H$2:$M$368,G477,FALSE)*L477</f>
        <v>1.9549999999999998</v>
      </c>
      <c r="K477" s="98">
        <f ca="1">HLOOKUP($H$4,'Met Data'!$O$2:$T$368,G477,FALSE)</f>
        <v>1.68674688590323</v>
      </c>
      <c r="L477">
        <f t="shared" ca="1" si="70"/>
        <v>1.7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112</v>
      </c>
      <c r="H478" s="97">
        <f t="shared" ca="1" si="76"/>
        <v>45768</v>
      </c>
      <c r="I478" s="121">
        <f ca="1">HLOOKUP($H$4,'Met Data'!$A$2:$F$368,G478,FALSE)</f>
        <v>14.275</v>
      </c>
      <c r="J478" s="121">
        <f ca="1">HLOOKUP($H$4,'Met Data'!$H$2:$M$368,G478,FALSE)*L478</f>
        <v>3.5416666666666607</v>
      </c>
      <c r="K478" s="98">
        <f ca="1">HLOOKUP($H$4,'Met Data'!$O$2:$T$368,G478,FALSE)</f>
        <v>1.5152419322458901</v>
      </c>
      <c r="L478">
        <f t="shared" ca="1" si="70"/>
        <v>1.7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113</v>
      </c>
      <c r="H479" s="97">
        <f t="shared" ca="1" si="76"/>
        <v>45769</v>
      </c>
      <c r="I479" s="121">
        <f ca="1">HLOOKUP($H$4,'Met Data'!$A$2:$F$368,G479,FALSE)</f>
        <v>13.595833333333299</v>
      </c>
      <c r="J479" s="121">
        <f ca="1">HLOOKUP($H$4,'Met Data'!$H$2:$M$368,G479,FALSE)*L479</f>
        <v>1.3033333333333323</v>
      </c>
      <c r="K479" s="98">
        <f ca="1">HLOOKUP($H$4,'Met Data'!$O$2:$T$368,G479,FALSE)</f>
        <v>1.65518894118648</v>
      </c>
      <c r="L479">
        <f t="shared" ca="1" si="70"/>
        <v>1.7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114</v>
      </c>
      <c r="H480" s="97">
        <f t="shared" ca="1" si="76"/>
        <v>45770</v>
      </c>
      <c r="I480" s="121">
        <f ca="1">HLOOKUP($H$4,'Met Data'!$A$2:$F$368,G480,FALSE)</f>
        <v>13.9125</v>
      </c>
      <c r="J480" s="121">
        <f ca="1">HLOOKUP($H$4,'Met Data'!$H$2:$M$368,G480,FALSE)*L480</f>
        <v>0.51</v>
      </c>
      <c r="K480" s="98">
        <f ca="1">HLOOKUP($H$4,'Met Data'!$O$2:$T$368,G480,FALSE)</f>
        <v>1.66585763602601</v>
      </c>
      <c r="L480">
        <f t="shared" ca="1" si="70"/>
        <v>1.7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115</v>
      </c>
      <c r="H481" s="97">
        <f t="shared" ca="1" si="76"/>
        <v>45771</v>
      </c>
      <c r="I481" s="121">
        <f ca="1">HLOOKUP($H$4,'Met Data'!$A$2:$F$368,G481,FALSE)</f>
        <v>14.820833333333301</v>
      </c>
      <c r="J481" s="121">
        <f ca="1">HLOOKUP($H$4,'Met Data'!$H$2:$M$368,G481,FALSE)*L481</f>
        <v>4.3066666666666613</v>
      </c>
      <c r="K481" s="98">
        <f ca="1">HLOOKUP($H$4,'Met Data'!$O$2:$T$368,G481,FALSE)</f>
        <v>1.5754379638326901</v>
      </c>
      <c r="L481">
        <f t="shared" ca="1" si="70"/>
        <v>1.7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116</v>
      </c>
      <c r="H482" s="97">
        <f t="shared" ca="1" si="76"/>
        <v>45772</v>
      </c>
      <c r="I482" s="121">
        <f ca="1">HLOOKUP($H$4,'Met Data'!$A$2:$F$368,G482,FALSE)</f>
        <v>14.4166666666666</v>
      </c>
      <c r="J482" s="121">
        <f ca="1">HLOOKUP($H$4,'Met Data'!$H$2:$M$368,G482,FALSE)*L482</f>
        <v>12.551666666666661</v>
      </c>
      <c r="K482" s="98">
        <f ca="1">HLOOKUP($H$4,'Met Data'!$O$2:$T$368,G482,FALSE)</f>
        <v>1.4622003711311999</v>
      </c>
      <c r="L482">
        <f t="shared" ca="1" si="70"/>
        <v>1.7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117</v>
      </c>
      <c r="H483" s="97">
        <f t="shared" ca="1" si="76"/>
        <v>45773</v>
      </c>
      <c r="I483" s="121">
        <f ca="1">HLOOKUP($H$4,'Met Data'!$A$2:$F$368,G483,FALSE)</f>
        <v>13.9375</v>
      </c>
      <c r="J483" s="121">
        <f ca="1">HLOOKUP($H$4,'Met Data'!$H$2:$M$368,G483,FALSE)*L483</f>
        <v>1.19</v>
      </c>
      <c r="K483" s="98">
        <f ca="1">HLOOKUP($H$4,'Met Data'!$O$2:$T$368,G483,FALSE)</f>
        <v>1.4965322621758601</v>
      </c>
      <c r="L483">
        <f t="shared" ca="1" si="70"/>
        <v>1.7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118</v>
      </c>
      <c r="H484" s="97">
        <f t="shared" ca="1" si="76"/>
        <v>45774</v>
      </c>
      <c r="I484" s="121">
        <f ca="1">HLOOKUP($H$4,'Met Data'!$A$2:$F$368,G484,FALSE)</f>
        <v>14.8045454545454</v>
      </c>
      <c r="J484" s="121">
        <f ca="1">HLOOKUP($H$4,'Met Data'!$H$2:$M$368,G484,FALSE)*L484</f>
        <v>7.7890909090909064</v>
      </c>
      <c r="K484" s="98">
        <f ca="1">HLOOKUP($H$4,'Met Data'!$O$2:$T$368,G484,FALSE)</f>
        <v>1.5702581753512701</v>
      </c>
      <c r="L484">
        <f t="shared" ca="1" si="70"/>
        <v>1.7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119</v>
      </c>
      <c r="H485" s="97">
        <f t="shared" ca="1" si="76"/>
        <v>45775</v>
      </c>
      <c r="I485" s="121">
        <f ca="1">HLOOKUP($H$4,'Met Data'!$A$2:$F$368,G485,FALSE)</f>
        <v>14.1090909090909</v>
      </c>
      <c r="J485" s="121">
        <f ca="1">HLOOKUP($H$4,'Met Data'!$H$2:$M$368,G485,FALSE)*L485</f>
        <v>9.427272727272717</v>
      </c>
      <c r="K485" s="98">
        <f ca="1">HLOOKUP($H$4,'Met Data'!$O$2:$T$368,G485,FALSE)</f>
        <v>1.27231342308323</v>
      </c>
      <c r="L485">
        <f t="shared" ca="1" si="70"/>
        <v>1.7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120</v>
      </c>
      <c r="H486" s="97">
        <f t="shared" ca="1" si="76"/>
        <v>45776</v>
      </c>
      <c r="I486" s="121">
        <f ca="1">HLOOKUP($H$4,'Met Data'!$A$2:$F$368,G486,FALSE)</f>
        <v>13.8375</v>
      </c>
      <c r="J486" s="121">
        <f ca="1">HLOOKUP($H$4,'Met Data'!$H$2:$M$368,G486,FALSE)*L486</f>
        <v>7.9616666666666607</v>
      </c>
      <c r="K486" s="98">
        <f ca="1">HLOOKUP($H$4,'Met Data'!$O$2:$T$368,G486,FALSE)</f>
        <v>1.5077932055652401</v>
      </c>
      <c r="L486">
        <f t="shared" ca="1" si="70"/>
        <v>1.7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121</v>
      </c>
      <c r="H487" s="97">
        <f t="shared" ca="1" si="76"/>
        <v>45777</v>
      </c>
      <c r="I487" s="121">
        <f ca="1">HLOOKUP($H$4,'Met Data'!$A$2:$F$368,G487,FALSE)</f>
        <v>13.6458333333333</v>
      </c>
      <c r="J487" s="121">
        <f ca="1">HLOOKUP($H$4,'Met Data'!$H$2:$M$368,G487,FALSE)*L487</f>
        <v>9.179999999999982</v>
      </c>
      <c r="K487" s="98">
        <f ca="1">HLOOKUP($H$4,'Met Data'!$O$2:$T$368,G487,FALSE)</f>
        <v>1.60300410285803</v>
      </c>
      <c r="L487">
        <f t="shared" ca="1" si="70"/>
        <v>1.7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122</v>
      </c>
      <c r="H488" s="97">
        <f t="shared" ca="1" si="76"/>
        <v>45778</v>
      </c>
      <c r="I488" s="121">
        <f ca="1">HLOOKUP($H$4,'Met Data'!$A$2:$F$368,G488,FALSE)</f>
        <v>11.883333333333301</v>
      </c>
      <c r="J488" s="121">
        <f ca="1">HLOOKUP($H$4,'Met Data'!$H$2:$M$368,G488,FALSE)*L488</f>
        <v>0.42499999999999999</v>
      </c>
      <c r="K488" s="98">
        <f ca="1">HLOOKUP($H$4,'Met Data'!$O$2:$T$368,G488,FALSE)</f>
        <v>1.67837953393642</v>
      </c>
      <c r="L488">
        <f t="shared" ca="1" si="70"/>
        <v>1.7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123</v>
      </c>
      <c r="H489" s="97">
        <f t="shared" ca="1" si="76"/>
        <v>45779</v>
      </c>
      <c r="I489" s="121">
        <f ca="1">HLOOKUP($H$4,'Met Data'!$A$2:$F$368,G489,FALSE)</f>
        <v>11.8541666666666</v>
      </c>
      <c r="J489" s="121">
        <f ca="1">HLOOKUP($H$4,'Met Data'!$H$2:$M$368,G489,FALSE)*L489</f>
        <v>0.2266666666666661</v>
      </c>
      <c r="K489" s="98">
        <f ca="1">HLOOKUP($H$4,'Met Data'!$O$2:$T$368,G489,FALSE)</f>
        <v>1.44561782365903</v>
      </c>
      <c r="L489">
        <f t="shared" ca="1" si="70"/>
        <v>1.7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124</v>
      </c>
      <c r="H490" s="97">
        <f t="shared" ca="1" si="76"/>
        <v>45780</v>
      </c>
      <c r="I490" s="121">
        <f ca="1">HLOOKUP($H$4,'Met Data'!$A$2:$F$368,G490,FALSE)</f>
        <v>13.0875</v>
      </c>
      <c r="J490" s="121">
        <f ca="1">HLOOKUP($H$4,'Met Data'!$H$2:$M$368,G490,FALSE)*L490</f>
        <v>3.6266666666666612</v>
      </c>
      <c r="K490" s="98">
        <f ca="1">HLOOKUP($H$4,'Met Data'!$O$2:$T$368,G490,FALSE)</f>
        <v>1.4319782957140901</v>
      </c>
      <c r="L490">
        <f t="shared" ca="1" si="70"/>
        <v>1.7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125</v>
      </c>
      <c r="H491" s="97">
        <f t="shared" ca="1" si="76"/>
        <v>45781</v>
      </c>
      <c r="I491" s="121">
        <f ca="1">HLOOKUP($H$4,'Met Data'!$A$2:$F$368,G491,FALSE)</f>
        <v>13.137499999999999</v>
      </c>
      <c r="J491" s="121">
        <f ca="1">HLOOKUP($H$4,'Met Data'!$H$2:$M$368,G491,FALSE)*L491</f>
        <v>5.0999999999999996</v>
      </c>
      <c r="K491" s="98">
        <f ca="1">HLOOKUP($H$4,'Met Data'!$O$2:$T$368,G491,FALSE)</f>
        <v>1.16413167388704</v>
      </c>
      <c r="L491">
        <f t="shared" ca="1" si="70"/>
        <v>1.7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126</v>
      </c>
      <c r="H492" s="97">
        <f t="shared" ca="1" si="76"/>
        <v>45782</v>
      </c>
      <c r="I492" s="121">
        <f ca="1">HLOOKUP($H$4,'Met Data'!$A$2:$F$368,G492,FALSE)</f>
        <v>13.591666666666599</v>
      </c>
      <c r="J492" s="121">
        <f ca="1">HLOOKUP($H$4,'Met Data'!$H$2:$M$368,G492,FALSE)*L492</f>
        <v>8.2449999999999992</v>
      </c>
      <c r="K492" s="98">
        <f ca="1">HLOOKUP($H$4,'Met Data'!$O$2:$T$368,G492,FALSE)</f>
        <v>1.3049016144750001</v>
      </c>
      <c r="L492">
        <f t="shared" ca="1" si="70"/>
        <v>1.7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127</v>
      </c>
      <c r="H493" s="97">
        <f t="shared" ca="1" si="76"/>
        <v>45783</v>
      </c>
      <c r="I493" s="121">
        <f ca="1">HLOOKUP($H$4,'Met Data'!$A$2:$F$368,G493,FALSE)</f>
        <v>13.2708333333333</v>
      </c>
      <c r="J493" s="121">
        <f ca="1">HLOOKUP($H$4,'Met Data'!$H$2:$M$368,G493,FALSE)*L493</f>
        <v>4.0233333333333219</v>
      </c>
      <c r="K493" s="98">
        <f ca="1">HLOOKUP($H$4,'Met Data'!$O$2:$T$368,G493,FALSE)</f>
        <v>1.29751787384439</v>
      </c>
      <c r="L493">
        <f t="shared" ca="1" si="70"/>
        <v>1.7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128</v>
      </c>
      <c r="H494" s="97">
        <f t="shared" ca="1" si="76"/>
        <v>45784</v>
      </c>
      <c r="I494" s="121">
        <f ca="1">HLOOKUP($H$4,'Met Data'!$A$2:$F$368,G494,FALSE)</f>
        <v>12.6791666666666</v>
      </c>
      <c r="J494" s="121">
        <f ca="1">HLOOKUP($H$4,'Met Data'!$H$2:$M$368,G494,FALSE)*L494</f>
        <v>9.2083333333333215</v>
      </c>
      <c r="K494" s="98">
        <f ca="1">HLOOKUP($H$4,'Met Data'!$O$2:$T$368,G494,FALSE)</f>
        <v>1.3071916611718599</v>
      </c>
      <c r="L494">
        <f t="shared" ca="1" si="70"/>
        <v>1.7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129</v>
      </c>
      <c r="H495" s="99">
        <f t="shared" ca="1" si="76"/>
        <v>45785</v>
      </c>
      <c r="I495" s="123">
        <f ca="1">HLOOKUP($H$4,'Met Data'!$A$2:$F$368,G495,FALSE)</f>
        <v>12.799999999999899</v>
      </c>
      <c r="J495" s="121">
        <f ca="1">HLOOKUP($H$4,'Met Data'!$H$2:$M$368,G495,FALSE)*L495</f>
        <v>3.6833333333333216</v>
      </c>
      <c r="K495" s="100">
        <f ca="1">HLOOKUP($H$4,'Met Data'!$O$2:$T$368,G495,FALSE)</f>
        <v>1.27112414081248</v>
      </c>
      <c r="L495">
        <f t="shared" ca="1" si="70"/>
        <v>1.7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.75" thickBot="1" x14ac:dyDescent="0.3">
      <c r="G496" s="3">
        <f t="shared" ref="G496:G559" ca="1" si="80">H496-DATE(YEAR(H496),1,0)+1</f>
        <v>130</v>
      </c>
      <c r="H496" s="99">
        <f t="shared" ca="1" si="76"/>
        <v>45786</v>
      </c>
      <c r="I496" s="123">
        <f ca="1">HLOOKUP($H$4,'Met Data'!$A$2:$F$368,G496,FALSE)</f>
        <v>14.1</v>
      </c>
      <c r="J496" s="121">
        <f ca="1">HLOOKUP($H$4,'Met Data'!$H$2:$M$368,G496,FALSE)*L496</f>
        <v>2.0966666666666609</v>
      </c>
      <c r="K496" s="100">
        <f ca="1">HLOOKUP($H$4,'Met Data'!$O$2:$T$368,G496,FALSE)</f>
        <v>1.3593529897032299</v>
      </c>
      <c r="L496">
        <f t="shared" ref="L496:L559" ca="1" si="81">IF(H496&lt;$B$31,$J$3,$J$4)</f>
        <v>1.7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5" t="e">
        <f t="shared" ref="AG496:AG559" ca="1" si="86">Q495+S496+T496+U496</f>
        <v>#N/A</v>
      </c>
      <c r="AH496" s="65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.75" thickBot="1" x14ac:dyDescent="0.3">
      <c r="G497" s="3">
        <f t="shared" ca="1" si="80"/>
        <v>131</v>
      </c>
      <c r="H497" s="99">
        <f t="shared" ca="1" si="76"/>
        <v>45787</v>
      </c>
      <c r="I497" s="123">
        <f ca="1">HLOOKUP($H$4,'Met Data'!$A$2:$F$368,G497,FALSE)</f>
        <v>13.7416666666666</v>
      </c>
      <c r="J497" s="121">
        <f ca="1">HLOOKUP($H$4,'Met Data'!$H$2:$M$368,G497,FALSE)*L497</f>
        <v>2.663333333333322</v>
      </c>
      <c r="K497" s="100">
        <f ca="1">HLOOKUP($H$4,'Met Data'!$O$2:$T$368,G497,FALSE)</f>
        <v>1.1980493949464299</v>
      </c>
      <c r="L497">
        <f t="shared" ca="1" si="81"/>
        <v>1.7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5" t="e">
        <f t="shared" ca="1" si="86"/>
        <v>#N/A</v>
      </c>
      <c r="AH497" s="65" t="e">
        <f t="shared" ca="1" si="87"/>
        <v>#N/A</v>
      </c>
      <c r="AI497" s="3" t="e">
        <f t="shared" ca="1" si="88"/>
        <v>#N/A</v>
      </c>
    </row>
    <row r="498" spans="7:35" ht="15.75" thickBot="1" x14ac:dyDescent="0.3">
      <c r="G498" s="3">
        <f t="shared" ca="1" si="80"/>
        <v>132</v>
      </c>
      <c r="H498" s="99">
        <f t="shared" ca="1" si="76"/>
        <v>45788</v>
      </c>
      <c r="I498" s="123">
        <f ca="1">HLOOKUP($H$4,'Met Data'!$A$2:$F$368,G498,FALSE)</f>
        <v>13.1</v>
      </c>
      <c r="J498" s="121">
        <f ca="1">HLOOKUP($H$4,'Met Data'!$H$2:$M$368,G498,FALSE)*L498</f>
        <v>6.3183333333333218</v>
      </c>
      <c r="K498" s="100">
        <f ca="1">HLOOKUP($H$4,'Met Data'!$O$2:$T$368,G498,FALSE)</f>
        <v>1.0818629782871001</v>
      </c>
      <c r="L498">
        <f t="shared" ca="1" si="81"/>
        <v>1.7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5" t="e">
        <f t="shared" ca="1" si="86"/>
        <v>#N/A</v>
      </c>
      <c r="AH498" s="65" t="e">
        <f t="shared" ca="1" si="87"/>
        <v>#N/A</v>
      </c>
      <c r="AI498" s="3" t="e">
        <f t="shared" ca="1" si="88"/>
        <v>#N/A</v>
      </c>
    </row>
    <row r="499" spans="7:35" ht="15.75" thickBot="1" x14ac:dyDescent="0.3">
      <c r="G499" s="3">
        <f t="shared" ca="1" si="80"/>
        <v>133</v>
      </c>
      <c r="H499" s="99">
        <f t="shared" ca="1" si="76"/>
        <v>45789</v>
      </c>
      <c r="I499" s="123">
        <f ca="1">HLOOKUP($H$4,'Met Data'!$A$2:$F$368,G499,FALSE)</f>
        <v>13.566666666666601</v>
      </c>
      <c r="J499" s="121">
        <f ca="1">HLOOKUP($H$4,'Met Data'!$H$2:$M$368,G499,FALSE)*L499</f>
        <v>9.9733333333333221</v>
      </c>
      <c r="K499" s="100">
        <f ca="1">HLOOKUP($H$4,'Met Data'!$O$2:$T$368,G499,FALSE)</f>
        <v>0.93360919947406795</v>
      </c>
      <c r="L499">
        <f t="shared" ca="1" si="81"/>
        <v>1.7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5" t="e">
        <f t="shared" ca="1" si="86"/>
        <v>#N/A</v>
      </c>
      <c r="AH499" s="65" t="e">
        <f t="shared" ca="1" si="87"/>
        <v>#N/A</v>
      </c>
      <c r="AI499" s="3" t="e">
        <f t="shared" ca="1" si="88"/>
        <v>#N/A</v>
      </c>
    </row>
    <row r="500" spans="7:35" ht="15.75" thickBot="1" x14ac:dyDescent="0.3">
      <c r="G500" s="3">
        <f t="shared" ca="1" si="80"/>
        <v>134</v>
      </c>
      <c r="H500" s="99">
        <f t="shared" ca="1" si="76"/>
        <v>45790</v>
      </c>
      <c r="I500" s="123">
        <f ca="1">HLOOKUP($H$4,'Met Data'!$A$2:$F$368,G500,FALSE)</f>
        <v>12.887499999999999</v>
      </c>
      <c r="J500" s="121">
        <f ca="1">HLOOKUP($H$4,'Met Data'!$H$2:$M$368,G500,FALSE)*L500</f>
        <v>8.7833333333333208</v>
      </c>
      <c r="K500" s="100">
        <f ca="1">HLOOKUP($H$4,'Met Data'!$O$2:$T$368,G500,FALSE)</f>
        <v>1.3361527471355901</v>
      </c>
      <c r="L500">
        <f t="shared" ca="1" si="81"/>
        <v>1.7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5" t="e">
        <f t="shared" ca="1" si="86"/>
        <v>#N/A</v>
      </c>
      <c r="AH500" s="65" t="e">
        <f t="shared" ca="1" si="87"/>
        <v>#N/A</v>
      </c>
      <c r="AI500" s="3" t="e">
        <f t="shared" ca="1" si="88"/>
        <v>#N/A</v>
      </c>
    </row>
    <row r="501" spans="7:35" ht="15.75" thickBot="1" x14ac:dyDescent="0.3">
      <c r="G501" s="3">
        <f t="shared" ca="1" si="80"/>
        <v>135</v>
      </c>
      <c r="H501" s="99">
        <f t="shared" ca="1" si="76"/>
        <v>45791</v>
      </c>
      <c r="I501" s="123">
        <f ca="1">HLOOKUP($H$4,'Met Data'!$A$2:$F$368,G501,FALSE)</f>
        <v>13</v>
      </c>
      <c r="J501" s="121">
        <f ca="1">HLOOKUP($H$4,'Met Data'!$H$2:$M$368,G501,FALSE)*L501</f>
        <v>8.273333333333321</v>
      </c>
      <c r="K501" s="100">
        <f ca="1">HLOOKUP($H$4,'Met Data'!$O$2:$T$368,G501,FALSE)</f>
        <v>1.1907632624443201</v>
      </c>
      <c r="L501">
        <f t="shared" ca="1" si="81"/>
        <v>1.7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5" t="e">
        <f t="shared" ca="1" si="86"/>
        <v>#N/A</v>
      </c>
      <c r="AH501" s="65" t="e">
        <f t="shared" ca="1" si="87"/>
        <v>#N/A</v>
      </c>
      <c r="AI501" s="3" t="e">
        <f t="shared" ca="1" si="88"/>
        <v>#N/A</v>
      </c>
    </row>
    <row r="502" spans="7:35" ht="15.75" thickBot="1" x14ac:dyDescent="0.3">
      <c r="G502" s="3">
        <f t="shared" ca="1" si="80"/>
        <v>136</v>
      </c>
      <c r="H502" s="99">
        <f t="shared" ca="1" si="76"/>
        <v>45792</v>
      </c>
      <c r="I502" s="123">
        <f ca="1">HLOOKUP($H$4,'Met Data'!$A$2:$F$368,G502,FALSE)</f>
        <v>13.470833333333299</v>
      </c>
      <c r="J502" s="121">
        <f ca="1">HLOOKUP($H$4,'Met Data'!$H$2:$M$368,G502,FALSE)*L502</f>
        <v>14.93166666666666</v>
      </c>
      <c r="K502" s="100">
        <f ca="1">HLOOKUP($H$4,'Met Data'!$O$2:$T$368,G502,FALSE)</f>
        <v>1.16840876605303</v>
      </c>
      <c r="L502">
        <f t="shared" ca="1" si="81"/>
        <v>1.7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5" t="e">
        <f t="shared" ca="1" si="86"/>
        <v>#N/A</v>
      </c>
      <c r="AH502" s="65" t="e">
        <f t="shared" ca="1" si="87"/>
        <v>#N/A</v>
      </c>
      <c r="AI502" s="3" t="e">
        <f t="shared" ca="1" si="88"/>
        <v>#N/A</v>
      </c>
    </row>
    <row r="503" spans="7:35" ht="15.75" thickBot="1" x14ac:dyDescent="0.3">
      <c r="G503" s="3">
        <f t="shared" ca="1" si="80"/>
        <v>137</v>
      </c>
      <c r="H503" s="99">
        <f t="shared" ca="1" si="76"/>
        <v>45793</v>
      </c>
      <c r="I503" s="123">
        <f ca="1">HLOOKUP($H$4,'Met Data'!$A$2:$F$368,G503,FALSE)</f>
        <v>12.8666666666666</v>
      </c>
      <c r="J503" s="121">
        <f ca="1">HLOOKUP($H$4,'Met Data'!$H$2:$M$368,G503,FALSE)*L503</f>
        <v>8.273333333333321</v>
      </c>
      <c r="K503" s="100">
        <f ca="1">HLOOKUP($H$4,'Met Data'!$O$2:$T$368,G503,FALSE)</f>
        <v>1.23845839693481</v>
      </c>
      <c r="L503">
        <f t="shared" ca="1" si="81"/>
        <v>1.7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5" t="e">
        <f t="shared" ca="1" si="86"/>
        <v>#N/A</v>
      </c>
      <c r="AH503" s="65" t="e">
        <f t="shared" ca="1" si="87"/>
        <v>#N/A</v>
      </c>
      <c r="AI503" s="3" t="e">
        <f t="shared" ca="1" si="88"/>
        <v>#N/A</v>
      </c>
    </row>
    <row r="504" spans="7:35" ht="15.75" thickBot="1" x14ac:dyDescent="0.3">
      <c r="G504" s="3">
        <f t="shared" ca="1" si="80"/>
        <v>138</v>
      </c>
      <c r="H504" s="99">
        <f t="shared" ca="1" si="76"/>
        <v>45794</v>
      </c>
      <c r="I504" s="123">
        <f ca="1">HLOOKUP($H$4,'Met Data'!$A$2:$F$368,G504,FALSE)</f>
        <v>12.237499999999899</v>
      </c>
      <c r="J504" s="121">
        <f ca="1">HLOOKUP($H$4,'Met Data'!$H$2:$M$368,G504,FALSE)*L504</f>
        <v>6.3183333333333218</v>
      </c>
      <c r="K504" s="100">
        <f ca="1">HLOOKUP($H$4,'Met Data'!$O$2:$T$368,G504,FALSE)</f>
        <v>1.3074898165915401</v>
      </c>
      <c r="L504">
        <f t="shared" ca="1" si="81"/>
        <v>1.7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5" t="e">
        <f t="shared" ca="1" si="86"/>
        <v>#N/A</v>
      </c>
      <c r="AH504" s="65" t="e">
        <f t="shared" ca="1" si="87"/>
        <v>#N/A</v>
      </c>
      <c r="AI504" s="3" t="e">
        <f t="shared" ca="1" si="88"/>
        <v>#N/A</v>
      </c>
    </row>
    <row r="505" spans="7:35" ht="15.75" thickBot="1" x14ac:dyDescent="0.3">
      <c r="G505" s="3">
        <f t="shared" ca="1" si="80"/>
        <v>139</v>
      </c>
      <c r="H505" s="99">
        <f t="shared" ca="1" si="76"/>
        <v>45795</v>
      </c>
      <c r="I505" s="123">
        <f ca="1">HLOOKUP($H$4,'Met Data'!$A$2:$F$368,G505,FALSE)</f>
        <v>11.595833333333299</v>
      </c>
      <c r="J505" s="121">
        <f ca="1">HLOOKUP($H$4,'Met Data'!$H$2:$M$368,G505,FALSE)*L505</f>
        <v>4.4483333333333217</v>
      </c>
      <c r="K505" s="100">
        <f ca="1">HLOOKUP($H$4,'Met Data'!$O$2:$T$368,G505,FALSE)</f>
        <v>1.3321153360432201</v>
      </c>
      <c r="L505">
        <f t="shared" ca="1" si="81"/>
        <v>1.7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5" t="e">
        <f t="shared" ca="1" si="86"/>
        <v>#N/A</v>
      </c>
      <c r="AH505" s="65" t="e">
        <f t="shared" ca="1" si="87"/>
        <v>#N/A</v>
      </c>
      <c r="AI505" s="3" t="e">
        <f t="shared" ca="1" si="88"/>
        <v>#N/A</v>
      </c>
    </row>
    <row r="506" spans="7:35" ht="15.75" thickBot="1" x14ac:dyDescent="0.3">
      <c r="G506" s="3">
        <f t="shared" ca="1" si="80"/>
        <v>140</v>
      </c>
      <c r="H506" s="99">
        <f t="shared" ca="1" si="76"/>
        <v>45796</v>
      </c>
      <c r="I506" s="123">
        <f ca="1">HLOOKUP($H$4,'Met Data'!$A$2:$F$368,G506,FALSE)</f>
        <v>11.904166666666599</v>
      </c>
      <c r="J506" s="121">
        <f ca="1">HLOOKUP($H$4,'Met Data'!$H$2:$M$368,G506,FALSE)*L506</f>
        <v>3.9950000000000001</v>
      </c>
      <c r="K506" s="100">
        <f ca="1">HLOOKUP($H$4,'Met Data'!$O$2:$T$368,G506,FALSE)</f>
        <v>1.2961776408629699</v>
      </c>
      <c r="L506">
        <f t="shared" ca="1" si="81"/>
        <v>1.7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5" t="e">
        <f t="shared" ca="1" si="86"/>
        <v>#N/A</v>
      </c>
      <c r="AH506" s="65" t="e">
        <f t="shared" ca="1" si="87"/>
        <v>#N/A</v>
      </c>
      <c r="AI506" s="3" t="e">
        <f t="shared" ca="1" si="88"/>
        <v>#N/A</v>
      </c>
    </row>
    <row r="507" spans="7:35" ht="15.75" thickBot="1" x14ac:dyDescent="0.3">
      <c r="G507" s="3">
        <f t="shared" ca="1" si="80"/>
        <v>141</v>
      </c>
      <c r="H507" s="99">
        <f t="shared" ca="1" si="76"/>
        <v>45797</v>
      </c>
      <c r="I507" s="123">
        <f ca="1">HLOOKUP($H$4,'Met Data'!$A$2:$F$368,G507,FALSE)</f>
        <v>11.762499999999999</v>
      </c>
      <c r="J507" s="121">
        <f ca="1">HLOOKUP($H$4,'Met Data'!$H$2:$M$368,G507,FALSE)*L507</f>
        <v>0.53833333333333211</v>
      </c>
      <c r="K507" s="100">
        <f ca="1">HLOOKUP($H$4,'Met Data'!$O$2:$T$368,G507,FALSE)</f>
        <v>1.26598619456247</v>
      </c>
      <c r="L507">
        <f t="shared" ca="1" si="81"/>
        <v>1.7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5" t="e">
        <f t="shared" ca="1" si="86"/>
        <v>#N/A</v>
      </c>
      <c r="AH507" s="65" t="e">
        <f t="shared" ca="1" si="87"/>
        <v>#N/A</v>
      </c>
      <c r="AI507" s="3" t="e">
        <f t="shared" ca="1" si="88"/>
        <v>#N/A</v>
      </c>
    </row>
    <row r="508" spans="7:35" ht="15.75" thickBot="1" x14ac:dyDescent="0.3">
      <c r="G508" s="3">
        <f t="shared" ca="1" si="80"/>
        <v>142</v>
      </c>
      <c r="H508" s="99">
        <f t="shared" ca="1" si="76"/>
        <v>45798</v>
      </c>
      <c r="I508" s="123">
        <f ca="1">HLOOKUP($H$4,'Met Data'!$A$2:$F$368,G508,FALSE)</f>
        <v>11.612500000000001</v>
      </c>
      <c r="J508" s="121">
        <f ca="1">HLOOKUP($H$4,'Met Data'!$H$2:$M$368,G508,FALSE)*L508</f>
        <v>3.4</v>
      </c>
      <c r="K508" s="100">
        <f ca="1">HLOOKUP($H$4,'Met Data'!$O$2:$T$368,G508,FALSE)</f>
        <v>1.0607063970516699</v>
      </c>
      <c r="L508">
        <f t="shared" ca="1" si="81"/>
        <v>1.7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5" t="e">
        <f t="shared" ca="1" si="86"/>
        <v>#N/A</v>
      </c>
      <c r="AH508" s="65" t="e">
        <f t="shared" ca="1" si="87"/>
        <v>#N/A</v>
      </c>
      <c r="AI508" s="3" t="e">
        <f t="shared" ca="1" si="88"/>
        <v>#N/A</v>
      </c>
    </row>
    <row r="509" spans="7:35" ht="15.75" thickBot="1" x14ac:dyDescent="0.3">
      <c r="G509" s="3">
        <f t="shared" ca="1" si="80"/>
        <v>143</v>
      </c>
      <c r="H509" s="99">
        <f t="shared" ca="1" si="76"/>
        <v>45799</v>
      </c>
      <c r="I509" s="123">
        <f ca="1">HLOOKUP($H$4,'Met Data'!$A$2:$F$368,G509,FALSE)</f>
        <v>10.174999999999899</v>
      </c>
      <c r="J509" s="121">
        <f ca="1">HLOOKUP($H$4,'Met Data'!$H$2:$M$368,G509,FALSE)*L509</f>
        <v>4.986666666666661</v>
      </c>
      <c r="K509" s="100">
        <f ca="1">HLOOKUP($H$4,'Met Data'!$O$2:$T$368,G509,FALSE)</f>
        <v>1.10734547072848</v>
      </c>
      <c r="L509">
        <f t="shared" ca="1" si="81"/>
        <v>1.7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5" t="e">
        <f t="shared" ca="1" si="86"/>
        <v>#N/A</v>
      </c>
      <c r="AH509" s="65" t="e">
        <f t="shared" ca="1" si="87"/>
        <v>#N/A</v>
      </c>
      <c r="AI509" s="3" t="e">
        <f t="shared" ca="1" si="88"/>
        <v>#N/A</v>
      </c>
    </row>
    <row r="510" spans="7:35" ht="15.75" thickBot="1" x14ac:dyDescent="0.3">
      <c r="G510" s="3">
        <f t="shared" ca="1" si="80"/>
        <v>144</v>
      </c>
      <c r="H510" s="99">
        <f t="shared" ca="1" si="76"/>
        <v>45800</v>
      </c>
      <c r="I510" s="123">
        <f ca="1">HLOOKUP($H$4,'Met Data'!$A$2:$F$368,G510,FALSE)</f>
        <v>10.7416666666666</v>
      </c>
      <c r="J510" s="121">
        <f ca="1">HLOOKUP($H$4,'Met Data'!$H$2:$M$368,G510,FALSE)*L510</f>
        <v>4.76</v>
      </c>
      <c r="K510" s="100">
        <f ca="1">HLOOKUP($H$4,'Met Data'!$O$2:$T$368,G510,FALSE)</f>
        <v>0.94921082080766905</v>
      </c>
      <c r="L510">
        <f t="shared" ca="1" si="81"/>
        <v>1.7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5" t="e">
        <f t="shared" ca="1" si="86"/>
        <v>#N/A</v>
      </c>
      <c r="AH510" s="65" t="e">
        <f t="shared" ca="1" si="87"/>
        <v>#N/A</v>
      </c>
      <c r="AI510" s="3" t="e">
        <f t="shared" ca="1" si="88"/>
        <v>#N/A</v>
      </c>
    </row>
    <row r="511" spans="7:35" ht="15.75" thickBot="1" x14ac:dyDescent="0.3">
      <c r="G511" s="3">
        <f t="shared" ca="1" si="80"/>
        <v>145</v>
      </c>
      <c r="H511" s="99">
        <f t="shared" ca="1" si="76"/>
        <v>45801</v>
      </c>
      <c r="I511" s="123">
        <f ca="1">HLOOKUP($H$4,'Met Data'!$A$2:$F$368,G511,FALSE)</f>
        <v>10.983333333333301</v>
      </c>
      <c r="J511" s="121">
        <f ca="1">HLOOKUP($H$4,'Met Data'!$H$2:$M$368,G511,FALSE)*L511</f>
        <v>9.5483333333333213</v>
      </c>
      <c r="K511" s="100">
        <f ca="1">HLOOKUP($H$4,'Met Data'!$O$2:$T$368,G511,FALSE)</f>
        <v>0.95593712910075901</v>
      </c>
      <c r="L511">
        <f t="shared" ca="1" si="81"/>
        <v>1.7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5" t="e">
        <f t="shared" ca="1" si="86"/>
        <v>#N/A</v>
      </c>
      <c r="AH511" s="65" t="e">
        <f t="shared" ca="1" si="87"/>
        <v>#N/A</v>
      </c>
      <c r="AI511" s="3" t="e">
        <f t="shared" ca="1" si="88"/>
        <v>#N/A</v>
      </c>
    </row>
    <row r="512" spans="7:35" ht="15.75" thickBot="1" x14ac:dyDescent="0.3">
      <c r="G512" s="3">
        <f t="shared" ca="1" si="80"/>
        <v>146</v>
      </c>
      <c r="H512" s="99">
        <f t="shared" ca="1" si="76"/>
        <v>45802</v>
      </c>
      <c r="I512" s="123">
        <f ca="1">HLOOKUP($H$4,'Met Data'!$A$2:$F$368,G512,FALSE)</f>
        <v>10.7666666666666</v>
      </c>
      <c r="J512" s="121">
        <f ca="1">HLOOKUP($H$4,'Met Data'!$H$2:$M$368,G512,FALSE)*L512</f>
        <v>5.3833333333333213</v>
      </c>
      <c r="K512" s="100">
        <f ca="1">HLOOKUP($H$4,'Met Data'!$O$2:$T$368,G512,FALSE)</f>
        <v>0.98597820560947502</v>
      </c>
      <c r="L512">
        <f t="shared" ca="1" si="81"/>
        <v>1.7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5" t="e">
        <f t="shared" ca="1" si="86"/>
        <v>#N/A</v>
      </c>
      <c r="AH512" s="65" t="e">
        <f t="shared" ca="1" si="87"/>
        <v>#N/A</v>
      </c>
      <c r="AI512" s="3" t="e">
        <f t="shared" ca="1" si="88"/>
        <v>#N/A</v>
      </c>
    </row>
    <row r="513" spans="7:35" ht="15.75" thickBot="1" x14ac:dyDescent="0.3">
      <c r="G513" s="3">
        <f t="shared" ca="1" si="80"/>
        <v>147</v>
      </c>
      <c r="H513" s="99">
        <f t="shared" ca="1" si="76"/>
        <v>45803</v>
      </c>
      <c r="I513" s="123">
        <f ca="1">HLOOKUP($H$4,'Met Data'!$A$2:$F$368,G513,FALSE)</f>
        <v>11.1833333333333</v>
      </c>
      <c r="J513" s="121">
        <f ca="1">HLOOKUP($H$4,'Met Data'!$H$2:$M$368,G513,FALSE)*L513</f>
        <v>10.454999999999982</v>
      </c>
      <c r="K513" s="100">
        <f ca="1">HLOOKUP($H$4,'Met Data'!$O$2:$T$368,G513,FALSE)</f>
        <v>1.02530679052105</v>
      </c>
      <c r="L513">
        <f t="shared" ca="1" si="81"/>
        <v>1.7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5" t="e">
        <f t="shared" ca="1" si="86"/>
        <v>#N/A</v>
      </c>
      <c r="AH513" s="65" t="e">
        <f t="shared" ca="1" si="87"/>
        <v>#N/A</v>
      </c>
      <c r="AI513" s="3" t="e">
        <f t="shared" ca="1" si="88"/>
        <v>#N/A</v>
      </c>
    </row>
    <row r="514" spans="7:35" ht="15.75" thickBot="1" x14ac:dyDescent="0.3">
      <c r="G514" s="3">
        <f t="shared" ca="1" si="80"/>
        <v>148</v>
      </c>
      <c r="H514" s="99">
        <f t="shared" ca="1" si="76"/>
        <v>45804</v>
      </c>
      <c r="I514" s="123">
        <f ca="1">HLOOKUP($H$4,'Met Data'!$A$2:$F$368,G514,FALSE)</f>
        <v>10.566666666666601</v>
      </c>
      <c r="J514" s="121">
        <f ca="1">HLOOKUP($H$4,'Met Data'!$H$2:$M$368,G514,FALSE)*L514</f>
        <v>4.7033333333333216</v>
      </c>
      <c r="K514" s="100">
        <f ca="1">HLOOKUP($H$4,'Met Data'!$O$2:$T$368,G514,FALSE)</f>
        <v>1.05508542906727</v>
      </c>
      <c r="L514">
        <f t="shared" ca="1" si="81"/>
        <v>1.7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5" t="e">
        <f t="shared" ca="1" si="86"/>
        <v>#N/A</v>
      </c>
      <c r="AH514" s="65" t="e">
        <f t="shared" ca="1" si="87"/>
        <v>#N/A</v>
      </c>
      <c r="AI514" s="3" t="e">
        <f t="shared" ca="1" si="88"/>
        <v>#N/A</v>
      </c>
    </row>
    <row r="515" spans="7:35" ht="15.75" thickBot="1" x14ac:dyDescent="0.3">
      <c r="G515" s="3">
        <f t="shared" ca="1" si="80"/>
        <v>149</v>
      </c>
      <c r="H515" s="99">
        <f t="shared" ca="1" si="76"/>
        <v>45805</v>
      </c>
      <c r="I515" s="123">
        <f ca="1">HLOOKUP($H$4,'Met Data'!$A$2:$F$368,G515,FALSE)</f>
        <v>10.283333333333299</v>
      </c>
      <c r="J515" s="121">
        <f ca="1">HLOOKUP($H$4,'Met Data'!$H$2:$M$368,G515,FALSE)*L515</f>
        <v>4.6466666666666603</v>
      </c>
      <c r="K515" s="100">
        <f ca="1">HLOOKUP($H$4,'Met Data'!$O$2:$T$368,G515,FALSE)</f>
        <v>0.96273544691676505</v>
      </c>
      <c r="L515">
        <f t="shared" ca="1" si="81"/>
        <v>1.7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5" t="e">
        <f t="shared" ca="1" si="86"/>
        <v>#N/A</v>
      </c>
      <c r="AH515" s="65" t="e">
        <f t="shared" ca="1" si="87"/>
        <v>#N/A</v>
      </c>
      <c r="AI515" s="3" t="e">
        <f t="shared" ca="1" si="88"/>
        <v>#N/A</v>
      </c>
    </row>
    <row r="516" spans="7:35" ht="15.75" thickBot="1" x14ac:dyDescent="0.3">
      <c r="G516" s="3">
        <f t="shared" ca="1" si="80"/>
        <v>150</v>
      </c>
      <c r="H516" s="99">
        <f t="shared" ca="1" si="76"/>
        <v>45806</v>
      </c>
      <c r="I516" s="123">
        <f ca="1">HLOOKUP($H$4,'Met Data'!$A$2:$F$368,G516,FALSE)</f>
        <v>10.8</v>
      </c>
      <c r="J516" s="121">
        <f ca="1">HLOOKUP($H$4,'Met Data'!$H$2:$M$368,G516,FALSE)*L516</f>
        <v>5.4966666666666608</v>
      </c>
      <c r="K516" s="100">
        <f ca="1">HLOOKUP($H$4,'Met Data'!$O$2:$T$368,G516,FALSE)</f>
        <v>1.08816831727148</v>
      </c>
      <c r="L516">
        <f t="shared" ca="1" si="81"/>
        <v>1.7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5" t="e">
        <f t="shared" ca="1" si="86"/>
        <v>#N/A</v>
      </c>
      <c r="AH516" s="65" t="e">
        <f t="shared" ca="1" si="87"/>
        <v>#N/A</v>
      </c>
      <c r="AI516" s="3" t="e">
        <f t="shared" ca="1" si="88"/>
        <v>#N/A</v>
      </c>
    </row>
    <row r="517" spans="7:35" ht="15.75" thickBot="1" x14ac:dyDescent="0.3">
      <c r="G517" s="3">
        <f t="shared" ca="1" si="80"/>
        <v>151</v>
      </c>
      <c r="H517" s="99">
        <f t="shared" ca="1" si="76"/>
        <v>45807</v>
      </c>
      <c r="I517" s="123">
        <f ca="1">HLOOKUP($H$4,'Met Data'!$A$2:$F$368,G517,FALSE)</f>
        <v>9.6624999999999996</v>
      </c>
      <c r="J517" s="121">
        <f ca="1">HLOOKUP($H$4,'Met Data'!$H$2:$M$368,G517,FALSE)*L517</f>
        <v>3.2016666666666609</v>
      </c>
      <c r="K517" s="100">
        <f ca="1">HLOOKUP($H$4,'Met Data'!$O$2:$T$368,G517,FALSE)</f>
        <v>1.0187040175234601</v>
      </c>
      <c r="L517">
        <f t="shared" ca="1" si="81"/>
        <v>1.7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5" t="e">
        <f t="shared" ca="1" si="86"/>
        <v>#N/A</v>
      </c>
      <c r="AH517" s="65" t="e">
        <f t="shared" ca="1" si="87"/>
        <v>#N/A</v>
      </c>
      <c r="AI517" s="3" t="e">
        <f t="shared" ca="1" si="88"/>
        <v>#N/A</v>
      </c>
    </row>
    <row r="518" spans="7:35" ht="15.75" thickBot="1" x14ac:dyDescent="0.3">
      <c r="G518" s="3">
        <f t="shared" ca="1" si="80"/>
        <v>152</v>
      </c>
      <c r="H518" s="99">
        <f t="shared" ca="1" si="76"/>
        <v>45808</v>
      </c>
      <c r="I518" s="123">
        <f ca="1">HLOOKUP($H$4,'Met Data'!$A$2:$F$368,G518,FALSE)</f>
        <v>9.7166666666666597</v>
      </c>
      <c r="J518" s="121">
        <f ca="1">HLOOKUP($H$4,'Met Data'!$H$2:$M$368,G518,FALSE)*L518</f>
        <v>7.99</v>
      </c>
      <c r="K518" s="100">
        <f ca="1">HLOOKUP($H$4,'Met Data'!$O$2:$T$368,G518,FALSE)</f>
        <v>1.10197006718848</v>
      </c>
      <c r="L518">
        <f t="shared" ca="1" si="81"/>
        <v>1.7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5" t="e">
        <f t="shared" ca="1" si="86"/>
        <v>#N/A</v>
      </c>
      <c r="AH518" s="65" t="e">
        <f t="shared" ca="1" si="87"/>
        <v>#N/A</v>
      </c>
      <c r="AI518" s="3" t="e">
        <f t="shared" ca="1" si="88"/>
        <v>#N/A</v>
      </c>
    </row>
    <row r="519" spans="7:35" ht="15.75" thickBot="1" x14ac:dyDescent="0.3">
      <c r="G519" s="3">
        <f t="shared" ca="1" si="80"/>
        <v>153</v>
      </c>
      <c r="H519" s="99">
        <f t="shared" ca="1" si="76"/>
        <v>45809</v>
      </c>
      <c r="I519" s="123">
        <f ca="1">HLOOKUP($H$4,'Met Data'!$A$2:$F$368,G519,FALSE)</f>
        <v>10.004166666666601</v>
      </c>
      <c r="J519" s="121">
        <f ca="1">HLOOKUP($H$4,'Met Data'!$H$2:$M$368,G519,FALSE)*L519</f>
        <v>4.25</v>
      </c>
      <c r="K519" s="100">
        <f ca="1">HLOOKUP($H$4,'Met Data'!$O$2:$T$368,G519,FALSE)</f>
        <v>1.1690097853574</v>
      </c>
      <c r="L519">
        <f t="shared" ca="1" si="81"/>
        <v>1.7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5" t="e">
        <f t="shared" ca="1" si="86"/>
        <v>#N/A</v>
      </c>
      <c r="AH519" s="65" t="e">
        <f t="shared" ca="1" si="87"/>
        <v>#N/A</v>
      </c>
      <c r="AI519" s="3" t="e">
        <f t="shared" ca="1" si="88"/>
        <v>#N/A</v>
      </c>
    </row>
    <row r="520" spans="7:35" ht="15.75" thickBot="1" x14ac:dyDescent="0.3">
      <c r="G520" s="3">
        <f t="shared" ca="1" si="80"/>
        <v>154</v>
      </c>
      <c r="H520" s="99">
        <f t="shared" ref="H520:H583" ca="1" si="89">H519+1</f>
        <v>45810</v>
      </c>
      <c r="I520" s="123">
        <f ca="1">HLOOKUP($H$4,'Met Data'!$A$2:$F$368,G520,FALSE)</f>
        <v>9.99583333333333</v>
      </c>
      <c r="J520" s="121">
        <f ca="1">HLOOKUP($H$4,'Met Data'!$H$2:$M$368,G520,FALSE)*L520</f>
        <v>4.7316666666666611</v>
      </c>
      <c r="K520" s="100">
        <f ca="1">HLOOKUP($H$4,'Met Data'!$O$2:$T$368,G520,FALSE)</f>
        <v>1.0280895768516001</v>
      </c>
      <c r="L520">
        <f t="shared" ca="1" si="81"/>
        <v>1.7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5" t="e">
        <f t="shared" ca="1" si="86"/>
        <v>#N/A</v>
      </c>
      <c r="AH520" s="65" t="e">
        <f t="shared" ca="1" si="87"/>
        <v>#N/A</v>
      </c>
      <c r="AI520" s="3" t="e">
        <f t="shared" ca="1" si="88"/>
        <v>#N/A</v>
      </c>
    </row>
    <row r="521" spans="7:35" ht="15.75" thickBot="1" x14ac:dyDescent="0.3">
      <c r="G521" s="3">
        <f t="shared" ca="1" si="80"/>
        <v>155</v>
      </c>
      <c r="H521" s="99">
        <f t="shared" ca="1" si="89"/>
        <v>45811</v>
      </c>
      <c r="I521" s="123">
        <f ca="1">HLOOKUP($H$4,'Met Data'!$A$2:$F$368,G521,FALSE)</f>
        <v>9.8999999999999897</v>
      </c>
      <c r="J521" s="121">
        <f ca="1">HLOOKUP($H$4,'Met Data'!$H$2:$M$368,G521,FALSE)*L521</f>
        <v>3.031666666666661</v>
      </c>
      <c r="K521" s="100">
        <f ca="1">HLOOKUP($H$4,'Met Data'!$O$2:$T$368,G521,FALSE)</f>
        <v>0.97110296937720297</v>
      </c>
      <c r="L521">
        <f t="shared" ca="1" si="81"/>
        <v>1.7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5" t="e">
        <f t="shared" ca="1" si="86"/>
        <v>#N/A</v>
      </c>
      <c r="AH521" s="65" t="e">
        <f t="shared" ca="1" si="87"/>
        <v>#N/A</v>
      </c>
      <c r="AI521" s="3" t="e">
        <f t="shared" ca="1" si="88"/>
        <v>#N/A</v>
      </c>
    </row>
    <row r="522" spans="7:35" ht="15.75" thickBot="1" x14ac:dyDescent="0.3">
      <c r="G522" s="3">
        <f t="shared" ca="1" si="80"/>
        <v>156</v>
      </c>
      <c r="H522" s="99">
        <f t="shared" ca="1" si="89"/>
        <v>45812</v>
      </c>
      <c r="I522" s="123">
        <f ca="1">HLOOKUP($H$4,'Met Data'!$A$2:$F$368,G522,FALSE)</f>
        <v>10.95</v>
      </c>
      <c r="J522" s="121">
        <f ca="1">HLOOKUP($H$4,'Met Data'!$H$2:$M$368,G522,FALSE)*L522</f>
        <v>4.1649999999999832</v>
      </c>
      <c r="K522" s="100">
        <f ca="1">HLOOKUP($H$4,'Met Data'!$O$2:$T$368,G522,FALSE)</f>
        <v>0.960770877493487</v>
      </c>
      <c r="L522">
        <f t="shared" ca="1" si="81"/>
        <v>1.7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5" t="e">
        <f t="shared" ca="1" si="86"/>
        <v>#N/A</v>
      </c>
      <c r="AH522" s="65" t="e">
        <f t="shared" ca="1" si="87"/>
        <v>#N/A</v>
      </c>
      <c r="AI522" s="3" t="e">
        <f t="shared" ca="1" si="88"/>
        <v>#N/A</v>
      </c>
    </row>
    <row r="523" spans="7:35" ht="15.75" thickBot="1" x14ac:dyDescent="0.3">
      <c r="G523" s="3">
        <f t="shared" ca="1" si="80"/>
        <v>157</v>
      </c>
      <c r="H523" s="99">
        <f t="shared" ca="1" si="89"/>
        <v>45813</v>
      </c>
      <c r="I523" s="123">
        <f ca="1">HLOOKUP($H$4,'Met Data'!$A$2:$F$368,G523,FALSE)</f>
        <v>10.6875</v>
      </c>
      <c r="J523" s="121">
        <f ca="1">HLOOKUP($H$4,'Met Data'!$H$2:$M$368,G523,FALSE)*L523</f>
        <v>7.0266666666666611</v>
      </c>
      <c r="K523" s="100">
        <f ca="1">HLOOKUP($H$4,'Met Data'!$O$2:$T$368,G523,FALSE)</f>
        <v>0.84332690198160198</v>
      </c>
      <c r="L523">
        <f t="shared" ca="1" si="81"/>
        <v>1.7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5" t="e">
        <f t="shared" ca="1" si="86"/>
        <v>#N/A</v>
      </c>
      <c r="AH523" s="65" t="e">
        <f t="shared" ca="1" si="87"/>
        <v>#N/A</v>
      </c>
      <c r="AI523" s="3" t="e">
        <f t="shared" ca="1" si="88"/>
        <v>#N/A</v>
      </c>
    </row>
    <row r="524" spans="7:35" ht="15.75" thickBot="1" x14ac:dyDescent="0.3">
      <c r="G524" s="3">
        <f t="shared" ca="1" si="80"/>
        <v>158</v>
      </c>
      <c r="H524" s="99">
        <f t="shared" ca="1" si="89"/>
        <v>45814</v>
      </c>
      <c r="I524" s="123">
        <f ca="1">HLOOKUP($H$4,'Met Data'!$A$2:$F$368,G524,FALSE)</f>
        <v>10.5625</v>
      </c>
      <c r="J524" s="121">
        <f ca="1">HLOOKUP($H$4,'Met Data'!$H$2:$M$368,G524,FALSE)*L524</f>
        <v>9.01</v>
      </c>
      <c r="K524" s="100">
        <f ca="1">HLOOKUP($H$4,'Met Data'!$O$2:$T$368,G524,FALSE)</f>
        <v>0.93242759876210701</v>
      </c>
      <c r="L524">
        <f t="shared" ca="1" si="81"/>
        <v>1.7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5" t="e">
        <f t="shared" ca="1" si="86"/>
        <v>#N/A</v>
      </c>
      <c r="AH524" s="65" t="e">
        <f t="shared" ca="1" si="87"/>
        <v>#N/A</v>
      </c>
      <c r="AI524" s="3" t="e">
        <f t="shared" ca="1" si="88"/>
        <v>#N/A</v>
      </c>
    </row>
    <row r="525" spans="7:35" ht="15.75" thickBot="1" x14ac:dyDescent="0.3">
      <c r="G525" s="3">
        <f t="shared" ca="1" si="80"/>
        <v>159</v>
      </c>
      <c r="H525" s="99">
        <f t="shared" ca="1" si="89"/>
        <v>45815</v>
      </c>
      <c r="I525" s="123">
        <f ca="1">HLOOKUP($H$4,'Met Data'!$A$2:$F$368,G525,FALSE)</f>
        <v>10.4625</v>
      </c>
      <c r="J525" s="121">
        <f ca="1">HLOOKUP($H$4,'Met Data'!$H$2:$M$368,G525,FALSE)*L525</f>
        <v>4.1649999999999832</v>
      </c>
      <c r="K525" s="100">
        <f ca="1">HLOOKUP($H$4,'Met Data'!$O$2:$T$368,G525,FALSE)</f>
        <v>0.99912564942381998</v>
      </c>
      <c r="L525">
        <f t="shared" ca="1" si="81"/>
        <v>1.7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5" t="e">
        <f t="shared" ca="1" si="86"/>
        <v>#N/A</v>
      </c>
      <c r="AH525" s="65" t="e">
        <f t="shared" ca="1" si="87"/>
        <v>#N/A</v>
      </c>
      <c r="AI525" s="3" t="e">
        <f t="shared" ca="1" si="88"/>
        <v>#N/A</v>
      </c>
    </row>
    <row r="526" spans="7:35" ht="15.75" thickBot="1" x14ac:dyDescent="0.3">
      <c r="G526" s="3">
        <f t="shared" ca="1" si="80"/>
        <v>160</v>
      </c>
      <c r="H526" s="99">
        <f t="shared" ca="1" si="89"/>
        <v>45816</v>
      </c>
      <c r="I526" s="123">
        <f ca="1">HLOOKUP($H$4,'Met Data'!$A$2:$F$368,G526,FALSE)</f>
        <v>9.5875000000000004</v>
      </c>
      <c r="J526" s="121">
        <f ca="1">HLOOKUP($H$4,'Met Data'!$H$2:$M$368,G526,FALSE)*L526</f>
        <v>2.946666666666661</v>
      </c>
      <c r="K526" s="100">
        <f ca="1">HLOOKUP($H$4,'Met Data'!$O$2:$T$368,G526,FALSE)</f>
        <v>1.0839051549829499</v>
      </c>
      <c r="L526">
        <f t="shared" ca="1" si="81"/>
        <v>1.7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5" t="e">
        <f t="shared" ca="1" si="86"/>
        <v>#N/A</v>
      </c>
      <c r="AH526" s="65" t="e">
        <f t="shared" ca="1" si="87"/>
        <v>#N/A</v>
      </c>
      <c r="AI526" s="3" t="e">
        <f t="shared" ca="1" si="88"/>
        <v>#N/A</v>
      </c>
    </row>
    <row r="527" spans="7:35" ht="15.75" thickBot="1" x14ac:dyDescent="0.3">
      <c r="G527" s="3">
        <f t="shared" ca="1" si="80"/>
        <v>161</v>
      </c>
      <c r="H527" s="99">
        <f t="shared" ca="1" si="89"/>
        <v>45817</v>
      </c>
      <c r="I527" s="123">
        <f ca="1">HLOOKUP($H$4,'Met Data'!$A$2:$F$368,G527,FALSE)</f>
        <v>9.4875000000000007</v>
      </c>
      <c r="J527" s="121">
        <f ca="1">HLOOKUP($H$4,'Met Data'!$H$2:$M$368,G527,FALSE)*L527</f>
        <v>2.6349999999999998</v>
      </c>
      <c r="K527" s="100">
        <f ca="1">HLOOKUP($H$4,'Met Data'!$O$2:$T$368,G527,FALSE)</f>
        <v>0.94567596592895498</v>
      </c>
      <c r="L527">
        <f t="shared" ca="1" si="81"/>
        <v>1.7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5" t="e">
        <f t="shared" ca="1" si="86"/>
        <v>#N/A</v>
      </c>
      <c r="AH527" s="65" t="e">
        <f t="shared" ca="1" si="87"/>
        <v>#N/A</v>
      </c>
      <c r="AI527" s="3" t="e">
        <f t="shared" ca="1" si="88"/>
        <v>#N/A</v>
      </c>
    </row>
    <row r="528" spans="7:35" ht="15.75" thickBot="1" x14ac:dyDescent="0.3">
      <c r="G528" s="3">
        <f t="shared" ca="1" si="80"/>
        <v>162</v>
      </c>
      <c r="H528" s="99">
        <f t="shared" ca="1" si="89"/>
        <v>45818</v>
      </c>
      <c r="I528" s="123">
        <f ca="1">HLOOKUP($H$4,'Met Data'!$A$2:$F$368,G528,FALSE)</f>
        <v>10.9</v>
      </c>
      <c r="J528" s="121">
        <f ca="1">HLOOKUP($H$4,'Met Data'!$H$2:$M$368,G528,FALSE)*L528</f>
        <v>8.2218181818181701</v>
      </c>
      <c r="K528" s="100">
        <f ca="1">HLOOKUP($H$4,'Met Data'!$O$2:$T$368,G528,FALSE)</f>
        <v>0.77149259834587403</v>
      </c>
      <c r="L528">
        <f t="shared" ca="1" si="81"/>
        <v>1.7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5" t="e">
        <f t="shared" ca="1" si="86"/>
        <v>#N/A</v>
      </c>
      <c r="AH528" s="65" t="e">
        <f t="shared" ca="1" si="87"/>
        <v>#N/A</v>
      </c>
      <c r="AI528" s="3" t="e">
        <f t="shared" ca="1" si="88"/>
        <v>#N/A</v>
      </c>
    </row>
    <row r="529" spans="7:35" ht="15.75" thickBot="1" x14ac:dyDescent="0.3">
      <c r="G529" s="3">
        <f t="shared" ca="1" si="80"/>
        <v>163</v>
      </c>
      <c r="H529" s="99">
        <f t="shared" ca="1" si="89"/>
        <v>45819</v>
      </c>
      <c r="I529" s="123">
        <f ca="1">HLOOKUP($H$4,'Met Data'!$A$2:$F$368,G529,FALSE)</f>
        <v>10.8954545454545</v>
      </c>
      <c r="J529" s="121">
        <f ca="1">HLOOKUP($H$4,'Met Data'!$H$2:$M$368,G529,FALSE)*L529</f>
        <v>12.147272727272718</v>
      </c>
      <c r="K529" s="100">
        <f ca="1">HLOOKUP($H$4,'Met Data'!$O$2:$T$368,G529,FALSE)</f>
        <v>0.76887644299908198</v>
      </c>
      <c r="L529">
        <f t="shared" ca="1" si="81"/>
        <v>1.7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5" t="e">
        <f t="shared" ca="1" si="86"/>
        <v>#N/A</v>
      </c>
      <c r="AH529" s="65" t="e">
        <f t="shared" ca="1" si="87"/>
        <v>#N/A</v>
      </c>
      <c r="AI529" s="3" t="e">
        <f t="shared" ca="1" si="88"/>
        <v>#N/A</v>
      </c>
    </row>
    <row r="530" spans="7:35" ht="15.75" thickBot="1" x14ac:dyDescent="0.3">
      <c r="G530" s="3">
        <f t="shared" ca="1" si="80"/>
        <v>164</v>
      </c>
      <c r="H530" s="99">
        <f t="shared" ca="1" si="89"/>
        <v>45820</v>
      </c>
      <c r="I530" s="123">
        <f ca="1">HLOOKUP($H$4,'Met Data'!$A$2:$F$368,G530,FALSE)</f>
        <v>11.8375</v>
      </c>
      <c r="J530" s="121">
        <f ca="1">HLOOKUP($H$4,'Met Data'!$H$2:$M$368,G530,FALSE)*L530</f>
        <v>1.501666666666666</v>
      </c>
      <c r="K530" s="100">
        <f ca="1">HLOOKUP($H$4,'Met Data'!$O$2:$T$368,G530,FALSE)</f>
        <v>0.886573255907814</v>
      </c>
      <c r="L530">
        <f t="shared" ca="1" si="81"/>
        <v>1.7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5" t="e">
        <f t="shared" ca="1" si="86"/>
        <v>#N/A</v>
      </c>
      <c r="AH530" s="65" t="e">
        <f t="shared" ca="1" si="87"/>
        <v>#N/A</v>
      </c>
      <c r="AI530" s="3" t="e">
        <f t="shared" ca="1" si="88"/>
        <v>#N/A</v>
      </c>
    </row>
    <row r="531" spans="7:35" ht="15.75" thickBot="1" x14ac:dyDescent="0.3">
      <c r="G531" s="3">
        <f t="shared" ca="1" si="80"/>
        <v>165</v>
      </c>
      <c r="H531" s="99">
        <f t="shared" ca="1" si="89"/>
        <v>45821</v>
      </c>
      <c r="I531" s="123">
        <f ca="1">HLOOKUP($H$4,'Met Data'!$A$2:$F$368,G531,FALSE)</f>
        <v>10.4916666666666</v>
      </c>
      <c r="J531" s="121">
        <f ca="1">HLOOKUP($H$4,'Met Data'!$H$2:$M$368,G531,FALSE)*L531</f>
        <v>9.0383333333333216</v>
      </c>
      <c r="K531" s="100">
        <f ca="1">HLOOKUP($H$4,'Met Data'!$O$2:$T$368,G531,FALSE)</f>
        <v>0.75300621765048603</v>
      </c>
      <c r="L531">
        <f t="shared" ca="1" si="81"/>
        <v>1.7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5" t="e">
        <f t="shared" ca="1" si="86"/>
        <v>#N/A</v>
      </c>
      <c r="AH531" s="65" t="e">
        <f t="shared" ca="1" si="87"/>
        <v>#N/A</v>
      </c>
      <c r="AI531" s="3" t="e">
        <f t="shared" ca="1" si="88"/>
        <v>#N/A</v>
      </c>
    </row>
    <row r="532" spans="7:35" ht="15.75" thickBot="1" x14ac:dyDescent="0.3">
      <c r="G532" s="3">
        <f t="shared" ca="1" si="80"/>
        <v>166</v>
      </c>
      <c r="H532" s="99">
        <f t="shared" ca="1" si="89"/>
        <v>45822</v>
      </c>
      <c r="I532" s="123">
        <f ca="1">HLOOKUP($H$4,'Met Data'!$A$2:$F$368,G532,FALSE)</f>
        <v>10.133333333333301</v>
      </c>
      <c r="J532" s="121">
        <f ca="1">HLOOKUP($H$4,'Met Data'!$H$2:$M$368,G532,FALSE)*L532</f>
        <v>2.04</v>
      </c>
      <c r="K532" s="100">
        <f ca="1">HLOOKUP($H$4,'Met Data'!$O$2:$T$368,G532,FALSE)</f>
        <v>1.0949815777606999</v>
      </c>
      <c r="L532">
        <f t="shared" ca="1" si="81"/>
        <v>1.7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5" t="e">
        <f t="shared" ca="1" si="86"/>
        <v>#N/A</v>
      </c>
      <c r="AH532" s="65" t="e">
        <f t="shared" ca="1" si="87"/>
        <v>#N/A</v>
      </c>
      <c r="AI532" s="3" t="e">
        <f t="shared" ca="1" si="88"/>
        <v>#N/A</v>
      </c>
    </row>
    <row r="533" spans="7:35" ht="15.75" thickBot="1" x14ac:dyDescent="0.3">
      <c r="G533" s="3">
        <f t="shared" ca="1" si="80"/>
        <v>167</v>
      </c>
      <c r="H533" s="99">
        <f t="shared" ca="1" si="89"/>
        <v>45823</v>
      </c>
      <c r="I533" s="123">
        <f ca="1">HLOOKUP($H$4,'Met Data'!$A$2:$F$368,G533,FALSE)</f>
        <v>9.0291666666666597</v>
      </c>
      <c r="J533" s="121">
        <f ca="1">HLOOKUP($H$4,'Met Data'!$H$2:$M$368,G533,FALSE)*L533</f>
        <v>3.4849999999999994</v>
      </c>
      <c r="K533" s="100">
        <f ca="1">HLOOKUP($H$4,'Met Data'!$O$2:$T$368,G533,FALSE)</f>
        <v>0.76363291076582096</v>
      </c>
      <c r="L533">
        <f t="shared" ca="1" si="81"/>
        <v>1.7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5" t="e">
        <f t="shared" ca="1" si="86"/>
        <v>#N/A</v>
      </c>
      <c r="AH533" s="65" t="e">
        <f t="shared" ca="1" si="87"/>
        <v>#N/A</v>
      </c>
      <c r="AI533" s="3" t="e">
        <f t="shared" ca="1" si="88"/>
        <v>#N/A</v>
      </c>
    </row>
    <row r="534" spans="7:35" ht="15.75" thickBot="1" x14ac:dyDescent="0.3">
      <c r="G534" s="3">
        <f t="shared" ca="1" si="80"/>
        <v>168</v>
      </c>
      <c r="H534" s="99">
        <f t="shared" ca="1" si="89"/>
        <v>45824</v>
      </c>
      <c r="I534" s="123">
        <f ca="1">HLOOKUP($H$4,'Met Data'!$A$2:$F$368,G534,FALSE)</f>
        <v>10.125</v>
      </c>
      <c r="J534" s="121">
        <f ca="1">HLOOKUP($H$4,'Met Data'!$H$2:$M$368,G534,FALSE)*L534</f>
        <v>4.5616666666666612</v>
      </c>
      <c r="K534" s="100">
        <f ca="1">HLOOKUP($H$4,'Met Data'!$O$2:$T$368,G534,FALSE)</f>
        <v>0.84633721178312304</v>
      </c>
      <c r="L534">
        <f t="shared" ca="1" si="81"/>
        <v>1.7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5" t="e">
        <f t="shared" ca="1" si="86"/>
        <v>#N/A</v>
      </c>
      <c r="AH534" s="65" t="e">
        <f t="shared" ca="1" si="87"/>
        <v>#N/A</v>
      </c>
      <c r="AI534" s="3" t="e">
        <f t="shared" ca="1" si="88"/>
        <v>#N/A</v>
      </c>
    </row>
    <row r="535" spans="7:35" ht="15.75" thickBot="1" x14ac:dyDescent="0.3">
      <c r="G535" s="3">
        <f t="shared" ca="1" si="80"/>
        <v>169</v>
      </c>
      <c r="H535" s="99">
        <f t="shared" ca="1" si="89"/>
        <v>45825</v>
      </c>
      <c r="I535" s="123">
        <f ca="1">HLOOKUP($H$4,'Met Data'!$A$2:$F$368,G535,FALSE)</f>
        <v>10.2291666666666</v>
      </c>
      <c r="J535" s="121">
        <f ca="1">HLOOKUP($H$4,'Met Data'!$H$2:$M$368,G535,FALSE)*L535</f>
        <v>4.3066666666666613</v>
      </c>
      <c r="K535" s="100">
        <f ca="1">HLOOKUP($H$4,'Met Data'!$O$2:$T$368,G535,FALSE)</f>
        <v>0.91611783655738799</v>
      </c>
      <c r="L535">
        <f t="shared" ca="1" si="81"/>
        <v>1.7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5" t="e">
        <f t="shared" ca="1" si="86"/>
        <v>#N/A</v>
      </c>
      <c r="AH535" s="65" t="e">
        <f t="shared" ca="1" si="87"/>
        <v>#N/A</v>
      </c>
      <c r="AI535" s="3" t="e">
        <f t="shared" ca="1" si="88"/>
        <v>#N/A</v>
      </c>
    </row>
    <row r="536" spans="7:35" ht="15.75" thickBot="1" x14ac:dyDescent="0.3">
      <c r="G536" s="3">
        <f t="shared" ca="1" si="80"/>
        <v>170</v>
      </c>
      <c r="H536" s="99">
        <f t="shared" ca="1" si="89"/>
        <v>45826</v>
      </c>
      <c r="I536" s="123">
        <f ca="1">HLOOKUP($H$4,'Met Data'!$A$2:$F$368,G536,FALSE)</f>
        <v>10.316666666666601</v>
      </c>
      <c r="J536" s="121">
        <f ca="1">HLOOKUP($H$4,'Met Data'!$H$2:$M$368,G536,FALSE)*L536</f>
        <v>9.35</v>
      </c>
      <c r="K536" s="100">
        <f ca="1">HLOOKUP($H$4,'Met Data'!$O$2:$T$368,G536,FALSE)</f>
        <v>0.749895043982166</v>
      </c>
      <c r="L536">
        <f t="shared" ca="1" si="81"/>
        <v>1.7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5" t="e">
        <f t="shared" ca="1" si="86"/>
        <v>#N/A</v>
      </c>
      <c r="AH536" s="65" t="e">
        <f t="shared" ca="1" si="87"/>
        <v>#N/A</v>
      </c>
      <c r="AI536" s="3" t="e">
        <f t="shared" ca="1" si="88"/>
        <v>#N/A</v>
      </c>
    </row>
    <row r="537" spans="7:35" ht="15.75" thickBot="1" x14ac:dyDescent="0.3">
      <c r="G537" s="3">
        <f t="shared" ca="1" si="80"/>
        <v>171</v>
      </c>
      <c r="H537" s="99">
        <f t="shared" ca="1" si="89"/>
        <v>45827</v>
      </c>
      <c r="I537" s="123">
        <f ca="1">HLOOKUP($H$4,'Met Data'!$A$2:$F$368,G537,FALSE)</f>
        <v>10.6666666666666</v>
      </c>
      <c r="J537" s="121">
        <f ca="1">HLOOKUP($H$4,'Met Data'!$H$2:$M$368,G537,FALSE)*L537</f>
        <v>20.201666666666611</v>
      </c>
      <c r="K537" s="100">
        <f ca="1">HLOOKUP($H$4,'Met Data'!$O$2:$T$368,G537,FALSE)</f>
        <v>0.72031723210574305</v>
      </c>
      <c r="L537">
        <f t="shared" ca="1" si="81"/>
        <v>1.7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5" t="e">
        <f t="shared" ca="1" si="86"/>
        <v>#N/A</v>
      </c>
      <c r="AH537" s="65" t="e">
        <f t="shared" ca="1" si="87"/>
        <v>#N/A</v>
      </c>
      <c r="AI537" s="3" t="e">
        <f t="shared" ca="1" si="88"/>
        <v>#N/A</v>
      </c>
    </row>
    <row r="538" spans="7:35" ht="15.75" thickBot="1" x14ac:dyDescent="0.3">
      <c r="G538" s="3">
        <f t="shared" ca="1" si="80"/>
        <v>172</v>
      </c>
      <c r="H538" s="99">
        <f t="shared" ca="1" si="89"/>
        <v>45828</v>
      </c>
      <c r="I538" s="123">
        <f ca="1">HLOOKUP($H$4,'Met Data'!$A$2:$F$368,G538,FALSE)</f>
        <v>10.6181818181818</v>
      </c>
      <c r="J538" s="121">
        <f ca="1">HLOOKUP($H$4,'Met Data'!$H$2:$M$368,G538,FALSE)*L538</f>
        <v>15.330909090909078</v>
      </c>
      <c r="K538" s="100">
        <f ca="1">HLOOKUP($H$4,'Met Data'!$O$2:$T$368,G538,FALSE)</f>
        <v>0.829345309973199</v>
      </c>
      <c r="L538">
        <f t="shared" ca="1" si="81"/>
        <v>1.7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5" t="e">
        <f t="shared" ca="1" si="86"/>
        <v>#N/A</v>
      </c>
      <c r="AH538" s="65" t="e">
        <f t="shared" ca="1" si="87"/>
        <v>#N/A</v>
      </c>
      <c r="AI538" s="3" t="e">
        <f t="shared" ca="1" si="88"/>
        <v>#N/A</v>
      </c>
    </row>
    <row r="539" spans="7:35" ht="15.75" thickBot="1" x14ac:dyDescent="0.3">
      <c r="G539" s="3">
        <f t="shared" ca="1" si="80"/>
        <v>173</v>
      </c>
      <c r="H539" s="99">
        <f t="shared" ca="1" si="89"/>
        <v>45829</v>
      </c>
      <c r="I539" s="123">
        <f ca="1">HLOOKUP($H$4,'Met Data'!$A$2:$F$368,G539,FALSE)</f>
        <v>10.0318181818181</v>
      </c>
      <c r="J539" s="121">
        <f ca="1">HLOOKUP($H$4,'Met Data'!$H$2:$M$368,G539,FALSE)*L539</f>
        <v>3.24545454545453</v>
      </c>
      <c r="K539" s="100">
        <f ca="1">HLOOKUP($H$4,'Met Data'!$O$2:$T$368,G539,FALSE)</f>
        <v>0.90574236110997597</v>
      </c>
      <c r="L539">
        <f t="shared" ca="1" si="81"/>
        <v>1.7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5" t="e">
        <f t="shared" ca="1" si="86"/>
        <v>#N/A</v>
      </c>
      <c r="AH539" s="65" t="e">
        <f t="shared" ca="1" si="87"/>
        <v>#N/A</v>
      </c>
      <c r="AI539" s="3" t="e">
        <f t="shared" ca="1" si="88"/>
        <v>#N/A</v>
      </c>
    </row>
    <row r="540" spans="7:35" ht="15.75" thickBot="1" x14ac:dyDescent="0.3">
      <c r="G540" s="3">
        <f t="shared" ca="1" si="80"/>
        <v>174</v>
      </c>
      <c r="H540" s="99">
        <f t="shared" ca="1" si="89"/>
        <v>45830</v>
      </c>
      <c r="I540" s="123">
        <f ca="1">HLOOKUP($H$4,'Met Data'!$A$2:$F$368,G540,FALSE)</f>
        <v>8.9727272727272709</v>
      </c>
      <c r="J540" s="121">
        <f ca="1">HLOOKUP($H$4,'Met Data'!$H$2:$M$368,G540,FALSE)*L540</f>
        <v>3.3381818181818121</v>
      </c>
      <c r="K540" s="100">
        <f ca="1">HLOOKUP($H$4,'Met Data'!$O$2:$T$368,G540,FALSE)</f>
        <v>0.89904843691310898</v>
      </c>
      <c r="L540">
        <f t="shared" ca="1" si="81"/>
        <v>1.7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5" t="e">
        <f t="shared" ca="1" si="86"/>
        <v>#N/A</v>
      </c>
      <c r="AH540" s="65" t="e">
        <f t="shared" ca="1" si="87"/>
        <v>#N/A</v>
      </c>
      <c r="AI540" s="3" t="e">
        <f t="shared" ca="1" si="88"/>
        <v>#N/A</v>
      </c>
    </row>
    <row r="541" spans="7:35" ht="15.75" thickBot="1" x14ac:dyDescent="0.3">
      <c r="G541" s="3">
        <f t="shared" ca="1" si="80"/>
        <v>175</v>
      </c>
      <c r="H541" s="99">
        <f t="shared" ca="1" si="89"/>
        <v>45831</v>
      </c>
      <c r="I541" s="123">
        <f ca="1">HLOOKUP($H$4,'Met Data'!$A$2:$F$368,G541,FALSE)</f>
        <v>9.0227272727272698</v>
      </c>
      <c r="J541" s="121">
        <f ca="1">HLOOKUP($H$4,'Met Data'!$H$2:$M$368,G541,FALSE)*L541</f>
        <v>5.1309090909090767</v>
      </c>
      <c r="K541" s="100">
        <f ca="1">HLOOKUP($H$4,'Met Data'!$O$2:$T$368,G541,FALSE)</f>
        <v>0.82913615112138495</v>
      </c>
      <c r="L541">
        <f t="shared" ca="1" si="81"/>
        <v>1.7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5" t="e">
        <f t="shared" ca="1" si="86"/>
        <v>#N/A</v>
      </c>
      <c r="AH541" s="65" t="e">
        <f t="shared" ca="1" si="87"/>
        <v>#N/A</v>
      </c>
      <c r="AI541" s="3" t="e">
        <f t="shared" ca="1" si="88"/>
        <v>#N/A</v>
      </c>
    </row>
    <row r="542" spans="7:35" ht="15.75" thickBot="1" x14ac:dyDescent="0.3">
      <c r="G542" s="3">
        <f t="shared" ca="1" si="80"/>
        <v>176</v>
      </c>
      <c r="H542" s="99">
        <f t="shared" ca="1" si="89"/>
        <v>45832</v>
      </c>
      <c r="I542" s="123">
        <f ca="1">HLOOKUP($H$4,'Met Data'!$A$2:$F$368,G542,FALSE)</f>
        <v>10.3590909090909</v>
      </c>
      <c r="J542" s="121">
        <f ca="1">HLOOKUP($H$4,'Met Data'!$H$2:$M$368,G542,FALSE)*L542</f>
        <v>6.3672727272727174</v>
      </c>
      <c r="K542" s="100">
        <f ca="1">HLOOKUP($H$4,'Met Data'!$O$2:$T$368,G542,FALSE)</f>
        <v>0.88746237543267503</v>
      </c>
      <c r="L542">
        <f t="shared" ca="1" si="81"/>
        <v>1.7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5" t="e">
        <f t="shared" ca="1" si="86"/>
        <v>#N/A</v>
      </c>
      <c r="AH542" s="65" t="e">
        <f t="shared" ca="1" si="87"/>
        <v>#N/A</v>
      </c>
      <c r="AI542" s="3" t="e">
        <f t="shared" ca="1" si="88"/>
        <v>#N/A</v>
      </c>
    </row>
    <row r="543" spans="7:35" ht="15.75" thickBot="1" x14ac:dyDescent="0.3">
      <c r="G543" s="3">
        <f t="shared" ca="1" si="80"/>
        <v>177</v>
      </c>
      <c r="H543" s="99">
        <f t="shared" ca="1" si="89"/>
        <v>45833</v>
      </c>
      <c r="I543" s="123">
        <f ca="1">HLOOKUP($H$4,'Met Data'!$A$2:$F$368,G543,FALSE)</f>
        <v>9.5090909090909097</v>
      </c>
      <c r="J543" s="121">
        <f ca="1">HLOOKUP($H$4,'Met Data'!$H$2:$M$368,G543,FALSE)*L543</f>
        <v>5.2854545454545301</v>
      </c>
      <c r="K543" s="100">
        <f ca="1">HLOOKUP($H$4,'Met Data'!$O$2:$T$368,G543,FALSE)</f>
        <v>0.97866599470650895</v>
      </c>
      <c r="L543">
        <f t="shared" ca="1" si="81"/>
        <v>1.7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5" t="e">
        <f t="shared" ca="1" si="86"/>
        <v>#N/A</v>
      </c>
      <c r="AH543" s="65" t="e">
        <f t="shared" ca="1" si="87"/>
        <v>#N/A</v>
      </c>
      <c r="AI543" s="3" t="e">
        <f t="shared" ca="1" si="88"/>
        <v>#N/A</v>
      </c>
    </row>
    <row r="544" spans="7:35" ht="15.75" thickBot="1" x14ac:dyDescent="0.3">
      <c r="G544" s="3">
        <f t="shared" ca="1" si="80"/>
        <v>178</v>
      </c>
      <c r="H544" s="99">
        <f t="shared" ca="1" si="89"/>
        <v>45834</v>
      </c>
      <c r="I544" s="123">
        <f ca="1">HLOOKUP($H$4,'Met Data'!$A$2:$F$368,G544,FALSE)</f>
        <v>9.1272727272727199</v>
      </c>
      <c r="J544" s="121">
        <f ca="1">HLOOKUP($H$4,'Met Data'!$H$2:$M$368,G544,FALSE)*L544</f>
        <v>2.1327272727272648</v>
      </c>
      <c r="K544" s="100">
        <f ca="1">HLOOKUP($H$4,'Met Data'!$O$2:$T$368,G544,FALSE)</f>
        <v>1.0040569739087299</v>
      </c>
      <c r="L544">
        <f t="shared" ca="1" si="81"/>
        <v>1.7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5" t="e">
        <f t="shared" ca="1" si="86"/>
        <v>#N/A</v>
      </c>
      <c r="AH544" s="65" t="e">
        <f t="shared" ca="1" si="87"/>
        <v>#N/A</v>
      </c>
      <c r="AI544" s="3" t="e">
        <f t="shared" ca="1" si="88"/>
        <v>#N/A</v>
      </c>
    </row>
    <row r="545" spans="7:35" ht="15.75" thickBot="1" x14ac:dyDescent="0.3">
      <c r="G545" s="3">
        <f t="shared" ca="1" si="80"/>
        <v>179</v>
      </c>
      <c r="H545" s="99">
        <f t="shared" ca="1" si="89"/>
        <v>45835</v>
      </c>
      <c r="I545" s="123">
        <f ca="1">HLOOKUP($H$4,'Met Data'!$A$2:$F$368,G545,FALSE)</f>
        <v>8.7727272727272698</v>
      </c>
      <c r="J545" s="121">
        <f ca="1">HLOOKUP($H$4,'Met Data'!$H$2:$M$368,G545,FALSE)*L545</f>
        <v>5.0690909090909058</v>
      </c>
      <c r="K545" s="100">
        <f ca="1">HLOOKUP($H$4,'Met Data'!$O$2:$T$368,G545,FALSE)</f>
        <v>0.89055521132494797</v>
      </c>
      <c r="L545">
        <f t="shared" ca="1" si="81"/>
        <v>1.7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5" t="e">
        <f t="shared" ca="1" si="86"/>
        <v>#N/A</v>
      </c>
      <c r="AH545" s="65" t="e">
        <f t="shared" ca="1" si="87"/>
        <v>#N/A</v>
      </c>
      <c r="AI545" s="3" t="e">
        <f t="shared" ca="1" si="88"/>
        <v>#N/A</v>
      </c>
    </row>
    <row r="546" spans="7:35" ht="15.75" thickBot="1" x14ac:dyDescent="0.3">
      <c r="G546" s="3">
        <f t="shared" ca="1" si="80"/>
        <v>180</v>
      </c>
      <c r="H546" s="99">
        <f t="shared" ca="1" si="89"/>
        <v>45836</v>
      </c>
      <c r="I546" s="123">
        <f ca="1">HLOOKUP($H$4,'Met Data'!$A$2:$F$368,G546,FALSE)</f>
        <v>8.8363636363636306</v>
      </c>
      <c r="J546" s="121">
        <f ca="1">HLOOKUP($H$4,'Met Data'!$H$2:$M$368,G546,FALSE)*L546</f>
        <v>1.5454545454545452</v>
      </c>
      <c r="K546" s="100">
        <f ca="1">HLOOKUP($H$4,'Met Data'!$O$2:$T$368,G546,FALSE)</f>
        <v>0.949335994975394</v>
      </c>
      <c r="L546">
        <f t="shared" ca="1" si="81"/>
        <v>1.7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5" t="e">
        <f t="shared" ca="1" si="86"/>
        <v>#N/A</v>
      </c>
      <c r="AH546" s="65" t="e">
        <f t="shared" ca="1" si="87"/>
        <v>#N/A</v>
      </c>
      <c r="AI546" s="3" t="e">
        <f t="shared" ca="1" si="88"/>
        <v>#N/A</v>
      </c>
    </row>
    <row r="547" spans="7:35" ht="15.75" thickBot="1" x14ac:dyDescent="0.3">
      <c r="G547" s="3">
        <f t="shared" ca="1" si="80"/>
        <v>181</v>
      </c>
      <c r="H547" s="99">
        <f t="shared" ca="1" si="89"/>
        <v>45837</v>
      </c>
      <c r="I547" s="123">
        <f ca="1">HLOOKUP($H$4,'Met Data'!$A$2:$F$368,G547,FALSE)</f>
        <v>8.7136363636363594</v>
      </c>
      <c r="J547" s="121">
        <f ca="1">HLOOKUP($H$4,'Met Data'!$H$2:$M$368,G547,FALSE)*L547</f>
        <v>3.031666666666661</v>
      </c>
      <c r="K547" s="100">
        <f ca="1">HLOOKUP($H$4,'Met Data'!$O$2:$T$368,G547,FALSE)</f>
        <v>0.92539172734817898</v>
      </c>
      <c r="L547">
        <f t="shared" ca="1" si="81"/>
        <v>1.7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5" t="e">
        <f t="shared" ca="1" si="86"/>
        <v>#N/A</v>
      </c>
      <c r="AH547" s="65" t="e">
        <f t="shared" ca="1" si="87"/>
        <v>#N/A</v>
      </c>
      <c r="AI547" s="3" t="e">
        <f t="shared" ca="1" si="88"/>
        <v>#N/A</v>
      </c>
    </row>
    <row r="548" spans="7:35" ht="15.75" thickBot="1" x14ac:dyDescent="0.3">
      <c r="G548" s="3">
        <f t="shared" ca="1" si="80"/>
        <v>182</v>
      </c>
      <c r="H548" s="99">
        <f t="shared" ca="1" si="89"/>
        <v>45838</v>
      </c>
      <c r="I548" s="123">
        <f ca="1">HLOOKUP($H$4,'Met Data'!$A$2:$F$368,G548,FALSE)</f>
        <v>8.5291666666666597</v>
      </c>
      <c r="J548" s="121">
        <f ca="1">HLOOKUP($H$4,'Met Data'!$H$2:$M$368,G548,FALSE)*L548</f>
        <v>4.3916666666666604</v>
      </c>
      <c r="K548" s="100">
        <f ca="1">HLOOKUP($H$4,'Met Data'!$O$2:$T$368,G548,FALSE)</f>
        <v>0.82623977006466498</v>
      </c>
      <c r="L548">
        <f t="shared" ca="1" si="81"/>
        <v>1.7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5" t="e">
        <f t="shared" ca="1" si="86"/>
        <v>#N/A</v>
      </c>
      <c r="AH548" s="65" t="e">
        <f t="shared" ca="1" si="87"/>
        <v>#N/A</v>
      </c>
      <c r="AI548" s="3" t="e">
        <f t="shared" ca="1" si="88"/>
        <v>#N/A</v>
      </c>
    </row>
    <row r="549" spans="7:35" ht="15.75" thickBot="1" x14ac:dyDescent="0.3">
      <c r="G549" s="3">
        <f t="shared" ca="1" si="80"/>
        <v>183</v>
      </c>
      <c r="H549" s="99">
        <f t="shared" ca="1" si="89"/>
        <v>45839</v>
      </c>
      <c r="I549" s="123">
        <f ca="1">HLOOKUP($H$4,'Met Data'!$A$2:$F$368,G549,FALSE)</f>
        <v>8.8208333333333293</v>
      </c>
      <c r="J549" s="121">
        <f ca="1">HLOOKUP($H$4,'Met Data'!$H$2:$M$368,G549,FALSE)*L549</f>
        <v>3.6266666666666612</v>
      </c>
      <c r="K549" s="100">
        <f ca="1">HLOOKUP($H$4,'Met Data'!$O$2:$T$368,G549,FALSE)</f>
        <v>0.80690048817841498</v>
      </c>
      <c r="L549">
        <f t="shared" ca="1" si="81"/>
        <v>1.7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5" t="e">
        <f t="shared" ca="1" si="86"/>
        <v>#N/A</v>
      </c>
      <c r="AH549" s="65" t="e">
        <f t="shared" ca="1" si="87"/>
        <v>#N/A</v>
      </c>
      <c r="AI549" s="3" t="e">
        <f t="shared" ca="1" si="88"/>
        <v>#N/A</v>
      </c>
    </row>
    <row r="550" spans="7:35" ht="15.75" thickBot="1" x14ac:dyDescent="0.3">
      <c r="G550" s="3">
        <f t="shared" ca="1" si="80"/>
        <v>184</v>
      </c>
      <c r="H550" s="99">
        <f t="shared" ca="1" si="89"/>
        <v>45840</v>
      </c>
      <c r="I550" s="123">
        <f ca="1">HLOOKUP($H$4,'Met Data'!$A$2:$F$368,G550,FALSE)</f>
        <v>8.2249999999999996</v>
      </c>
      <c r="J550" s="121">
        <f ca="1">HLOOKUP($H$4,'Met Data'!$H$2:$M$368,G550,FALSE)*L550</f>
        <v>1.4166666666666661</v>
      </c>
      <c r="K550" s="100">
        <f ca="1">HLOOKUP($H$4,'Met Data'!$O$2:$T$368,G550,FALSE)</f>
        <v>1.0149186441071101</v>
      </c>
      <c r="L550">
        <f t="shared" ca="1" si="81"/>
        <v>1.7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5" t="e">
        <f t="shared" ca="1" si="86"/>
        <v>#N/A</v>
      </c>
      <c r="AH550" s="65" t="e">
        <f t="shared" ca="1" si="87"/>
        <v>#N/A</v>
      </c>
      <c r="AI550" s="3" t="e">
        <f t="shared" ca="1" si="88"/>
        <v>#N/A</v>
      </c>
    </row>
    <row r="551" spans="7:35" ht="15.75" thickBot="1" x14ac:dyDescent="0.3">
      <c r="G551" s="3">
        <f t="shared" ca="1" si="80"/>
        <v>185</v>
      </c>
      <c r="H551" s="99">
        <f t="shared" ca="1" si="89"/>
        <v>45841</v>
      </c>
      <c r="I551" s="123">
        <f ca="1">HLOOKUP($H$4,'Met Data'!$A$2:$F$368,G551,FALSE)</f>
        <v>8.8333333333333304</v>
      </c>
      <c r="J551" s="121">
        <f ca="1">HLOOKUP($H$4,'Met Data'!$H$2:$M$368,G551,FALSE)*L551</f>
        <v>6.0633333333333219</v>
      </c>
      <c r="K551" s="100">
        <f ca="1">HLOOKUP($H$4,'Met Data'!$O$2:$T$368,G551,FALSE)</f>
        <v>0.89125379504041602</v>
      </c>
      <c r="L551">
        <f t="shared" ca="1" si="81"/>
        <v>1.7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5" t="e">
        <f t="shared" ca="1" si="86"/>
        <v>#N/A</v>
      </c>
      <c r="AH551" s="65" t="e">
        <f t="shared" ca="1" si="87"/>
        <v>#N/A</v>
      </c>
      <c r="AI551" s="3" t="e">
        <f t="shared" ca="1" si="88"/>
        <v>#N/A</v>
      </c>
    </row>
    <row r="552" spans="7:35" ht="15.75" thickBot="1" x14ac:dyDescent="0.3">
      <c r="G552" s="3">
        <f t="shared" ca="1" si="80"/>
        <v>186</v>
      </c>
      <c r="H552" s="99">
        <f t="shared" ca="1" si="89"/>
        <v>45842</v>
      </c>
      <c r="I552" s="123">
        <f ca="1">HLOOKUP($H$4,'Met Data'!$A$2:$F$368,G552,FALSE)</f>
        <v>8.6</v>
      </c>
      <c r="J552" s="121">
        <f ca="1">HLOOKUP($H$4,'Met Data'!$H$2:$M$368,G552,FALSE)*L552</f>
        <v>1.2466666666666659</v>
      </c>
      <c r="K552" s="100">
        <f ca="1">HLOOKUP($H$4,'Met Data'!$O$2:$T$368,G552,FALSE)</f>
        <v>0.87224086772784204</v>
      </c>
      <c r="L552">
        <f t="shared" ca="1" si="81"/>
        <v>1.7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5" t="e">
        <f t="shared" ca="1" si="86"/>
        <v>#N/A</v>
      </c>
      <c r="AH552" s="65" t="e">
        <f t="shared" ca="1" si="87"/>
        <v>#N/A</v>
      </c>
      <c r="AI552" s="3" t="e">
        <f t="shared" ca="1" si="88"/>
        <v>#N/A</v>
      </c>
    </row>
    <row r="553" spans="7:35" ht="15.75" thickBot="1" x14ac:dyDescent="0.3">
      <c r="G553" s="3">
        <f t="shared" ca="1" si="80"/>
        <v>187</v>
      </c>
      <c r="H553" s="99">
        <f t="shared" ca="1" si="89"/>
        <v>45843</v>
      </c>
      <c r="I553" s="123">
        <f ca="1">HLOOKUP($H$4,'Met Data'!$A$2:$F$368,G553,FALSE)</f>
        <v>9.4</v>
      </c>
      <c r="J553" s="121">
        <f ca="1">HLOOKUP($H$4,'Met Data'!$H$2:$M$368,G553,FALSE)*L553</f>
        <v>0.16999999999999982</v>
      </c>
      <c r="K553" s="100">
        <f ca="1">HLOOKUP($H$4,'Met Data'!$O$2:$T$368,G553,FALSE)</f>
        <v>0.96939333533810901</v>
      </c>
      <c r="L553">
        <f t="shared" ca="1" si="81"/>
        <v>1.7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5" t="e">
        <f t="shared" ca="1" si="86"/>
        <v>#N/A</v>
      </c>
      <c r="AH553" s="65" t="e">
        <f t="shared" ca="1" si="87"/>
        <v>#N/A</v>
      </c>
      <c r="AI553" s="3" t="e">
        <f t="shared" ca="1" si="88"/>
        <v>#N/A</v>
      </c>
    </row>
    <row r="554" spans="7:35" ht="15.75" thickBot="1" x14ac:dyDescent="0.3">
      <c r="G554" s="3">
        <f t="shared" ca="1" si="80"/>
        <v>188</v>
      </c>
      <c r="H554" s="99">
        <f t="shared" ca="1" si="89"/>
        <v>45844</v>
      </c>
      <c r="I554" s="123">
        <f ca="1">HLOOKUP($H$4,'Met Data'!$A$2:$F$368,G554,FALSE)</f>
        <v>9.12083333333333</v>
      </c>
      <c r="J554" s="121">
        <f ca="1">HLOOKUP($H$4,'Met Data'!$H$2:$M$368,G554,FALSE)*L554</f>
        <v>3.7116666666666611</v>
      </c>
      <c r="K554" s="100">
        <f ca="1">HLOOKUP($H$4,'Met Data'!$O$2:$T$368,G554,FALSE)</f>
        <v>0.851628840058262</v>
      </c>
      <c r="L554">
        <f t="shared" ca="1" si="81"/>
        <v>1.7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5" t="e">
        <f t="shared" ca="1" si="86"/>
        <v>#N/A</v>
      </c>
      <c r="AH554" s="65" t="e">
        <f t="shared" ca="1" si="87"/>
        <v>#N/A</v>
      </c>
      <c r="AI554" s="3" t="e">
        <f t="shared" ca="1" si="88"/>
        <v>#N/A</v>
      </c>
    </row>
    <row r="555" spans="7:35" ht="15.75" thickBot="1" x14ac:dyDescent="0.3">
      <c r="G555" s="3">
        <f t="shared" ca="1" si="80"/>
        <v>189</v>
      </c>
      <c r="H555" s="99">
        <f t="shared" ca="1" si="89"/>
        <v>45845</v>
      </c>
      <c r="I555" s="123">
        <f ca="1">HLOOKUP($H$4,'Met Data'!$A$2:$F$368,G555,FALSE)</f>
        <v>9.6583333333333297</v>
      </c>
      <c r="J555" s="121">
        <f ca="1">HLOOKUP($H$4,'Met Data'!$H$2:$M$368,G555,FALSE)*L555</f>
        <v>7.7633333333333221</v>
      </c>
      <c r="K555" s="100">
        <f ca="1">HLOOKUP($H$4,'Met Data'!$O$2:$T$368,G555,FALSE)</f>
        <v>0.80851868655974801</v>
      </c>
      <c r="L555">
        <f t="shared" ca="1" si="81"/>
        <v>1.7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5" t="e">
        <f t="shared" ca="1" si="86"/>
        <v>#N/A</v>
      </c>
      <c r="AH555" s="65" t="e">
        <f t="shared" ca="1" si="87"/>
        <v>#N/A</v>
      </c>
      <c r="AI555" s="3" t="e">
        <f t="shared" ca="1" si="88"/>
        <v>#N/A</v>
      </c>
    </row>
    <row r="556" spans="7:35" ht="15.75" thickBot="1" x14ac:dyDescent="0.3">
      <c r="G556" s="3">
        <f t="shared" ca="1" si="80"/>
        <v>190</v>
      </c>
      <c r="H556" s="99">
        <f t="shared" ca="1" si="89"/>
        <v>45846</v>
      </c>
      <c r="I556" s="123">
        <f ca="1">HLOOKUP($H$4,'Met Data'!$A$2:$F$368,G556,FALSE)</f>
        <v>8.5291666666666597</v>
      </c>
      <c r="J556" s="121">
        <f ca="1">HLOOKUP($H$4,'Met Data'!$H$2:$M$368,G556,FALSE)*L556</f>
        <v>6.4316666666666613</v>
      </c>
      <c r="K556" s="100">
        <f ca="1">HLOOKUP($H$4,'Met Data'!$O$2:$T$368,G556,FALSE)</f>
        <v>1.09493770994468</v>
      </c>
      <c r="L556">
        <f t="shared" ca="1" si="81"/>
        <v>1.7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5" t="e">
        <f t="shared" ca="1" si="86"/>
        <v>#N/A</v>
      </c>
      <c r="AH556" s="65" t="e">
        <f t="shared" ca="1" si="87"/>
        <v>#N/A</v>
      </c>
      <c r="AI556" s="3" t="e">
        <f t="shared" ca="1" si="88"/>
        <v>#N/A</v>
      </c>
    </row>
    <row r="557" spans="7:35" ht="15.75" thickBot="1" x14ac:dyDescent="0.3">
      <c r="G557" s="3">
        <f t="shared" ca="1" si="80"/>
        <v>191</v>
      </c>
      <c r="H557" s="99">
        <f t="shared" ca="1" si="89"/>
        <v>45847</v>
      </c>
      <c r="I557" s="123">
        <f ca="1">HLOOKUP($H$4,'Met Data'!$A$2:$F$368,G557,FALSE)</f>
        <v>8.1583333333333297</v>
      </c>
      <c r="J557" s="121">
        <f ca="1">HLOOKUP($H$4,'Met Data'!$H$2:$M$368,G557,FALSE)*L557</f>
        <v>7.111666666666661</v>
      </c>
      <c r="K557" s="100">
        <f ca="1">HLOOKUP($H$4,'Met Data'!$O$2:$T$368,G557,FALSE)</f>
        <v>0.89025740200721304</v>
      </c>
      <c r="L557">
        <f t="shared" ca="1" si="81"/>
        <v>1.7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5" t="e">
        <f t="shared" ca="1" si="86"/>
        <v>#N/A</v>
      </c>
      <c r="AH557" s="65" t="e">
        <f t="shared" ca="1" si="87"/>
        <v>#N/A</v>
      </c>
      <c r="AI557" s="3" t="e">
        <f t="shared" ca="1" si="88"/>
        <v>#N/A</v>
      </c>
    </row>
    <row r="558" spans="7:35" ht="15.75" thickBot="1" x14ac:dyDescent="0.3">
      <c r="G558" s="3">
        <f t="shared" ca="1" si="80"/>
        <v>192</v>
      </c>
      <c r="H558" s="99">
        <f t="shared" ca="1" si="89"/>
        <v>45848</v>
      </c>
      <c r="I558" s="123">
        <f ca="1">HLOOKUP($H$4,'Met Data'!$A$2:$F$368,G558,FALSE)</f>
        <v>8.24166666666666</v>
      </c>
      <c r="J558" s="121">
        <f ca="1">HLOOKUP($H$4,'Met Data'!$H$2:$M$368,G558,FALSE)*L558</f>
        <v>3.853333333333322</v>
      </c>
      <c r="K558" s="100">
        <f ca="1">HLOOKUP($H$4,'Met Data'!$O$2:$T$368,G558,FALSE)</f>
        <v>1.06467045295546</v>
      </c>
      <c r="L558">
        <f t="shared" ca="1" si="81"/>
        <v>1.7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5" t="e">
        <f t="shared" ca="1" si="86"/>
        <v>#N/A</v>
      </c>
      <c r="AH558" s="65" t="e">
        <f t="shared" ca="1" si="87"/>
        <v>#N/A</v>
      </c>
      <c r="AI558" s="3" t="e">
        <f t="shared" ca="1" si="88"/>
        <v>#N/A</v>
      </c>
    </row>
    <row r="559" spans="7:35" ht="15.75" thickBot="1" x14ac:dyDescent="0.3">
      <c r="G559" s="3">
        <f t="shared" ca="1" si="80"/>
        <v>193</v>
      </c>
      <c r="H559" s="99">
        <f t="shared" ca="1" si="89"/>
        <v>45849</v>
      </c>
      <c r="I559" s="123">
        <f ca="1">HLOOKUP($H$4,'Met Data'!$A$2:$F$368,G559,FALSE)</f>
        <v>8.0333333333333297</v>
      </c>
      <c r="J559" s="121">
        <f ca="1">HLOOKUP($H$4,'Met Data'!$H$2:$M$368,G559,FALSE)*L559</f>
        <v>7.9050000000000002</v>
      </c>
      <c r="K559" s="100">
        <f ca="1">HLOOKUP($H$4,'Met Data'!$O$2:$T$368,G559,FALSE)</f>
        <v>1.03430816091664</v>
      </c>
      <c r="L559">
        <f t="shared" ca="1" si="81"/>
        <v>1.7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5" t="e">
        <f t="shared" ca="1" si="86"/>
        <v>#N/A</v>
      </c>
      <c r="AH559" s="65" t="e">
        <f t="shared" ca="1" si="87"/>
        <v>#N/A</v>
      </c>
      <c r="AI559" s="3" t="e">
        <f t="shared" ca="1" si="88"/>
        <v>#N/A</v>
      </c>
    </row>
    <row r="560" spans="7:35" ht="15.75" thickBot="1" x14ac:dyDescent="0.3">
      <c r="G560" s="3">
        <f t="shared" ref="G560:G623" ca="1" si="90">H560-DATE(YEAR(H560),1,0)+1</f>
        <v>194</v>
      </c>
      <c r="H560" s="99">
        <f t="shared" ca="1" si="89"/>
        <v>45850</v>
      </c>
      <c r="I560" s="123">
        <f ca="1">HLOOKUP($H$4,'Met Data'!$A$2:$F$368,G560,FALSE)</f>
        <v>8.37083333333333</v>
      </c>
      <c r="J560" s="121">
        <f ca="1">HLOOKUP($H$4,'Met Data'!$H$2:$M$368,G560,FALSE)*L560</f>
        <v>2.748333333333322</v>
      </c>
      <c r="K560" s="100">
        <f ca="1">HLOOKUP($H$4,'Met Data'!$O$2:$T$368,G560,FALSE)</f>
        <v>1.0039262064680501</v>
      </c>
      <c r="L560">
        <f t="shared" ref="L560:L623" ca="1" si="91">IF(H560&lt;$B$31,$J$3,$J$4)</f>
        <v>1.7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5" t="e">
        <f t="shared" ref="AG560:AG623" ca="1" si="96">Q559+S560+T560+U560</f>
        <v>#N/A</v>
      </c>
      <c r="AH560" s="65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.75" thickBot="1" x14ac:dyDescent="0.3">
      <c r="G561" s="3">
        <f t="shared" ca="1" si="90"/>
        <v>195</v>
      </c>
      <c r="H561" s="99">
        <f t="shared" ca="1" si="89"/>
        <v>45851</v>
      </c>
      <c r="I561" s="123">
        <f ca="1">HLOOKUP($H$4,'Met Data'!$A$2:$F$368,G561,FALSE)</f>
        <v>8.0916666666666597</v>
      </c>
      <c r="J561" s="121">
        <f ca="1">HLOOKUP($H$4,'Met Data'!$H$2:$M$368,G561,FALSE)*L561</f>
        <v>8.6133333333333226</v>
      </c>
      <c r="K561" s="100">
        <f ca="1">HLOOKUP($H$4,'Met Data'!$O$2:$T$368,G561,FALSE)</f>
        <v>0.87492032925951801</v>
      </c>
      <c r="L561">
        <f t="shared" ca="1" si="91"/>
        <v>1.7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5" t="e">
        <f t="shared" ca="1" si="96"/>
        <v>#N/A</v>
      </c>
      <c r="AH561" s="65" t="e">
        <f t="shared" ca="1" si="97"/>
        <v>#N/A</v>
      </c>
      <c r="AI561" s="3" t="e">
        <f t="shared" ca="1" si="98"/>
        <v>#N/A</v>
      </c>
    </row>
    <row r="562" spans="7:35" ht="15.75" thickBot="1" x14ac:dyDescent="0.3">
      <c r="G562" s="3">
        <f t="shared" ca="1" si="90"/>
        <v>196</v>
      </c>
      <c r="H562" s="99">
        <f t="shared" ca="1" si="89"/>
        <v>45852</v>
      </c>
      <c r="I562" s="123">
        <f ca="1">HLOOKUP($H$4,'Met Data'!$A$2:$F$368,G562,FALSE)</f>
        <v>7.9156250000000004</v>
      </c>
      <c r="J562" s="121">
        <f ca="1">HLOOKUP($H$4,'Met Data'!$H$2:$M$368,G562,FALSE)*L562</f>
        <v>7.0833333333333215</v>
      </c>
      <c r="K562" s="100">
        <f ca="1">HLOOKUP($H$4,'Met Data'!$O$2:$T$368,G562,FALSE)</f>
        <v>0.80250527716076203</v>
      </c>
      <c r="L562">
        <f t="shared" ca="1" si="91"/>
        <v>1.7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5" t="e">
        <f t="shared" ca="1" si="96"/>
        <v>#N/A</v>
      </c>
      <c r="AH562" s="65" t="e">
        <f t="shared" ca="1" si="97"/>
        <v>#N/A</v>
      </c>
      <c r="AI562" s="3" t="e">
        <f t="shared" ca="1" si="98"/>
        <v>#N/A</v>
      </c>
    </row>
    <row r="563" spans="7:35" ht="15.75" thickBot="1" x14ac:dyDescent="0.3">
      <c r="G563" s="3">
        <f t="shared" ca="1" si="90"/>
        <v>197</v>
      </c>
      <c r="H563" s="99">
        <f t="shared" ca="1" si="89"/>
        <v>45853</v>
      </c>
      <c r="I563" s="123">
        <f ca="1">HLOOKUP($H$4,'Met Data'!$A$2:$F$368,G563,FALSE)</f>
        <v>8.8590909090909093</v>
      </c>
      <c r="J563" s="121">
        <f ca="1">HLOOKUP($H$4,'Met Data'!$H$2:$M$368,G563,FALSE)*L563</f>
        <v>3.5133333333333221</v>
      </c>
      <c r="K563" s="100">
        <f ca="1">HLOOKUP($H$4,'Met Data'!$O$2:$T$368,G563,FALSE)</f>
        <v>0.97822362204517799</v>
      </c>
      <c r="L563">
        <f t="shared" ca="1" si="91"/>
        <v>1.7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5" t="e">
        <f t="shared" ca="1" si="96"/>
        <v>#N/A</v>
      </c>
      <c r="AH563" s="65" t="e">
        <f t="shared" ca="1" si="97"/>
        <v>#N/A</v>
      </c>
      <c r="AI563" s="3" t="e">
        <f t="shared" ca="1" si="98"/>
        <v>#N/A</v>
      </c>
    </row>
    <row r="564" spans="7:35" ht="15.75" thickBot="1" x14ac:dyDescent="0.3">
      <c r="G564" s="3">
        <f t="shared" ca="1" si="90"/>
        <v>198</v>
      </c>
      <c r="H564" s="99">
        <f t="shared" ca="1" si="89"/>
        <v>45854</v>
      </c>
      <c r="I564" s="123">
        <f ca="1">HLOOKUP($H$4,'Met Data'!$A$2:$F$368,G564,FALSE)</f>
        <v>8.8590909090909093</v>
      </c>
      <c r="J564" s="121">
        <f ca="1">HLOOKUP($H$4,'Met Data'!$H$2:$M$368,G564,FALSE)*L564</f>
        <v>10.313333333333322</v>
      </c>
      <c r="K564" s="100">
        <f ca="1">HLOOKUP($H$4,'Met Data'!$O$2:$T$368,G564,FALSE)</f>
        <v>0.78802331007485205</v>
      </c>
      <c r="L564">
        <f t="shared" ca="1" si="91"/>
        <v>1.7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5" t="e">
        <f t="shared" ca="1" si="96"/>
        <v>#N/A</v>
      </c>
      <c r="AH564" s="65" t="e">
        <f t="shared" ca="1" si="97"/>
        <v>#N/A</v>
      </c>
      <c r="AI564" s="3" t="e">
        <f t="shared" ca="1" si="98"/>
        <v>#N/A</v>
      </c>
    </row>
    <row r="565" spans="7:35" ht="15.75" thickBot="1" x14ac:dyDescent="0.3">
      <c r="G565" s="3">
        <f t="shared" ca="1" si="90"/>
        <v>199</v>
      </c>
      <c r="H565" s="99">
        <f t="shared" ca="1" si="89"/>
        <v>45855</v>
      </c>
      <c r="I565" s="123">
        <f ca="1">HLOOKUP($H$4,'Met Data'!$A$2:$F$368,G565,FALSE)</f>
        <v>9.5909090909090899</v>
      </c>
      <c r="J565" s="121">
        <f ca="1">HLOOKUP($H$4,'Met Data'!$H$2:$M$368,G565,FALSE)*L565</f>
        <v>7.8199999999999994</v>
      </c>
      <c r="K565" s="100">
        <f ca="1">HLOOKUP($H$4,'Met Data'!$O$2:$T$368,G565,FALSE)</f>
        <v>0.944748845250029</v>
      </c>
      <c r="L565">
        <f t="shared" ca="1" si="91"/>
        <v>1.7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5" t="e">
        <f t="shared" ca="1" si="96"/>
        <v>#N/A</v>
      </c>
      <c r="AH565" s="65" t="e">
        <f t="shared" ca="1" si="97"/>
        <v>#N/A</v>
      </c>
      <c r="AI565" s="3" t="e">
        <f t="shared" ca="1" si="98"/>
        <v>#N/A</v>
      </c>
    </row>
    <row r="566" spans="7:35" ht="15.75" thickBot="1" x14ac:dyDescent="0.3">
      <c r="G566" s="3">
        <f t="shared" ca="1" si="90"/>
        <v>200</v>
      </c>
      <c r="H566" s="99">
        <f t="shared" ca="1" si="89"/>
        <v>45856</v>
      </c>
      <c r="I566" s="123">
        <f ca="1">HLOOKUP($H$4,'Met Data'!$A$2:$F$368,G566,FALSE)</f>
        <v>8.8450000000000006</v>
      </c>
      <c r="J566" s="121">
        <f ca="1">HLOOKUP($H$4,'Met Data'!$H$2:$M$368,G566,FALSE)*L566</f>
        <v>1.87</v>
      </c>
      <c r="K566" s="100">
        <f ca="1">HLOOKUP($H$4,'Met Data'!$O$2:$T$368,G566,FALSE)</f>
        <v>1.0240187106181899</v>
      </c>
      <c r="L566">
        <f t="shared" ca="1" si="91"/>
        <v>1.7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5" t="e">
        <f t="shared" ca="1" si="96"/>
        <v>#N/A</v>
      </c>
      <c r="AH566" s="65" t="e">
        <f t="shared" ca="1" si="97"/>
        <v>#N/A</v>
      </c>
      <c r="AI566" s="3" t="e">
        <f t="shared" ca="1" si="98"/>
        <v>#N/A</v>
      </c>
    </row>
    <row r="567" spans="7:35" ht="15.75" thickBot="1" x14ac:dyDescent="0.3">
      <c r="G567" s="3">
        <f t="shared" ca="1" si="90"/>
        <v>201</v>
      </c>
      <c r="H567" s="99">
        <f t="shared" ca="1" si="89"/>
        <v>45857</v>
      </c>
      <c r="I567" s="123">
        <f ca="1">HLOOKUP($H$4,'Met Data'!$A$2:$F$368,G567,FALSE)</f>
        <v>8.99166666666666</v>
      </c>
      <c r="J567" s="121">
        <f ca="1">HLOOKUP($H$4,'Met Data'!$H$2:$M$368,G567,FALSE)*L567</f>
        <v>2.2949999999999831</v>
      </c>
      <c r="K567" s="100">
        <f ca="1">HLOOKUP($H$4,'Met Data'!$O$2:$T$368,G567,FALSE)</f>
        <v>1.16174529470798</v>
      </c>
      <c r="L567">
        <f t="shared" ca="1" si="91"/>
        <v>1.7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5" t="e">
        <f t="shared" ca="1" si="96"/>
        <v>#N/A</v>
      </c>
      <c r="AH567" s="65" t="e">
        <f t="shared" ca="1" si="97"/>
        <v>#N/A</v>
      </c>
      <c r="AI567" s="3" t="e">
        <f t="shared" ca="1" si="98"/>
        <v>#N/A</v>
      </c>
    </row>
    <row r="568" spans="7:35" ht="15.75" thickBot="1" x14ac:dyDescent="0.3">
      <c r="G568" s="3">
        <f t="shared" ca="1" si="90"/>
        <v>202</v>
      </c>
      <c r="H568" s="99">
        <f t="shared" ca="1" si="89"/>
        <v>45858</v>
      </c>
      <c r="I568" s="123">
        <f ca="1">HLOOKUP($H$4,'Met Data'!$A$2:$F$368,G568,FALSE)</f>
        <v>9.5</v>
      </c>
      <c r="J568" s="121">
        <f ca="1">HLOOKUP($H$4,'Met Data'!$H$2:$M$368,G568,FALSE)*L568</f>
        <v>4.6749999999999998</v>
      </c>
      <c r="K568" s="100">
        <f ca="1">HLOOKUP($H$4,'Met Data'!$O$2:$T$368,G568,FALSE)</f>
        <v>0.94669865516537999</v>
      </c>
      <c r="L568">
        <f t="shared" ca="1" si="91"/>
        <v>1.7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5" t="e">
        <f t="shared" ca="1" si="96"/>
        <v>#N/A</v>
      </c>
      <c r="AH568" s="65" t="e">
        <f t="shared" ca="1" si="97"/>
        <v>#N/A</v>
      </c>
      <c r="AI568" s="3" t="e">
        <f t="shared" ca="1" si="98"/>
        <v>#N/A</v>
      </c>
    </row>
    <row r="569" spans="7:35" ht="15.75" thickBot="1" x14ac:dyDescent="0.3">
      <c r="G569" s="3">
        <f t="shared" ca="1" si="90"/>
        <v>203</v>
      </c>
      <c r="H569" s="99">
        <f t="shared" ca="1" si="89"/>
        <v>45859</v>
      </c>
      <c r="I569" s="123">
        <f ca="1">HLOOKUP($H$4,'Met Data'!$A$2:$F$368,G569,FALSE)</f>
        <v>9.8333333333333304</v>
      </c>
      <c r="J569" s="121">
        <f ca="1">HLOOKUP($H$4,'Met Data'!$H$2:$M$368,G569,FALSE)*L569</f>
        <v>6.1766666666666614</v>
      </c>
      <c r="K569" s="100">
        <f ca="1">HLOOKUP($H$4,'Met Data'!$O$2:$T$368,G569,FALSE)</f>
        <v>1.0815395194790001</v>
      </c>
      <c r="L569">
        <f t="shared" ca="1" si="91"/>
        <v>1.7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5" t="e">
        <f t="shared" ca="1" si="96"/>
        <v>#N/A</v>
      </c>
      <c r="AH569" s="65" t="e">
        <f t="shared" ca="1" si="97"/>
        <v>#N/A</v>
      </c>
      <c r="AI569" s="3" t="e">
        <f t="shared" ca="1" si="98"/>
        <v>#N/A</v>
      </c>
    </row>
    <row r="570" spans="7:35" ht="15.75" thickBot="1" x14ac:dyDescent="0.3">
      <c r="G570" s="3">
        <f t="shared" ca="1" si="90"/>
        <v>204</v>
      </c>
      <c r="H570" s="99">
        <f t="shared" ca="1" si="89"/>
        <v>45860</v>
      </c>
      <c r="I570" s="123">
        <f ca="1">HLOOKUP($H$4,'Met Data'!$A$2:$F$368,G570,FALSE)</f>
        <v>10.029166666666599</v>
      </c>
      <c r="J570" s="121">
        <f ca="1">HLOOKUP($H$4,'Met Data'!$H$2:$M$368,G570,FALSE)*L570</f>
        <v>7.9616666666666607</v>
      </c>
      <c r="K570" s="100">
        <f ca="1">HLOOKUP($H$4,'Met Data'!$O$2:$T$368,G570,FALSE)</f>
        <v>1.0771273773513399</v>
      </c>
      <c r="L570">
        <f t="shared" ca="1" si="91"/>
        <v>1.7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5" t="e">
        <f t="shared" ca="1" si="96"/>
        <v>#N/A</v>
      </c>
      <c r="AH570" s="65" t="e">
        <f t="shared" ca="1" si="97"/>
        <v>#N/A</v>
      </c>
      <c r="AI570" s="3" t="e">
        <f t="shared" ca="1" si="98"/>
        <v>#N/A</v>
      </c>
    </row>
    <row r="571" spans="7:35" ht="15.75" thickBot="1" x14ac:dyDescent="0.3">
      <c r="G571" s="3">
        <f t="shared" ca="1" si="90"/>
        <v>205</v>
      </c>
      <c r="H571" s="99">
        <f t="shared" ca="1" si="89"/>
        <v>45861</v>
      </c>
      <c r="I571" s="123">
        <f ca="1">HLOOKUP($H$4,'Met Data'!$A$2:$F$368,G571,FALSE)</f>
        <v>9.4250000000000007</v>
      </c>
      <c r="J571" s="121">
        <f ca="1">HLOOKUP($H$4,'Met Data'!$H$2:$M$368,G571,FALSE)*L571</f>
        <v>8.9533333333333225</v>
      </c>
      <c r="K571" s="100">
        <f ca="1">HLOOKUP($H$4,'Met Data'!$O$2:$T$368,G571,FALSE)</f>
        <v>0.87955885998233896</v>
      </c>
      <c r="L571">
        <f t="shared" ca="1" si="91"/>
        <v>1.7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5" t="e">
        <f t="shared" ca="1" si="96"/>
        <v>#N/A</v>
      </c>
      <c r="AH571" s="65" t="e">
        <f t="shared" ca="1" si="97"/>
        <v>#N/A</v>
      </c>
      <c r="AI571" s="3" t="e">
        <f t="shared" ca="1" si="98"/>
        <v>#N/A</v>
      </c>
    </row>
    <row r="572" spans="7:35" ht="15.75" thickBot="1" x14ac:dyDescent="0.3">
      <c r="G572" s="3">
        <f t="shared" ca="1" si="90"/>
        <v>206</v>
      </c>
      <c r="H572" s="99">
        <f t="shared" ca="1" si="89"/>
        <v>45862</v>
      </c>
      <c r="I572" s="123">
        <f ca="1">HLOOKUP($H$4,'Met Data'!$A$2:$F$368,G572,FALSE)</f>
        <v>9.4</v>
      </c>
      <c r="J572" s="121">
        <f ca="1">HLOOKUP($H$4,'Met Data'!$H$2:$M$368,G572,FALSE)*L572</f>
        <v>3.4849999999999994</v>
      </c>
      <c r="K572" s="100">
        <f ca="1">HLOOKUP($H$4,'Met Data'!$O$2:$T$368,G572,FALSE)</f>
        <v>0.953998897248024</v>
      </c>
      <c r="L572">
        <f t="shared" ca="1" si="91"/>
        <v>1.7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5" t="e">
        <f t="shared" ca="1" si="96"/>
        <v>#N/A</v>
      </c>
      <c r="AH572" s="65" t="e">
        <f t="shared" ca="1" si="97"/>
        <v>#N/A</v>
      </c>
      <c r="AI572" s="3" t="e">
        <f t="shared" ca="1" si="98"/>
        <v>#N/A</v>
      </c>
    </row>
    <row r="573" spans="7:35" ht="15.75" thickBot="1" x14ac:dyDescent="0.3">
      <c r="G573" s="3">
        <f t="shared" ca="1" si="90"/>
        <v>207</v>
      </c>
      <c r="H573" s="99">
        <f t="shared" ca="1" si="89"/>
        <v>45863</v>
      </c>
      <c r="I573" s="123">
        <f ca="1">HLOOKUP($H$4,'Met Data'!$A$2:$F$368,G573,FALSE)</f>
        <v>8.92916666666666</v>
      </c>
      <c r="J573" s="121">
        <f ca="1">HLOOKUP($H$4,'Met Data'!$H$2:$M$368,G573,FALSE)*L573</f>
        <v>1.9549999999999998</v>
      </c>
      <c r="K573" s="100">
        <f ca="1">HLOOKUP($H$4,'Met Data'!$O$2:$T$368,G573,FALSE)</f>
        <v>1.2467505566806001</v>
      </c>
      <c r="L573">
        <f t="shared" ca="1" si="91"/>
        <v>1.7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5" t="e">
        <f t="shared" ca="1" si="96"/>
        <v>#N/A</v>
      </c>
      <c r="AH573" s="65" t="e">
        <f t="shared" ca="1" si="97"/>
        <v>#N/A</v>
      </c>
      <c r="AI573" s="3" t="e">
        <f t="shared" ca="1" si="98"/>
        <v>#N/A</v>
      </c>
    </row>
    <row r="574" spans="7:35" ht="15.75" thickBot="1" x14ac:dyDescent="0.3">
      <c r="G574" s="3">
        <f t="shared" ca="1" si="90"/>
        <v>208</v>
      </c>
      <c r="H574" s="99">
        <f t="shared" ca="1" si="89"/>
        <v>45864</v>
      </c>
      <c r="I574" s="123">
        <f ca="1">HLOOKUP($H$4,'Met Data'!$A$2:$F$368,G574,FALSE)</f>
        <v>8.7624999999999993</v>
      </c>
      <c r="J574" s="121">
        <f ca="1">HLOOKUP($H$4,'Met Data'!$H$2:$M$368,G574,FALSE)*L574</f>
        <v>0.76500000000000001</v>
      </c>
      <c r="K574" s="100">
        <f ca="1">HLOOKUP($H$4,'Met Data'!$O$2:$T$368,G574,FALSE)</f>
        <v>1.3150067848265401</v>
      </c>
      <c r="L574">
        <f t="shared" ca="1" si="91"/>
        <v>1.7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5" t="e">
        <f t="shared" ca="1" si="96"/>
        <v>#N/A</v>
      </c>
      <c r="AH574" s="65" t="e">
        <f t="shared" ca="1" si="97"/>
        <v>#N/A</v>
      </c>
      <c r="AI574" s="3" t="e">
        <f t="shared" ca="1" si="98"/>
        <v>#N/A</v>
      </c>
    </row>
    <row r="575" spans="7:35" ht="15.75" thickBot="1" x14ac:dyDescent="0.3">
      <c r="G575" s="3">
        <f t="shared" ca="1" si="90"/>
        <v>209</v>
      </c>
      <c r="H575" s="99">
        <f t="shared" ca="1" si="89"/>
        <v>45865</v>
      </c>
      <c r="I575" s="123">
        <f ca="1">HLOOKUP($H$4,'Met Data'!$A$2:$F$368,G575,FALSE)</f>
        <v>9.3333333333333304</v>
      </c>
      <c r="J575" s="121">
        <f ca="1">HLOOKUP($H$4,'Met Data'!$H$2:$M$368,G575,FALSE)*L575</f>
        <v>3.4283333333333217</v>
      </c>
      <c r="K575" s="100">
        <f ca="1">HLOOKUP($H$4,'Met Data'!$O$2:$T$368,G575,FALSE)</f>
        <v>1.11956275252086</v>
      </c>
      <c r="L575">
        <f t="shared" ca="1" si="91"/>
        <v>1.7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5" t="e">
        <f t="shared" ca="1" si="96"/>
        <v>#N/A</v>
      </c>
      <c r="AH575" s="65" t="e">
        <f t="shared" ca="1" si="97"/>
        <v>#N/A</v>
      </c>
      <c r="AI575" s="3" t="e">
        <f t="shared" ca="1" si="98"/>
        <v>#N/A</v>
      </c>
    </row>
    <row r="576" spans="7:35" ht="15.75" thickBot="1" x14ac:dyDescent="0.3">
      <c r="G576" s="3">
        <f t="shared" ca="1" si="90"/>
        <v>210</v>
      </c>
      <c r="H576" s="99">
        <f t="shared" ca="1" si="89"/>
        <v>45866</v>
      </c>
      <c r="I576" s="123">
        <f ca="1">HLOOKUP($H$4,'Met Data'!$A$2:$F$368,G576,FALSE)</f>
        <v>8.9875000000000007</v>
      </c>
      <c r="J576" s="121">
        <f ca="1">HLOOKUP($H$4,'Met Data'!$H$2:$M$368,G576,FALSE)*L576</f>
        <v>2.1533333333333218</v>
      </c>
      <c r="K576" s="100">
        <f ca="1">HLOOKUP($H$4,'Met Data'!$O$2:$T$368,G576,FALSE)</f>
        <v>1.28515382274214</v>
      </c>
      <c r="L576">
        <f t="shared" ca="1" si="91"/>
        <v>1.7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5" t="e">
        <f t="shared" ca="1" si="96"/>
        <v>#N/A</v>
      </c>
      <c r="AH576" s="65" t="e">
        <f t="shared" ca="1" si="97"/>
        <v>#N/A</v>
      </c>
      <c r="AI576" s="3" t="e">
        <f t="shared" ca="1" si="98"/>
        <v>#N/A</v>
      </c>
    </row>
    <row r="577" spans="7:35" ht="15.75" thickBot="1" x14ac:dyDescent="0.3">
      <c r="G577" s="3">
        <f t="shared" ca="1" si="90"/>
        <v>211</v>
      </c>
      <c r="H577" s="99">
        <f t="shared" ca="1" si="89"/>
        <v>45867</v>
      </c>
      <c r="I577" s="123">
        <f ca="1">HLOOKUP($H$4,'Met Data'!$A$2:$F$368,G577,FALSE)</f>
        <v>9.0374999999999996</v>
      </c>
      <c r="J577" s="121">
        <f ca="1">HLOOKUP($H$4,'Met Data'!$H$2:$M$368,G577,FALSE)*L577</f>
        <v>4.7599999999999829</v>
      </c>
      <c r="K577" s="100">
        <f ca="1">HLOOKUP($H$4,'Met Data'!$O$2:$T$368,G577,FALSE)</f>
        <v>1.1959337492079301</v>
      </c>
      <c r="L577">
        <f t="shared" ca="1" si="91"/>
        <v>1.7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5" t="e">
        <f t="shared" ca="1" si="96"/>
        <v>#N/A</v>
      </c>
      <c r="AH577" s="65" t="e">
        <f t="shared" ca="1" si="97"/>
        <v>#N/A</v>
      </c>
      <c r="AI577" s="3" t="e">
        <f t="shared" ca="1" si="98"/>
        <v>#N/A</v>
      </c>
    </row>
    <row r="578" spans="7:35" ht="15.75" thickBot="1" x14ac:dyDescent="0.3">
      <c r="G578" s="3">
        <f t="shared" ca="1" si="90"/>
        <v>212</v>
      </c>
      <c r="H578" s="99">
        <f t="shared" ca="1" si="89"/>
        <v>45868</v>
      </c>
      <c r="I578" s="123">
        <f ca="1">HLOOKUP($H$4,'Met Data'!$A$2:$F$368,G578,FALSE)</f>
        <v>8.17916666666666</v>
      </c>
      <c r="J578" s="121">
        <f ca="1">HLOOKUP($H$4,'Met Data'!$H$2:$M$368,G578,FALSE)*L578</f>
        <v>2.6349999999999998</v>
      </c>
      <c r="K578" s="100">
        <f ca="1">HLOOKUP($H$4,'Met Data'!$O$2:$T$368,G578,FALSE)</f>
        <v>1.3658842309244701</v>
      </c>
      <c r="L578">
        <f t="shared" ca="1" si="91"/>
        <v>1.7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5" t="e">
        <f t="shared" ca="1" si="96"/>
        <v>#N/A</v>
      </c>
      <c r="AH578" s="65" t="e">
        <f t="shared" ca="1" si="97"/>
        <v>#N/A</v>
      </c>
      <c r="AI578" s="3" t="e">
        <f t="shared" ca="1" si="98"/>
        <v>#N/A</v>
      </c>
    </row>
    <row r="579" spans="7:35" ht="15.75" thickBot="1" x14ac:dyDescent="0.3">
      <c r="G579" s="3">
        <f t="shared" ca="1" si="90"/>
        <v>213</v>
      </c>
      <c r="H579" s="99">
        <f t="shared" ca="1" si="89"/>
        <v>45869</v>
      </c>
      <c r="I579" s="123">
        <f ca="1">HLOOKUP($H$4,'Met Data'!$A$2:$F$368,G579,FALSE)</f>
        <v>8.75</v>
      </c>
      <c r="J579" s="121">
        <f ca="1">HLOOKUP($H$4,'Met Data'!$H$2:$M$368,G579,FALSE)*L579</f>
        <v>4.1649999999999832</v>
      </c>
      <c r="K579" s="100">
        <f ca="1">HLOOKUP($H$4,'Met Data'!$O$2:$T$368,G579,FALSE)</f>
        <v>0.89818915942500899</v>
      </c>
      <c r="L579">
        <f t="shared" ca="1" si="91"/>
        <v>1.7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5" t="e">
        <f t="shared" ca="1" si="96"/>
        <v>#N/A</v>
      </c>
      <c r="AH579" s="65" t="e">
        <f t="shared" ca="1" si="97"/>
        <v>#N/A</v>
      </c>
      <c r="AI579" s="3" t="e">
        <f t="shared" ca="1" si="98"/>
        <v>#N/A</v>
      </c>
    </row>
    <row r="580" spans="7:35" ht="15.75" thickBot="1" x14ac:dyDescent="0.3">
      <c r="G580" s="3">
        <f t="shared" ca="1" si="90"/>
        <v>214</v>
      </c>
      <c r="H580" s="99">
        <f t="shared" ca="1" si="89"/>
        <v>45870</v>
      </c>
      <c r="I580" s="123">
        <f ca="1">HLOOKUP($H$4,'Met Data'!$A$2:$F$368,G580,FALSE)</f>
        <v>10.3375</v>
      </c>
      <c r="J580" s="121">
        <f ca="1">HLOOKUP($H$4,'Met Data'!$H$2:$M$368,G580,FALSE)*L580</f>
        <v>8.9533333333333225</v>
      </c>
      <c r="K580" s="100">
        <f ca="1">HLOOKUP($H$4,'Met Data'!$O$2:$T$368,G580,FALSE)</f>
        <v>0.94454335980482496</v>
      </c>
      <c r="L580">
        <f t="shared" ca="1" si="91"/>
        <v>1.7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5" t="e">
        <f t="shared" ca="1" si="96"/>
        <v>#N/A</v>
      </c>
      <c r="AH580" s="65" t="e">
        <f t="shared" ca="1" si="97"/>
        <v>#N/A</v>
      </c>
      <c r="AI580" s="3" t="e">
        <f t="shared" ca="1" si="98"/>
        <v>#N/A</v>
      </c>
    </row>
    <row r="581" spans="7:35" ht="15.75" thickBot="1" x14ac:dyDescent="0.3">
      <c r="G581" s="3">
        <f t="shared" ca="1" si="90"/>
        <v>215</v>
      </c>
      <c r="H581" s="99">
        <f t="shared" ca="1" si="89"/>
        <v>45871</v>
      </c>
      <c r="I581" s="123">
        <f ca="1">HLOOKUP($H$4,'Met Data'!$A$2:$F$368,G581,FALSE)</f>
        <v>10.595454545454499</v>
      </c>
      <c r="J581" s="121">
        <f ca="1">HLOOKUP($H$4,'Met Data'!$H$2:$M$368,G581,FALSE)*L581</f>
        <v>7.5083333333333213</v>
      </c>
      <c r="K581" s="100">
        <f ca="1">HLOOKUP($H$4,'Met Data'!$O$2:$T$368,G581,FALSE)</f>
        <v>1.0832642567801201</v>
      </c>
      <c r="L581">
        <f t="shared" ca="1" si="91"/>
        <v>1.7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5" t="e">
        <f t="shared" ca="1" si="96"/>
        <v>#N/A</v>
      </c>
      <c r="AH581" s="65" t="e">
        <f t="shared" ca="1" si="97"/>
        <v>#N/A</v>
      </c>
      <c r="AI581" s="3" t="e">
        <f t="shared" ca="1" si="98"/>
        <v>#N/A</v>
      </c>
    </row>
    <row r="582" spans="7:35" ht="15.75" thickBot="1" x14ac:dyDescent="0.3">
      <c r="G582" s="3">
        <f t="shared" ca="1" si="90"/>
        <v>216</v>
      </c>
      <c r="H582" s="99">
        <f t="shared" ca="1" si="89"/>
        <v>45872</v>
      </c>
      <c r="I582" s="123">
        <f ca="1">HLOOKUP($H$4,'Met Data'!$A$2:$F$368,G582,FALSE)</f>
        <v>10.1041666666666</v>
      </c>
      <c r="J582" s="121">
        <f ca="1">HLOOKUP($H$4,'Met Data'!$H$2:$M$368,G582,FALSE)*L582</f>
        <v>3.5416666666666607</v>
      </c>
      <c r="K582" s="100">
        <f ca="1">HLOOKUP($H$4,'Met Data'!$O$2:$T$368,G582,FALSE)</f>
        <v>1.39183263100002</v>
      </c>
      <c r="L582">
        <f t="shared" ca="1" si="91"/>
        <v>1.7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5" t="e">
        <f t="shared" ca="1" si="96"/>
        <v>#N/A</v>
      </c>
      <c r="AH582" s="65" t="e">
        <f t="shared" ca="1" si="97"/>
        <v>#N/A</v>
      </c>
      <c r="AI582" s="3" t="e">
        <f t="shared" ca="1" si="98"/>
        <v>#N/A</v>
      </c>
    </row>
    <row r="583" spans="7:35" ht="15.75" thickBot="1" x14ac:dyDescent="0.3">
      <c r="G583" s="3">
        <f t="shared" ca="1" si="90"/>
        <v>217</v>
      </c>
      <c r="H583" s="99">
        <f t="shared" ca="1" si="89"/>
        <v>45873</v>
      </c>
      <c r="I583" s="123">
        <f ca="1">HLOOKUP($H$4,'Met Data'!$A$2:$F$368,G583,FALSE)</f>
        <v>10.1833333333333</v>
      </c>
      <c r="J583" s="121">
        <f ca="1">HLOOKUP($H$4,'Met Data'!$H$2:$M$368,G583,FALSE)*L583</f>
        <v>10.17166666666666</v>
      </c>
      <c r="K583" s="100">
        <f ca="1">HLOOKUP($H$4,'Met Data'!$O$2:$T$368,G583,FALSE)</f>
        <v>1.0301492818772899</v>
      </c>
      <c r="L583">
        <f t="shared" ca="1" si="91"/>
        <v>1.7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5" t="e">
        <f t="shared" ca="1" si="96"/>
        <v>#N/A</v>
      </c>
      <c r="AH583" s="65" t="e">
        <f t="shared" ca="1" si="97"/>
        <v>#N/A</v>
      </c>
      <c r="AI583" s="3" t="e">
        <f t="shared" ca="1" si="98"/>
        <v>#N/A</v>
      </c>
    </row>
    <row r="584" spans="7:35" ht="15.75" thickBot="1" x14ac:dyDescent="0.3">
      <c r="G584" s="3">
        <f t="shared" ca="1" si="90"/>
        <v>218</v>
      </c>
      <c r="H584" s="99">
        <f t="shared" ref="H584:H647" ca="1" si="99">H583+1</f>
        <v>45874</v>
      </c>
      <c r="I584" s="123">
        <f ca="1">HLOOKUP($H$4,'Met Data'!$A$2:$F$368,G584,FALSE)</f>
        <v>9.7708333333333304</v>
      </c>
      <c r="J584" s="121">
        <f ca="1">HLOOKUP($H$4,'Met Data'!$H$2:$M$368,G584,FALSE)*L584</f>
        <v>5.071666666666661</v>
      </c>
      <c r="K584" s="100">
        <f ca="1">HLOOKUP($H$4,'Met Data'!$O$2:$T$368,G584,FALSE)</f>
        <v>1.3432284560273799</v>
      </c>
      <c r="L584">
        <f t="shared" ca="1" si="91"/>
        <v>1.7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5" t="e">
        <f t="shared" ca="1" si="96"/>
        <v>#N/A</v>
      </c>
      <c r="AH584" s="65" t="e">
        <f t="shared" ca="1" si="97"/>
        <v>#N/A</v>
      </c>
      <c r="AI584" s="3" t="e">
        <f t="shared" ca="1" si="98"/>
        <v>#N/A</v>
      </c>
    </row>
    <row r="585" spans="7:35" ht="15.75" thickBot="1" x14ac:dyDescent="0.3">
      <c r="G585" s="3">
        <f t="shared" ca="1" si="90"/>
        <v>219</v>
      </c>
      <c r="H585" s="99">
        <f t="shared" ca="1" si="99"/>
        <v>45875</v>
      </c>
      <c r="I585" s="123">
        <f ca="1">HLOOKUP($H$4,'Met Data'!$A$2:$F$368,G585,FALSE)</f>
        <v>9.8791666666666593</v>
      </c>
      <c r="J585" s="121">
        <f ca="1">HLOOKUP($H$4,'Met Data'!$H$2:$M$368,G585,FALSE)*L585</f>
        <v>7.6216666666666608</v>
      </c>
      <c r="K585" s="100">
        <f ca="1">HLOOKUP($H$4,'Met Data'!$O$2:$T$368,G585,FALSE)</f>
        <v>1.0259838566514501</v>
      </c>
      <c r="L585">
        <f t="shared" ca="1" si="91"/>
        <v>1.7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5" t="e">
        <f t="shared" ca="1" si="96"/>
        <v>#N/A</v>
      </c>
      <c r="AH585" s="65" t="e">
        <f t="shared" ca="1" si="97"/>
        <v>#N/A</v>
      </c>
      <c r="AI585" s="3" t="e">
        <f t="shared" ca="1" si="98"/>
        <v>#N/A</v>
      </c>
    </row>
    <row r="586" spans="7:35" ht="15.75" thickBot="1" x14ac:dyDescent="0.3">
      <c r="G586" s="3">
        <f t="shared" ca="1" si="90"/>
        <v>220</v>
      </c>
      <c r="H586" s="99">
        <f t="shared" ca="1" si="99"/>
        <v>45876</v>
      </c>
      <c r="I586" s="123">
        <f ca="1">HLOOKUP($H$4,'Met Data'!$A$2:$F$368,G586,FALSE)</f>
        <v>9.9874999999999901</v>
      </c>
      <c r="J586" s="121">
        <f ca="1">HLOOKUP($H$4,'Met Data'!$H$2:$M$368,G586,FALSE)*L586</f>
        <v>3.74</v>
      </c>
      <c r="K586" s="100">
        <f ca="1">HLOOKUP($H$4,'Met Data'!$O$2:$T$368,G586,FALSE)</f>
        <v>1.1029484647982599</v>
      </c>
      <c r="L586">
        <f t="shared" ca="1" si="91"/>
        <v>1.7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5" t="e">
        <f t="shared" ca="1" si="96"/>
        <v>#N/A</v>
      </c>
      <c r="AH586" s="65" t="e">
        <f t="shared" ca="1" si="97"/>
        <v>#N/A</v>
      </c>
      <c r="AI586" s="3" t="e">
        <f t="shared" ca="1" si="98"/>
        <v>#N/A</v>
      </c>
    </row>
    <row r="587" spans="7:35" ht="15.75" thickBot="1" x14ac:dyDescent="0.3">
      <c r="G587" s="3">
        <f t="shared" ca="1" si="90"/>
        <v>221</v>
      </c>
      <c r="H587" s="99">
        <f t="shared" ca="1" si="99"/>
        <v>45877</v>
      </c>
      <c r="I587" s="123">
        <f ca="1">HLOOKUP($H$4,'Met Data'!$A$2:$F$368,G587,FALSE)</f>
        <v>9.4625000000000004</v>
      </c>
      <c r="J587" s="121">
        <f ca="1">HLOOKUP($H$4,'Met Data'!$H$2:$M$368,G587,FALSE)*L587</f>
        <v>6.1483333333333219</v>
      </c>
      <c r="K587" s="100">
        <f ca="1">HLOOKUP($H$4,'Met Data'!$O$2:$T$368,G587,FALSE)</f>
        <v>1.10790183862933</v>
      </c>
      <c r="L587">
        <f t="shared" ca="1" si="91"/>
        <v>1.7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5" t="e">
        <f t="shared" ca="1" si="96"/>
        <v>#N/A</v>
      </c>
      <c r="AH587" s="65" t="e">
        <f t="shared" ca="1" si="97"/>
        <v>#N/A</v>
      </c>
      <c r="AI587" s="3" t="e">
        <f t="shared" ca="1" si="98"/>
        <v>#N/A</v>
      </c>
    </row>
    <row r="588" spans="7:35" ht="15.75" thickBot="1" x14ac:dyDescent="0.3">
      <c r="G588" s="3">
        <f t="shared" ca="1" si="90"/>
        <v>222</v>
      </c>
      <c r="H588" s="99">
        <f t="shared" ca="1" si="99"/>
        <v>45878</v>
      </c>
      <c r="I588" s="123">
        <f ca="1">HLOOKUP($H$4,'Met Data'!$A$2:$F$368,G588,FALSE)</f>
        <v>8.42916666666666</v>
      </c>
      <c r="J588" s="121">
        <f ca="1">HLOOKUP($H$4,'Met Data'!$H$2:$M$368,G588,FALSE)*L588</f>
        <v>5.7799999999999994</v>
      </c>
      <c r="K588" s="100">
        <f ca="1">HLOOKUP($H$4,'Met Data'!$O$2:$T$368,G588,FALSE)</f>
        <v>1.32402542664303</v>
      </c>
      <c r="L588">
        <f t="shared" ca="1" si="91"/>
        <v>1.7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5" t="e">
        <f t="shared" ca="1" si="96"/>
        <v>#N/A</v>
      </c>
      <c r="AH588" s="65" t="e">
        <f t="shared" ca="1" si="97"/>
        <v>#N/A</v>
      </c>
      <c r="AI588" s="3" t="e">
        <f t="shared" ca="1" si="98"/>
        <v>#N/A</v>
      </c>
    </row>
    <row r="589" spans="7:35" ht="15.75" thickBot="1" x14ac:dyDescent="0.3">
      <c r="G589" s="3">
        <f t="shared" ca="1" si="90"/>
        <v>223</v>
      </c>
      <c r="H589" s="99">
        <f t="shared" ca="1" si="99"/>
        <v>45879</v>
      </c>
      <c r="I589" s="123">
        <f ca="1">HLOOKUP($H$4,'Met Data'!$A$2:$F$368,G589,FALSE)</f>
        <v>7.8416666666666597</v>
      </c>
      <c r="J589" s="121">
        <f ca="1">HLOOKUP($H$4,'Met Data'!$H$2:$M$368,G589,FALSE)*L589</f>
        <v>2.3516666666666608</v>
      </c>
      <c r="K589" s="100">
        <f ca="1">HLOOKUP($H$4,'Met Data'!$O$2:$T$368,G589,FALSE)</f>
        <v>1.2882274194230801</v>
      </c>
      <c r="L589">
        <f t="shared" ca="1" si="91"/>
        <v>1.7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5" t="e">
        <f t="shared" ca="1" si="96"/>
        <v>#N/A</v>
      </c>
      <c r="AH589" s="65" t="e">
        <f t="shared" ca="1" si="97"/>
        <v>#N/A</v>
      </c>
      <c r="AI589" s="3" t="e">
        <f t="shared" ca="1" si="98"/>
        <v>#N/A</v>
      </c>
    </row>
    <row r="590" spans="7:35" ht="15.75" thickBot="1" x14ac:dyDescent="0.3">
      <c r="G590" s="3">
        <f t="shared" ca="1" si="90"/>
        <v>224</v>
      </c>
      <c r="H590" s="99">
        <f t="shared" ca="1" si="99"/>
        <v>45880</v>
      </c>
      <c r="I590" s="123">
        <f ca="1">HLOOKUP($H$4,'Met Data'!$A$2:$F$368,G590,FALSE)</f>
        <v>8.7916666666666607</v>
      </c>
      <c r="J590" s="121">
        <f ca="1">HLOOKUP($H$4,'Met Data'!$H$2:$M$368,G590,FALSE)*L590</f>
        <v>7.99</v>
      </c>
      <c r="K590" s="100">
        <f ca="1">HLOOKUP($H$4,'Met Data'!$O$2:$T$368,G590,FALSE)</f>
        <v>1.2700812995642401</v>
      </c>
      <c r="L590">
        <f t="shared" ca="1" si="91"/>
        <v>1.7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5" t="e">
        <f t="shared" ca="1" si="96"/>
        <v>#N/A</v>
      </c>
      <c r="AH590" s="65" t="e">
        <f t="shared" ca="1" si="97"/>
        <v>#N/A</v>
      </c>
      <c r="AI590" s="3" t="e">
        <f t="shared" ca="1" si="98"/>
        <v>#N/A</v>
      </c>
    </row>
    <row r="591" spans="7:35" ht="15.75" thickBot="1" x14ac:dyDescent="0.3">
      <c r="G591" s="3">
        <f t="shared" ca="1" si="90"/>
        <v>225</v>
      </c>
      <c r="H591" s="99">
        <f t="shared" ca="1" si="99"/>
        <v>45881</v>
      </c>
      <c r="I591" s="123">
        <f ca="1">HLOOKUP($H$4,'Met Data'!$A$2:$F$368,G591,FALSE)</f>
        <v>9.2041666666666604</v>
      </c>
      <c r="J591" s="121">
        <f ca="1">HLOOKUP($H$4,'Met Data'!$H$2:$M$368,G591,FALSE)*L591</f>
        <v>8.4433333333333209</v>
      </c>
      <c r="K591" s="100">
        <f ca="1">HLOOKUP($H$4,'Met Data'!$O$2:$T$368,G591,FALSE)</f>
        <v>1.216678160996</v>
      </c>
      <c r="L591">
        <f t="shared" ca="1" si="91"/>
        <v>1.7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5" t="e">
        <f t="shared" ca="1" si="96"/>
        <v>#N/A</v>
      </c>
      <c r="AH591" s="65" t="e">
        <f t="shared" ca="1" si="97"/>
        <v>#N/A</v>
      </c>
      <c r="AI591" s="3" t="e">
        <f t="shared" ca="1" si="98"/>
        <v>#N/A</v>
      </c>
    </row>
    <row r="592" spans="7:35" ht="15.75" thickBot="1" x14ac:dyDescent="0.3">
      <c r="G592" s="3">
        <f t="shared" ca="1" si="90"/>
        <v>226</v>
      </c>
      <c r="H592" s="99">
        <f t="shared" ca="1" si="99"/>
        <v>45882</v>
      </c>
      <c r="I592" s="123">
        <f ca="1">HLOOKUP($H$4,'Met Data'!$A$2:$F$368,G592,FALSE)</f>
        <v>9.49583333333333</v>
      </c>
      <c r="J592" s="121">
        <f ca="1">HLOOKUP($H$4,'Met Data'!$H$2:$M$368,G592,FALSE)*L592</f>
        <v>5.2983333333333222</v>
      </c>
      <c r="K592" s="100">
        <f ca="1">HLOOKUP($H$4,'Met Data'!$O$2:$T$368,G592,FALSE)</f>
        <v>1.2041756804414001</v>
      </c>
      <c r="L592">
        <f t="shared" ca="1" si="91"/>
        <v>1.7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5" t="e">
        <f t="shared" ca="1" si="96"/>
        <v>#N/A</v>
      </c>
      <c r="AH592" s="65" t="e">
        <f t="shared" ca="1" si="97"/>
        <v>#N/A</v>
      </c>
      <c r="AI592" s="3" t="e">
        <f t="shared" ca="1" si="98"/>
        <v>#N/A</v>
      </c>
    </row>
    <row r="593" spans="7:35" ht="15.75" thickBot="1" x14ac:dyDescent="0.3">
      <c r="G593" s="3">
        <f t="shared" ca="1" si="90"/>
        <v>227</v>
      </c>
      <c r="H593" s="99">
        <f t="shared" ca="1" si="99"/>
        <v>45883</v>
      </c>
      <c r="I593" s="123">
        <f ca="1">HLOOKUP($H$4,'Met Data'!$A$2:$F$368,G593,FALSE)</f>
        <v>9.7791666666666597</v>
      </c>
      <c r="J593" s="121">
        <f ca="1">HLOOKUP($H$4,'Met Data'!$H$2:$M$368,G593,FALSE)*L593</f>
        <v>11.39</v>
      </c>
      <c r="K593" s="100">
        <f ca="1">HLOOKUP($H$4,'Met Data'!$O$2:$T$368,G593,FALSE)</f>
        <v>1.1357294741412001</v>
      </c>
      <c r="L593">
        <f t="shared" ca="1" si="91"/>
        <v>1.7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5" t="e">
        <f t="shared" ca="1" si="96"/>
        <v>#N/A</v>
      </c>
      <c r="AH593" s="65" t="e">
        <f t="shared" ca="1" si="97"/>
        <v>#N/A</v>
      </c>
      <c r="AI593" s="3" t="e">
        <f t="shared" ca="1" si="98"/>
        <v>#N/A</v>
      </c>
    </row>
    <row r="594" spans="7:35" ht="15.75" thickBot="1" x14ac:dyDescent="0.3">
      <c r="G594" s="3">
        <f t="shared" ca="1" si="90"/>
        <v>228</v>
      </c>
      <c r="H594" s="99">
        <f t="shared" ca="1" si="99"/>
        <v>45884</v>
      </c>
      <c r="I594" s="123">
        <f ca="1">HLOOKUP($H$4,'Met Data'!$A$2:$F$368,G594,FALSE)</f>
        <v>9.4375</v>
      </c>
      <c r="J594" s="121">
        <f ca="1">HLOOKUP($H$4,'Met Data'!$H$2:$M$368,G594,FALSE)*L594</f>
        <v>5.5816666666666608</v>
      </c>
      <c r="K594" s="100">
        <f ca="1">HLOOKUP($H$4,'Met Data'!$O$2:$T$368,G594,FALSE)</f>
        <v>1.2410385498851699</v>
      </c>
      <c r="L594">
        <f t="shared" ca="1" si="91"/>
        <v>1.7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5" t="e">
        <f t="shared" ca="1" si="96"/>
        <v>#N/A</v>
      </c>
      <c r="AH594" s="65" t="e">
        <f t="shared" ca="1" si="97"/>
        <v>#N/A</v>
      </c>
      <c r="AI594" s="3" t="e">
        <f t="shared" ca="1" si="98"/>
        <v>#N/A</v>
      </c>
    </row>
    <row r="595" spans="7:35" ht="15.75" thickBot="1" x14ac:dyDescent="0.3">
      <c r="G595" s="3">
        <f t="shared" ca="1" si="90"/>
        <v>229</v>
      </c>
      <c r="H595" s="99">
        <f t="shared" ca="1" si="99"/>
        <v>45885</v>
      </c>
      <c r="I595" s="123">
        <f ca="1">HLOOKUP($H$4,'Met Data'!$A$2:$F$368,G595,FALSE)</f>
        <v>9.6999999999999993</v>
      </c>
      <c r="J595" s="121">
        <f ca="1">HLOOKUP($H$4,'Met Data'!$H$2:$M$368,G595,FALSE)*L595</f>
        <v>2.7199999999999829</v>
      </c>
      <c r="K595" s="100">
        <f ca="1">HLOOKUP($H$4,'Met Data'!$O$2:$T$368,G595,FALSE)</f>
        <v>1.30158376837533</v>
      </c>
      <c r="L595">
        <f t="shared" ca="1" si="91"/>
        <v>1.7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5" t="e">
        <f t="shared" ca="1" si="96"/>
        <v>#N/A</v>
      </c>
      <c r="AH595" s="65" t="e">
        <f t="shared" ca="1" si="97"/>
        <v>#N/A</v>
      </c>
      <c r="AI595" s="3" t="e">
        <f t="shared" ca="1" si="98"/>
        <v>#N/A</v>
      </c>
    </row>
    <row r="596" spans="7:35" ht="15.75" thickBot="1" x14ac:dyDescent="0.3">
      <c r="G596" s="3">
        <f t="shared" ca="1" si="90"/>
        <v>230</v>
      </c>
      <c r="H596" s="99">
        <f t="shared" ca="1" si="99"/>
        <v>45886</v>
      </c>
      <c r="I596" s="123">
        <f ca="1">HLOOKUP($H$4,'Met Data'!$A$2:$F$368,G596,FALSE)</f>
        <v>9.61666666666666</v>
      </c>
      <c r="J596" s="121">
        <f ca="1">HLOOKUP($H$4,'Met Data'!$H$2:$M$368,G596,FALSE)*L596</f>
        <v>11.219999999999983</v>
      </c>
      <c r="K596" s="100">
        <f ca="1">HLOOKUP($H$4,'Met Data'!$O$2:$T$368,G596,FALSE)</f>
        <v>1.3713845776081399</v>
      </c>
      <c r="L596">
        <f t="shared" ca="1" si="91"/>
        <v>1.7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5" t="e">
        <f t="shared" ca="1" si="96"/>
        <v>#N/A</v>
      </c>
      <c r="AH596" s="65" t="e">
        <f t="shared" ca="1" si="97"/>
        <v>#N/A</v>
      </c>
      <c r="AI596" s="3" t="e">
        <f t="shared" ca="1" si="98"/>
        <v>#N/A</v>
      </c>
    </row>
    <row r="597" spans="7:35" ht="15.75" thickBot="1" x14ac:dyDescent="0.3">
      <c r="G597" s="3">
        <f t="shared" ca="1" si="90"/>
        <v>231</v>
      </c>
      <c r="H597" s="99">
        <f t="shared" ca="1" si="99"/>
        <v>45887</v>
      </c>
      <c r="I597" s="123">
        <f ca="1">HLOOKUP($H$4,'Met Data'!$A$2:$F$368,G597,FALSE)</f>
        <v>8.8333333333333304</v>
      </c>
      <c r="J597" s="121">
        <f ca="1">HLOOKUP($H$4,'Met Data'!$H$2:$M$368,G597,FALSE)*L597</f>
        <v>5.6099999999999994</v>
      </c>
      <c r="K597" s="100">
        <f ca="1">HLOOKUP($H$4,'Met Data'!$O$2:$T$368,G597,FALSE)</f>
        <v>1.38797998518043</v>
      </c>
      <c r="L597">
        <f t="shared" ca="1" si="91"/>
        <v>1.7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5" t="e">
        <f t="shared" ca="1" si="96"/>
        <v>#N/A</v>
      </c>
      <c r="AH597" s="65" t="e">
        <f t="shared" ca="1" si="97"/>
        <v>#N/A</v>
      </c>
      <c r="AI597" s="3" t="e">
        <f t="shared" ca="1" si="98"/>
        <v>#N/A</v>
      </c>
    </row>
    <row r="598" spans="7:35" ht="15.75" thickBot="1" x14ac:dyDescent="0.3">
      <c r="G598" s="3">
        <f t="shared" ca="1" si="90"/>
        <v>232</v>
      </c>
      <c r="H598" s="99">
        <f t="shared" ca="1" si="99"/>
        <v>45888</v>
      </c>
      <c r="I598" s="123">
        <f ca="1">HLOOKUP($H$4,'Met Data'!$A$2:$F$368,G598,FALSE)</f>
        <v>9.4833333333333307</v>
      </c>
      <c r="J598" s="121">
        <f ca="1">HLOOKUP($H$4,'Met Data'!$H$2:$M$368,G598,FALSE)*L598</f>
        <v>3.6266666666666612</v>
      </c>
      <c r="K598" s="100">
        <f ca="1">HLOOKUP($H$4,'Met Data'!$O$2:$T$368,G598,FALSE)</f>
        <v>1.56092628574794</v>
      </c>
      <c r="L598">
        <f t="shared" ca="1" si="91"/>
        <v>1.7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5" t="e">
        <f t="shared" ca="1" si="96"/>
        <v>#N/A</v>
      </c>
      <c r="AH598" s="65" t="e">
        <f t="shared" ca="1" si="97"/>
        <v>#N/A</v>
      </c>
      <c r="AI598" s="3" t="e">
        <f t="shared" ca="1" si="98"/>
        <v>#N/A</v>
      </c>
    </row>
    <row r="599" spans="7:35" ht="15.75" thickBot="1" x14ac:dyDescent="0.3">
      <c r="G599" s="3">
        <f t="shared" ca="1" si="90"/>
        <v>233</v>
      </c>
      <c r="H599" s="99">
        <f t="shared" ca="1" si="99"/>
        <v>45889</v>
      </c>
      <c r="I599" s="123">
        <f ca="1">HLOOKUP($H$4,'Met Data'!$A$2:$F$368,G599,FALSE)</f>
        <v>9.2583333333333293</v>
      </c>
      <c r="J599" s="121">
        <f ca="1">HLOOKUP($H$4,'Met Data'!$H$2:$M$368,G599,FALSE)*L599</f>
        <v>6.2050000000000001</v>
      </c>
      <c r="K599" s="100">
        <f ca="1">HLOOKUP($H$4,'Met Data'!$O$2:$T$368,G599,FALSE)</f>
        <v>1.4422774750484899</v>
      </c>
      <c r="L599">
        <f t="shared" ca="1" si="91"/>
        <v>1.7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5" t="e">
        <f t="shared" ca="1" si="96"/>
        <v>#N/A</v>
      </c>
      <c r="AH599" s="65" t="e">
        <f t="shared" ca="1" si="97"/>
        <v>#N/A</v>
      </c>
      <c r="AI599" s="3" t="e">
        <f t="shared" ca="1" si="98"/>
        <v>#N/A</v>
      </c>
    </row>
    <row r="600" spans="7:35" ht="15.75" thickBot="1" x14ac:dyDescent="0.3">
      <c r="G600" s="3">
        <f t="shared" ca="1" si="90"/>
        <v>234</v>
      </c>
      <c r="H600" s="99">
        <f t="shared" ca="1" si="99"/>
        <v>45890</v>
      </c>
      <c r="I600" s="123">
        <f ca="1">HLOOKUP($H$4,'Met Data'!$A$2:$F$368,G600,FALSE)</f>
        <v>9.7708333333333304</v>
      </c>
      <c r="J600" s="121">
        <f ca="1">HLOOKUP($H$4,'Met Data'!$H$2:$M$368,G600,FALSE)*L600</f>
        <v>4.0233333333333219</v>
      </c>
      <c r="K600" s="100">
        <f ca="1">HLOOKUP($H$4,'Met Data'!$O$2:$T$368,G600,FALSE)</f>
        <v>1.70464821639982</v>
      </c>
      <c r="L600">
        <f t="shared" ca="1" si="91"/>
        <v>1.7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5" t="e">
        <f t="shared" ca="1" si="96"/>
        <v>#N/A</v>
      </c>
      <c r="AH600" s="65" t="e">
        <f t="shared" ca="1" si="97"/>
        <v>#N/A</v>
      </c>
      <c r="AI600" s="3" t="e">
        <f t="shared" ca="1" si="98"/>
        <v>#N/A</v>
      </c>
    </row>
    <row r="601" spans="7:35" ht="15.75" thickBot="1" x14ac:dyDescent="0.3">
      <c r="G601" s="3">
        <f t="shared" ca="1" si="90"/>
        <v>235</v>
      </c>
      <c r="H601" s="99">
        <f t="shared" ca="1" si="99"/>
        <v>45891</v>
      </c>
      <c r="I601" s="123">
        <f ca="1">HLOOKUP($H$4,'Met Data'!$A$2:$F$368,G601,FALSE)</f>
        <v>9.5208333333333304</v>
      </c>
      <c r="J601" s="121">
        <f ca="1">HLOOKUP($H$4,'Met Data'!$H$2:$M$368,G601,FALSE)*L601</f>
        <v>7.5933333333333213</v>
      </c>
      <c r="K601" s="100">
        <f ca="1">HLOOKUP($H$4,'Met Data'!$O$2:$T$368,G601,FALSE)</f>
        <v>1.6762831823304301</v>
      </c>
      <c r="L601">
        <f t="shared" ca="1" si="91"/>
        <v>1.7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5" t="e">
        <f t="shared" ca="1" si="96"/>
        <v>#N/A</v>
      </c>
      <c r="AH601" s="65" t="e">
        <f t="shared" ca="1" si="97"/>
        <v>#N/A</v>
      </c>
      <c r="AI601" s="3" t="e">
        <f t="shared" ca="1" si="98"/>
        <v>#N/A</v>
      </c>
    </row>
    <row r="602" spans="7:35" ht="15.75" thickBot="1" x14ac:dyDescent="0.3">
      <c r="G602" s="3">
        <f t="shared" ca="1" si="90"/>
        <v>236</v>
      </c>
      <c r="H602" s="99">
        <f t="shared" ca="1" si="99"/>
        <v>45892</v>
      </c>
      <c r="I602" s="123">
        <f ca="1">HLOOKUP($H$4,'Met Data'!$A$2:$F$368,G602,FALSE)</f>
        <v>9.5791666666666604</v>
      </c>
      <c r="J602" s="121">
        <f ca="1">HLOOKUP($H$4,'Met Data'!$H$2:$M$368,G602,FALSE)*L602</f>
        <v>2.5216666666666612</v>
      </c>
      <c r="K602" s="100">
        <f ca="1">HLOOKUP($H$4,'Met Data'!$O$2:$T$368,G602,FALSE)</f>
        <v>1.44273965203753</v>
      </c>
      <c r="L602">
        <f t="shared" ca="1" si="91"/>
        <v>1.7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5" t="e">
        <f t="shared" ca="1" si="96"/>
        <v>#N/A</v>
      </c>
      <c r="AH602" s="65" t="e">
        <f t="shared" ca="1" si="97"/>
        <v>#N/A</v>
      </c>
      <c r="AI602" s="3" t="e">
        <f t="shared" ca="1" si="98"/>
        <v>#N/A</v>
      </c>
    </row>
    <row r="603" spans="7:35" ht="15.75" thickBot="1" x14ac:dyDescent="0.3">
      <c r="G603" s="3">
        <f t="shared" ca="1" si="90"/>
        <v>237</v>
      </c>
      <c r="H603" s="99">
        <f t="shared" ca="1" si="99"/>
        <v>45893</v>
      </c>
      <c r="I603" s="123">
        <f ca="1">HLOOKUP($H$4,'Met Data'!$A$2:$F$368,G603,FALSE)</f>
        <v>9.8874999999999993</v>
      </c>
      <c r="J603" s="121">
        <f ca="1">HLOOKUP($H$4,'Met Data'!$H$2:$M$368,G603,FALSE)*L603</f>
        <v>0.96333333333333215</v>
      </c>
      <c r="K603" s="100">
        <f ca="1">HLOOKUP($H$4,'Met Data'!$O$2:$T$368,G603,FALSE)</f>
        <v>1.7386735184612501</v>
      </c>
      <c r="L603">
        <f t="shared" ca="1" si="91"/>
        <v>1.7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5" t="e">
        <f t="shared" ca="1" si="96"/>
        <v>#N/A</v>
      </c>
      <c r="AH603" s="65" t="e">
        <f t="shared" ca="1" si="97"/>
        <v>#N/A</v>
      </c>
      <c r="AI603" s="3" t="e">
        <f t="shared" ca="1" si="98"/>
        <v>#N/A</v>
      </c>
    </row>
    <row r="604" spans="7:35" ht="15.75" thickBot="1" x14ac:dyDescent="0.3">
      <c r="G604" s="3">
        <f t="shared" ca="1" si="90"/>
        <v>238</v>
      </c>
      <c r="H604" s="99">
        <f t="shared" ca="1" si="99"/>
        <v>45894</v>
      </c>
      <c r="I604" s="123">
        <f ca="1">HLOOKUP($H$4,'Met Data'!$A$2:$F$368,G604,FALSE)</f>
        <v>9.7208333333333297</v>
      </c>
      <c r="J604" s="121">
        <f ca="1">HLOOKUP($H$4,'Met Data'!$H$2:$M$368,G604,FALSE)*L604</f>
        <v>4.1933333333333218</v>
      </c>
      <c r="K604" s="100">
        <f ca="1">HLOOKUP($H$4,'Met Data'!$O$2:$T$368,G604,FALSE)</f>
        <v>1.45538034550647</v>
      </c>
      <c r="L604">
        <f t="shared" ca="1" si="91"/>
        <v>1.7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5" t="e">
        <f t="shared" ca="1" si="96"/>
        <v>#N/A</v>
      </c>
      <c r="AH604" s="65" t="e">
        <f t="shared" ca="1" si="97"/>
        <v>#N/A</v>
      </c>
      <c r="AI604" s="3" t="e">
        <f t="shared" ca="1" si="98"/>
        <v>#N/A</v>
      </c>
    </row>
    <row r="605" spans="7:35" ht="15.75" thickBot="1" x14ac:dyDescent="0.3">
      <c r="G605" s="3">
        <f t="shared" ca="1" si="90"/>
        <v>239</v>
      </c>
      <c r="H605" s="99">
        <f t="shared" ca="1" si="99"/>
        <v>45895</v>
      </c>
      <c r="I605" s="123">
        <f ca="1">HLOOKUP($H$4,'Met Data'!$A$2:$F$368,G605,FALSE)</f>
        <v>10.716666666666599</v>
      </c>
      <c r="J605" s="121">
        <f ca="1">HLOOKUP($H$4,'Met Data'!$H$2:$M$368,G605,FALSE)*L605</f>
        <v>5.2133333333333223</v>
      </c>
      <c r="K605" s="100">
        <f ca="1">HLOOKUP($H$4,'Met Data'!$O$2:$T$368,G605,FALSE)</f>
        <v>1.4899612238642299</v>
      </c>
      <c r="L605">
        <f t="shared" ca="1" si="91"/>
        <v>1.7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5" t="e">
        <f t="shared" ca="1" si="96"/>
        <v>#N/A</v>
      </c>
      <c r="AH605" s="65" t="e">
        <f t="shared" ca="1" si="97"/>
        <v>#N/A</v>
      </c>
      <c r="AI605" s="3" t="e">
        <f t="shared" ca="1" si="98"/>
        <v>#N/A</v>
      </c>
    </row>
    <row r="606" spans="7:35" ht="15.75" thickBot="1" x14ac:dyDescent="0.3">
      <c r="G606" s="3">
        <f t="shared" ca="1" si="90"/>
        <v>240</v>
      </c>
      <c r="H606" s="99">
        <f t="shared" ca="1" si="99"/>
        <v>45896</v>
      </c>
      <c r="I606" s="123">
        <f ca="1">HLOOKUP($H$4,'Met Data'!$A$2:$F$368,G606,FALSE)</f>
        <v>10.754166666666601</v>
      </c>
      <c r="J606" s="121">
        <f ca="1">HLOOKUP($H$4,'Met Data'!$H$2:$M$368,G606,FALSE)*L606</f>
        <v>1.756666666666661</v>
      </c>
      <c r="K606" s="100">
        <f ca="1">HLOOKUP($H$4,'Met Data'!$O$2:$T$368,G606,FALSE)</f>
        <v>1.6543487023337</v>
      </c>
      <c r="L606">
        <f t="shared" ca="1" si="91"/>
        <v>1.7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5" t="e">
        <f t="shared" ca="1" si="96"/>
        <v>#N/A</v>
      </c>
      <c r="AH606" s="65" t="e">
        <f t="shared" ca="1" si="97"/>
        <v>#N/A</v>
      </c>
      <c r="AI606" s="3" t="e">
        <f t="shared" ca="1" si="98"/>
        <v>#N/A</v>
      </c>
    </row>
    <row r="607" spans="7:35" ht="15.75" thickBot="1" x14ac:dyDescent="0.3">
      <c r="G607" s="3">
        <f t="shared" ca="1" si="90"/>
        <v>241</v>
      </c>
      <c r="H607" s="99">
        <f t="shared" ca="1" si="99"/>
        <v>45897</v>
      </c>
      <c r="I607" s="123">
        <f ca="1">HLOOKUP($H$4,'Met Data'!$A$2:$F$368,G607,FALSE)</f>
        <v>11.0833333333333</v>
      </c>
      <c r="J607" s="121">
        <f ca="1">HLOOKUP($H$4,'Met Data'!$H$2:$M$368,G607,FALSE)*L607</f>
        <v>3.23</v>
      </c>
      <c r="K607" s="100">
        <f ca="1">HLOOKUP($H$4,'Met Data'!$O$2:$T$368,G607,FALSE)</f>
        <v>1.6425180639822501</v>
      </c>
      <c r="L607">
        <f t="shared" ca="1" si="91"/>
        <v>1.7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5" t="e">
        <f t="shared" ca="1" si="96"/>
        <v>#N/A</v>
      </c>
      <c r="AH607" s="65" t="e">
        <f t="shared" ca="1" si="97"/>
        <v>#N/A</v>
      </c>
      <c r="AI607" s="3" t="e">
        <f t="shared" ca="1" si="98"/>
        <v>#N/A</v>
      </c>
    </row>
    <row r="608" spans="7:35" ht="15.75" thickBot="1" x14ac:dyDescent="0.3">
      <c r="G608" s="3">
        <f t="shared" ca="1" si="90"/>
        <v>242</v>
      </c>
      <c r="H608" s="99">
        <f t="shared" ca="1" si="99"/>
        <v>45898</v>
      </c>
      <c r="I608" s="123">
        <f ca="1">HLOOKUP($H$4,'Met Data'!$A$2:$F$368,G608,FALSE)</f>
        <v>10.5791666666666</v>
      </c>
      <c r="J608" s="121">
        <f ca="1">HLOOKUP($H$4,'Met Data'!$H$2:$M$368,G608,FALSE)*L608</f>
        <v>5.1283333333333214</v>
      </c>
      <c r="K608" s="100">
        <f ca="1">HLOOKUP($H$4,'Met Data'!$O$2:$T$368,G608,FALSE)</f>
        <v>1.5065040723285099</v>
      </c>
      <c r="L608">
        <f t="shared" ca="1" si="91"/>
        <v>1.7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5" t="e">
        <f t="shared" ca="1" si="96"/>
        <v>#N/A</v>
      </c>
      <c r="AH608" s="65" t="e">
        <f t="shared" ca="1" si="97"/>
        <v>#N/A</v>
      </c>
      <c r="AI608" s="3" t="e">
        <f t="shared" ca="1" si="98"/>
        <v>#N/A</v>
      </c>
    </row>
    <row r="609" spans="7:35" ht="15.75" thickBot="1" x14ac:dyDescent="0.3">
      <c r="G609" s="3">
        <f t="shared" ca="1" si="90"/>
        <v>243</v>
      </c>
      <c r="H609" s="99">
        <f t="shared" ca="1" si="99"/>
        <v>45899</v>
      </c>
      <c r="I609" s="123">
        <f ca="1">HLOOKUP($H$4,'Met Data'!$A$2:$F$368,G609,FALSE)</f>
        <v>11.1208333333333</v>
      </c>
      <c r="J609" s="121">
        <f ca="1">HLOOKUP($H$4,'Met Data'!$H$2:$M$368,G609,FALSE)*L609</f>
        <v>2.663333333333322</v>
      </c>
      <c r="K609" s="100">
        <f ca="1">HLOOKUP($H$4,'Met Data'!$O$2:$T$368,G609,FALSE)</f>
        <v>1.7782422370636499</v>
      </c>
      <c r="L609">
        <f t="shared" ca="1" si="91"/>
        <v>1.7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5" t="e">
        <f t="shared" ca="1" si="96"/>
        <v>#N/A</v>
      </c>
      <c r="AH609" s="65" t="e">
        <f t="shared" ca="1" si="97"/>
        <v>#N/A</v>
      </c>
      <c r="AI609" s="3" t="e">
        <f t="shared" ca="1" si="98"/>
        <v>#N/A</v>
      </c>
    </row>
    <row r="610" spans="7:35" ht="15.75" thickBot="1" x14ac:dyDescent="0.3">
      <c r="G610" s="3">
        <f t="shared" ca="1" si="90"/>
        <v>244</v>
      </c>
      <c r="H610" s="99">
        <f t="shared" ca="1" si="99"/>
        <v>45900</v>
      </c>
      <c r="I610" s="123">
        <f ca="1">HLOOKUP($H$4,'Met Data'!$A$2:$F$368,G610,FALSE)</f>
        <v>10.6666666666666</v>
      </c>
      <c r="J610" s="121">
        <f ca="1">HLOOKUP($H$4,'Met Data'!$H$2:$M$368,G610,FALSE)*L610</f>
        <v>2.946666666666661</v>
      </c>
      <c r="K610" s="100">
        <f ca="1">HLOOKUP($H$4,'Met Data'!$O$2:$T$368,G610,FALSE)</f>
        <v>1.8075127039194601</v>
      </c>
      <c r="L610">
        <f t="shared" ca="1" si="91"/>
        <v>1.7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5" t="e">
        <f t="shared" ca="1" si="96"/>
        <v>#N/A</v>
      </c>
      <c r="AH610" s="65" t="e">
        <f t="shared" ca="1" si="97"/>
        <v>#N/A</v>
      </c>
      <c r="AI610" s="3" t="e">
        <f t="shared" ca="1" si="98"/>
        <v>#N/A</v>
      </c>
    </row>
    <row r="611" spans="7:35" ht="15.75" thickBot="1" x14ac:dyDescent="0.3">
      <c r="G611" s="3">
        <f t="shared" ca="1" si="90"/>
        <v>245</v>
      </c>
      <c r="H611" s="99">
        <f t="shared" ca="1" si="99"/>
        <v>45901</v>
      </c>
      <c r="I611" s="123">
        <f ca="1">HLOOKUP($H$4,'Met Data'!$A$2:$F$368,G611,FALSE)</f>
        <v>10.1208333333333</v>
      </c>
      <c r="J611" s="121">
        <f ca="1">HLOOKUP($H$4,'Met Data'!$H$2:$M$368,G611,FALSE)*L611</f>
        <v>1.36</v>
      </c>
      <c r="K611" s="100">
        <f ca="1">HLOOKUP($H$4,'Met Data'!$O$2:$T$368,G611,FALSE)</f>
        <v>1.80445161149383</v>
      </c>
      <c r="L611">
        <f t="shared" ca="1" si="91"/>
        <v>1.7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5" t="e">
        <f t="shared" ca="1" si="96"/>
        <v>#N/A</v>
      </c>
      <c r="AH611" s="65" t="e">
        <f t="shared" ca="1" si="97"/>
        <v>#N/A</v>
      </c>
      <c r="AI611" s="3" t="e">
        <f t="shared" ca="1" si="98"/>
        <v>#N/A</v>
      </c>
    </row>
    <row r="612" spans="7:35" ht="15.75" thickBot="1" x14ac:dyDescent="0.3">
      <c r="G612" s="3">
        <f t="shared" ca="1" si="90"/>
        <v>246</v>
      </c>
      <c r="H612" s="99">
        <f t="shared" ca="1" si="99"/>
        <v>45902</v>
      </c>
      <c r="I612" s="123">
        <f ca="1">HLOOKUP($H$4,'Met Data'!$A$2:$F$368,G612,FALSE)</f>
        <v>9.6624999999999996</v>
      </c>
      <c r="J612" s="121">
        <f ca="1">HLOOKUP($H$4,'Met Data'!$H$2:$M$368,G612,FALSE)*L612</f>
        <v>5.2416666666666609</v>
      </c>
      <c r="K612" s="100">
        <f ca="1">HLOOKUP($H$4,'Met Data'!$O$2:$T$368,G612,FALSE)</f>
        <v>1.4517482623371101</v>
      </c>
      <c r="L612">
        <f t="shared" ca="1" si="91"/>
        <v>1.7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5" t="e">
        <f t="shared" ca="1" si="96"/>
        <v>#N/A</v>
      </c>
      <c r="AH612" s="65" t="e">
        <f t="shared" ca="1" si="97"/>
        <v>#N/A</v>
      </c>
      <c r="AI612" s="3" t="e">
        <f t="shared" ca="1" si="98"/>
        <v>#N/A</v>
      </c>
    </row>
    <row r="613" spans="7:35" ht="15.75" thickBot="1" x14ac:dyDescent="0.3">
      <c r="G613" s="3">
        <f t="shared" ca="1" si="90"/>
        <v>247</v>
      </c>
      <c r="H613" s="99">
        <f t="shared" ca="1" si="99"/>
        <v>45903</v>
      </c>
      <c r="I613" s="123">
        <f ca="1">HLOOKUP($H$4,'Met Data'!$A$2:$F$368,G613,FALSE)</f>
        <v>9.7541666666666593</v>
      </c>
      <c r="J613" s="121">
        <f ca="1">HLOOKUP($H$4,'Met Data'!$H$2:$M$368,G613,FALSE)*L613</f>
        <v>1.8416666666666608</v>
      </c>
      <c r="K613" s="100">
        <f ca="1">HLOOKUP($H$4,'Met Data'!$O$2:$T$368,G613,FALSE)</f>
        <v>1.75831978881469</v>
      </c>
      <c r="L613">
        <f t="shared" ca="1" si="91"/>
        <v>1.7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5" t="e">
        <f t="shared" ca="1" si="96"/>
        <v>#N/A</v>
      </c>
      <c r="AH613" s="65" t="e">
        <f t="shared" ca="1" si="97"/>
        <v>#N/A</v>
      </c>
      <c r="AI613" s="3" t="e">
        <f t="shared" ca="1" si="98"/>
        <v>#N/A</v>
      </c>
    </row>
    <row r="614" spans="7:35" ht="15.75" thickBot="1" x14ac:dyDescent="0.3">
      <c r="G614" s="3">
        <f t="shared" ca="1" si="90"/>
        <v>248</v>
      </c>
      <c r="H614" s="99">
        <f t="shared" ca="1" si="99"/>
        <v>45904</v>
      </c>
      <c r="I614" s="123">
        <f ca="1">HLOOKUP($H$4,'Met Data'!$A$2:$F$368,G614,FALSE)</f>
        <v>10.0583333333333</v>
      </c>
      <c r="J614" s="121">
        <f ca="1">HLOOKUP($H$4,'Met Data'!$H$2:$M$368,G614,FALSE)*L614</f>
        <v>4.1649999999999832</v>
      </c>
      <c r="K614" s="100">
        <f ca="1">HLOOKUP($H$4,'Met Data'!$O$2:$T$368,G614,FALSE)</f>
        <v>1.8005069619965</v>
      </c>
      <c r="L614">
        <f t="shared" ca="1" si="91"/>
        <v>1.7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5" t="e">
        <f t="shared" ca="1" si="96"/>
        <v>#N/A</v>
      </c>
      <c r="AH614" s="65" t="e">
        <f t="shared" ca="1" si="97"/>
        <v>#N/A</v>
      </c>
      <c r="AI614" s="3" t="e">
        <f t="shared" ca="1" si="98"/>
        <v>#N/A</v>
      </c>
    </row>
    <row r="615" spans="7:35" ht="15.75" thickBot="1" x14ac:dyDescent="0.3">
      <c r="G615" s="3">
        <f t="shared" ca="1" si="90"/>
        <v>249</v>
      </c>
      <c r="H615" s="99">
        <f t="shared" ca="1" si="99"/>
        <v>45905</v>
      </c>
      <c r="I615" s="123">
        <f ca="1">HLOOKUP($H$4,'Met Data'!$A$2:$F$368,G615,FALSE)</f>
        <v>9.7750000000000004</v>
      </c>
      <c r="J615" s="121">
        <f ca="1">HLOOKUP($H$4,'Met Data'!$H$2:$M$368,G615,FALSE)*L615</f>
        <v>5.44</v>
      </c>
      <c r="K615" s="100">
        <f ca="1">HLOOKUP($H$4,'Met Data'!$O$2:$T$368,G615,FALSE)</f>
        <v>1.49919962363172</v>
      </c>
      <c r="L615">
        <f t="shared" ca="1" si="91"/>
        <v>1.7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5" t="e">
        <f t="shared" ca="1" si="96"/>
        <v>#N/A</v>
      </c>
      <c r="AH615" s="65" t="e">
        <f t="shared" ca="1" si="97"/>
        <v>#N/A</v>
      </c>
      <c r="AI615" s="3" t="e">
        <f t="shared" ca="1" si="98"/>
        <v>#N/A</v>
      </c>
    </row>
    <row r="616" spans="7:35" ht="15.75" thickBot="1" x14ac:dyDescent="0.3">
      <c r="G616" s="3">
        <f t="shared" ca="1" si="90"/>
        <v>250</v>
      </c>
      <c r="H616" s="99">
        <f t="shared" ca="1" si="99"/>
        <v>45906</v>
      </c>
      <c r="I616" s="123">
        <f ca="1">HLOOKUP($H$4,'Met Data'!$A$2:$F$368,G616,FALSE)</f>
        <v>10.3333333333333</v>
      </c>
      <c r="J616" s="121">
        <f ca="1">HLOOKUP($H$4,'Met Data'!$H$2:$M$368,G616,FALSE)*L616</f>
        <v>10.086666666666661</v>
      </c>
      <c r="K616" s="100">
        <f ca="1">HLOOKUP($H$4,'Met Data'!$O$2:$T$368,G616,FALSE)</f>
        <v>1.4735664157819599</v>
      </c>
      <c r="L616">
        <f t="shared" ca="1" si="91"/>
        <v>1.7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5" t="e">
        <f t="shared" ca="1" si="96"/>
        <v>#N/A</v>
      </c>
      <c r="AH616" s="65" t="e">
        <f t="shared" ca="1" si="97"/>
        <v>#N/A</v>
      </c>
      <c r="AI616" s="3" t="e">
        <f t="shared" ca="1" si="98"/>
        <v>#N/A</v>
      </c>
    </row>
    <row r="617" spans="7:35" ht="15.75" thickBot="1" x14ac:dyDescent="0.3">
      <c r="G617" s="3">
        <f t="shared" ca="1" si="90"/>
        <v>251</v>
      </c>
      <c r="H617" s="99">
        <f t="shared" ca="1" si="99"/>
        <v>45907</v>
      </c>
      <c r="I617" s="123">
        <f ca="1">HLOOKUP($H$4,'Met Data'!$A$2:$F$368,G617,FALSE)</f>
        <v>10.7708333333333</v>
      </c>
      <c r="J617" s="121">
        <f ca="1">HLOOKUP($H$4,'Met Data'!$H$2:$M$368,G617,FALSE)*L617</f>
        <v>2.04</v>
      </c>
      <c r="K617" s="100">
        <f ca="1">HLOOKUP($H$4,'Met Data'!$O$2:$T$368,G617,FALSE)</f>
        <v>1.8170202832795099</v>
      </c>
      <c r="L617">
        <f t="shared" ca="1" si="91"/>
        <v>1.7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5" t="e">
        <f t="shared" ca="1" si="96"/>
        <v>#N/A</v>
      </c>
      <c r="AH617" s="65" t="e">
        <f t="shared" ca="1" si="97"/>
        <v>#N/A</v>
      </c>
      <c r="AI617" s="3" t="e">
        <f t="shared" ca="1" si="98"/>
        <v>#N/A</v>
      </c>
    </row>
    <row r="618" spans="7:35" ht="15.75" thickBot="1" x14ac:dyDescent="0.3">
      <c r="G618" s="3">
        <f t="shared" ca="1" si="90"/>
        <v>252</v>
      </c>
      <c r="H618" s="99">
        <f t="shared" ca="1" si="99"/>
        <v>45908</v>
      </c>
      <c r="I618" s="123">
        <f ca="1">HLOOKUP($H$4,'Met Data'!$A$2:$F$368,G618,FALSE)</f>
        <v>10.5791666666666</v>
      </c>
      <c r="J618" s="121">
        <f ca="1">HLOOKUP($H$4,'Met Data'!$H$2:$M$368,G618,FALSE)*L618</f>
        <v>1.501666666666666</v>
      </c>
      <c r="K618" s="100">
        <f ca="1">HLOOKUP($H$4,'Met Data'!$O$2:$T$368,G618,FALSE)</f>
        <v>1.8773510693625799</v>
      </c>
      <c r="L618">
        <f t="shared" ca="1" si="91"/>
        <v>1.7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5" t="e">
        <f t="shared" ca="1" si="96"/>
        <v>#N/A</v>
      </c>
      <c r="AH618" s="65" t="e">
        <f t="shared" ca="1" si="97"/>
        <v>#N/A</v>
      </c>
      <c r="AI618" s="3" t="e">
        <f t="shared" ca="1" si="98"/>
        <v>#N/A</v>
      </c>
    </row>
    <row r="619" spans="7:35" ht="15.75" thickBot="1" x14ac:dyDescent="0.3">
      <c r="G619" s="3">
        <f t="shared" ca="1" si="90"/>
        <v>253</v>
      </c>
      <c r="H619" s="99">
        <f t="shared" ca="1" si="99"/>
        <v>45909</v>
      </c>
      <c r="I619" s="123">
        <f ca="1">HLOOKUP($H$4,'Met Data'!$A$2:$F$368,G619,FALSE)</f>
        <v>9.6125000000000007</v>
      </c>
      <c r="J619" s="121">
        <f ca="1">HLOOKUP($H$4,'Met Data'!$H$2:$M$368,G619,FALSE)*L619</f>
        <v>7.4233333333333222</v>
      </c>
      <c r="K619" s="100">
        <f ca="1">HLOOKUP($H$4,'Met Data'!$O$2:$T$368,G619,FALSE)</f>
        <v>1.8525160666589899</v>
      </c>
      <c r="L619">
        <f t="shared" ca="1" si="91"/>
        <v>1.7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5" t="e">
        <f t="shared" ca="1" si="96"/>
        <v>#N/A</v>
      </c>
      <c r="AH619" s="65" t="e">
        <f t="shared" ca="1" si="97"/>
        <v>#N/A</v>
      </c>
      <c r="AI619" s="3" t="e">
        <f t="shared" ca="1" si="98"/>
        <v>#N/A</v>
      </c>
    </row>
    <row r="620" spans="7:35" ht="15.75" thickBot="1" x14ac:dyDescent="0.3">
      <c r="G620" s="3">
        <f t="shared" ca="1" si="90"/>
        <v>254</v>
      </c>
      <c r="H620" s="99">
        <f t="shared" ca="1" si="99"/>
        <v>45910</v>
      </c>
      <c r="I620" s="123">
        <f ca="1">HLOOKUP($H$4,'Met Data'!$A$2:$F$368,G620,FALSE)</f>
        <v>10.0875</v>
      </c>
      <c r="J620" s="121">
        <f ca="1">HLOOKUP($H$4,'Met Data'!$H$2:$M$368,G620,FALSE)*L620</f>
        <v>5.8649999999999824</v>
      </c>
      <c r="K620" s="100">
        <f ca="1">HLOOKUP($H$4,'Met Data'!$O$2:$T$368,G620,FALSE)</f>
        <v>1.67590206119575</v>
      </c>
      <c r="L620">
        <f t="shared" ca="1" si="91"/>
        <v>1.7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5" t="e">
        <f t="shared" ca="1" si="96"/>
        <v>#N/A</v>
      </c>
      <c r="AH620" s="65" t="e">
        <f t="shared" ca="1" si="97"/>
        <v>#N/A</v>
      </c>
      <c r="AI620" s="3" t="e">
        <f t="shared" ca="1" si="98"/>
        <v>#N/A</v>
      </c>
    </row>
    <row r="621" spans="7:35" ht="15.75" thickBot="1" x14ac:dyDescent="0.3">
      <c r="G621" s="3">
        <f t="shared" ca="1" si="90"/>
        <v>255</v>
      </c>
      <c r="H621" s="99">
        <f t="shared" ca="1" si="99"/>
        <v>45911</v>
      </c>
      <c r="I621" s="123">
        <f ca="1">HLOOKUP($H$4,'Met Data'!$A$2:$F$368,G621,FALSE)</f>
        <v>10.6416666666666</v>
      </c>
      <c r="J621" s="121">
        <f ca="1">HLOOKUP($H$4,'Met Data'!$H$2:$M$368,G621,FALSE)*L621</f>
        <v>10.993333333333322</v>
      </c>
      <c r="K621" s="100">
        <f ca="1">HLOOKUP($H$4,'Met Data'!$O$2:$T$368,G621,FALSE)</f>
        <v>1.7070370554204599</v>
      </c>
      <c r="L621">
        <f t="shared" ca="1" si="91"/>
        <v>1.7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5" t="e">
        <f t="shared" ca="1" si="96"/>
        <v>#N/A</v>
      </c>
      <c r="AH621" s="65" t="e">
        <f t="shared" ca="1" si="97"/>
        <v>#N/A</v>
      </c>
      <c r="AI621" s="3" t="e">
        <f t="shared" ca="1" si="98"/>
        <v>#N/A</v>
      </c>
    </row>
    <row r="622" spans="7:35" ht="15.75" thickBot="1" x14ac:dyDescent="0.3">
      <c r="G622" s="3">
        <f t="shared" ca="1" si="90"/>
        <v>256</v>
      </c>
      <c r="H622" s="99">
        <f t="shared" ca="1" si="99"/>
        <v>45912</v>
      </c>
      <c r="I622" s="123">
        <f ca="1">HLOOKUP($H$4,'Met Data'!$A$2:$F$368,G622,FALSE)</f>
        <v>10.4541666666666</v>
      </c>
      <c r="J622" s="121">
        <f ca="1">HLOOKUP($H$4,'Met Data'!$H$2:$M$368,G622,FALSE)*L622</f>
        <v>3.4283333333333217</v>
      </c>
      <c r="K622" s="100">
        <f ca="1">HLOOKUP($H$4,'Met Data'!$O$2:$T$368,G622,FALSE)</f>
        <v>1.9219866027073</v>
      </c>
      <c r="L622">
        <f t="shared" ca="1" si="91"/>
        <v>1.7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5" t="e">
        <f t="shared" ca="1" si="96"/>
        <v>#N/A</v>
      </c>
      <c r="AH622" s="65" t="e">
        <f t="shared" ca="1" si="97"/>
        <v>#N/A</v>
      </c>
      <c r="AI622" s="3" t="e">
        <f t="shared" ca="1" si="98"/>
        <v>#N/A</v>
      </c>
    </row>
    <row r="623" spans="7:35" ht="15.75" thickBot="1" x14ac:dyDescent="0.3">
      <c r="G623" s="3">
        <f t="shared" ca="1" si="90"/>
        <v>257</v>
      </c>
      <c r="H623" s="99">
        <f t="shared" ca="1" si="99"/>
        <v>45913</v>
      </c>
      <c r="I623" s="123">
        <f ca="1">HLOOKUP($H$4,'Met Data'!$A$2:$F$368,G623,FALSE)</f>
        <v>11.216666666666599</v>
      </c>
      <c r="J623" s="121">
        <f ca="1">HLOOKUP($H$4,'Met Data'!$H$2:$M$368,G623,FALSE)*L623</f>
        <v>2.5216666666666612</v>
      </c>
      <c r="K623" s="100">
        <f ca="1">HLOOKUP($H$4,'Met Data'!$O$2:$T$368,G623,FALSE)</f>
        <v>1.86072433418519</v>
      </c>
      <c r="L623">
        <f t="shared" ca="1" si="91"/>
        <v>1.7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5" t="e">
        <f t="shared" ca="1" si="96"/>
        <v>#N/A</v>
      </c>
      <c r="AH623" s="65" t="e">
        <f t="shared" ca="1" si="97"/>
        <v>#N/A</v>
      </c>
      <c r="AI623" s="3" t="e">
        <f t="shared" ca="1" si="98"/>
        <v>#N/A</v>
      </c>
    </row>
    <row r="624" spans="7:35" ht="15.75" thickBot="1" x14ac:dyDescent="0.3">
      <c r="G624" s="3">
        <f t="shared" ref="G624:G687" ca="1" si="100">H624-DATE(YEAR(H624),1,0)+1</f>
        <v>258</v>
      </c>
      <c r="H624" s="99">
        <f t="shared" ca="1" si="99"/>
        <v>45914</v>
      </c>
      <c r="I624" s="123">
        <f ca="1">HLOOKUP($H$4,'Met Data'!$A$2:$F$368,G624,FALSE)</f>
        <v>11.1</v>
      </c>
      <c r="J624" s="121">
        <f ca="1">HLOOKUP($H$4,'Met Data'!$H$2:$M$368,G624,FALSE)*L624</f>
        <v>4.1083333333333218</v>
      </c>
      <c r="K624" s="100">
        <f ca="1">HLOOKUP($H$4,'Met Data'!$O$2:$T$368,G624,FALSE)</f>
        <v>1.6515892534407901</v>
      </c>
      <c r="L624">
        <f t="shared" ref="L624:L687" ca="1" si="101">IF(H624&lt;$B$31,$J$3,$J$4)</f>
        <v>1.7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5" t="e">
        <f t="shared" ref="AG624:AG687" ca="1" si="106">Q623+S624+T624+U624</f>
        <v>#N/A</v>
      </c>
      <c r="AH624" s="65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.75" thickBot="1" x14ac:dyDescent="0.3">
      <c r="G625" s="3">
        <f t="shared" ca="1" si="100"/>
        <v>259</v>
      </c>
      <c r="H625" s="99">
        <f t="shared" ca="1" si="99"/>
        <v>45915</v>
      </c>
      <c r="I625" s="123">
        <f ca="1">HLOOKUP($H$4,'Met Data'!$A$2:$F$368,G625,FALSE)</f>
        <v>11.3708333333333</v>
      </c>
      <c r="J625" s="121">
        <f ca="1">HLOOKUP($H$4,'Met Data'!$H$2:$M$368,G625,FALSE)*L625</f>
        <v>2.21</v>
      </c>
      <c r="K625" s="100">
        <f ca="1">HLOOKUP($H$4,'Met Data'!$O$2:$T$368,G625,FALSE)</f>
        <v>1.8040111781852</v>
      </c>
      <c r="L625">
        <f t="shared" ca="1" si="101"/>
        <v>1.7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5" t="e">
        <f t="shared" ca="1" si="106"/>
        <v>#N/A</v>
      </c>
      <c r="AH625" s="65" t="e">
        <f t="shared" ca="1" si="107"/>
        <v>#N/A</v>
      </c>
      <c r="AI625" s="3" t="e">
        <f t="shared" ca="1" si="108"/>
        <v>#N/A</v>
      </c>
    </row>
    <row r="626" spans="7:35" ht="15.75" thickBot="1" x14ac:dyDescent="0.3">
      <c r="G626" s="3">
        <f t="shared" ca="1" si="100"/>
        <v>260</v>
      </c>
      <c r="H626" s="99">
        <f t="shared" ca="1" si="99"/>
        <v>45916</v>
      </c>
      <c r="I626" s="123">
        <f ca="1">HLOOKUP($H$4,'Met Data'!$A$2:$F$368,G626,FALSE)</f>
        <v>11.2916666666666</v>
      </c>
      <c r="J626" s="121">
        <f ca="1">HLOOKUP($H$4,'Met Data'!$H$2:$M$368,G626,FALSE)*L626</f>
        <v>4.42</v>
      </c>
      <c r="K626" s="100">
        <f ca="1">HLOOKUP($H$4,'Met Data'!$O$2:$T$368,G626,FALSE)</f>
        <v>1.8880733064353601</v>
      </c>
      <c r="L626">
        <f t="shared" ca="1" si="101"/>
        <v>1.7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5" t="e">
        <f t="shared" ca="1" si="106"/>
        <v>#N/A</v>
      </c>
      <c r="AH626" s="65" t="e">
        <f t="shared" ca="1" si="107"/>
        <v>#N/A</v>
      </c>
      <c r="AI626" s="3" t="e">
        <f t="shared" ca="1" si="108"/>
        <v>#N/A</v>
      </c>
    </row>
    <row r="627" spans="7:35" ht="15.75" thickBot="1" x14ac:dyDescent="0.3">
      <c r="G627" s="3">
        <f t="shared" ca="1" si="100"/>
        <v>261</v>
      </c>
      <c r="H627" s="99">
        <f t="shared" ca="1" si="99"/>
        <v>45917</v>
      </c>
      <c r="I627" s="123">
        <f ca="1">HLOOKUP($H$4,'Met Data'!$A$2:$F$368,G627,FALSE)</f>
        <v>12.2125</v>
      </c>
      <c r="J627" s="121">
        <f ca="1">HLOOKUP($H$4,'Met Data'!$H$2:$M$368,G627,FALSE)*L627</f>
        <v>7.8199999999999994</v>
      </c>
      <c r="K627" s="100">
        <f ca="1">HLOOKUP($H$4,'Met Data'!$O$2:$T$368,G627,FALSE)</f>
        <v>2.0382752192881299</v>
      </c>
      <c r="L627">
        <f t="shared" ca="1" si="101"/>
        <v>1.7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5" t="e">
        <f t="shared" ca="1" si="106"/>
        <v>#N/A</v>
      </c>
      <c r="AH627" s="65" t="e">
        <f t="shared" ca="1" si="107"/>
        <v>#N/A</v>
      </c>
      <c r="AI627" s="3" t="e">
        <f t="shared" ca="1" si="108"/>
        <v>#N/A</v>
      </c>
    </row>
    <row r="628" spans="7:35" ht="15.75" thickBot="1" x14ac:dyDescent="0.3">
      <c r="G628" s="3">
        <f t="shared" ca="1" si="100"/>
        <v>262</v>
      </c>
      <c r="H628" s="99">
        <f t="shared" ca="1" si="99"/>
        <v>45918</v>
      </c>
      <c r="I628" s="123">
        <f ca="1">HLOOKUP($H$4,'Met Data'!$A$2:$F$368,G628,FALSE)</f>
        <v>11.35</v>
      </c>
      <c r="J628" s="121">
        <f ca="1">HLOOKUP($H$4,'Met Data'!$H$2:$M$368,G628,FALSE)*L628</f>
        <v>6.6866666666666612</v>
      </c>
      <c r="K628" s="100">
        <f ca="1">HLOOKUP($H$4,'Met Data'!$O$2:$T$368,G628,FALSE)</f>
        <v>2.00744960029109</v>
      </c>
      <c r="L628">
        <f t="shared" ca="1" si="101"/>
        <v>1.7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5" t="e">
        <f t="shared" ca="1" si="106"/>
        <v>#N/A</v>
      </c>
      <c r="AH628" s="65" t="e">
        <f t="shared" ca="1" si="107"/>
        <v>#N/A</v>
      </c>
      <c r="AI628" s="3" t="e">
        <f t="shared" ca="1" si="108"/>
        <v>#N/A</v>
      </c>
    </row>
    <row r="629" spans="7:35" ht="15.75" thickBot="1" x14ac:dyDescent="0.3">
      <c r="G629" s="3">
        <f t="shared" ca="1" si="100"/>
        <v>263</v>
      </c>
      <c r="H629" s="99">
        <f t="shared" ca="1" si="99"/>
        <v>45919</v>
      </c>
      <c r="I629" s="123">
        <f ca="1">HLOOKUP($H$4,'Met Data'!$A$2:$F$368,G629,FALSE)</f>
        <v>10.504166666666601</v>
      </c>
      <c r="J629" s="121">
        <f ca="1">HLOOKUP($H$4,'Met Data'!$H$2:$M$368,G629,FALSE)*L629</f>
        <v>14.846666666666662</v>
      </c>
      <c r="K629" s="100">
        <f ca="1">HLOOKUP($H$4,'Met Data'!$O$2:$T$368,G629,FALSE)</f>
        <v>1.9387559167362001</v>
      </c>
      <c r="L629">
        <f t="shared" ca="1" si="101"/>
        <v>1.7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5" t="e">
        <f t="shared" ca="1" si="106"/>
        <v>#N/A</v>
      </c>
      <c r="AH629" s="65" t="e">
        <f t="shared" ca="1" si="107"/>
        <v>#N/A</v>
      </c>
      <c r="AI629" s="3" t="e">
        <f t="shared" ca="1" si="108"/>
        <v>#N/A</v>
      </c>
    </row>
    <row r="630" spans="7:35" ht="15.75" thickBot="1" x14ac:dyDescent="0.3">
      <c r="G630" s="3">
        <f t="shared" ca="1" si="100"/>
        <v>264</v>
      </c>
      <c r="H630" s="99">
        <f t="shared" ca="1" si="99"/>
        <v>45920</v>
      </c>
      <c r="I630" s="123">
        <f ca="1">HLOOKUP($H$4,'Met Data'!$A$2:$F$368,G630,FALSE)</f>
        <v>10.387499999999999</v>
      </c>
      <c r="J630" s="121">
        <f ca="1">HLOOKUP($H$4,'Met Data'!$H$2:$M$368,G630,FALSE)*L630</f>
        <v>6.5449999999999999</v>
      </c>
      <c r="K630" s="100">
        <f ca="1">HLOOKUP($H$4,'Met Data'!$O$2:$T$368,G630,FALSE)</f>
        <v>2.0861830094945102</v>
      </c>
      <c r="L630">
        <f t="shared" ca="1" si="101"/>
        <v>1.7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5" t="e">
        <f t="shared" ca="1" si="106"/>
        <v>#N/A</v>
      </c>
      <c r="AH630" s="65" t="e">
        <f t="shared" ca="1" si="107"/>
        <v>#N/A</v>
      </c>
      <c r="AI630" s="3" t="e">
        <f t="shared" ca="1" si="108"/>
        <v>#N/A</v>
      </c>
    </row>
    <row r="631" spans="7:35" ht="15.75" thickBot="1" x14ac:dyDescent="0.3">
      <c r="G631" s="3">
        <f t="shared" ca="1" si="100"/>
        <v>265</v>
      </c>
      <c r="H631" s="99">
        <f t="shared" ca="1" si="99"/>
        <v>45921</v>
      </c>
      <c r="I631" s="123">
        <f ca="1">HLOOKUP($H$4,'Met Data'!$A$2:$F$368,G631,FALSE)</f>
        <v>9.85</v>
      </c>
      <c r="J631" s="121">
        <f ca="1">HLOOKUP($H$4,'Met Data'!$H$2:$M$368,G631,FALSE)*L631</f>
        <v>3.0599999999999832</v>
      </c>
      <c r="K631" s="100">
        <f ca="1">HLOOKUP($H$4,'Met Data'!$O$2:$T$368,G631,FALSE)</f>
        <v>2.1398164486974101</v>
      </c>
      <c r="L631">
        <f t="shared" ca="1" si="101"/>
        <v>1.7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5" t="e">
        <f t="shared" ca="1" si="106"/>
        <v>#N/A</v>
      </c>
      <c r="AH631" s="65" t="e">
        <f t="shared" ca="1" si="107"/>
        <v>#N/A</v>
      </c>
      <c r="AI631" s="3" t="e">
        <f t="shared" ca="1" si="108"/>
        <v>#N/A</v>
      </c>
    </row>
    <row r="632" spans="7:35" ht="15.75" thickBot="1" x14ac:dyDescent="0.3">
      <c r="G632" s="3">
        <f t="shared" ca="1" si="100"/>
        <v>266</v>
      </c>
      <c r="H632" s="99">
        <f t="shared" ca="1" si="99"/>
        <v>45922</v>
      </c>
      <c r="I632" s="123">
        <f ca="1">HLOOKUP($H$4,'Met Data'!$A$2:$F$368,G632,FALSE)</f>
        <v>10.158333333333299</v>
      </c>
      <c r="J632" s="121">
        <f ca="1">HLOOKUP($H$4,'Met Data'!$H$2:$M$368,G632,FALSE)*L632</f>
        <v>6.6866666666666612</v>
      </c>
      <c r="K632" s="100">
        <f ca="1">HLOOKUP($H$4,'Met Data'!$O$2:$T$368,G632,FALSE)</f>
        <v>2.31412085445224</v>
      </c>
      <c r="L632">
        <f t="shared" ca="1" si="101"/>
        <v>1.7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5" t="e">
        <f t="shared" ca="1" si="106"/>
        <v>#N/A</v>
      </c>
      <c r="AH632" s="65" t="e">
        <f t="shared" ca="1" si="107"/>
        <v>#N/A</v>
      </c>
      <c r="AI632" s="3" t="e">
        <f t="shared" ca="1" si="108"/>
        <v>#N/A</v>
      </c>
    </row>
    <row r="633" spans="7:35" ht="15.75" thickBot="1" x14ac:dyDescent="0.3">
      <c r="G633" s="3">
        <f t="shared" ca="1" si="100"/>
        <v>267</v>
      </c>
      <c r="H633" s="99">
        <f t="shared" ca="1" si="99"/>
        <v>45923</v>
      </c>
      <c r="I633" s="123">
        <f ca="1">HLOOKUP($H$4,'Met Data'!$A$2:$F$368,G633,FALSE)</f>
        <v>10.9625</v>
      </c>
      <c r="J633" s="121">
        <f ca="1">HLOOKUP($H$4,'Met Data'!$H$2:$M$368,G633,FALSE)*L633</f>
        <v>3.1733333333333218</v>
      </c>
      <c r="K633" s="100">
        <f ca="1">HLOOKUP($H$4,'Met Data'!$O$2:$T$368,G633,FALSE)</f>
        <v>2.2059606634486699</v>
      </c>
      <c r="L633">
        <f t="shared" ca="1" si="101"/>
        <v>1.7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5" t="e">
        <f t="shared" ca="1" si="106"/>
        <v>#N/A</v>
      </c>
      <c r="AH633" s="65" t="e">
        <f t="shared" ca="1" si="107"/>
        <v>#N/A</v>
      </c>
      <c r="AI633" s="3" t="e">
        <f t="shared" ca="1" si="108"/>
        <v>#N/A</v>
      </c>
    </row>
    <row r="634" spans="7:35" ht="15.75" thickBot="1" x14ac:dyDescent="0.3">
      <c r="G634" s="3">
        <f t="shared" ca="1" si="100"/>
        <v>268</v>
      </c>
      <c r="H634" s="99">
        <f t="shared" ca="1" si="99"/>
        <v>45924</v>
      </c>
      <c r="I634" s="123">
        <f ca="1">HLOOKUP($H$4,'Met Data'!$A$2:$F$368,G634,FALSE)</f>
        <v>11.6458333333333</v>
      </c>
      <c r="J634" s="121">
        <f ca="1">HLOOKUP($H$4,'Met Data'!$H$2:$M$368,G634,FALSE)*L634</f>
        <v>9.3783333333333232</v>
      </c>
      <c r="K634" s="100">
        <f ca="1">HLOOKUP($H$4,'Met Data'!$O$2:$T$368,G634,FALSE)</f>
        <v>1.6755097599300399</v>
      </c>
      <c r="L634">
        <f t="shared" ca="1" si="101"/>
        <v>1.7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5" t="e">
        <f t="shared" ca="1" si="106"/>
        <v>#N/A</v>
      </c>
      <c r="AH634" s="65" t="e">
        <f t="shared" ca="1" si="107"/>
        <v>#N/A</v>
      </c>
      <c r="AI634" s="3" t="e">
        <f t="shared" ca="1" si="108"/>
        <v>#N/A</v>
      </c>
    </row>
    <row r="635" spans="7:35" ht="15.75" thickBot="1" x14ac:dyDescent="0.3">
      <c r="G635" s="3">
        <f t="shared" ca="1" si="100"/>
        <v>269</v>
      </c>
      <c r="H635" s="99">
        <f t="shared" ca="1" si="99"/>
        <v>45925</v>
      </c>
      <c r="I635" s="123">
        <f ca="1">HLOOKUP($H$4,'Met Data'!$A$2:$F$368,G635,FALSE)</f>
        <v>12.112500000000001</v>
      </c>
      <c r="J635" s="121">
        <f ca="1">HLOOKUP($H$4,'Met Data'!$H$2:$M$368,G635,FALSE)*L635</f>
        <v>2.663333333333322</v>
      </c>
      <c r="K635" s="100">
        <f ca="1">HLOOKUP($H$4,'Met Data'!$O$2:$T$368,G635,FALSE)</f>
        <v>2.1669648664524801</v>
      </c>
      <c r="L635">
        <f t="shared" ca="1" si="101"/>
        <v>1.7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5" t="e">
        <f t="shared" ca="1" si="106"/>
        <v>#N/A</v>
      </c>
      <c r="AH635" s="65" t="e">
        <f t="shared" ca="1" si="107"/>
        <v>#N/A</v>
      </c>
      <c r="AI635" s="3" t="e">
        <f t="shared" ca="1" si="108"/>
        <v>#N/A</v>
      </c>
    </row>
    <row r="636" spans="7:35" ht="15.75" thickBot="1" x14ac:dyDescent="0.3">
      <c r="G636" s="3">
        <f t="shared" ca="1" si="100"/>
        <v>270</v>
      </c>
      <c r="H636" s="99">
        <f t="shared" ca="1" si="99"/>
        <v>45926</v>
      </c>
      <c r="I636" s="123">
        <f ca="1">HLOOKUP($H$4,'Met Data'!$A$2:$F$368,G636,FALSE)</f>
        <v>11.6875</v>
      </c>
      <c r="J636" s="121">
        <f ca="1">HLOOKUP($H$4,'Met Data'!$H$2:$M$368,G636,FALSE)*L636</f>
        <v>1.8416666666666608</v>
      </c>
      <c r="K636" s="100">
        <f ca="1">HLOOKUP($H$4,'Met Data'!$O$2:$T$368,G636,FALSE)</f>
        <v>2.2423317945335</v>
      </c>
      <c r="L636">
        <f t="shared" ca="1" si="101"/>
        <v>1.7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5" t="e">
        <f t="shared" ca="1" si="106"/>
        <v>#N/A</v>
      </c>
      <c r="AH636" s="65" t="e">
        <f t="shared" ca="1" si="107"/>
        <v>#N/A</v>
      </c>
      <c r="AI636" s="3" t="e">
        <f t="shared" ca="1" si="108"/>
        <v>#N/A</v>
      </c>
    </row>
    <row r="637" spans="7:35" ht="15.75" thickBot="1" x14ac:dyDescent="0.3">
      <c r="G637" s="3">
        <f t="shared" ca="1" si="100"/>
        <v>271</v>
      </c>
      <c r="H637" s="99">
        <f t="shared" ca="1" si="99"/>
        <v>45927</v>
      </c>
      <c r="I637" s="123">
        <f ca="1">HLOOKUP($H$4,'Met Data'!$A$2:$F$368,G637,FALSE)</f>
        <v>12.0541666666666</v>
      </c>
      <c r="J637" s="121">
        <f ca="1">HLOOKUP($H$4,'Met Data'!$H$2:$M$368,G637,FALSE)*L637</f>
        <v>1.7849999999999999</v>
      </c>
      <c r="K637" s="100">
        <f ca="1">HLOOKUP($H$4,'Met Data'!$O$2:$T$368,G637,FALSE)</f>
        <v>2.4484809787012698</v>
      </c>
      <c r="L637">
        <f t="shared" ca="1" si="101"/>
        <v>1.7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5" t="e">
        <f t="shared" ca="1" si="106"/>
        <v>#N/A</v>
      </c>
      <c r="AH637" s="65" t="e">
        <f t="shared" ca="1" si="107"/>
        <v>#N/A</v>
      </c>
      <c r="AI637" s="3" t="e">
        <f t="shared" ca="1" si="108"/>
        <v>#N/A</v>
      </c>
    </row>
    <row r="638" spans="7:35" ht="15.75" thickBot="1" x14ac:dyDescent="0.3">
      <c r="G638" s="3">
        <f t="shared" ca="1" si="100"/>
        <v>272</v>
      </c>
      <c r="H638" s="99">
        <f t="shared" ca="1" si="99"/>
        <v>45928</v>
      </c>
      <c r="I638" s="123">
        <f ca="1">HLOOKUP($H$4,'Met Data'!$A$2:$F$368,G638,FALSE)</f>
        <v>12.3291666666666</v>
      </c>
      <c r="J638" s="121">
        <f ca="1">HLOOKUP($H$4,'Met Data'!$H$2:$M$368,G638,FALSE)*L638</f>
        <v>8.754999999999983</v>
      </c>
      <c r="K638" s="100">
        <f ca="1">HLOOKUP($H$4,'Met Data'!$O$2:$T$368,G638,FALSE)</f>
        <v>2.13295390564413</v>
      </c>
      <c r="L638">
        <f t="shared" ca="1" si="101"/>
        <v>1.7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5" t="e">
        <f t="shared" ca="1" si="106"/>
        <v>#N/A</v>
      </c>
      <c r="AH638" s="65" t="e">
        <f t="shared" ca="1" si="107"/>
        <v>#N/A</v>
      </c>
      <c r="AI638" s="3" t="e">
        <f t="shared" ca="1" si="108"/>
        <v>#N/A</v>
      </c>
    </row>
    <row r="639" spans="7:35" ht="15.75" thickBot="1" x14ac:dyDescent="0.3">
      <c r="G639" s="3">
        <f t="shared" ca="1" si="100"/>
        <v>273</v>
      </c>
      <c r="H639" s="99">
        <f t="shared" ca="1" si="99"/>
        <v>45929</v>
      </c>
      <c r="I639" s="123">
        <f ca="1">HLOOKUP($H$4,'Met Data'!$A$2:$F$368,G639,FALSE)</f>
        <v>12.65</v>
      </c>
      <c r="J639" s="121">
        <f ca="1">HLOOKUP($H$4,'Met Data'!$H$2:$M$368,G639,FALSE)*L639</f>
        <v>3.6549999999999998</v>
      </c>
      <c r="K639" s="100">
        <f ca="1">HLOOKUP($H$4,'Met Data'!$O$2:$T$368,G639,FALSE)</f>
        <v>2.3067555107961</v>
      </c>
      <c r="L639">
        <f t="shared" ca="1" si="101"/>
        <v>1.7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5" t="e">
        <f t="shared" ca="1" si="106"/>
        <v>#N/A</v>
      </c>
      <c r="AH639" s="65" t="e">
        <f t="shared" ca="1" si="107"/>
        <v>#N/A</v>
      </c>
      <c r="AI639" s="3" t="e">
        <f t="shared" ca="1" si="108"/>
        <v>#N/A</v>
      </c>
    </row>
    <row r="640" spans="7:35" ht="15.75" thickBot="1" x14ac:dyDescent="0.3">
      <c r="G640" s="3">
        <f t="shared" ca="1" si="100"/>
        <v>274</v>
      </c>
      <c r="H640" s="99">
        <f t="shared" ca="1" si="99"/>
        <v>45930</v>
      </c>
      <c r="I640" s="123">
        <f ca="1">HLOOKUP($H$4,'Met Data'!$A$2:$F$368,G640,FALSE)</f>
        <v>12.5208333333333</v>
      </c>
      <c r="J640" s="121">
        <f ca="1">HLOOKUP($H$4,'Met Data'!$H$2:$M$368,G640,FALSE)*L640</f>
        <v>9.5483333333333213</v>
      </c>
      <c r="K640" s="100">
        <f ca="1">HLOOKUP($H$4,'Met Data'!$O$2:$T$368,G640,FALSE)</f>
        <v>2.4465918649770302</v>
      </c>
      <c r="L640">
        <f t="shared" ca="1" si="101"/>
        <v>1.7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5" t="e">
        <f t="shared" ca="1" si="106"/>
        <v>#N/A</v>
      </c>
      <c r="AH640" s="65" t="e">
        <f t="shared" ca="1" si="107"/>
        <v>#N/A</v>
      </c>
      <c r="AI640" s="3" t="e">
        <f t="shared" ca="1" si="108"/>
        <v>#N/A</v>
      </c>
    </row>
    <row r="641" spans="7:35" ht="15.75" thickBot="1" x14ac:dyDescent="0.3">
      <c r="G641" s="3">
        <f t="shared" ca="1" si="100"/>
        <v>275</v>
      </c>
      <c r="H641" s="99">
        <f t="shared" ca="1" si="99"/>
        <v>45931</v>
      </c>
      <c r="I641" s="123">
        <f ca="1">HLOOKUP($H$4,'Met Data'!$A$2:$F$368,G641,FALSE)</f>
        <v>11.65</v>
      </c>
      <c r="J641" s="121">
        <f ca="1">HLOOKUP($H$4,'Met Data'!$H$2:$M$368,G641,FALSE)*L641</f>
        <v>3.9950000000000001</v>
      </c>
      <c r="K641" s="100">
        <f ca="1">HLOOKUP($H$4,'Met Data'!$O$2:$T$368,G641,FALSE)</f>
        <v>2.46735033441291</v>
      </c>
      <c r="L641">
        <f t="shared" ca="1" si="101"/>
        <v>1.7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5" t="e">
        <f t="shared" ca="1" si="106"/>
        <v>#N/A</v>
      </c>
      <c r="AH641" s="65" t="e">
        <f t="shared" ca="1" si="107"/>
        <v>#N/A</v>
      </c>
      <c r="AI641" s="3" t="e">
        <f t="shared" ca="1" si="108"/>
        <v>#N/A</v>
      </c>
    </row>
    <row r="642" spans="7:35" ht="15.75" thickBot="1" x14ac:dyDescent="0.3">
      <c r="G642" s="3">
        <f t="shared" ca="1" si="100"/>
        <v>276</v>
      </c>
      <c r="H642" s="99">
        <f t="shared" ca="1" si="99"/>
        <v>45932</v>
      </c>
      <c r="I642" s="123">
        <f ca="1">HLOOKUP($H$4,'Met Data'!$A$2:$F$368,G642,FALSE)</f>
        <v>12.0166666666666</v>
      </c>
      <c r="J642" s="121">
        <f ca="1">HLOOKUP($H$4,'Met Data'!$H$2:$M$368,G642,FALSE)*L642</f>
        <v>3.881666666666661</v>
      </c>
      <c r="K642" s="100">
        <f ca="1">HLOOKUP($H$4,'Met Data'!$O$2:$T$368,G642,FALSE)</f>
        <v>2.1199025888480301</v>
      </c>
      <c r="L642">
        <f t="shared" ca="1" si="101"/>
        <v>1.7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5" t="e">
        <f t="shared" ca="1" si="106"/>
        <v>#N/A</v>
      </c>
      <c r="AH642" s="65" t="e">
        <f t="shared" ca="1" si="107"/>
        <v>#N/A</v>
      </c>
      <c r="AI642" s="3" t="e">
        <f t="shared" ca="1" si="108"/>
        <v>#N/A</v>
      </c>
    </row>
    <row r="643" spans="7:35" ht="15.75" thickBot="1" x14ac:dyDescent="0.3">
      <c r="G643" s="3">
        <f t="shared" ca="1" si="100"/>
        <v>277</v>
      </c>
      <c r="H643" s="99">
        <f t="shared" ca="1" si="99"/>
        <v>45933</v>
      </c>
      <c r="I643" s="123">
        <f ca="1">HLOOKUP($H$4,'Met Data'!$A$2:$F$368,G643,FALSE)</f>
        <v>12.941666666666601</v>
      </c>
      <c r="J643" s="121">
        <f ca="1">HLOOKUP($H$4,'Met Data'!$H$2:$M$368,G643,FALSE)*L643</f>
        <v>7.2533333333333223</v>
      </c>
      <c r="K643" s="100">
        <f ca="1">HLOOKUP($H$4,'Met Data'!$O$2:$T$368,G643,FALSE)</f>
        <v>2.6275875550097898</v>
      </c>
      <c r="L643">
        <f t="shared" ca="1" si="101"/>
        <v>1.7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5" t="e">
        <f t="shared" ca="1" si="106"/>
        <v>#N/A</v>
      </c>
      <c r="AH643" s="65" t="e">
        <f t="shared" ca="1" si="107"/>
        <v>#N/A</v>
      </c>
      <c r="AI643" s="3" t="e">
        <f t="shared" ca="1" si="108"/>
        <v>#N/A</v>
      </c>
    </row>
    <row r="644" spans="7:35" ht="15.75" thickBot="1" x14ac:dyDescent="0.3">
      <c r="G644" s="3">
        <f t="shared" ca="1" si="100"/>
        <v>278</v>
      </c>
      <c r="H644" s="99">
        <f t="shared" ca="1" si="99"/>
        <v>45934</v>
      </c>
      <c r="I644" s="123">
        <f ca="1">HLOOKUP($H$4,'Met Data'!$A$2:$F$368,G644,FALSE)</f>
        <v>11.95</v>
      </c>
      <c r="J644" s="121">
        <f ca="1">HLOOKUP($H$4,'Met Data'!$H$2:$M$368,G644,FALSE)*L644</f>
        <v>1.926666666666661</v>
      </c>
      <c r="K644" s="100">
        <f ca="1">HLOOKUP($H$4,'Met Data'!$O$2:$T$368,G644,FALSE)</f>
        <v>2.2251605523882798</v>
      </c>
      <c r="L644">
        <f t="shared" ca="1" si="101"/>
        <v>1.7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5" t="e">
        <f t="shared" ca="1" si="106"/>
        <v>#N/A</v>
      </c>
      <c r="AH644" s="65" t="e">
        <f t="shared" ca="1" si="107"/>
        <v>#N/A</v>
      </c>
      <c r="AI644" s="3" t="e">
        <f t="shared" ca="1" si="108"/>
        <v>#N/A</v>
      </c>
    </row>
    <row r="645" spans="7:35" ht="15.75" thickBot="1" x14ac:dyDescent="0.3">
      <c r="G645" s="3">
        <f t="shared" ca="1" si="100"/>
        <v>279</v>
      </c>
      <c r="H645" s="99">
        <f t="shared" ca="1" si="99"/>
        <v>45935</v>
      </c>
      <c r="I645" s="123">
        <f ca="1">HLOOKUP($H$4,'Met Data'!$A$2:$F$368,G645,FALSE)</f>
        <v>11.8958333333333</v>
      </c>
      <c r="J645" s="121">
        <f ca="1">HLOOKUP($H$4,'Met Data'!$H$2:$M$368,G645,FALSE)*L645</f>
        <v>3.5133333333333221</v>
      </c>
      <c r="K645" s="100">
        <f ca="1">HLOOKUP($H$4,'Met Data'!$O$2:$T$368,G645,FALSE)</f>
        <v>2.2142725820580198</v>
      </c>
      <c r="L645">
        <f t="shared" ca="1" si="101"/>
        <v>1.7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5" t="e">
        <f t="shared" ca="1" si="106"/>
        <v>#N/A</v>
      </c>
      <c r="AH645" s="65" t="e">
        <f t="shared" ca="1" si="107"/>
        <v>#N/A</v>
      </c>
      <c r="AI645" s="3" t="e">
        <f t="shared" ca="1" si="108"/>
        <v>#N/A</v>
      </c>
    </row>
    <row r="646" spans="7:35" ht="15.75" thickBot="1" x14ac:dyDescent="0.3">
      <c r="G646" s="3">
        <f t="shared" ca="1" si="100"/>
        <v>280</v>
      </c>
      <c r="H646" s="99">
        <f t="shared" ca="1" si="99"/>
        <v>45936</v>
      </c>
      <c r="I646" s="123">
        <f ca="1">HLOOKUP($H$4,'Met Data'!$A$2:$F$368,G646,FALSE)</f>
        <v>11.8333333333333</v>
      </c>
      <c r="J646" s="121">
        <f ca="1">HLOOKUP($H$4,'Met Data'!$H$2:$M$368,G646,FALSE)*L646</f>
        <v>2.4366666666666608</v>
      </c>
      <c r="K646" s="100">
        <f ca="1">HLOOKUP($H$4,'Met Data'!$O$2:$T$368,G646,FALSE)</f>
        <v>2.5217662070296001</v>
      </c>
      <c r="L646">
        <f t="shared" ca="1" si="101"/>
        <v>1.7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5" t="e">
        <f t="shared" ca="1" si="106"/>
        <v>#N/A</v>
      </c>
      <c r="AH646" s="65" t="e">
        <f t="shared" ca="1" si="107"/>
        <v>#N/A</v>
      </c>
      <c r="AI646" s="3" t="e">
        <f t="shared" ca="1" si="108"/>
        <v>#N/A</v>
      </c>
    </row>
    <row r="647" spans="7:35" ht="15.75" thickBot="1" x14ac:dyDescent="0.3">
      <c r="G647" s="3">
        <f t="shared" ca="1" si="100"/>
        <v>281</v>
      </c>
      <c r="H647" s="99">
        <f t="shared" ca="1" si="99"/>
        <v>45937</v>
      </c>
      <c r="I647" s="123">
        <f ca="1">HLOOKUP($H$4,'Met Data'!$A$2:$F$368,G647,FALSE)</f>
        <v>12.133333333333301</v>
      </c>
      <c r="J647" s="121">
        <f ca="1">HLOOKUP($H$4,'Met Data'!$H$2:$M$368,G647,FALSE)*L647</f>
        <v>2.5499999999999998</v>
      </c>
      <c r="K647" s="100">
        <f ca="1">HLOOKUP($H$4,'Met Data'!$O$2:$T$368,G647,FALSE)</f>
        <v>2.4929362431341402</v>
      </c>
      <c r="L647">
        <f t="shared" ca="1" si="101"/>
        <v>1.7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5" t="e">
        <f t="shared" ca="1" si="106"/>
        <v>#N/A</v>
      </c>
      <c r="AH647" s="65" t="e">
        <f t="shared" ca="1" si="107"/>
        <v>#N/A</v>
      </c>
      <c r="AI647" s="3" t="e">
        <f t="shared" ca="1" si="108"/>
        <v>#N/A</v>
      </c>
    </row>
    <row r="648" spans="7:35" ht="15.75" thickBot="1" x14ac:dyDescent="0.3">
      <c r="G648" s="3">
        <f t="shared" ca="1" si="100"/>
        <v>282</v>
      </c>
      <c r="H648" s="99">
        <f t="shared" ref="H648:H711" ca="1" si="109">H647+1</f>
        <v>45938</v>
      </c>
      <c r="I648" s="123">
        <f ca="1">HLOOKUP($H$4,'Met Data'!$A$2:$F$368,G648,FALSE)</f>
        <v>11.8708333333333</v>
      </c>
      <c r="J648" s="121">
        <f ca="1">HLOOKUP($H$4,'Met Data'!$H$2:$M$368,G648,FALSE)*L648</f>
        <v>7.111666666666661</v>
      </c>
      <c r="K648" s="100">
        <f ca="1">HLOOKUP($H$4,'Met Data'!$O$2:$T$368,G648,FALSE)</f>
        <v>2.0932595279969002</v>
      </c>
      <c r="L648">
        <f t="shared" ca="1" si="101"/>
        <v>1.7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5" t="e">
        <f t="shared" ca="1" si="106"/>
        <v>#N/A</v>
      </c>
      <c r="AH648" s="65" t="e">
        <f t="shared" ca="1" si="107"/>
        <v>#N/A</v>
      </c>
      <c r="AI648" s="3" t="e">
        <f t="shared" ca="1" si="108"/>
        <v>#N/A</v>
      </c>
    </row>
    <row r="649" spans="7:35" ht="15.75" thickBot="1" x14ac:dyDescent="0.3">
      <c r="G649" s="3">
        <f t="shared" ca="1" si="100"/>
        <v>283</v>
      </c>
      <c r="H649" s="99">
        <f t="shared" ca="1" si="109"/>
        <v>45939</v>
      </c>
      <c r="I649" s="123">
        <f ca="1">HLOOKUP($H$4,'Met Data'!$A$2:$F$368,G649,FALSE)</f>
        <v>11.529166666666599</v>
      </c>
      <c r="J649" s="121">
        <f ca="1">HLOOKUP($H$4,'Met Data'!$H$2:$M$368,G649,FALSE)*L649</f>
        <v>3.768333333333322</v>
      </c>
      <c r="K649" s="100">
        <f ca="1">HLOOKUP($H$4,'Met Data'!$O$2:$T$368,G649,FALSE)</f>
        <v>2.3166472445358202</v>
      </c>
      <c r="L649">
        <f t="shared" ca="1" si="101"/>
        <v>1.7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5" t="e">
        <f t="shared" ca="1" si="106"/>
        <v>#N/A</v>
      </c>
      <c r="AH649" s="65" t="e">
        <f t="shared" ca="1" si="107"/>
        <v>#N/A</v>
      </c>
      <c r="AI649" s="3" t="e">
        <f t="shared" ca="1" si="108"/>
        <v>#N/A</v>
      </c>
    </row>
    <row r="650" spans="7:35" ht="15.75" thickBot="1" x14ac:dyDescent="0.3">
      <c r="G650" s="3">
        <f t="shared" ca="1" si="100"/>
        <v>284</v>
      </c>
      <c r="H650" s="99">
        <f t="shared" ca="1" si="109"/>
        <v>45940</v>
      </c>
      <c r="I650" s="123">
        <f ca="1">HLOOKUP($H$4,'Met Data'!$A$2:$F$368,G650,FALSE)</f>
        <v>11.316666666666601</v>
      </c>
      <c r="J650" s="121">
        <f ca="1">HLOOKUP($H$4,'Met Data'!$H$2:$M$368,G650,FALSE)*L650</f>
        <v>5.071666666666661</v>
      </c>
      <c r="K650" s="100">
        <f ca="1">HLOOKUP($H$4,'Met Data'!$O$2:$T$368,G650,FALSE)</f>
        <v>2.57259273420483</v>
      </c>
      <c r="L650">
        <f t="shared" ca="1" si="101"/>
        <v>1.7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5" t="e">
        <f t="shared" ca="1" si="106"/>
        <v>#N/A</v>
      </c>
      <c r="AH650" s="65" t="e">
        <f t="shared" ca="1" si="107"/>
        <v>#N/A</v>
      </c>
      <c r="AI650" s="3" t="e">
        <f t="shared" ca="1" si="108"/>
        <v>#N/A</v>
      </c>
    </row>
    <row r="651" spans="7:35" ht="15.75" thickBot="1" x14ac:dyDescent="0.3">
      <c r="G651" s="3">
        <f t="shared" ca="1" si="100"/>
        <v>285</v>
      </c>
      <c r="H651" s="99">
        <f t="shared" ca="1" si="109"/>
        <v>45941</v>
      </c>
      <c r="I651" s="123">
        <f ca="1">HLOOKUP($H$4,'Met Data'!$A$2:$F$368,G651,FALSE)</f>
        <v>12.466666666666599</v>
      </c>
      <c r="J651" s="121">
        <f ca="1">HLOOKUP($H$4,'Met Data'!$H$2:$M$368,G651,FALSE)*L651</f>
        <v>6.0066666666666606</v>
      </c>
      <c r="K651" s="100">
        <f ca="1">HLOOKUP($H$4,'Met Data'!$O$2:$T$368,G651,FALSE)</f>
        <v>2.44735536591925</v>
      </c>
      <c r="L651">
        <f t="shared" ca="1" si="101"/>
        <v>1.7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5" t="e">
        <f t="shared" ca="1" si="106"/>
        <v>#N/A</v>
      </c>
      <c r="AH651" s="65" t="e">
        <f t="shared" ca="1" si="107"/>
        <v>#N/A</v>
      </c>
      <c r="AI651" s="3" t="e">
        <f t="shared" ca="1" si="108"/>
        <v>#N/A</v>
      </c>
    </row>
    <row r="652" spans="7:35" ht="15.75" thickBot="1" x14ac:dyDescent="0.3">
      <c r="G652" s="3">
        <f t="shared" ca="1" si="100"/>
        <v>286</v>
      </c>
      <c r="H652" s="99">
        <f t="shared" ca="1" si="109"/>
        <v>45942</v>
      </c>
      <c r="I652" s="123">
        <f ca="1">HLOOKUP($H$4,'Met Data'!$A$2:$F$368,G652,FALSE)</f>
        <v>12.566666666666601</v>
      </c>
      <c r="J652" s="121">
        <f ca="1">HLOOKUP($H$4,'Met Data'!$H$2:$M$368,G652,FALSE)*L652</f>
        <v>3.2016666666666609</v>
      </c>
      <c r="K652" s="100">
        <f ca="1">HLOOKUP($H$4,'Met Data'!$O$2:$T$368,G652,FALSE)</f>
        <v>2.6706436990123898</v>
      </c>
      <c r="L652">
        <f t="shared" ca="1" si="101"/>
        <v>1.7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5" t="e">
        <f t="shared" ca="1" si="106"/>
        <v>#N/A</v>
      </c>
      <c r="AH652" s="65" t="e">
        <f t="shared" ca="1" si="107"/>
        <v>#N/A</v>
      </c>
      <c r="AI652" s="3" t="e">
        <f t="shared" ca="1" si="108"/>
        <v>#N/A</v>
      </c>
    </row>
    <row r="653" spans="7:35" ht="15.75" thickBot="1" x14ac:dyDescent="0.3">
      <c r="G653" s="3">
        <f t="shared" ca="1" si="100"/>
        <v>287</v>
      </c>
      <c r="H653" s="99">
        <f t="shared" ca="1" si="109"/>
        <v>45943</v>
      </c>
      <c r="I653" s="123">
        <f ca="1">HLOOKUP($H$4,'Met Data'!$A$2:$F$368,G653,FALSE)</f>
        <v>12.133333333333301</v>
      </c>
      <c r="J653" s="121">
        <f ca="1">HLOOKUP($H$4,'Met Data'!$H$2:$M$368,G653,FALSE)*L653</f>
        <v>4.5333333333333217</v>
      </c>
      <c r="K653" s="100">
        <f ca="1">HLOOKUP($H$4,'Met Data'!$O$2:$T$368,G653,FALSE)</f>
        <v>1.9257972512671799</v>
      </c>
      <c r="L653">
        <f t="shared" ca="1" si="101"/>
        <v>1.7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5" t="e">
        <f t="shared" ca="1" si="106"/>
        <v>#N/A</v>
      </c>
      <c r="AH653" s="65" t="e">
        <f t="shared" ca="1" si="107"/>
        <v>#N/A</v>
      </c>
      <c r="AI653" s="3" t="e">
        <f t="shared" ca="1" si="108"/>
        <v>#N/A</v>
      </c>
    </row>
    <row r="654" spans="7:35" ht="15.75" thickBot="1" x14ac:dyDescent="0.3">
      <c r="G654" s="3">
        <f t="shared" ca="1" si="100"/>
        <v>288</v>
      </c>
      <c r="H654" s="99">
        <f t="shared" ca="1" si="109"/>
        <v>45944</v>
      </c>
      <c r="I654" s="123">
        <f ca="1">HLOOKUP($H$4,'Met Data'!$A$2:$F$368,G654,FALSE)</f>
        <v>12.762499999999999</v>
      </c>
      <c r="J654" s="121">
        <f ca="1">HLOOKUP($H$4,'Met Data'!$H$2:$M$368,G654,FALSE)*L654</f>
        <v>6.1766666666666614</v>
      </c>
      <c r="K654" s="100">
        <f ca="1">HLOOKUP($H$4,'Met Data'!$O$2:$T$368,G654,FALSE)</f>
        <v>2.2182002807721002</v>
      </c>
      <c r="L654">
        <f t="shared" ca="1" si="101"/>
        <v>1.7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5" t="e">
        <f t="shared" ca="1" si="106"/>
        <v>#N/A</v>
      </c>
      <c r="AH654" s="65" t="e">
        <f t="shared" ca="1" si="107"/>
        <v>#N/A</v>
      </c>
      <c r="AI654" s="3" t="e">
        <f t="shared" ca="1" si="108"/>
        <v>#N/A</v>
      </c>
    </row>
    <row r="655" spans="7:35" ht="15.75" thickBot="1" x14ac:dyDescent="0.3">
      <c r="G655" s="3">
        <f t="shared" ca="1" si="100"/>
        <v>289</v>
      </c>
      <c r="H655" s="99">
        <f t="shared" ca="1" si="109"/>
        <v>45945</v>
      </c>
      <c r="I655" s="123">
        <f ca="1">HLOOKUP($H$4,'Met Data'!$A$2:$F$368,G655,FALSE)</f>
        <v>12.675000000000001</v>
      </c>
      <c r="J655" s="121">
        <f ca="1">HLOOKUP($H$4,'Met Data'!$H$2:$M$368,G655,FALSE)*L655</f>
        <v>7.1683333333333215</v>
      </c>
      <c r="K655" s="100">
        <f ca="1">HLOOKUP($H$4,'Met Data'!$O$2:$T$368,G655,FALSE)</f>
        <v>2.3809243707544998</v>
      </c>
      <c r="L655">
        <f t="shared" ca="1" si="101"/>
        <v>1.7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5" t="e">
        <f t="shared" ca="1" si="106"/>
        <v>#N/A</v>
      </c>
      <c r="AH655" s="65" t="e">
        <f t="shared" ca="1" si="107"/>
        <v>#N/A</v>
      </c>
      <c r="AI655" s="3" t="e">
        <f t="shared" ca="1" si="108"/>
        <v>#N/A</v>
      </c>
    </row>
    <row r="656" spans="7:35" ht="15.75" thickBot="1" x14ac:dyDescent="0.3">
      <c r="G656" s="3">
        <f t="shared" ca="1" si="100"/>
        <v>290</v>
      </c>
      <c r="H656" s="99">
        <f t="shared" ca="1" si="109"/>
        <v>45946</v>
      </c>
      <c r="I656" s="123">
        <f ca="1">HLOOKUP($H$4,'Met Data'!$A$2:$F$368,G656,FALSE)</f>
        <v>12.3041666666666</v>
      </c>
      <c r="J656" s="121">
        <f ca="1">HLOOKUP($H$4,'Met Data'!$H$2:$M$368,G656,FALSE)*L656</f>
        <v>2.4933333333333216</v>
      </c>
      <c r="K656" s="100">
        <f ca="1">HLOOKUP($H$4,'Met Data'!$O$2:$T$368,G656,FALSE)</f>
        <v>2.7800377367024298</v>
      </c>
      <c r="L656">
        <f t="shared" ca="1" si="101"/>
        <v>1.7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5" t="e">
        <f t="shared" ca="1" si="106"/>
        <v>#N/A</v>
      </c>
      <c r="AH656" s="65" t="e">
        <f t="shared" ca="1" si="107"/>
        <v>#N/A</v>
      </c>
      <c r="AI656" s="3" t="e">
        <f t="shared" ca="1" si="108"/>
        <v>#N/A</v>
      </c>
    </row>
    <row r="657" spans="7:35" ht="15.75" thickBot="1" x14ac:dyDescent="0.3">
      <c r="G657" s="3">
        <f t="shared" ca="1" si="100"/>
        <v>291</v>
      </c>
      <c r="H657" s="99">
        <f t="shared" ca="1" si="109"/>
        <v>45947</v>
      </c>
      <c r="I657" s="123">
        <f ca="1">HLOOKUP($H$4,'Met Data'!$A$2:$F$368,G657,FALSE)</f>
        <v>12.987499999999899</v>
      </c>
      <c r="J657" s="121">
        <f ca="1">HLOOKUP($H$4,'Met Data'!$H$2:$M$368,G657,FALSE)*L657</f>
        <v>4.6749999999999998</v>
      </c>
      <c r="K657" s="100">
        <f ca="1">HLOOKUP($H$4,'Met Data'!$O$2:$T$368,G657,FALSE)</f>
        <v>2.65151934906442</v>
      </c>
      <c r="L657">
        <f t="shared" ca="1" si="101"/>
        <v>1.7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5" t="e">
        <f t="shared" ca="1" si="106"/>
        <v>#N/A</v>
      </c>
      <c r="AH657" s="65" t="e">
        <f t="shared" ca="1" si="107"/>
        <v>#N/A</v>
      </c>
      <c r="AI657" s="3" t="e">
        <f t="shared" ca="1" si="108"/>
        <v>#N/A</v>
      </c>
    </row>
    <row r="658" spans="7:35" ht="15.75" thickBot="1" x14ac:dyDescent="0.3">
      <c r="G658" s="3">
        <f t="shared" ca="1" si="100"/>
        <v>292</v>
      </c>
      <c r="H658" s="99">
        <f t="shared" ca="1" si="109"/>
        <v>45948</v>
      </c>
      <c r="I658" s="123">
        <f ca="1">HLOOKUP($H$4,'Met Data'!$A$2:$F$368,G658,FALSE)</f>
        <v>12.7416666666666</v>
      </c>
      <c r="J658" s="121">
        <f ca="1">HLOOKUP($H$4,'Met Data'!$H$2:$M$368,G658,FALSE)*L658</f>
        <v>5.2133333333333223</v>
      </c>
      <c r="K658" s="100">
        <f ca="1">HLOOKUP($H$4,'Met Data'!$O$2:$T$368,G658,FALSE)</f>
        <v>2.2346438003254501</v>
      </c>
      <c r="L658">
        <f t="shared" ca="1" si="101"/>
        <v>1.7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5" t="e">
        <f t="shared" ca="1" si="106"/>
        <v>#N/A</v>
      </c>
      <c r="AH658" s="65" t="e">
        <f t="shared" ca="1" si="107"/>
        <v>#N/A</v>
      </c>
      <c r="AI658" s="3" t="e">
        <f t="shared" ca="1" si="108"/>
        <v>#N/A</v>
      </c>
    </row>
    <row r="659" spans="7:35" ht="15.75" thickBot="1" x14ac:dyDescent="0.3">
      <c r="G659" s="3">
        <f t="shared" ca="1" si="100"/>
        <v>293</v>
      </c>
      <c r="H659" s="99">
        <f t="shared" ca="1" si="109"/>
        <v>45949</v>
      </c>
      <c r="I659" s="123">
        <f ca="1">HLOOKUP($H$4,'Met Data'!$A$2:$F$368,G659,FALSE)</f>
        <v>12.154166666666599</v>
      </c>
      <c r="J659" s="121">
        <f ca="1">HLOOKUP($H$4,'Met Data'!$H$2:$M$368,G659,FALSE)*L659</f>
        <v>1.87</v>
      </c>
      <c r="K659" s="100">
        <f ca="1">HLOOKUP($H$4,'Met Data'!$O$2:$T$368,G659,FALSE)</f>
        <v>2.9905003990183601</v>
      </c>
      <c r="L659">
        <f t="shared" ca="1" si="101"/>
        <v>1.7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5" t="e">
        <f t="shared" ca="1" si="106"/>
        <v>#N/A</v>
      </c>
      <c r="AH659" s="65" t="e">
        <f t="shared" ca="1" si="107"/>
        <v>#N/A</v>
      </c>
      <c r="AI659" s="3" t="e">
        <f t="shared" ca="1" si="108"/>
        <v>#N/A</v>
      </c>
    </row>
    <row r="660" spans="7:35" ht="15.75" thickBot="1" x14ac:dyDescent="0.3">
      <c r="G660" s="3">
        <f t="shared" ca="1" si="100"/>
        <v>294</v>
      </c>
      <c r="H660" s="99">
        <f t="shared" ca="1" si="109"/>
        <v>45950</v>
      </c>
      <c r="I660" s="123">
        <f ca="1">HLOOKUP($H$4,'Met Data'!$A$2:$F$368,G660,FALSE)</f>
        <v>12.6666666666666</v>
      </c>
      <c r="J660" s="121">
        <f ca="1">HLOOKUP($H$4,'Met Data'!$H$2:$M$368,G660,FALSE)*L660</f>
        <v>1.926666666666661</v>
      </c>
      <c r="K660" s="100">
        <f ca="1">HLOOKUP($H$4,'Met Data'!$O$2:$T$368,G660,FALSE)</f>
        <v>2.7134262355768599</v>
      </c>
      <c r="L660">
        <f t="shared" ca="1" si="101"/>
        <v>1.7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5" t="e">
        <f t="shared" ca="1" si="106"/>
        <v>#N/A</v>
      </c>
      <c r="AH660" s="65" t="e">
        <f t="shared" ca="1" si="107"/>
        <v>#N/A</v>
      </c>
      <c r="AI660" s="3" t="e">
        <f t="shared" ca="1" si="108"/>
        <v>#N/A</v>
      </c>
    </row>
    <row r="661" spans="7:35" ht="15.75" thickBot="1" x14ac:dyDescent="0.3">
      <c r="G661" s="3">
        <f t="shared" ca="1" si="100"/>
        <v>295</v>
      </c>
      <c r="H661" s="99">
        <f t="shared" ca="1" si="109"/>
        <v>45951</v>
      </c>
      <c r="I661" s="123">
        <f ca="1">HLOOKUP($H$4,'Met Data'!$A$2:$F$368,G661,FALSE)</f>
        <v>12.4916666666666</v>
      </c>
      <c r="J661" s="121">
        <f ca="1">HLOOKUP($H$4,'Met Data'!$H$2:$M$368,G661,FALSE)*L661</f>
        <v>0.8783333333333323</v>
      </c>
      <c r="K661" s="100">
        <f ca="1">HLOOKUP($H$4,'Met Data'!$O$2:$T$368,G661,FALSE)</f>
        <v>2.2874725559703002</v>
      </c>
      <c r="L661">
        <f t="shared" ca="1" si="101"/>
        <v>1.7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5" t="e">
        <f t="shared" ca="1" si="106"/>
        <v>#N/A</v>
      </c>
      <c r="AH661" s="65" t="e">
        <f t="shared" ca="1" si="107"/>
        <v>#N/A</v>
      </c>
      <c r="AI661" s="3" t="e">
        <f t="shared" ca="1" si="108"/>
        <v>#N/A</v>
      </c>
    </row>
    <row r="662" spans="7:35" ht="15.75" thickBot="1" x14ac:dyDescent="0.3">
      <c r="G662" s="3">
        <f t="shared" ca="1" si="100"/>
        <v>296</v>
      </c>
      <c r="H662" s="99">
        <f t="shared" ca="1" si="109"/>
        <v>45952</v>
      </c>
      <c r="I662" s="123">
        <f ca="1">HLOOKUP($H$4,'Met Data'!$A$2:$F$368,G662,FALSE)</f>
        <v>12.925000000000001</v>
      </c>
      <c r="J662" s="121">
        <f ca="1">HLOOKUP($H$4,'Met Data'!$H$2:$M$368,G662,FALSE)*L662</f>
        <v>6.3183333333333218</v>
      </c>
      <c r="K662" s="100">
        <f ca="1">HLOOKUP($H$4,'Met Data'!$O$2:$T$368,G662,FALSE)</f>
        <v>2.31884542682567</v>
      </c>
      <c r="L662">
        <f t="shared" ca="1" si="101"/>
        <v>1.7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5" t="e">
        <f t="shared" ca="1" si="106"/>
        <v>#N/A</v>
      </c>
      <c r="AH662" s="65" t="e">
        <f t="shared" ca="1" si="107"/>
        <v>#N/A</v>
      </c>
      <c r="AI662" s="3" t="e">
        <f t="shared" ca="1" si="108"/>
        <v>#N/A</v>
      </c>
    </row>
    <row r="663" spans="7:35" ht="15.75" thickBot="1" x14ac:dyDescent="0.3">
      <c r="G663" s="3">
        <f t="shared" ca="1" si="100"/>
        <v>297</v>
      </c>
      <c r="H663" s="99">
        <f t="shared" ca="1" si="109"/>
        <v>45953</v>
      </c>
      <c r="I663" s="123">
        <f ca="1">HLOOKUP($H$4,'Met Data'!$A$2:$F$368,G663,FALSE)</f>
        <v>12.2291666666666</v>
      </c>
      <c r="J663" s="121">
        <f ca="1">HLOOKUP($H$4,'Met Data'!$H$2:$M$368,G663,FALSE)*L663</f>
        <v>4.8166666666666611</v>
      </c>
      <c r="K663" s="100">
        <f ca="1">HLOOKUP($H$4,'Met Data'!$O$2:$T$368,G663,FALSE)</f>
        <v>2.7150999093147798</v>
      </c>
      <c r="L663">
        <f t="shared" ca="1" si="101"/>
        <v>1.7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5" t="e">
        <f t="shared" ca="1" si="106"/>
        <v>#N/A</v>
      </c>
      <c r="AH663" s="65" t="e">
        <f t="shared" ca="1" si="107"/>
        <v>#N/A</v>
      </c>
      <c r="AI663" s="3" t="e">
        <f t="shared" ca="1" si="108"/>
        <v>#N/A</v>
      </c>
    </row>
    <row r="664" spans="7:35" ht="15.75" thickBot="1" x14ac:dyDescent="0.3">
      <c r="G664" s="3">
        <f t="shared" ca="1" si="100"/>
        <v>298</v>
      </c>
      <c r="H664" s="99">
        <f t="shared" ca="1" si="109"/>
        <v>45954</v>
      </c>
      <c r="I664" s="123">
        <f ca="1">HLOOKUP($H$4,'Met Data'!$A$2:$F$368,G664,FALSE)</f>
        <v>12.2708333333333</v>
      </c>
      <c r="J664" s="121">
        <f ca="1">HLOOKUP($H$4,'Met Data'!$H$2:$M$368,G664,FALSE)*L664</f>
        <v>1.4449999999999998</v>
      </c>
      <c r="K664" s="100">
        <f ca="1">HLOOKUP($H$4,'Met Data'!$O$2:$T$368,G664,FALSE)</f>
        <v>2.95103134032406</v>
      </c>
      <c r="L664">
        <f t="shared" ca="1" si="101"/>
        <v>1.7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5" t="e">
        <f t="shared" ca="1" si="106"/>
        <v>#N/A</v>
      </c>
      <c r="AH664" s="65" t="e">
        <f t="shared" ca="1" si="107"/>
        <v>#N/A</v>
      </c>
      <c r="AI664" s="3" t="e">
        <f t="shared" ca="1" si="108"/>
        <v>#N/A</v>
      </c>
    </row>
    <row r="665" spans="7:35" ht="15.75" thickBot="1" x14ac:dyDescent="0.3">
      <c r="G665" s="3">
        <f t="shared" ca="1" si="100"/>
        <v>299</v>
      </c>
      <c r="H665" s="99">
        <f t="shared" ca="1" si="109"/>
        <v>45955</v>
      </c>
      <c r="I665" s="123">
        <f ca="1">HLOOKUP($H$4,'Met Data'!$A$2:$F$368,G665,FALSE)</f>
        <v>12.858333333333301</v>
      </c>
      <c r="J665" s="121">
        <f ca="1">HLOOKUP($H$4,'Met Data'!$H$2:$M$368,G665,FALSE)*L665</f>
        <v>1.756666666666661</v>
      </c>
      <c r="K665" s="100">
        <f ca="1">HLOOKUP($H$4,'Met Data'!$O$2:$T$368,G665,FALSE)</f>
        <v>2.6842724832832401</v>
      </c>
      <c r="L665">
        <f t="shared" ca="1" si="101"/>
        <v>1.7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5" t="e">
        <f t="shared" ca="1" si="106"/>
        <v>#N/A</v>
      </c>
      <c r="AH665" s="65" t="e">
        <f t="shared" ca="1" si="107"/>
        <v>#N/A</v>
      </c>
      <c r="AI665" s="3" t="e">
        <f t="shared" ca="1" si="108"/>
        <v>#N/A</v>
      </c>
    </row>
    <row r="666" spans="7:35" ht="15.75" thickBot="1" x14ac:dyDescent="0.3">
      <c r="G666" s="3">
        <f t="shared" ca="1" si="100"/>
        <v>300</v>
      </c>
      <c r="H666" s="99">
        <f t="shared" ca="1" si="109"/>
        <v>45956</v>
      </c>
      <c r="I666" s="123">
        <f ca="1">HLOOKUP($H$4,'Met Data'!$A$2:$F$368,G666,FALSE)</f>
        <v>13.7708333333333</v>
      </c>
      <c r="J666" s="121">
        <f ca="1">HLOOKUP($H$4,'Met Data'!$H$2:$M$368,G666,FALSE)*L666</f>
        <v>5.978333333333322</v>
      </c>
      <c r="K666" s="100">
        <f ca="1">HLOOKUP($H$4,'Met Data'!$O$2:$T$368,G666,FALSE)</f>
        <v>2.91343955355575</v>
      </c>
      <c r="L666">
        <f t="shared" ca="1" si="101"/>
        <v>1.7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5" t="e">
        <f t="shared" ca="1" si="106"/>
        <v>#N/A</v>
      </c>
      <c r="AH666" s="65" t="e">
        <f t="shared" ca="1" si="107"/>
        <v>#N/A</v>
      </c>
      <c r="AI666" s="3" t="e">
        <f t="shared" ca="1" si="108"/>
        <v>#N/A</v>
      </c>
    </row>
    <row r="667" spans="7:35" ht="15.75" thickBot="1" x14ac:dyDescent="0.3">
      <c r="G667" s="3">
        <f t="shared" ca="1" si="100"/>
        <v>301</v>
      </c>
      <c r="H667" s="99">
        <f t="shared" ca="1" si="109"/>
        <v>45957</v>
      </c>
      <c r="I667" s="123">
        <f ca="1">HLOOKUP($H$4,'Met Data'!$A$2:$F$368,G667,FALSE)</f>
        <v>13.899999999999901</v>
      </c>
      <c r="J667" s="121">
        <f ca="1">HLOOKUP($H$4,'Met Data'!$H$2:$M$368,G667,FALSE)*L667</f>
        <v>8.0749999999999993</v>
      </c>
      <c r="K667" s="100">
        <f ca="1">HLOOKUP($H$4,'Met Data'!$O$2:$T$368,G667,FALSE)</f>
        <v>2.4549016141153701</v>
      </c>
      <c r="L667">
        <f t="shared" ca="1" si="101"/>
        <v>1.7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5" t="e">
        <f t="shared" ca="1" si="106"/>
        <v>#N/A</v>
      </c>
      <c r="AH667" s="65" t="e">
        <f t="shared" ca="1" si="107"/>
        <v>#N/A</v>
      </c>
      <c r="AI667" s="3" t="e">
        <f t="shared" ca="1" si="108"/>
        <v>#N/A</v>
      </c>
    </row>
    <row r="668" spans="7:35" ht="15.75" thickBot="1" x14ac:dyDescent="0.3">
      <c r="G668" s="3">
        <f t="shared" ca="1" si="100"/>
        <v>302</v>
      </c>
      <c r="H668" s="99">
        <f t="shared" ca="1" si="109"/>
        <v>45958</v>
      </c>
      <c r="I668" s="123">
        <f ca="1">HLOOKUP($H$4,'Met Data'!$A$2:$F$368,G668,FALSE)</f>
        <v>13.425000000000001</v>
      </c>
      <c r="J668" s="121">
        <f ca="1">HLOOKUP($H$4,'Met Data'!$H$2:$M$368,G668,FALSE)*L668</f>
        <v>9.5766666666666609</v>
      </c>
      <c r="K668" s="100">
        <f ca="1">HLOOKUP($H$4,'Met Data'!$O$2:$T$368,G668,FALSE)</f>
        <v>2.5803220554406501</v>
      </c>
      <c r="L668">
        <f t="shared" ca="1" si="101"/>
        <v>1.7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5" t="e">
        <f t="shared" ca="1" si="106"/>
        <v>#N/A</v>
      </c>
      <c r="AH668" s="65" t="e">
        <f t="shared" ca="1" si="107"/>
        <v>#N/A</v>
      </c>
      <c r="AI668" s="3" t="e">
        <f t="shared" ca="1" si="108"/>
        <v>#N/A</v>
      </c>
    </row>
    <row r="669" spans="7:35" ht="15.75" thickBot="1" x14ac:dyDescent="0.3">
      <c r="G669" s="3">
        <f t="shared" ca="1" si="100"/>
        <v>303</v>
      </c>
      <c r="H669" s="99">
        <f t="shared" ca="1" si="109"/>
        <v>45959</v>
      </c>
      <c r="I669" s="123">
        <f ca="1">HLOOKUP($H$4,'Met Data'!$A$2:$F$368,G669,FALSE)</f>
        <v>13.9625</v>
      </c>
      <c r="J669" s="121">
        <f ca="1">HLOOKUP($H$4,'Met Data'!$H$2:$M$368,G669,FALSE)*L669</f>
        <v>6.4316666666666613</v>
      </c>
      <c r="K669" s="100">
        <f ca="1">HLOOKUP($H$4,'Met Data'!$O$2:$T$368,G669,FALSE)</f>
        <v>2.91115304555708</v>
      </c>
      <c r="L669">
        <f t="shared" ca="1" si="101"/>
        <v>1.7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5" t="e">
        <f t="shared" ca="1" si="106"/>
        <v>#N/A</v>
      </c>
      <c r="AH669" s="65" t="e">
        <f t="shared" ca="1" si="107"/>
        <v>#N/A</v>
      </c>
      <c r="AI669" s="3" t="e">
        <f t="shared" ca="1" si="108"/>
        <v>#N/A</v>
      </c>
    </row>
    <row r="670" spans="7:35" ht="15.75" thickBot="1" x14ac:dyDescent="0.3">
      <c r="G670" s="3">
        <f t="shared" ca="1" si="100"/>
        <v>304</v>
      </c>
      <c r="H670" s="99">
        <f t="shared" ca="1" si="109"/>
        <v>45960</v>
      </c>
      <c r="I670" s="123">
        <f ca="1">HLOOKUP($H$4,'Met Data'!$A$2:$F$368,G670,FALSE)</f>
        <v>13.045833333333301</v>
      </c>
      <c r="J670" s="121">
        <f ca="1">HLOOKUP($H$4,'Met Data'!$H$2:$M$368,G670,FALSE)*L670</f>
        <v>0.67999999999999827</v>
      </c>
      <c r="K670" s="100">
        <f ca="1">HLOOKUP($H$4,'Met Data'!$O$2:$T$368,G670,FALSE)</f>
        <v>3.19138361024571</v>
      </c>
      <c r="L670">
        <f t="shared" ca="1" si="101"/>
        <v>1.7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5" t="e">
        <f t="shared" ca="1" si="106"/>
        <v>#N/A</v>
      </c>
      <c r="AH670" s="65" t="e">
        <f t="shared" ca="1" si="107"/>
        <v>#N/A</v>
      </c>
      <c r="AI670" s="3" t="e">
        <f t="shared" ca="1" si="108"/>
        <v>#N/A</v>
      </c>
    </row>
    <row r="671" spans="7:35" ht="15.75" thickBot="1" x14ac:dyDescent="0.3">
      <c r="G671" s="3">
        <f t="shared" ca="1" si="100"/>
        <v>305</v>
      </c>
      <c r="H671" s="99">
        <f t="shared" ca="1" si="109"/>
        <v>45961</v>
      </c>
      <c r="I671" s="123">
        <f ca="1">HLOOKUP($H$4,'Met Data'!$A$2:$F$368,G671,FALSE)</f>
        <v>12.6166666666666</v>
      </c>
      <c r="J671" s="121">
        <f ca="1">HLOOKUP($H$4,'Met Data'!$H$2:$M$368,G671,FALSE)*L671</f>
        <v>5.893333333333322</v>
      </c>
      <c r="K671" s="100">
        <f ca="1">HLOOKUP($H$4,'Met Data'!$O$2:$T$368,G671,FALSE)</f>
        <v>3.1814806222099299</v>
      </c>
      <c r="L671">
        <f t="shared" ca="1" si="101"/>
        <v>1.7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5" t="e">
        <f t="shared" ca="1" si="106"/>
        <v>#N/A</v>
      </c>
      <c r="AH671" s="65" t="e">
        <f t="shared" ca="1" si="107"/>
        <v>#N/A</v>
      </c>
      <c r="AI671" s="3" t="e">
        <f t="shared" ca="1" si="108"/>
        <v>#N/A</v>
      </c>
    </row>
    <row r="672" spans="7:35" ht="15.75" thickBot="1" x14ac:dyDescent="0.3">
      <c r="G672" s="3">
        <f t="shared" ca="1" si="100"/>
        <v>306</v>
      </c>
      <c r="H672" s="99">
        <f t="shared" ca="1" si="109"/>
        <v>45962</v>
      </c>
      <c r="I672" s="123">
        <f ca="1">HLOOKUP($H$4,'Met Data'!$A$2:$F$368,G672,FALSE)</f>
        <v>12.4791666666666</v>
      </c>
      <c r="J672" s="121">
        <f ca="1">HLOOKUP($H$4,'Met Data'!$H$2:$M$368,G672,FALSE)*L672</f>
        <v>4.5616666666666612</v>
      </c>
      <c r="K672" s="100">
        <f ca="1">HLOOKUP($H$4,'Met Data'!$O$2:$T$368,G672,FALSE)</f>
        <v>3.1007141373476301</v>
      </c>
      <c r="L672">
        <f t="shared" ca="1" si="101"/>
        <v>1.7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5" t="e">
        <f t="shared" ca="1" si="106"/>
        <v>#N/A</v>
      </c>
      <c r="AH672" s="65" t="e">
        <f t="shared" ca="1" si="107"/>
        <v>#N/A</v>
      </c>
      <c r="AI672" s="3" t="e">
        <f t="shared" ca="1" si="108"/>
        <v>#N/A</v>
      </c>
    </row>
    <row r="673" spans="7:35" ht="15.75" thickBot="1" x14ac:dyDescent="0.3">
      <c r="G673" s="3">
        <f t="shared" ca="1" si="100"/>
        <v>307</v>
      </c>
      <c r="H673" s="99">
        <f t="shared" ca="1" si="109"/>
        <v>45963</v>
      </c>
      <c r="I673" s="123">
        <f ca="1">HLOOKUP($H$4,'Met Data'!$A$2:$F$368,G673,FALSE)</f>
        <v>13.3125</v>
      </c>
      <c r="J673" s="121">
        <f ca="1">HLOOKUP($H$4,'Met Data'!$H$2:$M$368,G673,FALSE)*L673</f>
        <v>2.861666666666661</v>
      </c>
      <c r="K673" s="100">
        <f ca="1">HLOOKUP($H$4,'Met Data'!$O$2:$T$368,G673,FALSE)</f>
        <v>3.50405600149278</v>
      </c>
      <c r="L673">
        <f t="shared" ca="1" si="101"/>
        <v>1.7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5" t="e">
        <f t="shared" ca="1" si="106"/>
        <v>#N/A</v>
      </c>
      <c r="AH673" s="65" t="e">
        <f t="shared" ca="1" si="107"/>
        <v>#N/A</v>
      </c>
      <c r="AI673" s="3" t="e">
        <f t="shared" ca="1" si="108"/>
        <v>#N/A</v>
      </c>
    </row>
    <row r="674" spans="7:35" ht="15.75" thickBot="1" x14ac:dyDescent="0.3">
      <c r="G674" s="3">
        <f t="shared" ca="1" si="100"/>
        <v>308</v>
      </c>
      <c r="H674" s="99">
        <f t="shared" ca="1" si="109"/>
        <v>45964</v>
      </c>
      <c r="I674" s="123">
        <f ca="1">HLOOKUP($H$4,'Met Data'!$A$2:$F$368,G674,FALSE)</f>
        <v>14.35</v>
      </c>
      <c r="J674" s="121">
        <f ca="1">HLOOKUP($H$4,'Met Data'!$H$2:$M$368,G674,FALSE)*L674</f>
        <v>8.7266666666666612</v>
      </c>
      <c r="K674" s="100">
        <f ca="1">HLOOKUP($H$4,'Met Data'!$O$2:$T$368,G674,FALSE)</f>
        <v>2.61745839191309</v>
      </c>
      <c r="L674">
        <f t="shared" ca="1" si="101"/>
        <v>1.7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5" t="e">
        <f t="shared" ca="1" si="106"/>
        <v>#N/A</v>
      </c>
      <c r="AH674" s="65" t="e">
        <f t="shared" ca="1" si="107"/>
        <v>#N/A</v>
      </c>
      <c r="AI674" s="3" t="e">
        <f t="shared" ca="1" si="108"/>
        <v>#N/A</v>
      </c>
    </row>
    <row r="675" spans="7:35" ht="15.75" thickBot="1" x14ac:dyDescent="0.3">
      <c r="G675" s="3">
        <f t="shared" ca="1" si="100"/>
        <v>309</v>
      </c>
      <c r="H675" s="99">
        <f t="shared" ca="1" si="109"/>
        <v>45965</v>
      </c>
      <c r="I675" s="123">
        <f ca="1">HLOOKUP($H$4,'Met Data'!$A$2:$F$368,G675,FALSE)</f>
        <v>13.875</v>
      </c>
      <c r="J675" s="121">
        <f ca="1">HLOOKUP($H$4,'Met Data'!$H$2:$M$368,G675,FALSE)*L675</f>
        <v>3.1733333333333218</v>
      </c>
      <c r="K675" s="100">
        <f ca="1">HLOOKUP($H$4,'Met Data'!$O$2:$T$368,G675,FALSE)</f>
        <v>2.7392607073945601</v>
      </c>
      <c r="L675">
        <f t="shared" ca="1" si="101"/>
        <v>1.7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5" t="e">
        <f t="shared" ca="1" si="106"/>
        <v>#N/A</v>
      </c>
      <c r="AH675" s="65" t="e">
        <f t="shared" ca="1" si="107"/>
        <v>#N/A</v>
      </c>
      <c r="AI675" s="3" t="e">
        <f t="shared" ca="1" si="108"/>
        <v>#N/A</v>
      </c>
    </row>
    <row r="676" spans="7:35" ht="15.75" thickBot="1" x14ac:dyDescent="0.3">
      <c r="G676" s="3">
        <f t="shared" ca="1" si="100"/>
        <v>310</v>
      </c>
      <c r="H676" s="99">
        <f t="shared" ca="1" si="109"/>
        <v>45966</v>
      </c>
      <c r="I676" s="123">
        <f ca="1">HLOOKUP($H$4,'Met Data'!$A$2:$F$368,G676,FALSE)</f>
        <v>13.316666666666601</v>
      </c>
      <c r="J676" s="121">
        <f ca="1">HLOOKUP($H$4,'Met Data'!$H$2:$M$368,G676,FALSE)*L676</f>
        <v>1.926666666666661</v>
      </c>
      <c r="K676" s="100">
        <f ca="1">HLOOKUP($H$4,'Met Data'!$O$2:$T$368,G676,FALSE)</f>
        <v>3.4135545366379101</v>
      </c>
      <c r="L676">
        <f t="shared" ca="1" si="101"/>
        <v>1.7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5" t="e">
        <f t="shared" ca="1" si="106"/>
        <v>#N/A</v>
      </c>
      <c r="AH676" s="65" t="e">
        <f t="shared" ca="1" si="107"/>
        <v>#N/A</v>
      </c>
      <c r="AI676" s="3" t="e">
        <f t="shared" ca="1" si="108"/>
        <v>#N/A</v>
      </c>
    </row>
    <row r="677" spans="7:35" ht="15.75" thickBot="1" x14ac:dyDescent="0.3">
      <c r="G677" s="3">
        <f t="shared" ca="1" si="100"/>
        <v>311</v>
      </c>
      <c r="H677" s="99">
        <f t="shared" ca="1" si="109"/>
        <v>45967</v>
      </c>
      <c r="I677" s="123">
        <f ca="1">HLOOKUP($H$4,'Met Data'!$A$2:$F$368,G677,FALSE)</f>
        <v>13.1454545454545</v>
      </c>
      <c r="J677" s="121">
        <f ca="1">HLOOKUP($H$4,'Met Data'!$H$2:$M$368,G677,FALSE)*L677</f>
        <v>0.80363636363636237</v>
      </c>
      <c r="K677" s="100">
        <f ca="1">HLOOKUP($H$4,'Met Data'!$O$2:$T$368,G677,FALSE)</f>
        <v>3.2963131788019302</v>
      </c>
      <c r="L677">
        <f t="shared" ca="1" si="101"/>
        <v>1.7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5" t="e">
        <f t="shared" ca="1" si="106"/>
        <v>#N/A</v>
      </c>
      <c r="AH677" s="65" t="e">
        <f t="shared" ca="1" si="107"/>
        <v>#N/A</v>
      </c>
      <c r="AI677" s="3" t="e">
        <f t="shared" ca="1" si="108"/>
        <v>#N/A</v>
      </c>
    </row>
    <row r="678" spans="7:35" ht="15.75" thickBot="1" x14ac:dyDescent="0.3">
      <c r="G678" s="3">
        <f t="shared" ca="1" si="100"/>
        <v>312</v>
      </c>
      <c r="H678" s="99">
        <f t="shared" ca="1" si="109"/>
        <v>45968</v>
      </c>
      <c r="I678" s="123">
        <f ca="1">HLOOKUP($H$4,'Met Data'!$A$2:$F$368,G678,FALSE)</f>
        <v>13.4166666666666</v>
      </c>
      <c r="J678" s="121">
        <f ca="1">HLOOKUP($H$4,'Met Data'!$H$2:$M$368,G678,FALSE)*L678</f>
        <v>3.9950000000000001</v>
      </c>
      <c r="K678" s="100">
        <f ca="1">HLOOKUP($H$4,'Met Data'!$O$2:$T$368,G678,FALSE)</f>
        <v>3.43315852526095</v>
      </c>
      <c r="L678">
        <f t="shared" ca="1" si="101"/>
        <v>1.7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5" t="e">
        <f t="shared" ca="1" si="106"/>
        <v>#N/A</v>
      </c>
      <c r="AH678" s="65" t="e">
        <f t="shared" ca="1" si="107"/>
        <v>#N/A</v>
      </c>
      <c r="AI678" s="3" t="e">
        <f t="shared" ca="1" si="108"/>
        <v>#N/A</v>
      </c>
    </row>
    <row r="679" spans="7:35" ht="15.75" thickBot="1" x14ac:dyDescent="0.3">
      <c r="G679" s="3">
        <f t="shared" ca="1" si="100"/>
        <v>313</v>
      </c>
      <c r="H679" s="99">
        <f t="shared" ca="1" si="109"/>
        <v>45969</v>
      </c>
      <c r="I679" s="123">
        <f ca="1">HLOOKUP($H$4,'Met Data'!$A$2:$F$368,G679,FALSE)</f>
        <v>13.8708333333333</v>
      </c>
      <c r="J679" s="121">
        <f ca="1">HLOOKUP($H$4,'Met Data'!$H$2:$M$368,G679,FALSE)*L679</f>
        <v>4.8733333333333215</v>
      </c>
      <c r="K679" s="100">
        <f ca="1">HLOOKUP($H$4,'Met Data'!$O$2:$T$368,G679,FALSE)</f>
        <v>3.09770464623969</v>
      </c>
      <c r="L679">
        <f t="shared" ca="1" si="101"/>
        <v>1.7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5" t="e">
        <f t="shared" ca="1" si="106"/>
        <v>#N/A</v>
      </c>
      <c r="AH679" s="65" t="e">
        <f t="shared" ca="1" si="107"/>
        <v>#N/A</v>
      </c>
      <c r="AI679" s="3" t="e">
        <f t="shared" ca="1" si="108"/>
        <v>#N/A</v>
      </c>
    </row>
    <row r="680" spans="7:35" ht="15.75" thickBot="1" x14ac:dyDescent="0.3">
      <c r="G680" s="3">
        <f t="shared" ca="1" si="100"/>
        <v>314</v>
      </c>
      <c r="H680" s="99">
        <f t="shared" ca="1" si="109"/>
        <v>45970</v>
      </c>
      <c r="I680" s="123">
        <f ca="1">HLOOKUP($H$4,'Met Data'!$A$2:$F$368,G680,FALSE)</f>
        <v>14.158333333333299</v>
      </c>
      <c r="J680" s="121">
        <f ca="1">HLOOKUP($H$4,'Met Data'!$H$2:$M$368,G680,FALSE)*L680</f>
        <v>5.4683333333333222</v>
      </c>
      <c r="K680" s="100">
        <f ca="1">HLOOKUP($H$4,'Met Data'!$O$2:$T$368,G680,FALSE)</f>
        <v>3.3024968395707299</v>
      </c>
      <c r="L680">
        <f t="shared" ca="1" si="101"/>
        <v>1.7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5" t="e">
        <f t="shared" ca="1" si="106"/>
        <v>#N/A</v>
      </c>
      <c r="AH680" s="65" t="e">
        <f t="shared" ca="1" si="107"/>
        <v>#N/A</v>
      </c>
      <c r="AI680" s="3" t="e">
        <f t="shared" ca="1" si="108"/>
        <v>#N/A</v>
      </c>
    </row>
    <row r="681" spans="7:35" ht="15.75" thickBot="1" x14ac:dyDescent="0.3">
      <c r="G681" s="3">
        <f t="shared" ca="1" si="100"/>
        <v>315</v>
      </c>
      <c r="H681" s="99">
        <f t="shared" ca="1" si="109"/>
        <v>45971</v>
      </c>
      <c r="I681" s="123">
        <f ca="1">HLOOKUP($H$4,'Met Data'!$A$2:$F$368,G681,FALSE)</f>
        <v>13.6666666666666</v>
      </c>
      <c r="J681" s="121">
        <f ca="1">HLOOKUP($H$4,'Met Data'!$H$2:$M$368,G681,FALSE)*L681</f>
        <v>3.4849999999999994</v>
      </c>
      <c r="K681" s="100">
        <f ca="1">HLOOKUP($H$4,'Met Data'!$O$2:$T$368,G681,FALSE)</f>
        <v>2.6586912182490101</v>
      </c>
      <c r="L681">
        <f t="shared" ca="1" si="101"/>
        <v>1.7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5" t="e">
        <f t="shared" ca="1" si="106"/>
        <v>#N/A</v>
      </c>
      <c r="AH681" s="65" t="e">
        <f t="shared" ca="1" si="107"/>
        <v>#N/A</v>
      </c>
      <c r="AI681" s="3" t="e">
        <f t="shared" ca="1" si="108"/>
        <v>#N/A</v>
      </c>
    </row>
    <row r="682" spans="7:35" ht="15.75" thickBot="1" x14ac:dyDescent="0.3">
      <c r="G682" s="3">
        <f t="shared" ca="1" si="100"/>
        <v>316</v>
      </c>
      <c r="H682" s="99">
        <f t="shared" ca="1" si="109"/>
        <v>45972</v>
      </c>
      <c r="I682" s="123">
        <f ca="1">HLOOKUP($H$4,'Met Data'!$A$2:$F$368,G682,FALSE)</f>
        <v>13.8958333333333</v>
      </c>
      <c r="J682" s="121">
        <f ca="1">HLOOKUP($H$4,'Met Data'!$H$2:$M$368,G682,FALSE)*L682</f>
        <v>6.714999999999983</v>
      </c>
      <c r="K682" s="100">
        <f ca="1">HLOOKUP($H$4,'Met Data'!$O$2:$T$368,G682,FALSE)</f>
        <v>2.87577977788037</v>
      </c>
      <c r="L682">
        <f t="shared" ca="1" si="101"/>
        <v>1.7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5" t="e">
        <f t="shared" ca="1" si="106"/>
        <v>#N/A</v>
      </c>
      <c r="AH682" s="65" t="e">
        <f t="shared" ca="1" si="107"/>
        <v>#N/A</v>
      </c>
      <c r="AI682" s="3" t="e">
        <f t="shared" ca="1" si="108"/>
        <v>#N/A</v>
      </c>
    </row>
    <row r="683" spans="7:35" ht="15.75" thickBot="1" x14ac:dyDescent="0.3">
      <c r="G683" s="3">
        <f t="shared" ca="1" si="100"/>
        <v>317</v>
      </c>
      <c r="H683" s="99">
        <f t="shared" ca="1" si="109"/>
        <v>45973</v>
      </c>
      <c r="I683" s="123">
        <f ca="1">HLOOKUP($H$4,'Met Data'!$A$2:$F$368,G683,FALSE)</f>
        <v>13.0625</v>
      </c>
      <c r="J683" s="121">
        <f ca="1">HLOOKUP($H$4,'Met Data'!$H$2:$M$368,G683,FALSE)*L683</f>
        <v>5.2133333333333223</v>
      </c>
      <c r="K683" s="100">
        <f ca="1">HLOOKUP($H$4,'Met Data'!$O$2:$T$368,G683,FALSE)</f>
        <v>2.8947392121826798</v>
      </c>
      <c r="L683">
        <f t="shared" ca="1" si="101"/>
        <v>1.7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5" t="e">
        <f t="shared" ca="1" si="106"/>
        <v>#N/A</v>
      </c>
      <c r="AH683" s="65" t="e">
        <f t="shared" ca="1" si="107"/>
        <v>#N/A</v>
      </c>
      <c r="AI683" s="3" t="e">
        <f t="shared" ca="1" si="108"/>
        <v>#N/A</v>
      </c>
    </row>
    <row r="684" spans="7:35" ht="15.75" thickBot="1" x14ac:dyDescent="0.3">
      <c r="G684" s="3">
        <f t="shared" ca="1" si="100"/>
        <v>318</v>
      </c>
      <c r="H684" s="99">
        <f t="shared" ca="1" si="109"/>
        <v>45974</v>
      </c>
      <c r="I684" s="123">
        <f ca="1">HLOOKUP($H$4,'Met Data'!$A$2:$F$368,G684,FALSE)</f>
        <v>12.55</v>
      </c>
      <c r="J684" s="121">
        <f ca="1">HLOOKUP($H$4,'Met Data'!$H$2:$M$368,G684,FALSE)*L684</f>
        <v>2.04</v>
      </c>
      <c r="K684" s="100">
        <f ca="1">HLOOKUP($H$4,'Met Data'!$O$2:$T$368,G684,FALSE)</f>
        <v>3.2727192045008802</v>
      </c>
      <c r="L684">
        <f t="shared" ca="1" si="101"/>
        <v>1.7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5" t="e">
        <f t="shared" ca="1" si="106"/>
        <v>#N/A</v>
      </c>
      <c r="AH684" s="65" t="e">
        <f t="shared" ca="1" si="107"/>
        <v>#N/A</v>
      </c>
      <c r="AI684" s="3" t="e">
        <f t="shared" ca="1" si="108"/>
        <v>#N/A</v>
      </c>
    </row>
    <row r="685" spans="7:35" ht="15.75" thickBot="1" x14ac:dyDescent="0.3">
      <c r="G685" s="3">
        <f t="shared" ca="1" si="100"/>
        <v>319</v>
      </c>
      <c r="H685" s="99">
        <f t="shared" ca="1" si="109"/>
        <v>45975</v>
      </c>
      <c r="I685" s="123">
        <f ca="1">HLOOKUP($H$4,'Met Data'!$A$2:$F$368,G685,FALSE)</f>
        <v>12.591666666666599</v>
      </c>
      <c r="J685" s="121">
        <f ca="1">HLOOKUP($H$4,'Met Data'!$H$2:$M$368,G685,FALSE)*L685</f>
        <v>2.125</v>
      </c>
      <c r="K685" s="100">
        <f ca="1">HLOOKUP($H$4,'Met Data'!$O$2:$T$368,G685,FALSE)</f>
        <v>3.2542764283054399</v>
      </c>
      <c r="L685">
        <f t="shared" ca="1" si="101"/>
        <v>1.7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5" t="e">
        <f t="shared" ca="1" si="106"/>
        <v>#N/A</v>
      </c>
      <c r="AH685" s="65" t="e">
        <f t="shared" ca="1" si="107"/>
        <v>#N/A</v>
      </c>
      <c r="AI685" s="3" t="e">
        <f t="shared" ca="1" si="108"/>
        <v>#N/A</v>
      </c>
    </row>
    <row r="686" spans="7:35" ht="15.75" thickBot="1" x14ac:dyDescent="0.3">
      <c r="G686" s="3">
        <f t="shared" ca="1" si="100"/>
        <v>320</v>
      </c>
      <c r="H686" s="99">
        <f t="shared" ca="1" si="109"/>
        <v>45976</v>
      </c>
      <c r="I686" s="123">
        <f ca="1">HLOOKUP($H$4,'Met Data'!$A$2:$F$368,G686,FALSE)</f>
        <v>13.462499999999901</v>
      </c>
      <c r="J686" s="121">
        <f ca="1">HLOOKUP($H$4,'Met Data'!$H$2:$M$368,G686,FALSE)*L686</f>
        <v>3.5133333333333221</v>
      </c>
      <c r="K686" s="100">
        <f ca="1">HLOOKUP($H$4,'Met Data'!$O$2:$T$368,G686,FALSE)</f>
        <v>3.39036465144653</v>
      </c>
      <c r="L686">
        <f t="shared" ca="1" si="101"/>
        <v>1.7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5" t="e">
        <f t="shared" ca="1" si="106"/>
        <v>#N/A</v>
      </c>
      <c r="AH686" s="65" t="e">
        <f t="shared" ca="1" si="107"/>
        <v>#N/A</v>
      </c>
      <c r="AI686" s="3" t="e">
        <f t="shared" ca="1" si="108"/>
        <v>#N/A</v>
      </c>
    </row>
    <row r="687" spans="7:35" ht="15.75" thickBot="1" x14ac:dyDescent="0.3">
      <c r="G687" s="3">
        <f t="shared" ca="1" si="100"/>
        <v>321</v>
      </c>
      <c r="H687" s="99">
        <f t="shared" ca="1" si="109"/>
        <v>45977</v>
      </c>
      <c r="I687" s="123">
        <f ca="1">HLOOKUP($H$4,'Met Data'!$A$2:$F$368,G687,FALSE)</f>
        <v>14.7458333333333</v>
      </c>
      <c r="J687" s="121">
        <f ca="1">HLOOKUP($H$4,'Met Data'!$H$2:$M$368,G687,FALSE)*L687</f>
        <v>8.8683333333333216</v>
      </c>
      <c r="K687" s="100">
        <f ca="1">HLOOKUP($H$4,'Met Data'!$O$2:$T$368,G687,FALSE)</f>
        <v>3.3940384004400501</v>
      </c>
      <c r="L687">
        <f t="shared" ca="1" si="101"/>
        <v>1.7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5" t="e">
        <f t="shared" ca="1" si="106"/>
        <v>#N/A</v>
      </c>
      <c r="AH687" s="65" t="e">
        <f t="shared" ca="1" si="107"/>
        <v>#N/A</v>
      </c>
      <c r="AI687" s="3" t="e">
        <f t="shared" ca="1" si="108"/>
        <v>#N/A</v>
      </c>
    </row>
    <row r="688" spans="7:35" ht="15.75" thickBot="1" x14ac:dyDescent="0.3">
      <c r="G688" s="3">
        <f t="shared" ref="G688:G751" ca="1" si="110">H688-DATE(YEAR(H688),1,0)+1</f>
        <v>322</v>
      </c>
      <c r="H688" s="99">
        <f t="shared" ca="1" si="109"/>
        <v>45978</v>
      </c>
      <c r="I688" s="123">
        <f ca="1">HLOOKUP($H$4,'Met Data'!$A$2:$F$368,G688,FALSE)</f>
        <v>14.945833333333301</v>
      </c>
      <c r="J688" s="121">
        <f ca="1">HLOOKUP($H$4,'Met Data'!$H$2:$M$368,G688,FALSE)*L688</f>
        <v>9.0666666666666611</v>
      </c>
      <c r="K688" s="100">
        <f ca="1">HLOOKUP($H$4,'Met Data'!$O$2:$T$368,G688,FALSE)</f>
        <v>2.86263659321907</v>
      </c>
      <c r="L688">
        <f t="shared" ref="L688:L751" ca="1" si="111">IF(H688&lt;$B$31,$J$3,$J$4)</f>
        <v>1.7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5" t="e">
        <f t="shared" ref="AG688:AG751" ca="1" si="116">Q687+S688+T688+U688</f>
        <v>#N/A</v>
      </c>
      <c r="AH688" s="65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.75" thickBot="1" x14ac:dyDescent="0.3">
      <c r="G689" s="3">
        <f t="shared" ca="1" si="110"/>
        <v>323</v>
      </c>
      <c r="H689" s="99">
        <f t="shared" ca="1" si="109"/>
        <v>45979</v>
      </c>
      <c r="I689" s="123">
        <f ca="1">HLOOKUP($H$4,'Met Data'!$A$2:$F$368,G689,FALSE)</f>
        <v>14.45</v>
      </c>
      <c r="J689" s="121">
        <f ca="1">HLOOKUP($H$4,'Met Data'!$H$2:$M$368,G689,FALSE)*L689</f>
        <v>10.341666666666661</v>
      </c>
      <c r="K689" s="100">
        <f ca="1">HLOOKUP($H$4,'Met Data'!$O$2:$T$368,G689,FALSE)</f>
        <v>3.2654882571522399</v>
      </c>
      <c r="L689">
        <f t="shared" ca="1" si="111"/>
        <v>1.7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5" t="e">
        <f t="shared" ca="1" si="116"/>
        <v>#N/A</v>
      </c>
      <c r="AH689" s="65" t="e">
        <f t="shared" ca="1" si="117"/>
        <v>#N/A</v>
      </c>
      <c r="AI689" s="3" t="e">
        <f t="shared" ca="1" si="118"/>
        <v>#N/A</v>
      </c>
    </row>
    <row r="690" spans="7:35" ht="15.75" thickBot="1" x14ac:dyDescent="0.3">
      <c r="G690" s="3">
        <f t="shared" ca="1" si="110"/>
        <v>324</v>
      </c>
      <c r="H690" s="99">
        <f t="shared" ca="1" si="109"/>
        <v>45980</v>
      </c>
      <c r="I690" s="123">
        <f ca="1">HLOOKUP($H$4,'Met Data'!$A$2:$F$368,G690,FALSE)</f>
        <v>13.941666666666601</v>
      </c>
      <c r="J690" s="121">
        <f ca="1">HLOOKUP($H$4,'Met Data'!$H$2:$M$368,G690,FALSE)*L690</f>
        <v>1.671666666666666</v>
      </c>
      <c r="K690" s="100">
        <f ca="1">HLOOKUP($H$4,'Met Data'!$O$2:$T$368,G690,FALSE)</f>
        <v>3.5976260978488002</v>
      </c>
      <c r="L690">
        <f t="shared" ca="1" si="111"/>
        <v>1.7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5" t="e">
        <f t="shared" ca="1" si="116"/>
        <v>#N/A</v>
      </c>
      <c r="AH690" s="65" t="e">
        <f t="shared" ca="1" si="117"/>
        <v>#N/A</v>
      </c>
      <c r="AI690" s="3" t="e">
        <f t="shared" ca="1" si="118"/>
        <v>#N/A</v>
      </c>
    </row>
    <row r="691" spans="7:35" ht="15.75" thickBot="1" x14ac:dyDescent="0.3">
      <c r="G691" s="3">
        <f t="shared" ca="1" si="110"/>
        <v>325</v>
      </c>
      <c r="H691" s="99">
        <f t="shared" ca="1" si="109"/>
        <v>45981</v>
      </c>
      <c r="I691" s="123">
        <f ca="1">HLOOKUP($H$4,'Met Data'!$A$2:$F$368,G691,FALSE)</f>
        <v>14.1208333333333</v>
      </c>
      <c r="J691" s="121">
        <f ca="1">HLOOKUP($H$4,'Met Data'!$H$2:$M$368,G691,FALSE)*L691</f>
        <v>4.0233333333333219</v>
      </c>
      <c r="K691" s="100">
        <f ca="1">HLOOKUP($H$4,'Met Data'!$O$2:$T$368,G691,FALSE)</f>
        <v>3.2574752266568199</v>
      </c>
      <c r="L691">
        <f t="shared" ca="1" si="111"/>
        <v>1.7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5" t="e">
        <f t="shared" ca="1" si="116"/>
        <v>#N/A</v>
      </c>
      <c r="AH691" s="65" t="e">
        <f t="shared" ca="1" si="117"/>
        <v>#N/A</v>
      </c>
      <c r="AI691" s="3" t="e">
        <f t="shared" ca="1" si="118"/>
        <v>#N/A</v>
      </c>
    </row>
    <row r="692" spans="7:35" ht="15.75" thickBot="1" x14ac:dyDescent="0.3">
      <c r="G692" s="3">
        <f t="shared" ca="1" si="110"/>
        <v>326</v>
      </c>
      <c r="H692" s="99">
        <f t="shared" ca="1" si="109"/>
        <v>45982</v>
      </c>
      <c r="I692" s="123">
        <f ca="1">HLOOKUP($H$4,'Met Data'!$A$2:$F$368,G692,FALSE)</f>
        <v>14.2</v>
      </c>
      <c r="J692" s="121">
        <f ca="1">HLOOKUP($H$4,'Met Data'!$H$2:$M$368,G692,FALSE)*L692</f>
        <v>2.4083333333333221</v>
      </c>
      <c r="K692" s="100">
        <f ca="1">HLOOKUP($H$4,'Met Data'!$O$2:$T$368,G692,FALSE)</f>
        <v>3.2248407363783</v>
      </c>
      <c r="L692">
        <f t="shared" ca="1" si="111"/>
        <v>1.7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5" t="e">
        <f t="shared" ca="1" si="116"/>
        <v>#N/A</v>
      </c>
      <c r="AH692" s="65" t="e">
        <f t="shared" ca="1" si="117"/>
        <v>#N/A</v>
      </c>
      <c r="AI692" s="3" t="e">
        <f t="shared" ca="1" si="118"/>
        <v>#N/A</v>
      </c>
    </row>
    <row r="693" spans="7:35" ht="15.75" thickBot="1" x14ac:dyDescent="0.3">
      <c r="G693" s="3">
        <f t="shared" ca="1" si="110"/>
        <v>327</v>
      </c>
      <c r="H693" s="99">
        <f t="shared" ca="1" si="109"/>
        <v>45983</v>
      </c>
      <c r="I693" s="123">
        <f ca="1">HLOOKUP($H$4,'Met Data'!$A$2:$F$368,G693,FALSE)</f>
        <v>14.2916666666666</v>
      </c>
      <c r="J693" s="121">
        <f ca="1">HLOOKUP($H$4,'Met Data'!$H$2:$M$368,G693,FALSE)*L693</f>
        <v>2.0966666666666609</v>
      </c>
      <c r="K693" s="100">
        <f ca="1">HLOOKUP($H$4,'Met Data'!$O$2:$T$368,G693,FALSE)</f>
        <v>3.2303061956604</v>
      </c>
      <c r="L693">
        <f t="shared" ca="1" si="111"/>
        <v>1.7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5" t="e">
        <f t="shared" ca="1" si="116"/>
        <v>#N/A</v>
      </c>
      <c r="AH693" s="65" t="e">
        <f t="shared" ca="1" si="117"/>
        <v>#N/A</v>
      </c>
      <c r="AI693" s="3" t="e">
        <f t="shared" ca="1" si="118"/>
        <v>#N/A</v>
      </c>
    </row>
    <row r="694" spans="7:35" ht="15.75" thickBot="1" x14ac:dyDescent="0.3">
      <c r="G694" s="3">
        <f t="shared" ca="1" si="110"/>
        <v>328</v>
      </c>
      <c r="H694" s="99">
        <f t="shared" ca="1" si="109"/>
        <v>45984</v>
      </c>
      <c r="I694" s="123">
        <f ca="1">HLOOKUP($H$4,'Met Data'!$A$2:$F$368,G694,FALSE)</f>
        <v>14.8666666666666</v>
      </c>
      <c r="J694" s="121">
        <f ca="1">HLOOKUP($H$4,'Met Data'!$H$2:$M$368,G694,FALSE)*L694</f>
        <v>0.36833333333333218</v>
      </c>
      <c r="K694" s="100">
        <f ca="1">HLOOKUP($H$4,'Met Data'!$O$2:$T$368,G694,FALSE)</f>
        <v>3.8851743269165699</v>
      </c>
      <c r="L694">
        <f t="shared" ca="1" si="111"/>
        <v>1.7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5" t="e">
        <f t="shared" ca="1" si="116"/>
        <v>#N/A</v>
      </c>
      <c r="AH694" s="65" t="e">
        <f t="shared" ca="1" si="117"/>
        <v>#N/A</v>
      </c>
      <c r="AI694" s="3" t="e">
        <f t="shared" ca="1" si="118"/>
        <v>#N/A</v>
      </c>
    </row>
    <row r="695" spans="7:35" ht="15.75" thickBot="1" x14ac:dyDescent="0.3">
      <c r="G695" s="3">
        <f t="shared" ca="1" si="110"/>
        <v>329</v>
      </c>
      <c r="H695" s="99">
        <f t="shared" ca="1" si="109"/>
        <v>45985</v>
      </c>
      <c r="I695" s="123">
        <f ca="1">HLOOKUP($H$4,'Met Data'!$A$2:$F$368,G695,FALSE)</f>
        <v>14.875</v>
      </c>
      <c r="J695" s="121">
        <f ca="1">HLOOKUP($H$4,'Met Data'!$H$2:$M$368,G695,FALSE)*L695</f>
        <v>3.1166666666666609</v>
      </c>
      <c r="K695" s="100">
        <f ca="1">HLOOKUP($H$4,'Met Data'!$O$2:$T$368,G695,FALSE)</f>
        <v>3.3424019609463702</v>
      </c>
      <c r="L695">
        <f t="shared" ca="1" si="111"/>
        <v>1.7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5" t="e">
        <f t="shared" ca="1" si="116"/>
        <v>#N/A</v>
      </c>
      <c r="AH695" s="65" t="e">
        <f t="shared" ca="1" si="117"/>
        <v>#N/A</v>
      </c>
      <c r="AI695" s="3" t="e">
        <f t="shared" ca="1" si="118"/>
        <v>#N/A</v>
      </c>
    </row>
    <row r="696" spans="7:35" ht="15.75" thickBot="1" x14ac:dyDescent="0.3">
      <c r="G696" s="3">
        <f t="shared" ca="1" si="110"/>
        <v>330</v>
      </c>
      <c r="H696" s="99">
        <f t="shared" ca="1" si="109"/>
        <v>45986</v>
      </c>
      <c r="I696" s="123">
        <f ca="1">HLOOKUP($H$4,'Met Data'!$A$2:$F$368,G696,FALSE)</f>
        <v>15.8125</v>
      </c>
      <c r="J696" s="121">
        <f ca="1">HLOOKUP($H$4,'Met Data'!$H$2:$M$368,G696,FALSE)*L696</f>
        <v>3.4283333333333217</v>
      </c>
      <c r="K696" s="100">
        <f ca="1">HLOOKUP($H$4,'Met Data'!$O$2:$T$368,G696,FALSE)</f>
        <v>3.2688322627941302</v>
      </c>
      <c r="L696">
        <f t="shared" ca="1" si="111"/>
        <v>1.7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5" t="e">
        <f t="shared" ca="1" si="116"/>
        <v>#N/A</v>
      </c>
      <c r="AH696" s="65" t="e">
        <f t="shared" ca="1" si="117"/>
        <v>#N/A</v>
      </c>
      <c r="AI696" s="3" t="e">
        <f t="shared" ca="1" si="118"/>
        <v>#N/A</v>
      </c>
    </row>
    <row r="697" spans="7:35" ht="15.75" thickBot="1" x14ac:dyDescent="0.3">
      <c r="G697" s="3">
        <f t="shared" ca="1" si="110"/>
        <v>331</v>
      </c>
      <c r="H697" s="99">
        <f t="shared" ca="1" si="109"/>
        <v>45987</v>
      </c>
      <c r="I697" s="123">
        <f ca="1">HLOOKUP($H$4,'Met Data'!$A$2:$F$368,G697,FALSE)</f>
        <v>15.945833333333301</v>
      </c>
      <c r="J697" s="121">
        <f ca="1">HLOOKUP($H$4,'Met Data'!$H$2:$M$368,G697,FALSE)*L697</f>
        <v>10.001666666666662</v>
      </c>
      <c r="K697" s="100">
        <f ca="1">HLOOKUP($H$4,'Met Data'!$O$2:$T$368,G697,FALSE)</f>
        <v>3.26798762006384</v>
      </c>
      <c r="L697">
        <f t="shared" ca="1" si="111"/>
        <v>1.7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5" t="e">
        <f t="shared" ca="1" si="116"/>
        <v>#N/A</v>
      </c>
      <c r="AH697" s="65" t="e">
        <f t="shared" ca="1" si="117"/>
        <v>#N/A</v>
      </c>
      <c r="AI697" s="3" t="e">
        <f t="shared" ca="1" si="118"/>
        <v>#N/A</v>
      </c>
    </row>
    <row r="698" spans="7:35" ht="15.75" thickBot="1" x14ac:dyDescent="0.3">
      <c r="G698" s="3">
        <f t="shared" ca="1" si="110"/>
        <v>332</v>
      </c>
      <c r="H698" s="99">
        <f t="shared" ca="1" si="109"/>
        <v>45988</v>
      </c>
      <c r="I698" s="123">
        <f ca="1">HLOOKUP($H$4,'Met Data'!$A$2:$F$368,G698,FALSE)</f>
        <v>16.279166666666601</v>
      </c>
      <c r="J698" s="121">
        <f ca="1">HLOOKUP($H$4,'Met Data'!$H$2:$M$368,G698,FALSE)*L698</f>
        <v>2.5216666666666612</v>
      </c>
      <c r="K698" s="100">
        <f ca="1">HLOOKUP($H$4,'Met Data'!$O$2:$T$368,G698,FALSE)</f>
        <v>3.19082213890132</v>
      </c>
      <c r="L698">
        <f t="shared" ca="1" si="111"/>
        <v>1.7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5" t="e">
        <f t="shared" ca="1" si="116"/>
        <v>#N/A</v>
      </c>
      <c r="AH698" s="65" t="e">
        <f t="shared" ca="1" si="117"/>
        <v>#N/A</v>
      </c>
      <c r="AI698" s="3" t="e">
        <f t="shared" ca="1" si="118"/>
        <v>#N/A</v>
      </c>
    </row>
    <row r="699" spans="7:35" ht="15.75" thickBot="1" x14ac:dyDescent="0.3">
      <c r="G699" s="3">
        <f t="shared" ca="1" si="110"/>
        <v>333</v>
      </c>
      <c r="H699" s="99">
        <f t="shared" ca="1" si="109"/>
        <v>45989</v>
      </c>
      <c r="I699" s="123">
        <f ca="1">HLOOKUP($H$4,'Met Data'!$A$2:$F$368,G699,FALSE)</f>
        <v>16.070833333333301</v>
      </c>
      <c r="J699" s="121">
        <f ca="1">HLOOKUP($H$4,'Met Data'!$H$2:$M$368,G699,FALSE)*L699</f>
        <v>12.636666666666661</v>
      </c>
      <c r="K699" s="100">
        <f ca="1">HLOOKUP($H$4,'Met Data'!$O$2:$T$368,G699,FALSE)</f>
        <v>3.00999975823754</v>
      </c>
      <c r="L699">
        <f t="shared" ca="1" si="111"/>
        <v>1.7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5" t="e">
        <f t="shared" ca="1" si="116"/>
        <v>#N/A</v>
      </c>
      <c r="AH699" s="65" t="e">
        <f t="shared" ca="1" si="117"/>
        <v>#N/A</v>
      </c>
      <c r="AI699" s="3" t="e">
        <f t="shared" ca="1" si="118"/>
        <v>#N/A</v>
      </c>
    </row>
    <row r="700" spans="7:35" ht="15.75" thickBot="1" x14ac:dyDescent="0.3">
      <c r="G700" s="3">
        <f t="shared" ca="1" si="110"/>
        <v>334</v>
      </c>
      <c r="H700" s="99">
        <f t="shared" ca="1" si="109"/>
        <v>45990</v>
      </c>
      <c r="I700" s="123">
        <f ca="1">HLOOKUP($H$4,'Met Data'!$A$2:$F$368,G700,FALSE)</f>
        <v>15.033333333333299</v>
      </c>
      <c r="J700" s="121">
        <f ca="1">HLOOKUP($H$4,'Met Data'!$H$2:$M$368,G700,FALSE)*L700</f>
        <v>1.1333333333333322</v>
      </c>
      <c r="K700" s="100">
        <f ca="1">HLOOKUP($H$4,'Met Data'!$O$2:$T$368,G700,FALSE)</f>
        <v>4.1701433642644803</v>
      </c>
      <c r="L700">
        <f t="shared" ca="1" si="111"/>
        <v>1.7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5" t="e">
        <f t="shared" ca="1" si="116"/>
        <v>#N/A</v>
      </c>
      <c r="AH700" s="65" t="e">
        <f t="shared" ca="1" si="117"/>
        <v>#N/A</v>
      </c>
      <c r="AI700" s="3" t="e">
        <f t="shared" ca="1" si="118"/>
        <v>#N/A</v>
      </c>
    </row>
    <row r="701" spans="7:35" ht="15.75" thickBot="1" x14ac:dyDescent="0.3">
      <c r="G701" s="3">
        <f t="shared" ca="1" si="110"/>
        <v>335</v>
      </c>
      <c r="H701" s="99">
        <f t="shared" ca="1" si="109"/>
        <v>45991</v>
      </c>
      <c r="I701" s="123">
        <f ca="1">HLOOKUP($H$4,'Met Data'!$A$2:$F$368,G701,FALSE)</f>
        <v>16.1166666666666</v>
      </c>
      <c r="J701" s="121">
        <f ca="1">HLOOKUP($H$4,'Met Data'!$H$2:$M$368,G701,FALSE)*L701</f>
        <v>8.8966666666666612</v>
      </c>
      <c r="K701" s="100">
        <f ca="1">HLOOKUP($H$4,'Met Data'!$O$2:$T$368,G701,FALSE)</f>
        <v>3.7664149911337801</v>
      </c>
      <c r="L701">
        <f t="shared" ca="1" si="111"/>
        <v>1.7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5" t="e">
        <f t="shared" ca="1" si="116"/>
        <v>#N/A</v>
      </c>
      <c r="AH701" s="65" t="e">
        <f t="shared" ca="1" si="117"/>
        <v>#N/A</v>
      </c>
      <c r="AI701" s="3" t="e">
        <f t="shared" ca="1" si="118"/>
        <v>#N/A</v>
      </c>
    </row>
    <row r="702" spans="7:35" ht="15.75" thickBot="1" x14ac:dyDescent="0.3">
      <c r="G702" s="3">
        <f t="shared" ca="1" si="110"/>
        <v>336</v>
      </c>
      <c r="H702" s="99">
        <f t="shared" ca="1" si="109"/>
        <v>45992</v>
      </c>
      <c r="I702" s="123">
        <f ca="1">HLOOKUP($H$4,'Met Data'!$A$2:$F$368,G702,FALSE)</f>
        <v>15.887499999999999</v>
      </c>
      <c r="J702" s="121">
        <f ca="1">HLOOKUP($H$4,'Met Data'!$H$2:$M$368,G702,FALSE)*L702</f>
        <v>11.475</v>
      </c>
      <c r="K702" s="100">
        <f ca="1">HLOOKUP($H$4,'Met Data'!$O$2:$T$368,G702,FALSE)</f>
        <v>3.2490041935251899</v>
      </c>
      <c r="L702">
        <f t="shared" ca="1" si="111"/>
        <v>1.7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5" t="e">
        <f t="shared" ca="1" si="116"/>
        <v>#N/A</v>
      </c>
      <c r="AH702" s="65" t="e">
        <f t="shared" ca="1" si="117"/>
        <v>#N/A</v>
      </c>
      <c r="AI702" s="3" t="e">
        <f t="shared" ca="1" si="118"/>
        <v>#N/A</v>
      </c>
    </row>
    <row r="703" spans="7:35" ht="15.75" thickBot="1" x14ac:dyDescent="0.3">
      <c r="G703" s="3">
        <f t="shared" ca="1" si="110"/>
        <v>337</v>
      </c>
      <c r="H703" s="99">
        <f t="shared" ca="1" si="109"/>
        <v>45993</v>
      </c>
      <c r="I703" s="123">
        <f ca="1">HLOOKUP($H$4,'Met Data'!$A$2:$F$368,G703,FALSE)</f>
        <v>16.1458333333333</v>
      </c>
      <c r="J703" s="121">
        <f ca="1">HLOOKUP($H$4,'Met Data'!$H$2:$M$368,G703,FALSE)*L703</f>
        <v>1.8416666666666608</v>
      </c>
      <c r="K703" s="100">
        <f ca="1">HLOOKUP($H$4,'Met Data'!$O$2:$T$368,G703,FALSE)</f>
        <v>3.8649058322152201</v>
      </c>
      <c r="L703">
        <f t="shared" ca="1" si="111"/>
        <v>1.7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5" t="e">
        <f t="shared" ca="1" si="116"/>
        <v>#N/A</v>
      </c>
      <c r="AH703" s="65" t="e">
        <f t="shared" ca="1" si="117"/>
        <v>#N/A</v>
      </c>
      <c r="AI703" s="3" t="e">
        <f t="shared" ca="1" si="118"/>
        <v>#N/A</v>
      </c>
    </row>
    <row r="704" spans="7:35" ht="15.75" thickBot="1" x14ac:dyDescent="0.3">
      <c r="G704" s="3">
        <f t="shared" ca="1" si="110"/>
        <v>338</v>
      </c>
      <c r="H704" s="99">
        <f t="shared" ca="1" si="109"/>
        <v>45994</v>
      </c>
      <c r="I704" s="123">
        <f ca="1">HLOOKUP($H$4,'Met Data'!$A$2:$F$368,G704,FALSE)</f>
        <v>16.0625</v>
      </c>
      <c r="J704" s="121">
        <f ca="1">HLOOKUP($H$4,'Met Data'!$H$2:$M$368,G704,FALSE)*L704</f>
        <v>3.853333333333322</v>
      </c>
      <c r="K704" s="100">
        <f ca="1">HLOOKUP($H$4,'Met Data'!$O$2:$T$368,G704,FALSE)</f>
        <v>3.3633315244434101</v>
      </c>
      <c r="L704">
        <f t="shared" ca="1" si="111"/>
        <v>1.7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5" t="e">
        <f t="shared" ca="1" si="116"/>
        <v>#N/A</v>
      </c>
      <c r="AH704" s="65" t="e">
        <f t="shared" ca="1" si="117"/>
        <v>#N/A</v>
      </c>
      <c r="AI704" s="3" t="e">
        <f t="shared" ca="1" si="118"/>
        <v>#N/A</v>
      </c>
    </row>
    <row r="705" spans="7:35" ht="15.75" thickBot="1" x14ac:dyDescent="0.3">
      <c r="G705" s="3">
        <f t="shared" ca="1" si="110"/>
        <v>339</v>
      </c>
      <c r="H705" s="99">
        <f t="shared" ca="1" si="109"/>
        <v>45995</v>
      </c>
      <c r="I705" s="123">
        <f ca="1">HLOOKUP($H$4,'Met Data'!$A$2:$F$368,G705,FALSE)</f>
        <v>16.591666666666601</v>
      </c>
      <c r="J705" s="121">
        <f ca="1">HLOOKUP($H$4,'Met Data'!$H$2:$M$368,G705,FALSE)*L705</f>
        <v>5.156666666666661</v>
      </c>
      <c r="K705" s="100">
        <f ca="1">HLOOKUP($H$4,'Met Data'!$O$2:$T$368,G705,FALSE)</f>
        <v>3.8332290024095501</v>
      </c>
      <c r="L705">
        <f t="shared" ca="1" si="111"/>
        <v>1.7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5" t="e">
        <f t="shared" ca="1" si="116"/>
        <v>#N/A</v>
      </c>
      <c r="AH705" s="65" t="e">
        <f t="shared" ca="1" si="117"/>
        <v>#N/A</v>
      </c>
      <c r="AI705" s="3" t="e">
        <f t="shared" ca="1" si="118"/>
        <v>#N/A</v>
      </c>
    </row>
    <row r="706" spans="7:35" ht="15.75" thickBot="1" x14ac:dyDescent="0.3">
      <c r="G706" s="3">
        <f t="shared" ca="1" si="110"/>
        <v>340</v>
      </c>
      <c r="H706" s="99">
        <f t="shared" ca="1" si="109"/>
        <v>45996</v>
      </c>
      <c r="I706" s="123">
        <f ca="1">HLOOKUP($H$4,'Met Data'!$A$2:$F$368,G706,FALSE)</f>
        <v>16.441666666666599</v>
      </c>
      <c r="J706" s="121">
        <f ca="1">HLOOKUP($H$4,'Met Data'!$H$2:$M$368,G706,FALSE)*L706</f>
        <v>1.8416666666666608</v>
      </c>
      <c r="K706" s="100">
        <f ca="1">HLOOKUP($H$4,'Met Data'!$O$2:$T$368,G706,FALSE)</f>
        <v>3.3753600087216298</v>
      </c>
      <c r="L706">
        <f t="shared" ca="1" si="111"/>
        <v>1.7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5" t="e">
        <f t="shared" ca="1" si="116"/>
        <v>#N/A</v>
      </c>
      <c r="AH706" s="65" t="e">
        <f t="shared" ca="1" si="117"/>
        <v>#N/A</v>
      </c>
      <c r="AI706" s="3" t="e">
        <f t="shared" ca="1" si="118"/>
        <v>#N/A</v>
      </c>
    </row>
    <row r="707" spans="7:35" ht="15.75" thickBot="1" x14ac:dyDescent="0.3">
      <c r="G707" s="3">
        <f t="shared" ca="1" si="110"/>
        <v>341</v>
      </c>
      <c r="H707" s="99">
        <f t="shared" ca="1" si="109"/>
        <v>45997</v>
      </c>
      <c r="I707" s="123">
        <f ca="1">HLOOKUP($H$4,'Met Data'!$A$2:$F$368,G707,FALSE)</f>
        <v>16.454166666666602</v>
      </c>
      <c r="J707" s="121">
        <f ca="1">HLOOKUP($H$4,'Met Data'!$H$2:$M$368,G707,FALSE)*L707</f>
        <v>4.4483333333333217</v>
      </c>
      <c r="K707" s="100">
        <f ca="1">HLOOKUP($H$4,'Met Data'!$O$2:$T$368,G707,FALSE)</f>
        <v>2.8811659068389401</v>
      </c>
      <c r="L707">
        <f t="shared" ca="1" si="111"/>
        <v>1.7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5" t="e">
        <f t="shared" ca="1" si="116"/>
        <v>#N/A</v>
      </c>
      <c r="AH707" s="65" t="e">
        <f t="shared" ca="1" si="117"/>
        <v>#N/A</v>
      </c>
      <c r="AI707" s="3" t="e">
        <f t="shared" ca="1" si="118"/>
        <v>#N/A</v>
      </c>
    </row>
    <row r="708" spans="7:35" ht="15.75" thickBot="1" x14ac:dyDescent="0.3">
      <c r="G708" s="3">
        <f t="shared" ca="1" si="110"/>
        <v>342</v>
      </c>
      <c r="H708" s="99">
        <f t="shared" ca="1" si="109"/>
        <v>45998</v>
      </c>
      <c r="I708" s="123">
        <f ca="1">HLOOKUP($H$4,'Met Data'!$A$2:$F$368,G708,FALSE)</f>
        <v>15.879166666666601</v>
      </c>
      <c r="J708" s="121">
        <f ca="1">HLOOKUP($H$4,'Met Data'!$H$2:$M$368,G708,FALSE)*L708</f>
        <v>5.27</v>
      </c>
      <c r="K708" s="100">
        <f ca="1">HLOOKUP($H$4,'Met Data'!$O$2:$T$368,G708,FALSE)</f>
        <v>3.4185168625157498</v>
      </c>
      <c r="L708">
        <f t="shared" ca="1" si="111"/>
        <v>1.7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5" t="e">
        <f t="shared" ca="1" si="116"/>
        <v>#N/A</v>
      </c>
      <c r="AH708" s="65" t="e">
        <f t="shared" ca="1" si="117"/>
        <v>#N/A</v>
      </c>
      <c r="AI708" s="3" t="e">
        <f t="shared" ca="1" si="118"/>
        <v>#N/A</v>
      </c>
    </row>
    <row r="709" spans="7:35" ht="15.75" thickBot="1" x14ac:dyDescent="0.3">
      <c r="G709" s="3">
        <f t="shared" ca="1" si="110"/>
        <v>343</v>
      </c>
      <c r="H709" s="99">
        <f t="shared" ca="1" si="109"/>
        <v>45999</v>
      </c>
      <c r="I709" s="123">
        <f ca="1">HLOOKUP($H$4,'Met Data'!$A$2:$F$368,G709,FALSE)</f>
        <v>15.259090909090901</v>
      </c>
      <c r="J709" s="121">
        <f ca="1">HLOOKUP($H$4,'Met Data'!$H$2:$M$368,G709,FALSE)*L709</f>
        <v>10.385454545454529</v>
      </c>
      <c r="K709" s="100">
        <f ca="1">HLOOKUP($H$4,'Met Data'!$O$2:$T$368,G709,FALSE)</f>
        <v>2.9122766026990501</v>
      </c>
      <c r="L709">
        <f t="shared" ca="1" si="111"/>
        <v>1.7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5" t="e">
        <f t="shared" ca="1" si="116"/>
        <v>#N/A</v>
      </c>
      <c r="AH709" s="65" t="e">
        <f t="shared" ca="1" si="117"/>
        <v>#N/A</v>
      </c>
      <c r="AI709" s="3" t="e">
        <f t="shared" ca="1" si="118"/>
        <v>#N/A</v>
      </c>
    </row>
    <row r="710" spans="7:35" ht="15.75" thickBot="1" x14ac:dyDescent="0.3">
      <c r="G710" s="3">
        <f t="shared" ca="1" si="110"/>
        <v>344</v>
      </c>
      <c r="H710" s="99">
        <f t="shared" ca="1" si="109"/>
        <v>46000</v>
      </c>
      <c r="I710" s="123">
        <f ca="1">HLOOKUP($H$4,'Met Data'!$A$2:$F$368,G710,FALSE)</f>
        <v>15.9125</v>
      </c>
      <c r="J710" s="121">
        <f ca="1">HLOOKUP($H$4,'Met Data'!$H$2:$M$368,G710,FALSE)*L710</f>
        <v>3.031666666666661</v>
      </c>
      <c r="K710" s="100">
        <f ca="1">HLOOKUP($H$4,'Met Data'!$O$2:$T$368,G710,FALSE)</f>
        <v>3.7124167377990198</v>
      </c>
      <c r="L710">
        <f t="shared" ca="1" si="111"/>
        <v>1.7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5" t="e">
        <f t="shared" ca="1" si="116"/>
        <v>#N/A</v>
      </c>
      <c r="AH710" s="65" t="e">
        <f t="shared" ca="1" si="117"/>
        <v>#N/A</v>
      </c>
      <c r="AI710" s="3" t="e">
        <f t="shared" ca="1" si="118"/>
        <v>#N/A</v>
      </c>
    </row>
    <row r="711" spans="7:35" ht="15.75" thickBot="1" x14ac:dyDescent="0.3">
      <c r="G711" s="3">
        <f t="shared" ca="1" si="110"/>
        <v>345</v>
      </c>
      <c r="H711" s="99">
        <f t="shared" ca="1" si="109"/>
        <v>46001</v>
      </c>
      <c r="I711" s="123">
        <f ca="1">HLOOKUP($H$4,'Met Data'!$A$2:$F$368,G711,FALSE)</f>
        <v>16.720833333333299</v>
      </c>
      <c r="J711" s="121">
        <f ca="1">HLOOKUP($H$4,'Met Data'!$H$2:$M$368,G711,FALSE)*L711</f>
        <v>11.248333333333322</v>
      </c>
      <c r="K711" s="100">
        <f ca="1">HLOOKUP($H$4,'Met Data'!$O$2:$T$368,G711,FALSE)</f>
        <v>3.19412245919293</v>
      </c>
      <c r="L711">
        <f t="shared" ca="1" si="111"/>
        <v>1.7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5" t="e">
        <f t="shared" ca="1" si="116"/>
        <v>#N/A</v>
      </c>
      <c r="AH711" s="65" t="e">
        <f t="shared" ca="1" si="117"/>
        <v>#N/A</v>
      </c>
      <c r="AI711" s="3" t="e">
        <f t="shared" ca="1" si="118"/>
        <v>#N/A</v>
      </c>
    </row>
    <row r="712" spans="7:35" ht="15.75" thickBot="1" x14ac:dyDescent="0.3">
      <c r="G712" s="3">
        <f t="shared" ca="1" si="110"/>
        <v>346</v>
      </c>
      <c r="H712" s="99">
        <f t="shared" ref="H712:H775" ca="1" si="119">H711+1</f>
        <v>46002</v>
      </c>
      <c r="I712" s="123">
        <f ca="1">HLOOKUP($H$4,'Met Data'!$A$2:$F$368,G712,FALSE)</f>
        <v>17.529166666666601</v>
      </c>
      <c r="J712" s="121">
        <f ca="1">HLOOKUP($H$4,'Met Data'!$H$2:$M$368,G712,FALSE)*L712</f>
        <v>3.4566666666666612</v>
      </c>
      <c r="K712" s="100">
        <f ca="1">HLOOKUP($H$4,'Met Data'!$O$2:$T$368,G712,FALSE)</f>
        <v>3.0664285414958901</v>
      </c>
      <c r="L712">
        <f t="shared" ca="1" si="111"/>
        <v>1.7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5" t="e">
        <f t="shared" ca="1" si="116"/>
        <v>#N/A</v>
      </c>
      <c r="AH712" s="65" t="e">
        <f t="shared" ca="1" si="117"/>
        <v>#N/A</v>
      </c>
      <c r="AI712" s="3" t="e">
        <f t="shared" ca="1" si="118"/>
        <v>#N/A</v>
      </c>
    </row>
    <row r="713" spans="7:35" ht="15.75" thickBot="1" x14ac:dyDescent="0.3">
      <c r="G713" s="3">
        <f t="shared" ca="1" si="110"/>
        <v>347</v>
      </c>
      <c r="H713" s="99">
        <f t="shared" ca="1" si="119"/>
        <v>46003</v>
      </c>
      <c r="I713" s="123">
        <f ca="1">HLOOKUP($H$4,'Met Data'!$A$2:$F$368,G713,FALSE)</f>
        <v>17.004166666666599</v>
      </c>
      <c r="J713" s="121">
        <f ca="1">HLOOKUP($H$4,'Met Data'!$H$2:$M$368,G713,FALSE)*L713</f>
        <v>4.1933333333333218</v>
      </c>
      <c r="K713" s="100">
        <f ca="1">HLOOKUP($H$4,'Met Data'!$O$2:$T$368,G713,FALSE)</f>
        <v>3.6044975025694099</v>
      </c>
      <c r="L713">
        <f t="shared" ca="1" si="111"/>
        <v>1.7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5" t="e">
        <f t="shared" ca="1" si="116"/>
        <v>#N/A</v>
      </c>
      <c r="AH713" s="65" t="e">
        <f t="shared" ca="1" si="117"/>
        <v>#N/A</v>
      </c>
      <c r="AI713" s="3" t="e">
        <f t="shared" ca="1" si="118"/>
        <v>#N/A</v>
      </c>
    </row>
    <row r="714" spans="7:35" ht="15.75" thickBot="1" x14ac:dyDescent="0.3">
      <c r="G714" s="3">
        <f t="shared" ca="1" si="110"/>
        <v>348</v>
      </c>
      <c r="H714" s="99">
        <f t="shared" ca="1" si="119"/>
        <v>46004</v>
      </c>
      <c r="I714" s="123">
        <f ca="1">HLOOKUP($H$4,'Met Data'!$A$2:$F$368,G714,FALSE)</f>
        <v>16.883333333333301</v>
      </c>
      <c r="J714" s="121">
        <f ca="1">HLOOKUP($H$4,'Met Data'!$H$2:$M$368,G714,FALSE)*L714</f>
        <v>2.946666666666661</v>
      </c>
      <c r="K714" s="100">
        <f ca="1">HLOOKUP($H$4,'Met Data'!$O$2:$T$368,G714,FALSE)</f>
        <v>4.1436131117359496</v>
      </c>
      <c r="L714">
        <f t="shared" ca="1" si="111"/>
        <v>1.7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5" t="e">
        <f t="shared" ca="1" si="116"/>
        <v>#N/A</v>
      </c>
      <c r="AH714" s="65" t="e">
        <f t="shared" ca="1" si="117"/>
        <v>#N/A</v>
      </c>
      <c r="AI714" s="3" t="e">
        <f t="shared" ca="1" si="118"/>
        <v>#N/A</v>
      </c>
    </row>
    <row r="715" spans="7:35" ht="15.75" thickBot="1" x14ac:dyDescent="0.3">
      <c r="G715" s="3">
        <f t="shared" ca="1" si="110"/>
        <v>349</v>
      </c>
      <c r="H715" s="99">
        <f t="shared" ca="1" si="119"/>
        <v>46005</v>
      </c>
      <c r="I715" s="123">
        <f ca="1">HLOOKUP($H$4,'Met Data'!$A$2:$F$368,G715,FALSE)</f>
        <v>16.191666666666599</v>
      </c>
      <c r="J715" s="121">
        <f ca="1">HLOOKUP($H$4,'Met Data'!$H$2:$M$368,G715,FALSE)*L715</f>
        <v>2.6066666666666611</v>
      </c>
      <c r="K715" s="100">
        <f ca="1">HLOOKUP($H$4,'Met Data'!$O$2:$T$368,G715,FALSE)</f>
        <v>3.8138486605430502</v>
      </c>
      <c r="L715">
        <f t="shared" ca="1" si="111"/>
        <v>1.7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5" t="e">
        <f t="shared" ca="1" si="116"/>
        <v>#N/A</v>
      </c>
      <c r="AH715" s="65" t="e">
        <f t="shared" ca="1" si="117"/>
        <v>#N/A</v>
      </c>
      <c r="AI715" s="3" t="e">
        <f t="shared" ca="1" si="118"/>
        <v>#N/A</v>
      </c>
    </row>
    <row r="716" spans="7:35" ht="15.75" thickBot="1" x14ac:dyDescent="0.3">
      <c r="G716" s="3">
        <f t="shared" ca="1" si="110"/>
        <v>350</v>
      </c>
      <c r="H716" s="99">
        <f t="shared" ca="1" si="119"/>
        <v>46006</v>
      </c>
      <c r="I716" s="123">
        <f ca="1">HLOOKUP($H$4,'Met Data'!$A$2:$F$368,G716,FALSE)</f>
        <v>15.754166666666601</v>
      </c>
      <c r="J716" s="121">
        <f ca="1">HLOOKUP($H$4,'Met Data'!$H$2:$M$368,G716,FALSE)*L716</f>
        <v>8.3583333333333218</v>
      </c>
      <c r="K716" s="100">
        <f ca="1">HLOOKUP($H$4,'Met Data'!$O$2:$T$368,G716,FALSE)</f>
        <v>4.2245531095694204</v>
      </c>
      <c r="L716">
        <f t="shared" ca="1" si="111"/>
        <v>1.7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5" t="e">
        <f t="shared" ca="1" si="116"/>
        <v>#N/A</v>
      </c>
      <c r="AH716" s="65" t="e">
        <f t="shared" ca="1" si="117"/>
        <v>#N/A</v>
      </c>
      <c r="AI716" s="3" t="e">
        <f t="shared" ca="1" si="118"/>
        <v>#N/A</v>
      </c>
    </row>
    <row r="717" spans="7:35" ht="15.75" thickBot="1" x14ac:dyDescent="0.3">
      <c r="G717" s="3">
        <f t="shared" ca="1" si="110"/>
        <v>351</v>
      </c>
      <c r="H717" s="99">
        <f t="shared" ca="1" si="119"/>
        <v>46007</v>
      </c>
      <c r="I717" s="123">
        <f ca="1">HLOOKUP($H$4,'Met Data'!$A$2:$F$368,G717,FALSE)</f>
        <v>16.766666666666602</v>
      </c>
      <c r="J717" s="121">
        <f ca="1">HLOOKUP($H$4,'Met Data'!$H$2:$M$368,G717,FALSE)*L717</f>
        <v>2.7199999999999829</v>
      </c>
      <c r="K717" s="100">
        <f ca="1">HLOOKUP($H$4,'Met Data'!$O$2:$T$368,G717,FALSE)</f>
        <v>4.0567025040665996</v>
      </c>
      <c r="L717">
        <f t="shared" ca="1" si="111"/>
        <v>1.7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5" t="e">
        <f t="shared" ca="1" si="116"/>
        <v>#N/A</v>
      </c>
      <c r="AH717" s="65" t="e">
        <f t="shared" ca="1" si="117"/>
        <v>#N/A</v>
      </c>
      <c r="AI717" s="3" t="e">
        <f t="shared" ca="1" si="118"/>
        <v>#N/A</v>
      </c>
    </row>
    <row r="718" spans="7:35" ht="15.75" thickBot="1" x14ac:dyDescent="0.3">
      <c r="G718" s="3">
        <f t="shared" ca="1" si="110"/>
        <v>352</v>
      </c>
      <c r="H718" s="99">
        <f t="shared" ca="1" si="119"/>
        <v>46008</v>
      </c>
      <c r="I718" s="123">
        <f ca="1">HLOOKUP($H$4,'Met Data'!$A$2:$F$368,G718,FALSE)</f>
        <v>16.766666666666602</v>
      </c>
      <c r="J718" s="121">
        <f ca="1">HLOOKUP($H$4,'Met Data'!$H$2:$M$368,G718,FALSE)*L718</f>
        <v>7.3383333333333223</v>
      </c>
      <c r="K718" s="100">
        <f ca="1">HLOOKUP($H$4,'Met Data'!$O$2:$T$368,G718,FALSE)</f>
        <v>3.8858032497445998</v>
      </c>
      <c r="L718">
        <f t="shared" ca="1" si="111"/>
        <v>1.7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5" t="e">
        <f t="shared" ca="1" si="116"/>
        <v>#N/A</v>
      </c>
      <c r="AH718" s="65" t="e">
        <f t="shared" ca="1" si="117"/>
        <v>#N/A</v>
      </c>
      <c r="AI718" s="3" t="e">
        <f t="shared" ca="1" si="118"/>
        <v>#N/A</v>
      </c>
    </row>
    <row r="719" spans="7:35" ht="15.75" thickBot="1" x14ac:dyDescent="0.3">
      <c r="G719" s="3">
        <f t="shared" ca="1" si="110"/>
        <v>353</v>
      </c>
      <c r="H719" s="99">
        <f t="shared" ca="1" si="119"/>
        <v>46009</v>
      </c>
      <c r="I719" s="123">
        <f ca="1">HLOOKUP($H$4,'Met Data'!$A$2:$F$368,G719,FALSE)</f>
        <v>17.191666666666599</v>
      </c>
      <c r="J719" s="121">
        <f ca="1">HLOOKUP($H$4,'Met Data'!$H$2:$M$368,G719,FALSE)*L719</f>
        <v>2.125</v>
      </c>
      <c r="K719" s="100">
        <f ca="1">HLOOKUP($H$4,'Met Data'!$O$2:$T$368,G719,FALSE)</f>
        <v>3.5439221574521702</v>
      </c>
      <c r="L719">
        <f t="shared" ca="1" si="111"/>
        <v>1.7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5" t="e">
        <f t="shared" ca="1" si="116"/>
        <v>#N/A</v>
      </c>
      <c r="AH719" s="65" t="e">
        <f t="shared" ca="1" si="117"/>
        <v>#N/A</v>
      </c>
      <c r="AI719" s="3" t="e">
        <f t="shared" ca="1" si="118"/>
        <v>#N/A</v>
      </c>
    </row>
    <row r="720" spans="7:35" ht="15.75" thickBot="1" x14ac:dyDescent="0.3">
      <c r="G720" s="3">
        <f t="shared" ca="1" si="110"/>
        <v>354</v>
      </c>
      <c r="H720" s="99">
        <f t="shared" ca="1" si="119"/>
        <v>46010</v>
      </c>
      <c r="I720" s="123">
        <f ca="1">HLOOKUP($H$4,'Met Data'!$A$2:$F$368,G720,FALSE)</f>
        <v>16.725000000000001</v>
      </c>
      <c r="J720" s="121">
        <f ca="1">HLOOKUP($H$4,'Met Data'!$H$2:$M$368,G720,FALSE)*L720</f>
        <v>10.93666666666666</v>
      </c>
      <c r="K720" s="100">
        <f ca="1">HLOOKUP($H$4,'Met Data'!$O$2:$T$368,G720,FALSE)</f>
        <v>2.7226403112081199</v>
      </c>
      <c r="L720">
        <f t="shared" ca="1" si="111"/>
        <v>1.7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5" t="e">
        <f t="shared" ca="1" si="116"/>
        <v>#N/A</v>
      </c>
      <c r="AH720" s="65" t="e">
        <f t="shared" ca="1" si="117"/>
        <v>#N/A</v>
      </c>
      <c r="AI720" s="3" t="e">
        <f t="shared" ca="1" si="118"/>
        <v>#N/A</v>
      </c>
    </row>
    <row r="721" spans="7:35" ht="15.75" thickBot="1" x14ac:dyDescent="0.3">
      <c r="G721" s="3">
        <f t="shared" ca="1" si="110"/>
        <v>355</v>
      </c>
      <c r="H721" s="99">
        <f t="shared" ca="1" si="119"/>
        <v>46011</v>
      </c>
      <c r="I721" s="123">
        <f ca="1">HLOOKUP($H$4,'Met Data'!$A$2:$F$368,G721,FALSE)</f>
        <v>15.9625</v>
      </c>
      <c r="J721" s="121">
        <f ca="1">HLOOKUP($H$4,'Met Data'!$H$2:$M$368,G721,FALSE)*L721</f>
        <v>7.3666666666666618</v>
      </c>
      <c r="K721" s="100">
        <f ca="1">HLOOKUP($H$4,'Met Data'!$O$2:$T$368,G721,FALSE)</f>
        <v>3.7253118866284498</v>
      </c>
      <c r="L721">
        <f t="shared" ca="1" si="111"/>
        <v>1.7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5" t="e">
        <f t="shared" ca="1" si="116"/>
        <v>#N/A</v>
      </c>
      <c r="AH721" s="65" t="e">
        <f t="shared" ca="1" si="117"/>
        <v>#N/A</v>
      </c>
      <c r="AI721" s="3" t="e">
        <f t="shared" ca="1" si="118"/>
        <v>#N/A</v>
      </c>
    </row>
    <row r="722" spans="7:35" ht="15.75" thickBot="1" x14ac:dyDescent="0.3">
      <c r="G722" s="3">
        <f t="shared" ca="1" si="110"/>
        <v>356</v>
      </c>
      <c r="H722" s="99">
        <f t="shared" ca="1" si="119"/>
        <v>46012</v>
      </c>
      <c r="I722" s="123">
        <f ca="1">HLOOKUP($H$4,'Met Data'!$A$2:$F$368,G722,FALSE)</f>
        <v>16.074999999999999</v>
      </c>
      <c r="J722" s="121">
        <f ca="1">HLOOKUP($H$4,'Met Data'!$H$2:$M$368,G722,FALSE)*L722</f>
        <v>1.5299999999999983</v>
      </c>
      <c r="K722" s="100">
        <f ca="1">HLOOKUP($H$4,'Met Data'!$O$2:$T$368,G722,FALSE)</f>
        <v>3.69045556475041</v>
      </c>
      <c r="L722">
        <f t="shared" ca="1" si="111"/>
        <v>1.7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5" t="e">
        <f t="shared" ca="1" si="116"/>
        <v>#N/A</v>
      </c>
      <c r="AH722" s="65" t="e">
        <f t="shared" ca="1" si="117"/>
        <v>#N/A</v>
      </c>
      <c r="AI722" s="3" t="e">
        <f t="shared" ca="1" si="118"/>
        <v>#N/A</v>
      </c>
    </row>
    <row r="723" spans="7:35" ht="15.75" thickBot="1" x14ac:dyDescent="0.3">
      <c r="G723" s="3">
        <f t="shared" ca="1" si="110"/>
        <v>357</v>
      </c>
      <c r="H723" s="99">
        <f t="shared" ca="1" si="119"/>
        <v>46013</v>
      </c>
      <c r="I723" s="123">
        <f ca="1">HLOOKUP($H$4,'Met Data'!$A$2:$F$368,G723,FALSE)</f>
        <v>16.1458333333333</v>
      </c>
      <c r="J723" s="121">
        <f ca="1">HLOOKUP($H$4,'Met Data'!$H$2:$M$368,G723,FALSE)*L723</f>
        <v>1.3316666666666661</v>
      </c>
      <c r="K723" s="100">
        <f ca="1">HLOOKUP($H$4,'Met Data'!$O$2:$T$368,G723,FALSE)</f>
        <v>3.66376320931905</v>
      </c>
      <c r="L723">
        <f t="shared" ca="1" si="111"/>
        <v>1.7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5" t="e">
        <f t="shared" ca="1" si="116"/>
        <v>#N/A</v>
      </c>
      <c r="AH723" s="65" t="e">
        <f t="shared" ca="1" si="117"/>
        <v>#N/A</v>
      </c>
      <c r="AI723" s="3" t="e">
        <f t="shared" ca="1" si="118"/>
        <v>#N/A</v>
      </c>
    </row>
    <row r="724" spans="7:35" ht="15.75" thickBot="1" x14ac:dyDescent="0.3">
      <c r="G724" s="3">
        <f t="shared" ca="1" si="110"/>
        <v>358</v>
      </c>
      <c r="H724" s="99">
        <f t="shared" ca="1" si="119"/>
        <v>46014</v>
      </c>
      <c r="I724" s="123">
        <f ca="1">HLOOKUP($H$4,'Met Data'!$A$2:$F$368,G724,FALSE)</f>
        <v>16.820833333333301</v>
      </c>
      <c r="J724" s="121">
        <f ca="1">HLOOKUP($H$4,'Met Data'!$H$2:$M$368,G724,FALSE)*L724</f>
        <v>1.9833333333333221</v>
      </c>
      <c r="K724" s="100">
        <f ca="1">HLOOKUP($H$4,'Met Data'!$O$2:$T$368,G724,FALSE)</f>
        <v>4.2904592235930501</v>
      </c>
      <c r="L724">
        <f t="shared" ca="1" si="111"/>
        <v>1.7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5" t="e">
        <f t="shared" ca="1" si="116"/>
        <v>#N/A</v>
      </c>
      <c r="AH724" s="65" t="e">
        <f t="shared" ca="1" si="117"/>
        <v>#N/A</v>
      </c>
      <c r="AI724" s="3" t="e">
        <f t="shared" ca="1" si="118"/>
        <v>#N/A</v>
      </c>
    </row>
    <row r="725" spans="7:35" ht="15.75" thickBot="1" x14ac:dyDescent="0.3">
      <c r="G725" s="3">
        <f t="shared" ca="1" si="110"/>
        <v>359</v>
      </c>
      <c r="H725" s="99">
        <f t="shared" ca="1" si="119"/>
        <v>46015</v>
      </c>
      <c r="I725" s="123">
        <f ca="1">HLOOKUP($H$4,'Met Data'!$A$2:$F$368,G725,FALSE)</f>
        <v>16.883333333333301</v>
      </c>
      <c r="J725" s="121">
        <f ca="1">HLOOKUP($H$4,'Met Data'!$H$2:$M$368,G725,FALSE)*L725</f>
        <v>7.054999999999982</v>
      </c>
      <c r="K725" s="100">
        <f ca="1">HLOOKUP($H$4,'Met Data'!$O$2:$T$368,G725,FALSE)</f>
        <v>3.61274265774352</v>
      </c>
      <c r="L725">
        <f t="shared" ca="1" si="111"/>
        <v>1.7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5" t="e">
        <f t="shared" ca="1" si="116"/>
        <v>#N/A</v>
      </c>
      <c r="AH725" s="65" t="e">
        <f t="shared" ca="1" si="117"/>
        <v>#N/A</v>
      </c>
      <c r="AI725" s="3" t="e">
        <f t="shared" ca="1" si="118"/>
        <v>#N/A</v>
      </c>
    </row>
    <row r="726" spans="7:35" ht="15.75" thickBot="1" x14ac:dyDescent="0.3">
      <c r="G726" s="3">
        <f t="shared" ca="1" si="110"/>
        <v>360</v>
      </c>
      <c r="H726" s="99">
        <f t="shared" ca="1" si="119"/>
        <v>46016</v>
      </c>
      <c r="I726" s="123">
        <f ca="1">HLOOKUP($H$4,'Met Data'!$A$2:$F$368,G726,FALSE)</f>
        <v>17.399999999999999</v>
      </c>
      <c r="J726" s="121">
        <f ca="1">HLOOKUP($H$4,'Met Data'!$H$2:$M$368,G726,FALSE)*L726</f>
        <v>8.5283333333333218</v>
      </c>
      <c r="K726" s="100">
        <f ca="1">HLOOKUP($H$4,'Met Data'!$O$2:$T$368,G726,FALSE)</f>
        <v>4.09028075025509</v>
      </c>
      <c r="L726">
        <f t="shared" ca="1" si="111"/>
        <v>1.7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5" t="e">
        <f t="shared" ca="1" si="116"/>
        <v>#N/A</v>
      </c>
      <c r="AH726" s="65" t="e">
        <f t="shared" ca="1" si="117"/>
        <v>#N/A</v>
      </c>
      <c r="AI726" s="3" t="e">
        <f t="shared" ca="1" si="118"/>
        <v>#N/A</v>
      </c>
    </row>
    <row r="727" spans="7:35" ht="15.75" thickBot="1" x14ac:dyDescent="0.3">
      <c r="G727" s="3">
        <f t="shared" ca="1" si="110"/>
        <v>361</v>
      </c>
      <c r="H727" s="99">
        <f t="shared" ca="1" si="119"/>
        <v>46017</v>
      </c>
      <c r="I727" s="123">
        <f ca="1">HLOOKUP($H$4,'Met Data'!$A$2:$F$368,G727,FALSE)</f>
        <v>17.920833333333299</v>
      </c>
      <c r="J727" s="121">
        <f ca="1">HLOOKUP($H$4,'Met Data'!$H$2:$M$368,G727,FALSE)*L727</f>
        <v>0.96333333333333215</v>
      </c>
      <c r="K727" s="100">
        <f ca="1">HLOOKUP($H$4,'Met Data'!$O$2:$T$368,G727,FALSE)</f>
        <v>4.1244552423616296</v>
      </c>
      <c r="L727">
        <f t="shared" ca="1" si="111"/>
        <v>1.7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5" t="e">
        <f t="shared" ca="1" si="116"/>
        <v>#N/A</v>
      </c>
      <c r="AH727" s="65" t="e">
        <f t="shared" ca="1" si="117"/>
        <v>#N/A</v>
      </c>
      <c r="AI727" s="3" t="e">
        <f t="shared" ca="1" si="118"/>
        <v>#N/A</v>
      </c>
    </row>
    <row r="728" spans="7:35" ht="15.75" thickBot="1" x14ac:dyDescent="0.3">
      <c r="G728" s="3">
        <f t="shared" ca="1" si="110"/>
        <v>362</v>
      </c>
      <c r="H728" s="99">
        <f t="shared" ca="1" si="119"/>
        <v>46018</v>
      </c>
      <c r="I728" s="123">
        <f ca="1">HLOOKUP($H$4,'Met Data'!$A$2:$F$368,G728,FALSE)</f>
        <v>17.537500000000001</v>
      </c>
      <c r="J728" s="121">
        <f ca="1">HLOOKUP($H$4,'Met Data'!$H$2:$M$368,G728,FALSE)*L728</f>
        <v>2.1816666666666613</v>
      </c>
      <c r="K728" s="100">
        <f ca="1">HLOOKUP($H$4,'Met Data'!$O$2:$T$368,G728,FALSE)</f>
        <v>4.3692883234689903</v>
      </c>
      <c r="L728">
        <f t="shared" ca="1" si="111"/>
        <v>1.7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5" t="e">
        <f t="shared" ca="1" si="116"/>
        <v>#N/A</v>
      </c>
      <c r="AH728" s="65" t="e">
        <f t="shared" ca="1" si="117"/>
        <v>#N/A</v>
      </c>
      <c r="AI728" s="3" t="e">
        <f t="shared" ca="1" si="118"/>
        <v>#N/A</v>
      </c>
    </row>
    <row r="729" spans="7:35" ht="15.75" thickBot="1" x14ac:dyDescent="0.3">
      <c r="G729" s="3">
        <f t="shared" ca="1" si="110"/>
        <v>363</v>
      </c>
      <c r="H729" s="99">
        <f t="shared" ca="1" si="119"/>
        <v>46019</v>
      </c>
      <c r="I729" s="123">
        <f ca="1">HLOOKUP($H$4,'Met Data'!$A$2:$F$368,G729,FALSE)</f>
        <v>17.012499999999999</v>
      </c>
      <c r="J729" s="121">
        <f ca="1">HLOOKUP($H$4,'Met Data'!$H$2:$M$368,G729,FALSE)*L729</f>
        <v>2.6916666666666607</v>
      </c>
      <c r="K729" s="100">
        <f ca="1">HLOOKUP($H$4,'Met Data'!$O$2:$T$368,G729,FALSE)</f>
        <v>3.8686759650684999</v>
      </c>
      <c r="L729">
        <f t="shared" ca="1" si="111"/>
        <v>1.7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5" t="e">
        <f t="shared" ca="1" si="116"/>
        <v>#N/A</v>
      </c>
      <c r="AH729" s="65" t="e">
        <f t="shared" ca="1" si="117"/>
        <v>#N/A</v>
      </c>
      <c r="AI729" s="3" t="e">
        <f t="shared" ca="1" si="118"/>
        <v>#N/A</v>
      </c>
    </row>
    <row r="730" spans="7:35" ht="15.75" thickBot="1" x14ac:dyDescent="0.3">
      <c r="G730" s="3">
        <f t="shared" ca="1" si="110"/>
        <v>364</v>
      </c>
      <c r="H730" s="99">
        <f t="shared" ca="1" si="119"/>
        <v>46020</v>
      </c>
      <c r="I730" s="123">
        <f ca="1">HLOOKUP($H$4,'Met Data'!$A$2:$F$368,G730,FALSE)</f>
        <v>17.1041666666666</v>
      </c>
      <c r="J730" s="121">
        <f ca="1">HLOOKUP($H$4,'Met Data'!$H$2:$M$368,G730,FALSE)*L730</f>
        <v>7.2816666666666601</v>
      </c>
      <c r="K730" s="100">
        <f ca="1">HLOOKUP($H$4,'Met Data'!$O$2:$T$368,G730,FALSE)</f>
        <v>3.65125453231978</v>
      </c>
      <c r="L730">
        <f t="shared" ca="1" si="111"/>
        <v>1.7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5" t="e">
        <f t="shared" ca="1" si="116"/>
        <v>#N/A</v>
      </c>
      <c r="AH730" s="65" t="e">
        <f t="shared" ca="1" si="117"/>
        <v>#N/A</v>
      </c>
      <c r="AI730" s="3" t="e">
        <f t="shared" ca="1" si="118"/>
        <v>#N/A</v>
      </c>
    </row>
    <row r="731" spans="7:35" ht="15.75" thickBot="1" x14ac:dyDescent="0.3">
      <c r="G731" s="3">
        <f t="shared" ca="1" si="110"/>
        <v>365</v>
      </c>
      <c r="H731" s="99">
        <f t="shared" ca="1" si="119"/>
        <v>46021</v>
      </c>
      <c r="I731" s="123">
        <f ca="1">HLOOKUP($H$4,'Met Data'!$A$2:$F$368,G731,FALSE)</f>
        <v>17.0541666666666</v>
      </c>
      <c r="J731" s="121">
        <f ca="1">HLOOKUP($H$4,'Met Data'!$H$2:$M$368,G731,FALSE)*L731</f>
        <v>6.2616666666666605</v>
      </c>
      <c r="K731" s="100">
        <f ca="1">HLOOKUP($H$4,'Met Data'!$O$2:$T$368,G731,FALSE)</f>
        <v>3.3111049356888498</v>
      </c>
      <c r="L731">
        <f t="shared" ca="1" si="111"/>
        <v>1.7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5" t="e">
        <f t="shared" ca="1" si="116"/>
        <v>#N/A</v>
      </c>
      <c r="AH731" s="65" t="e">
        <f t="shared" ca="1" si="117"/>
        <v>#N/A</v>
      </c>
      <c r="AI731" s="3" t="e">
        <f t="shared" ca="1" si="118"/>
        <v>#N/A</v>
      </c>
    </row>
    <row r="732" spans="7:35" ht="15.75" thickBot="1" x14ac:dyDescent="0.3">
      <c r="G732" s="3">
        <f t="shared" ca="1" si="110"/>
        <v>366</v>
      </c>
      <c r="H732" s="99">
        <f t="shared" ca="1" si="119"/>
        <v>46022</v>
      </c>
      <c r="I732" s="123">
        <f ca="1">HLOOKUP($H$4,'Met Data'!$A$2:$F$368,G732,FALSE)</f>
        <v>16.6875</v>
      </c>
      <c r="J732" s="121">
        <f ca="1">HLOOKUP($H$4,'Met Data'!$H$2:$M$368,G732,FALSE)*L732</f>
        <v>7.9616666666666607</v>
      </c>
      <c r="K732" s="100">
        <f ca="1">HLOOKUP($H$4,'Met Data'!$O$2:$T$368,G732,FALSE)</f>
        <v>3.7095349810249001</v>
      </c>
      <c r="L732">
        <f t="shared" ca="1" si="111"/>
        <v>1.7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5" t="e">
        <f t="shared" ca="1" si="116"/>
        <v>#N/A</v>
      </c>
      <c r="AH732" s="65" t="e">
        <f t="shared" ca="1" si="117"/>
        <v>#N/A</v>
      </c>
      <c r="AI732" s="3" t="e">
        <f t="shared" ca="1" si="118"/>
        <v>#N/A</v>
      </c>
    </row>
    <row r="733" spans="7:35" ht="15.75" thickBot="1" x14ac:dyDescent="0.3">
      <c r="G733" s="3">
        <f t="shared" ca="1" si="110"/>
        <v>2</v>
      </c>
      <c r="H733" s="99">
        <f t="shared" ca="1" si="119"/>
        <v>46023</v>
      </c>
      <c r="I733" s="123">
        <f ca="1">HLOOKUP($H$4,'Met Data'!$A$2:$F$368,G733,FALSE)</f>
        <v>17.908333333333299</v>
      </c>
      <c r="J733" s="121">
        <f ca="1">HLOOKUP($H$4,'Met Data'!$H$2:$M$368,G733,FALSE)*L733</f>
        <v>4.335</v>
      </c>
      <c r="K733" s="100">
        <f ca="1">HLOOKUP($H$4,'Met Data'!$O$2:$T$368,G733,FALSE)</f>
        <v>3.6545263506553698</v>
      </c>
      <c r="L733">
        <f t="shared" ca="1" si="111"/>
        <v>1.7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5" t="e">
        <f t="shared" ca="1" si="116"/>
        <v>#N/A</v>
      </c>
      <c r="AH733" s="65" t="e">
        <f t="shared" ca="1" si="117"/>
        <v>#N/A</v>
      </c>
      <c r="AI733" s="3" t="e">
        <f t="shared" ca="1" si="118"/>
        <v>#N/A</v>
      </c>
    </row>
    <row r="734" spans="7:35" ht="15.75" thickBot="1" x14ac:dyDescent="0.3">
      <c r="G734" s="3">
        <f t="shared" ca="1" si="110"/>
        <v>3</v>
      </c>
      <c r="H734" s="99">
        <f t="shared" ca="1" si="119"/>
        <v>46024</v>
      </c>
      <c r="I734" s="123">
        <f ca="1">HLOOKUP($H$4,'Met Data'!$A$2:$F$368,G734,FALSE)</f>
        <v>18.454166666666602</v>
      </c>
      <c r="J734" s="121">
        <f ca="1">HLOOKUP($H$4,'Met Data'!$H$2:$M$368,G734,FALSE)*L734</f>
        <v>3.9383333333333224</v>
      </c>
      <c r="K734" s="100">
        <f ca="1">HLOOKUP($H$4,'Met Data'!$O$2:$T$368,G734,FALSE)</f>
        <v>3.0374578661788201</v>
      </c>
      <c r="L734">
        <f t="shared" ca="1" si="111"/>
        <v>1.7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5" t="e">
        <f t="shared" ca="1" si="116"/>
        <v>#N/A</v>
      </c>
      <c r="AH734" s="65" t="e">
        <f t="shared" ca="1" si="117"/>
        <v>#N/A</v>
      </c>
      <c r="AI734" s="3" t="e">
        <f t="shared" ca="1" si="118"/>
        <v>#N/A</v>
      </c>
    </row>
    <row r="735" spans="7:35" ht="15.75" thickBot="1" x14ac:dyDescent="0.3">
      <c r="G735" s="3">
        <f t="shared" ca="1" si="110"/>
        <v>4</v>
      </c>
      <c r="H735" s="99">
        <f t="shared" ca="1" si="119"/>
        <v>46025</v>
      </c>
      <c r="I735" s="123">
        <f ca="1">HLOOKUP($H$4,'Met Data'!$A$2:$F$368,G735,FALSE)</f>
        <v>18.4916666666666</v>
      </c>
      <c r="J735" s="121">
        <f ca="1">HLOOKUP($H$4,'Met Data'!$H$2:$M$368,G735,FALSE)*L735</f>
        <v>11.27666666666666</v>
      </c>
      <c r="K735" s="100">
        <f ca="1">HLOOKUP($H$4,'Met Data'!$O$2:$T$368,G735,FALSE)</f>
        <v>3.5424660833564698</v>
      </c>
      <c r="L735">
        <f t="shared" ca="1" si="111"/>
        <v>1.7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5" t="e">
        <f t="shared" ca="1" si="116"/>
        <v>#N/A</v>
      </c>
      <c r="AH735" s="65" t="e">
        <f t="shared" ca="1" si="117"/>
        <v>#N/A</v>
      </c>
      <c r="AI735" s="3" t="e">
        <f t="shared" ca="1" si="118"/>
        <v>#N/A</v>
      </c>
    </row>
    <row r="736" spans="7:35" ht="15.75" thickBot="1" x14ac:dyDescent="0.3">
      <c r="G736" s="3">
        <f t="shared" ca="1" si="110"/>
        <v>5</v>
      </c>
      <c r="H736" s="99">
        <f t="shared" ca="1" si="119"/>
        <v>46026</v>
      </c>
      <c r="I736" s="123">
        <f ca="1">HLOOKUP($H$4,'Met Data'!$A$2:$F$368,G736,FALSE)</f>
        <v>17</v>
      </c>
      <c r="J736" s="121">
        <f ca="1">HLOOKUP($H$4,'Met Data'!$H$2:$M$368,G736,FALSE)*L736</f>
        <v>3.2866666666666609</v>
      </c>
      <c r="K736" s="100">
        <f ca="1">HLOOKUP($H$4,'Met Data'!$O$2:$T$368,G736,FALSE)</f>
        <v>4.6893309655458602</v>
      </c>
      <c r="L736">
        <f t="shared" ca="1" si="111"/>
        <v>1.7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5" t="e">
        <f t="shared" ca="1" si="116"/>
        <v>#N/A</v>
      </c>
      <c r="AH736" s="65" t="e">
        <f t="shared" ca="1" si="117"/>
        <v>#N/A</v>
      </c>
      <c r="AI736" s="3" t="e">
        <f t="shared" ca="1" si="118"/>
        <v>#N/A</v>
      </c>
    </row>
    <row r="737" spans="7:35" ht="15.75" thickBot="1" x14ac:dyDescent="0.3">
      <c r="G737" s="3">
        <f t="shared" ca="1" si="110"/>
        <v>6</v>
      </c>
      <c r="H737" s="99">
        <f t="shared" ca="1" si="119"/>
        <v>46027</v>
      </c>
      <c r="I737" s="123">
        <f ca="1">HLOOKUP($H$4,'Met Data'!$A$2:$F$368,G737,FALSE)</f>
        <v>16.4166666666666</v>
      </c>
      <c r="J737" s="121">
        <f ca="1">HLOOKUP($H$4,'Met Data'!$H$2:$M$368,G737,FALSE)*L737</f>
        <v>5.071666666666661</v>
      </c>
      <c r="K737" s="100">
        <f ca="1">HLOOKUP($H$4,'Met Data'!$O$2:$T$368,G737,FALSE)</f>
        <v>4.0957861961112103</v>
      </c>
      <c r="L737">
        <f t="shared" ca="1" si="111"/>
        <v>1.7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5" t="e">
        <f t="shared" ca="1" si="116"/>
        <v>#N/A</v>
      </c>
      <c r="AH737" s="65" t="e">
        <f t="shared" ca="1" si="117"/>
        <v>#N/A</v>
      </c>
      <c r="AI737" s="3" t="e">
        <f t="shared" ca="1" si="118"/>
        <v>#N/A</v>
      </c>
    </row>
    <row r="738" spans="7:35" ht="15.75" thickBot="1" x14ac:dyDescent="0.3">
      <c r="G738" s="3">
        <f t="shared" ca="1" si="110"/>
        <v>7</v>
      </c>
      <c r="H738" s="99">
        <f t="shared" ca="1" si="119"/>
        <v>46028</v>
      </c>
      <c r="I738" s="123">
        <f ca="1">HLOOKUP($H$4,'Met Data'!$A$2:$F$368,G738,FALSE)</f>
        <v>17.629166666666599</v>
      </c>
      <c r="J738" s="121">
        <f ca="1">HLOOKUP($H$4,'Met Data'!$H$2:$M$368,G738,FALSE)*L738</f>
        <v>0.73666666666666614</v>
      </c>
      <c r="K738" s="100">
        <f ca="1">HLOOKUP($H$4,'Met Data'!$O$2:$T$368,G738,FALSE)</f>
        <v>4.0765351917680999</v>
      </c>
      <c r="L738">
        <f t="shared" ca="1" si="111"/>
        <v>1.7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5" t="e">
        <f t="shared" ca="1" si="116"/>
        <v>#N/A</v>
      </c>
      <c r="AH738" s="65" t="e">
        <f t="shared" ca="1" si="117"/>
        <v>#N/A</v>
      </c>
      <c r="AI738" s="3" t="e">
        <f t="shared" ca="1" si="118"/>
        <v>#N/A</v>
      </c>
    </row>
    <row r="739" spans="7:35" ht="15.75" thickBot="1" x14ac:dyDescent="0.3">
      <c r="G739" s="3">
        <f t="shared" ca="1" si="110"/>
        <v>8</v>
      </c>
      <c r="H739" s="99">
        <f t="shared" ca="1" si="119"/>
        <v>46029</v>
      </c>
      <c r="I739" s="123">
        <f ca="1">HLOOKUP($H$4,'Met Data'!$A$2:$F$368,G739,FALSE)</f>
        <v>17.004166666666599</v>
      </c>
      <c r="J739" s="121">
        <f ca="1">HLOOKUP($H$4,'Met Data'!$H$2:$M$368,G739,FALSE)*L739</f>
        <v>4.7316666666666611</v>
      </c>
      <c r="K739" s="100">
        <f ca="1">HLOOKUP($H$4,'Met Data'!$O$2:$T$368,G739,FALSE)</f>
        <v>3.5869881049730998</v>
      </c>
      <c r="L739">
        <f t="shared" ca="1" si="111"/>
        <v>1.7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5" t="e">
        <f t="shared" ca="1" si="116"/>
        <v>#N/A</v>
      </c>
      <c r="AH739" s="65" t="e">
        <f t="shared" ca="1" si="117"/>
        <v>#N/A</v>
      </c>
      <c r="AI739" s="3" t="e">
        <f t="shared" ca="1" si="118"/>
        <v>#N/A</v>
      </c>
    </row>
    <row r="740" spans="7:35" ht="15.75" thickBot="1" x14ac:dyDescent="0.3">
      <c r="G740" s="3">
        <f t="shared" ca="1" si="110"/>
        <v>9</v>
      </c>
      <c r="H740" s="99">
        <f t="shared" ca="1" si="119"/>
        <v>46030</v>
      </c>
      <c r="I740" s="123">
        <f ca="1">HLOOKUP($H$4,'Met Data'!$A$2:$F$368,G740,FALSE)</f>
        <v>17.433333333333302</v>
      </c>
      <c r="J740" s="121">
        <f ca="1">HLOOKUP($H$4,'Met Data'!$H$2:$M$368,G740,FALSE)*L740</f>
        <v>4.0516666666666614</v>
      </c>
      <c r="K740" s="100">
        <f ca="1">HLOOKUP($H$4,'Met Data'!$O$2:$T$368,G740,FALSE)</f>
        <v>4.2605807421289903</v>
      </c>
      <c r="L740">
        <f t="shared" ca="1" si="111"/>
        <v>1.7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5" t="e">
        <f t="shared" ca="1" si="116"/>
        <v>#N/A</v>
      </c>
      <c r="AH740" s="65" t="e">
        <f t="shared" ca="1" si="117"/>
        <v>#N/A</v>
      </c>
      <c r="AI740" s="3" t="e">
        <f t="shared" ca="1" si="118"/>
        <v>#N/A</v>
      </c>
    </row>
    <row r="741" spans="7:35" ht="15.75" thickBot="1" x14ac:dyDescent="0.3">
      <c r="G741" s="3">
        <f t="shared" ca="1" si="110"/>
        <v>10</v>
      </c>
      <c r="H741" s="99">
        <f t="shared" ca="1" si="119"/>
        <v>46031</v>
      </c>
      <c r="I741" s="123">
        <f ca="1">HLOOKUP($H$4,'Met Data'!$A$2:$F$368,G741,FALSE)</f>
        <v>17.0208333333333</v>
      </c>
      <c r="J741" s="121">
        <f ca="1">HLOOKUP($H$4,'Met Data'!$H$2:$M$368,G741,FALSE)*L741</f>
        <v>0.51</v>
      </c>
      <c r="K741" s="100">
        <f ca="1">HLOOKUP($H$4,'Met Data'!$O$2:$T$368,G741,FALSE)</f>
        <v>4.14669035003873</v>
      </c>
      <c r="L741">
        <f t="shared" ca="1" si="111"/>
        <v>1.7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5" t="e">
        <f t="shared" ca="1" si="116"/>
        <v>#N/A</v>
      </c>
      <c r="AH741" s="65" t="e">
        <f t="shared" ca="1" si="117"/>
        <v>#N/A</v>
      </c>
      <c r="AI741" s="3" t="e">
        <f t="shared" ca="1" si="118"/>
        <v>#N/A</v>
      </c>
    </row>
    <row r="742" spans="7:35" ht="15.75" thickBot="1" x14ac:dyDescent="0.3">
      <c r="G742" s="3">
        <f t="shared" ca="1" si="110"/>
        <v>11</v>
      </c>
      <c r="H742" s="99">
        <f t="shared" ca="1" si="119"/>
        <v>46032</v>
      </c>
      <c r="I742" s="123">
        <f ca="1">HLOOKUP($H$4,'Met Data'!$A$2:$F$368,G742,FALSE)</f>
        <v>17.6041666666666</v>
      </c>
      <c r="J742" s="121">
        <f ca="1">HLOOKUP($H$4,'Met Data'!$H$2:$M$368,G742,FALSE)*L742</f>
        <v>1.501666666666666</v>
      </c>
      <c r="K742" s="100">
        <f ca="1">HLOOKUP($H$4,'Met Data'!$O$2:$T$368,G742,FALSE)</f>
        <v>3.4815515936566799</v>
      </c>
      <c r="L742">
        <f t="shared" ca="1" si="111"/>
        <v>1.7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5" t="e">
        <f t="shared" ca="1" si="116"/>
        <v>#N/A</v>
      </c>
      <c r="AH742" s="65" t="e">
        <f t="shared" ca="1" si="117"/>
        <v>#N/A</v>
      </c>
      <c r="AI742" s="3" t="e">
        <f t="shared" ca="1" si="118"/>
        <v>#N/A</v>
      </c>
    </row>
    <row r="743" spans="7:35" ht="15.75" thickBot="1" x14ac:dyDescent="0.3">
      <c r="G743" s="3">
        <f t="shared" ca="1" si="110"/>
        <v>12</v>
      </c>
      <c r="H743" s="99">
        <f t="shared" ca="1" si="119"/>
        <v>46033</v>
      </c>
      <c r="I743" s="123">
        <f ca="1">HLOOKUP($H$4,'Met Data'!$A$2:$F$368,G743,FALSE)</f>
        <v>17.654166666666601</v>
      </c>
      <c r="J743" s="121">
        <f ca="1">HLOOKUP($H$4,'Met Data'!$H$2:$M$368,G743,FALSE)*L743</f>
        <v>0.5666666666666661</v>
      </c>
      <c r="K743" s="100">
        <f ca="1">HLOOKUP($H$4,'Met Data'!$O$2:$T$368,G743,FALSE)</f>
        <v>4.1035718910061201</v>
      </c>
      <c r="L743">
        <f t="shared" ca="1" si="111"/>
        <v>1.7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5" t="e">
        <f t="shared" ca="1" si="116"/>
        <v>#N/A</v>
      </c>
      <c r="AH743" s="65" t="e">
        <f t="shared" ca="1" si="117"/>
        <v>#N/A</v>
      </c>
      <c r="AI743" s="3" t="e">
        <f t="shared" ca="1" si="118"/>
        <v>#N/A</v>
      </c>
    </row>
    <row r="744" spans="7:35" ht="15.75" thickBot="1" x14ac:dyDescent="0.3">
      <c r="G744" s="3">
        <f t="shared" ca="1" si="110"/>
        <v>13</v>
      </c>
      <c r="H744" s="99">
        <f t="shared" ca="1" si="119"/>
        <v>46034</v>
      </c>
      <c r="I744" s="123">
        <f ca="1">HLOOKUP($H$4,'Met Data'!$A$2:$F$368,G744,FALSE)</f>
        <v>18.175000000000001</v>
      </c>
      <c r="J744" s="121">
        <f ca="1">HLOOKUP($H$4,'Met Data'!$H$2:$M$368,G744,FALSE)*L744</f>
        <v>1.6433333333333322</v>
      </c>
      <c r="K744" s="100">
        <f ca="1">HLOOKUP($H$4,'Met Data'!$O$2:$T$368,G744,FALSE)</f>
        <v>3.7942004669494902</v>
      </c>
      <c r="L744">
        <f t="shared" ca="1" si="111"/>
        <v>1.7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5" t="e">
        <f t="shared" ca="1" si="116"/>
        <v>#N/A</v>
      </c>
      <c r="AH744" s="65" t="e">
        <f t="shared" ca="1" si="117"/>
        <v>#N/A</v>
      </c>
      <c r="AI744" s="3" t="e">
        <f t="shared" ca="1" si="118"/>
        <v>#N/A</v>
      </c>
    </row>
    <row r="745" spans="7:35" ht="15.75" thickBot="1" x14ac:dyDescent="0.3">
      <c r="G745" s="3">
        <f t="shared" ca="1" si="110"/>
        <v>14</v>
      </c>
      <c r="H745" s="99">
        <f t="shared" ca="1" si="119"/>
        <v>46035</v>
      </c>
      <c r="I745" s="123">
        <f ca="1">HLOOKUP($H$4,'Met Data'!$A$2:$F$368,G745,FALSE)</f>
        <v>17.883333333333301</v>
      </c>
      <c r="J745" s="121">
        <f ca="1">HLOOKUP($H$4,'Met Data'!$H$2:$M$368,G745,FALSE)*L745</f>
        <v>5.156666666666661</v>
      </c>
      <c r="K745" s="100">
        <f ca="1">HLOOKUP($H$4,'Met Data'!$O$2:$T$368,G745,FALSE)</f>
        <v>3.9941259720520699</v>
      </c>
      <c r="L745">
        <f t="shared" ca="1" si="111"/>
        <v>1.7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5" t="e">
        <f t="shared" ca="1" si="116"/>
        <v>#N/A</v>
      </c>
      <c r="AH745" s="65" t="e">
        <f t="shared" ca="1" si="117"/>
        <v>#N/A</v>
      </c>
      <c r="AI745" s="3" t="e">
        <f t="shared" ca="1" si="118"/>
        <v>#N/A</v>
      </c>
    </row>
    <row r="746" spans="7:35" ht="15.75" thickBot="1" x14ac:dyDescent="0.3">
      <c r="G746" s="3">
        <f t="shared" ca="1" si="110"/>
        <v>15</v>
      </c>
      <c r="H746" s="99">
        <f t="shared" ca="1" si="119"/>
        <v>46036</v>
      </c>
      <c r="I746" s="123">
        <f ca="1">HLOOKUP($H$4,'Met Data'!$A$2:$F$368,G746,FALSE)</f>
        <v>17.279166666666601</v>
      </c>
      <c r="J746" s="121">
        <f ca="1">HLOOKUP($H$4,'Met Data'!$H$2:$M$368,G746,FALSE)*L746</f>
        <v>4.9016666666666611</v>
      </c>
      <c r="K746" s="100">
        <f ca="1">HLOOKUP($H$4,'Met Data'!$O$2:$T$368,G746,FALSE)</f>
        <v>4.3919546564694203</v>
      </c>
      <c r="L746">
        <f t="shared" ca="1" si="111"/>
        <v>1.7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5" t="e">
        <f t="shared" ca="1" si="116"/>
        <v>#N/A</v>
      </c>
      <c r="AH746" s="65" t="e">
        <f t="shared" ca="1" si="117"/>
        <v>#N/A</v>
      </c>
      <c r="AI746" s="3" t="e">
        <f t="shared" ca="1" si="118"/>
        <v>#N/A</v>
      </c>
    </row>
    <row r="747" spans="7:35" ht="15.75" thickBot="1" x14ac:dyDescent="0.3">
      <c r="G747" s="3">
        <f t="shared" ca="1" si="110"/>
        <v>16</v>
      </c>
      <c r="H747" s="99">
        <f t="shared" ca="1" si="119"/>
        <v>46037</v>
      </c>
      <c r="I747" s="123">
        <f ca="1">HLOOKUP($H$4,'Met Data'!$A$2:$F$368,G747,FALSE)</f>
        <v>17.5208333333333</v>
      </c>
      <c r="J747" s="121">
        <f ca="1">HLOOKUP($H$4,'Met Data'!$H$2:$M$368,G747,FALSE)*L747</f>
        <v>4.3916666666666604</v>
      </c>
      <c r="K747" s="100">
        <f ca="1">HLOOKUP($H$4,'Met Data'!$O$2:$T$368,G747,FALSE)</f>
        <v>4.2128718222508397</v>
      </c>
      <c r="L747">
        <f t="shared" ca="1" si="111"/>
        <v>1.7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5" t="e">
        <f t="shared" ca="1" si="116"/>
        <v>#N/A</v>
      </c>
      <c r="AH747" s="65" t="e">
        <f t="shared" ca="1" si="117"/>
        <v>#N/A</v>
      </c>
      <c r="AI747" s="3" t="e">
        <f t="shared" ca="1" si="118"/>
        <v>#N/A</v>
      </c>
    </row>
    <row r="748" spans="7:35" ht="15.75" thickBot="1" x14ac:dyDescent="0.3">
      <c r="G748" s="3">
        <f t="shared" ca="1" si="110"/>
        <v>17</v>
      </c>
      <c r="H748" s="99">
        <f t="shared" ca="1" si="119"/>
        <v>46038</v>
      </c>
      <c r="I748" s="123">
        <f ca="1">HLOOKUP($H$4,'Met Data'!$A$2:$F$368,G748,FALSE)</f>
        <v>17.970833333333299</v>
      </c>
      <c r="J748" s="121">
        <f ca="1">HLOOKUP($H$4,'Met Data'!$H$2:$M$368,G748,FALSE)*L748</f>
        <v>0.4533333333333322</v>
      </c>
      <c r="K748" s="100">
        <f ca="1">HLOOKUP($H$4,'Met Data'!$O$2:$T$368,G748,FALSE)</f>
        <v>4.0252286180437302</v>
      </c>
      <c r="L748">
        <f t="shared" ca="1" si="111"/>
        <v>1.7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5" t="e">
        <f t="shared" ca="1" si="116"/>
        <v>#N/A</v>
      </c>
      <c r="AH748" s="65" t="e">
        <f t="shared" ca="1" si="117"/>
        <v>#N/A</v>
      </c>
      <c r="AI748" s="3" t="e">
        <f t="shared" ca="1" si="118"/>
        <v>#N/A</v>
      </c>
    </row>
    <row r="749" spans="7:35" ht="15.75" thickBot="1" x14ac:dyDescent="0.3">
      <c r="G749" s="3">
        <f t="shared" ca="1" si="110"/>
        <v>18</v>
      </c>
      <c r="H749" s="99">
        <f t="shared" ca="1" si="119"/>
        <v>46039</v>
      </c>
      <c r="I749" s="123">
        <f ca="1">HLOOKUP($H$4,'Met Data'!$A$2:$F$368,G749,FALSE)</f>
        <v>18.2708333333333</v>
      </c>
      <c r="J749" s="121">
        <f ca="1">HLOOKUP($H$4,'Met Data'!$H$2:$M$368,G749,FALSE)*L749</f>
        <v>3.0883333333333218</v>
      </c>
      <c r="K749" s="100">
        <f ca="1">HLOOKUP($H$4,'Met Data'!$O$2:$T$368,G749,FALSE)</f>
        <v>4.3125410240098896</v>
      </c>
      <c r="L749">
        <f t="shared" ca="1" si="111"/>
        <v>1.7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5" t="e">
        <f t="shared" ca="1" si="116"/>
        <v>#N/A</v>
      </c>
      <c r="AH749" s="65" t="e">
        <f t="shared" ca="1" si="117"/>
        <v>#N/A</v>
      </c>
      <c r="AI749" s="3" t="e">
        <f t="shared" ca="1" si="118"/>
        <v>#N/A</v>
      </c>
    </row>
    <row r="750" spans="7:35" ht="15.75" thickBot="1" x14ac:dyDescent="0.3">
      <c r="G750" s="3">
        <f t="shared" ca="1" si="110"/>
        <v>19</v>
      </c>
      <c r="H750" s="99">
        <f t="shared" ca="1" si="119"/>
        <v>46040</v>
      </c>
      <c r="I750" s="123">
        <f ca="1">HLOOKUP($H$4,'Met Data'!$A$2:$F$368,G750,FALSE)</f>
        <v>17.954166666666602</v>
      </c>
      <c r="J750" s="121">
        <f ca="1">HLOOKUP($H$4,'Met Data'!$H$2:$M$368,G750,FALSE)*L750</f>
        <v>7.054999999999982</v>
      </c>
      <c r="K750" s="100">
        <f ca="1">HLOOKUP($H$4,'Met Data'!$O$2:$T$368,G750,FALSE)</f>
        <v>3.9046074195490301</v>
      </c>
      <c r="L750">
        <f t="shared" ca="1" si="111"/>
        <v>1.7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5" t="e">
        <f t="shared" ca="1" si="116"/>
        <v>#N/A</v>
      </c>
      <c r="AH750" s="65" t="e">
        <f t="shared" ca="1" si="117"/>
        <v>#N/A</v>
      </c>
      <c r="AI750" s="3" t="e">
        <f t="shared" ca="1" si="118"/>
        <v>#N/A</v>
      </c>
    </row>
    <row r="751" spans="7:35" ht="15.75" thickBot="1" x14ac:dyDescent="0.3">
      <c r="G751" s="3">
        <f t="shared" ca="1" si="110"/>
        <v>20</v>
      </c>
      <c r="H751" s="99">
        <f t="shared" ca="1" si="119"/>
        <v>46041</v>
      </c>
      <c r="I751" s="123">
        <f ca="1">HLOOKUP($H$4,'Met Data'!$A$2:$F$368,G751,FALSE)</f>
        <v>18.454166666666602</v>
      </c>
      <c r="J751" s="121">
        <f ca="1">HLOOKUP($H$4,'Met Data'!$H$2:$M$368,G751,FALSE)*L751</f>
        <v>4.2783333333333218</v>
      </c>
      <c r="K751" s="100">
        <f ca="1">HLOOKUP($H$4,'Met Data'!$O$2:$T$368,G751,FALSE)</f>
        <v>4.0894627552594898</v>
      </c>
      <c r="L751">
        <f t="shared" ca="1" si="111"/>
        <v>1.7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5" t="e">
        <f t="shared" ca="1" si="116"/>
        <v>#N/A</v>
      </c>
      <c r="AH751" s="65" t="e">
        <f t="shared" ca="1" si="117"/>
        <v>#N/A</v>
      </c>
      <c r="AI751" s="3" t="e">
        <f t="shared" ca="1" si="118"/>
        <v>#N/A</v>
      </c>
    </row>
    <row r="752" spans="7:35" ht="15.75" thickBot="1" x14ac:dyDescent="0.3">
      <c r="G752" s="3">
        <f t="shared" ref="G752:G815" ca="1" si="120">H752-DATE(YEAR(H752),1,0)+1</f>
        <v>21</v>
      </c>
      <c r="H752" s="99">
        <f t="shared" ca="1" si="119"/>
        <v>46042</v>
      </c>
      <c r="I752" s="123">
        <f ca="1">HLOOKUP($H$4,'Met Data'!$A$2:$F$368,G752,FALSE)</f>
        <v>18.125</v>
      </c>
      <c r="J752" s="121">
        <f ca="1">HLOOKUP($H$4,'Met Data'!$H$2:$M$368,G752,FALSE)*L752</f>
        <v>5.6666666666666607</v>
      </c>
      <c r="K752" s="100">
        <f ca="1">HLOOKUP($H$4,'Met Data'!$O$2:$T$368,G752,FALSE)</f>
        <v>4.4627747616983804</v>
      </c>
      <c r="L752">
        <f t="shared" ref="L752:L815" ca="1" si="121">IF(H752&lt;$B$31,$J$3,$J$4)</f>
        <v>1.7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5" t="e">
        <f t="shared" ref="AG752:AG815" ca="1" si="126">Q751+S752+T752+U752</f>
        <v>#N/A</v>
      </c>
      <c r="AH752" s="65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.75" thickBot="1" x14ac:dyDescent="0.3">
      <c r="G753" s="3">
        <f t="shared" ca="1" si="120"/>
        <v>22</v>
      </c>
      <c r="H753" s="99">
        <f t="shared" ca="1" si="119"/>
        <v>46043</v>
      </c>
      <c r="I753" s="123">
        <f ca="1">HLOOKUP($H$4,'Met Data'!$A$2:$F$368,G753,FALSE)</f>
        <v>17.6791666666666</v>
      </c>
      <c r="J753" s="121">
        <f ca="1">HLOOKUP($H$4,'Met Data'!$H$2:$M$368,G753,FALSE)*L753</f>
        <v>4.08</v>
      </c>
      <c r="K753" s="100">
        <f ca="1">HLOOKUP($H$4,'Met Data'!$O$2:$T$368,G753,FALSE)</f>
        <v>3.8954755691343999</v>
      </c>
      <c r="L753">
        <f t="shared" ca="1" si="121"/>
        <v>1.7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5" t="e">
        <f t="shared" ca="1" si="126"/>
        <v>#N/A</v>
      </c>
      <c r="AH753" s="65" t="e">
        <f t="shared" ca="1" si="127"/>
        <v>#N/A</v>
      </c>
      <c r="AI753" s="3" t="e">
        <f t="shared" ca="1" si="128"/>
        <v>#N/A</v>
      </c>
    </row>
    <row r="754" spans="7:35" ht="15.75" thickBot="1" x14ac:dyDescent="0.3">
      <c r="G754" s="3">
        <f t="shared" ca="1" si="120"/>
        <v>23</v>
      </c>
      <c r="H754" s="99">
        <f t="shared" ca="1" si="119"/>
        <v>46044</v>
      </c>
      <c r="I754" s="123">
        <f ca="1">HLOOKUP($H$4,'Met Data'!$A$2:$F$368,G754,FALSE)</f>
        <v>17.350000000000001</v>
      </c>
      <c r="J754" s="121">
        <f ca="1">HLOOKUP($H$4,'Met Data'!$H$2:$M$368,G754,FALSE)*L754</f>
        <v>4.4766666666666612</v>
      </c>
      <c r="K754" s="100">
        <f ca="1">HLOOKUP($H$4,'Met Data'!$O$2:$T$368,G754,FALSE)</f>
        <v>3.2997711779398098</v>
      </c>
      <c r="L754">
        <f t="shared" ca="1" si="121"/>
        <v>1.7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5" t="e">
        <f t="shared" ca="1" si="126"/>
        <v>#N/A</v>
      </c>
      <c r="AH754" s="65" t="e">
        <f t="shared" ca="1" si="127"/>
        <v>#N/A</v>
      </c>
      <c r="AI754" s="3" t="e">
        <f t="shared" ca="1" si="128"/>
        <v>#N/A</v>
      </c>
    </row>
    <row r="755" spans="7:35" ht="15.75" thickBot="1" x14ac:dyDescent="0.3">
      <c r="G755" s="3">
        <f t="shared" ca="1" si="120"/>
        <v>24</v>
      </c>
      <c r="H755" s="99">
        <f t="shared" ca="1" si="119"/>
        <v>46045</v>
      </c>
      <c r="I755" s="123">
        <f ca="1">HLOOKUP($H$4,'Met Data'!$A$2:$F$368,G755,FALSE)</f>
        <v>17.504166666666599</v>
      </c>
      <c r="J755" s="121">
        <f ca="1">HLOOKUP($H$4,'Met Data'!$H$2:$M$368,G755,FALSE)*L755</f>
        <v>9.3783333333333232</v>
      </c>
      <c r="K755" s="100">
        <f ca="1">HLOOKUP($H$4,'Met Data'!$O$2:$T$368,G755,FALSE)</f>
        <v>3.46570930270954</v>
      </c>
      <c r="L755">
        <f t="shared" ca="1" si="121"/>
        <v>1.7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5" t="e">
        <f t="shared" ca="1" si="126"/>
        <v>#N/A</v>
      </c>
      <c r="AH755" s="65" t="e">
        <f t="shared" ca="1" si="127"/>
        <v>#N/A</v>
      </c>
      <c r="AI755" s="3" t="e">
        <f t="shared" ca="1" si="128"/>
        <v>#N/A</v>
      </c>
    </row>
    <row r="756" spans="7:35" ht="15.75" thickBot="1" x14ac:dyDescent="0.3">
      <c r="G756" s="3">
        <f t="shared" ca="1" si="120"/>
        <v>25</v>
      </c>
      <c r="H756" s="99">
        <f t="shared" ca="1" si="119"/>
        <v>46046</v>
      </c>
      <c r="I756" s="123">
        <f ca="1">HLOOKUP($H$4,'Met Data'!$A$2:$F$368,G756,FALSE)</f>
        <v>17.713636363636301</v>
      </c>
      <c r="J756" s="121">
        <f ca="1">HLOOKUP($H$4,'Met Data'!$H$2:$M$368,G756,FALSE)*L756</f>
        <v>2.349090909090906</v>
      </c>
      <c r="K756" s="100">
        <f ca="1">HLOOKUP($H$4,'Met Data'!$O$2:$T$368,G756,FALSE)</f>
        <v>4.0186876239346203</v>
      </c>
      <c r="L756">
        <f t="shared" ca="1" si="121"/>
        <v>1.7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5" t="e">
        <f t="shared" ca="1" si="126"/>
        <v>#N/A</v>
      </c>
      <c r="AH756" s="65" t="e">
        <f t="shared" ca="1" si="127"/>
        <v>#N/A</v>
      </c>
      <c r="AI756" s="3" t="e">
        <f t="shared" ca="1" si="128"/>
        <v>#N/A</v>
      </c>
    </row>
    <row r="757" spans="7:35" ht="15.75" thickBot="1" x14ac:dyDescent="0.3">
      <c r="G757" s="3">
        <f t="shared" ca="1" si="120"/>
        <v>26</v>
      </c>
      <c r="H757" s="99">
        <f t="shared" ca="1" si="119"/>
        <v>46047</v>
      </c>
      <c r="I757" s="123">
        <f ca="1">HLOOKUP($H$4,'Met Data'!$A$2:$F$368,G757,FALSE)</f>
        <v>17.8541666666666</v>
      </c>
      <c r="J757" s="121">
        <f ca="1">HLOOKUP($H$4,'Met Data'!$H$2:$M$368,G757,FALSE)*L757</f>
        <v>0.79333333333333222</v>
      </c>
      <c r="K757" s="100">
        <f ca="1">HLOOKUP($H$4,'Met Data'!$O$2:$T$368,G757,FALSE)</f>
        <v>4.1496250953293998</v>
      </c>
      <c r="L757">
        <f t="shared" ca="1" si="121"/>
        <v>1.7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5" t="e">
        <f t="shared" ca="1" si="126"/>
        <v>#N/A</v>
      </c>
      <c r="AH757" s="65" t="e">
        <f t="shared" ca="1" si="127"/>
        <v>#N/A</v>
      </c>
      <c r="AI757" s="3" t="e">
        <f t="shared" ca="1" si="128"/>
        <v>#N/A</v>
      </c>
    </row>
    <row r="758" spans="7:35" ht="15.75" thickBot="1" x14ac:dyDescent="0.3">
      <c r="G758" s="3">
        <f t="shared" ca="1" si="120"/>
        <v>27</v>
      </c>
      <c r="H758" s="99">
        <f t="shared" ca="1" si="119"/>
        <v>46048</v>
      </c>
      <c r="I758" s="123">
        <f ca="1">HLOOKUP($H$4,'Met Data'!$A$2:$F$368,G758,FALSE)</f>
        <v>18.933333333333302</v>
      </c>
      <c r="J758" s="121">
        <f ca="1">HLOOKUP($H$4,'Met Data'!$H$2:$M$368,G758,FALSE)*L758</f>
        <v>3.06</v>
      </c>
      <c r="K758" s="100">
        <f ca="1">HLOOKUP($H$4,'Met Data'!$O$2:$T$368,G758,FALSE)</f>
        <v>4.1034832888531598</v>
      </c>
      <c r="L758">
        <f t="shared" ca="1" si="121"/>
        <v>1.7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5" t="e">
        <f t="shared" ca="1" si="126"/>
        <v>#N/A</v>
      </c>
      <c r="AH758" s="65" t="e">
        <f t="shared" ca="1" si="127"/>
        <v>#N/A</v>
      </c>
      <c r="AI758" s="3" t="e">
        <f t="shared" ca="1" si="128"/>
        <v>#N/A</v>
      </c>
    </row>
    <row r="759" spans="7:35" ht="15.75" thickBot="1" x14ac:dyDescent="0.3">
      <c r="G759" s="3">
        <f t="shared" ca="1" si="120"/>
        <v>28</v>
      </c>
      <c r="H759" s="99">
        <f t="shared" ca="1" si="119"/>
        <v>46049</v>
      </c>
      <c r="I759" s="123">
        <f ca="1">HLOOKUP($H$4,'Met Data'!$A$2:$F$368,G759,FALSE)</f>
        <v>18.524999999999999</v>
      </c>
      <c r="J759" s="121">
        <f ca="1">HLOOKUP($H$4,'Met Data'!$H$2:$M$368,G759,FALSE)*L759</f>
        <v>7.1683333333333215</v>
      </c>
      <c r="K759" s="100">
        <f ca="1">HLOOKUP($H$4,'Met Data'!$O$2:$T$368,G759,FALSE)</f>
        <v>3.2920480795367801</v>
      </c>
      <c r="L759">
        <f t="shared" ca="1" si="121"/>
        <v>1.7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5" t="e">
        <f t="shared" ca="1" si="126"/>
        <v>#N/A</v>
      </c>
      <c r="AH759" s="65" t="e">
        <f t="shared" ca="1" si="127"/>
        <v>#N/A</v>
      </c>
      <c r="AI759" s="3" t="e">
        <f t="shared" ca="1" si="128"/>
        <v>#N/A</v>
      </c>
    </row>
    <row r="760" spans="7:35" ht="15.75" thickBot="1" x14ac:dyDescent="0.3">
      <c r="G760" s="3">
        <f t="shared" ca="1" si="120"/>
        <v>29</v>
      </c>
      <c r="H760" s="99">
        <f t="shared" ca="1" si="119"/>
        <v>46050</v>
      </c>
      <c r="I760" s="123">
        <f ca="1">HLOOKUP($H$4,'Met Data'!$A$2:$F$368,G760,FALSE)</f>
        <v>18.283333333333299</v>
      </c>
      <c r="J760" s="121">
        <f ca="1">HLOOKUP($H$4,'Met Data'!$H$2:$M$368,G760,FALSE)*L760</f>
        <v>1.6433333333333322</v>
      </c>
      <c r="K760" s="100">
        <f ca="1">HLOOKUP($H$4,'Met Data'!$O$2:$T$368,G760,FALSE)</f>
        <v>3.7580315328576899</v>
      </c>
      <c r="L760">
        <f t="shared" ca="1" si="121"/>
        <v>1.7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5" t="e">
        <f t="shared" ca="1" si="126"/>
        <v>#N/A</v>
      </c>
      <c r="AH760" s="65" t="e">
        <f t="shared" ca="1" si="127"/>
        <v>#N/A</v>
      </c>
      <c r="AI760" s="3" t="e">
        <f t="shared" ca="1" si="128"/>
        <v>#N/A</v>
      </c>
    </row>
    <row r="761" spans="7:35" ht="15.75" thickBot="1" x14ac:dyDescent="0.3">
      <c r="G761" s="3">
        <f t="shared" ca="1" si="120"/>
        <v>30</v>
      </c>
      <c r="H761" s="99">
        <f t="shared" ca="1" si="119"/>
        <v>46051</v>
      </c>
      <c r="I761" s="123">
        <f ca="1">HLOOKUP($H$4,'Met Data'!$A$2:$F$368,G761,FALSE)</f>
        <v>18.95</v>
      </c>
      <c r="J761" s="121">
        <f ca="1">HLOOKUP($H$4,'Met Data'!$H$2:$M$368,G761,FALSE)*L761</f>
        <v>0.39666666666666611</v>
      </c>
      <c r="K761" s="100">
        <f ca="1">HLOOKUP($H$4,'Met Data'!$O$2:$T$368,G761,FALSE)</f>
        <v>4.4825712398856101</v>
      </c>
      <c r="L761">
        <f t="shared" ca="1" si="121"/>
        <v>1.7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5" t="e">
        <f t="shared" ca="1" si="126"/>
        <v>#N/A</v>
      </c>
      <c r="AH761" s="65" t="e">
        <f t="shared" ca="1" si="127"/>
        <v>#N/A</v>
      </c>
      <c r="AI761" s="3" t="e">
        <f t="shared" ca="1" si="128"/>
        <v>#N/A</v>
      </c>
    </row>
    <row r="762" spans="7:35" ht="15.75" thickBot="1" x14ac:dyDescent="0.3">
      <c r="G762" s="3">
        <f t="shared" ca="1" si="120"/>
        <v>31</v>
      </c>
      <c r="H762" s="99">
        <f t="shared" ca="1" si="119"/>
        <v>46052</v>
      </c>
      <c r="I762" s="123">
        <f ca="1">HLOOKUP($H$4,'Met Data'!$A$2:$F$368,G762,FALSE)</f>
        <v>19.070833333333301</v>
      </c>
      <c r="J762" s="121">
        <f ca="1">HLOOKUP($H$4,'Met Data'!$H$2:$M$368,G762,FALSE)*L762</f>
        <v>2.4649999999999999</v>
      </c>
      <c r="K762" s="100">
        <f ca="1">HLOOKUP($H$4,'Met Data'!$O$2:$T$368,G762,FALSE)</f>
        <v>4.1485395322845697</v>
      </c>
      <c r="L762">
        <f t="shared" ca="1" si="121"/>
        <v>1.7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5" t="e">
        <f t="shared" ca="1" si="126"/>
        <v>#N/A</v>
      </c>
      <c r="AH762" s="65" t="e">
        <f t="shared" ca="1" si="127"/>
        <v>#N/A</v>
      </c>
      <c r="AI762" s="3" t="e">
        <f t="shared" ca="1" si="128"/>
        <v>#N/A</v>
      </c>
    </row>
    <row r="763" spans="7:35" ht="15.75" thickBot="1" x14ac:dyDescent="0.3">
      <c r="G763" s="3">
        <f t="shared" ca="1" si="120"/>
        <v>32</v>
      </c>
      <c r="H763" s="99">
        <f t="shared" ca="1" si="119"/>
        <v>46053</v>
      </c>
      <c r="I763" s="123">
        <f ca="1">HLOOKUP($H$4,'Met Data'!$A$2:$F$368,G763,FALSE)</f>
        <v>18.716666666666601</v>
      </c>
      <c r="J763" s="121">
        <f ca="1">HLOOKUP($H$4,'Met Data'!$H$2:$M$368,G763,FALSE)*L763</f>
        <v>2.8333333333333221E-2</v>
      </c>
      <c r="K763" s="100">
        <f ca="1">HLOOKUP($H$4,'Met Data'!$O$2:$T$368,G763,FALSE)</f>
        <v>3.9002627778438899</v>
      </c>
      <c r="L763">
        <f t="shared" ca="1" si="121"/>
        <v>1.7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5" t="e">
        <f t="shared" ca="1" si="126"/>
        <v>#N/A</v>
      </c>
      <c r="AH763" s="65" t="e">
        <f t="shared" ca="1" si="127"/>
        <v>#N/A</v>
      </c>
      <c r="AI763" s="3" t="e">
        <f t="shared" ca="1" si="128"/>
        <v>#N/A</v>
      </c>
    </row>
    <row r="764" spans="7:35" ht="15.75" thickBot="1" x14ac:dyDescent="0.3">
      <c r="G764" s="3">
        <f t="shared" ca="1" si="120"/>
        <v>33</v>
      </c>
      <c r="H764" s="99">
        <f t="shared" ca="1" si="119"/>
        <v>46054</v>
      </c>
      <c r="I764" s="123">
        <f ca="1">HLOOKUP($H$4,'Met Data'!$A$2:$F$368,G764,FALSE)</f>
        <v>18.720833333333299</v>
      </c>
      <c r="J764" s="121">
        <f ca="1">HLOOKUP($H$4,'Met Data'!$H$2:$M$368,G764,FALSE)*L764</f>
        <v>8.7266666666666612</v>
      </c>
      <c r="K764" s="100">
        <f ca="1">HLOOKUP($H$4,'Met Data'!$O$2:$T$368,G764,FALSE)</f>
        <v>3.3425533464765702</v>
      </c>
      <c r="L764">
        <f t="shared" ca="1" si="121"/>
        <v>1.7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5" t="e">
        <f t="shared" ca="1" si="126"/>
        <v>#N/A</v>
      </c>
      <c r="AH764" s="65" t="e">
        <f t="shared" ca="1" si="127"/>
        <v>#N/A</v>
      </c>
      <c r="AI764" s="3" t="e">
        <f t="shared" ca="1" si="128"/>
        <v>#N/A</v>
      </c>
    </row>
    <row r="765" spans="7:35" ht="15.75" thickBot="1" x14ac:dyDescent="0.3">
      <c r="G765" s="3">
        <f t="shared" ca="1" si="120"/>
        <v>34</v>
      </c>
      <c r="H765" s="99">
        <f t="shared" ca="1" si="119"/>
        <v>46055</v>
      </c>
      <c r="I765" s="123">
        <f ca="1">HLOOKUP($H$4,'Met Data'!$A$2:$F$368,G765,FALSE)</f>
        <v>18.558333333333302</v>
      </c>
      <c r="J765" s="121">
        <f ca="1">HLOOKUP($H$4,'Met Data'!$H$2:$M$368,G765,FALSE)*L765</f>
        <v>8.7833333333333208</v>
      </c>
      <c r="K765" s="100">
        <f ca="1">HLOOKUP($H$4,'Met Data'!$O$2:$T$368,G765,FALSE)</f>
        <v>3.37031285883524</v>
      </c>
      <c r="L765">
        <f t="shared" ca="1" si="121"/>
        <v>1.7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5" t="e">
        <f t="shared" ca="1" si="126"/>
        <v>#N/A</v>
      </c>
      <c r="AH765" s="65" t="e">
        <f t="shared" ca="1" si="127"/>
        <v>#N/A</v>
      </c>
      <c r="AI765" s="3" t="e">
        <f t="shared" ca="1" si="128"/>
        <v>#N/A</v>
      </c>
    </row>
    <row r="766" spans="7:35" ht="15.75" thickBot="1" x14ac:dyDescent="0.3">
      <c r="G766" s="3">
        <f t="shared" ca="1" si="120"/>
        <v>35</v>
      </c>
      <c r="H766" s="99">
        <f t="shared" ca="1" si="119"/>
        <v>46056</v>
      </c>
      <c r="I766" s="123">
        <f ca="1">HLOOKUP($H$4,'Met Data'!$A$2:$F$368,G766,FALSE)</f>
        <v>18.841666666666601</v>
      </c>
      <c r="J766" s="121">
        <f ca="1">HLOOKUP($H$4,'Met Data'!$H$2:$M$368,G766,FALSE)*L766</f>
        <v>0.8216666666666661</v>
      </c>
      <c r="K766" s="100">
        <f ca="1">HLOOKUP($H$4,'Met Data'!$O$2:$T$368,G766,FALSE)</f>
        <v>4.5373745966907704</v>
      </c>
      <c r="L766">
        <f t="shared" ca="1" si="121"/>
        <v>1.7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5" t="e">
        <f t="shared" ca="1" si="126"/>
        <v>#N/A</v>
      </c>
      <c r="AH766" s="65" t="e">
        <f t="shared" ca="1" si="127"/>
        <v>#N/A</v>
      </c>
      <c r="AI766" s="3" t="e">
        <f t="shared" ca="1" si="128"/>
        <v>#N/A</v>
      </c>
    </row>
    <row r="767" spans="7:35" ht="15.75" thickBot="1" x14ac:dyDescent="0.3">
      <c r="G767" s="3">
        <f t="shared" ca="1" si="120"/>
        <v>36</v>
      </c>
      <c r="H767" s="99">
        <f t="shared" ca="1" si="119"/>
        <v>46057</v>
      </c>
      <c r="I767" s="123">
        <f ca="1">HLOOKUP($H$4,'Met Data'!$A$2:$F$368,G767,FALSE)</f>
        <v>18.441666666666599</v>
      </c>
      <c r="J767" s="121">
        <f ca="1">HLOOKUP($H$4,'Met Data'!$H$2:$M$368,G767,FALSE)*L767</f>
        <v>8.16</v>
      </c>
      <c r="K767" s="100">
        <f ca="1">HLOOKUP($H$4,'Met Data'!$O$2:$T$368,G767,FALSE)</f>
        <v>3.5125215918157</v>
      </c>
      <c r="L767">
        <f t="shared" ca="1" si="121"/>
        <v>1.7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5" t="e">
        <f t="shared" ca="1" si="126"/>
        <v>#N/A</v>
      </c>
      <c r="AH767" s="65" t="e">
        <f t="shared" ca="1" si="127"/>
        <v>#N/A</v>
      </c>
      <c r="AI767" s="3" t="e">
        <f t="shared" ca="1" si="128"/>
        <v>#N/A</v>
      </c>
    </row>
    <row r="768" spans="7:35" ht="15.75" thickBot="1" x14ac:dyDescent="0.3">
      <c r="G768" s="3">
        <f t="shared" ca="1" si="120"/>
        <v>37</v>
      </c>
      <c r="H768" s="99">
        <f t="shared" ca="1" si="119"/>
        <v>46058</v>
      </c>
      <c r="I768" s="123">
        <f ca="1">HLOOKUP($H$4,'Met Data'!$A$2:$F$368,G768,FALSE)</f>
        <v>17.975000000000001</v>
      </c>
      <c r="J768" s="121">
        <f ca="1">HLOOKUP($H$4,'Met Data'!$H$2:$M$368,G768,FALSE)*L768</f>
        <v>3.4283333333333217</v>
      </c>
      <c r="K768" s="100">
        <f ca="1">HLOOKUP($H$4,'Met Data'!$O$2:$T$368,G768,FALSE)</f>
        <v>3.7922889429532498</v>
      </c>
      <c r="L768">
        <f t="shared" ca="1" si="121"/>
        <v>1.7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5" t="e">
        <f t="shared" ca="1" si="126"/>
        <v>#N/A</v>
      </c>
      <c r="AH768" s="65" t="e">
        <f t="shared" ca="1" si="127"/>
        <v>#N/A</v>
      </c>
      <c r="AI768" s="3" t="e">
        <f t="shared" ca="1" si="128"/>
        <v>#N/A</v>
      </c>
    </row>
    <row r="769" spans="7:35" ht="15.75" thickBot="1" x14ac:dyDescent="0.3">
      <c r="G769" s="3">
        <f t="shared" ca="1" si="120"/>
        <v>38</v>
      </c>
      <c r="H769" s="99">
        <f t="shared" ca="1" si="119"/>
        <v>46059</v>
      </c>
      <c r="I769" s="123">
        <f ca="1">HLOOKUP($H$4,'Met Data'!$A$2:$F$368,G769,FALSE)</f>
        <v>17.383333333333301</v>
      </c>
      <c r="J769" s="121">
        <f ca="1">HLOOKUP($H$4,'Met Data'!$H$2:$M$368,G769,FALSE)*L769</f>
        <v>0.255</v>
      </c>
      <c r="K769" s="100">
        <f ca="1">HLOOKUP($H$4,'Met Data'!$O$2:$T$368,G769,FALSE)</f>
        <v>3.67022287265541</v>
      </c>
      <c r="L769">
        <f t="shared" ca="1" si="121"/>
        <v>1.7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5" t="e">
        <f t="shared" ca="1" si="126"/>
        <v>#N/A</v>
      </c>
      <c r="AH769" s="65" t="e">
        <f t="shared" ca="1" si="127"/>
        <v>#N/A</v>
      </c>
      <c r="AI769" s="3" t="e">
        <f t="shared" ca="1" si="128"/>
        <v>#N/A</v>
      </c>
    </row>
    <row r="770" spans="7:35" ht="15.75" thickBot="1" x14ac:dyDescent="0.3">
      <c r="G770" s="3">
        <f t="shared" ca="1" si="120"/>
        <v>39</v>
      </c>
      <c r="H770" s="99">
        <f t="shared" ca="1" si="119"/>
        <v>46060</v>
      </c>
      <c r="I770" s="123">
        <f ca="1">HLOOKUP($H$4,'Met Data'!$A$2:$F$368,G770,FALSE)</f>
        <v>17.0416666666666</v>
      </c>
      <c r="J770" s="121">
        <f ca="1">HLOOKUP($H$4,'Met Data'!$H$2:$M$368,G770,FALSE)*L770</f>
        <v>5.1283333333333214</v>
      </c>
      <c r="K770" s="100">
        <f ca="1">HLOOKUP($H$4,'Met Data'!$O$2:$T$368,G770,FALSE)</f>
        <v>3.8754357428809398</v>
      </c>
      <c r="L770">
        <f t="shared" ca="1" si="121"/>
        <v>1.7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5" t="e">
        <f t="shared" ca="1" si="126"/>
        <v>#N/A</v>
      </c>
      <c r="AH770" s="65" t="e">
        <f t="shared" ca="1" si="127"/>
        <v>#N/A</v>
      </c>
      <c r="AI770" s="3" t="e">
        <f t="shared" ca="1" si="128"/>
        <v>#N/A</v>
      </c>
    </row>
    <row r="771" spans="7:35" ht="15.75" thickBot="1" x14ac:dyDescent="0.3">
      <c r="G771" s="3">
        <f t="shared" ca="1" si="120"/>
        <v>40</v>
      </c>
      <c r="H771" s="99">
        <f t="shared" ca="1" si="119"/>
        <v>46061</v>
      </c>
      <c r="I771" s="123">
        <f ca="1">HLOOKUP($H$4,'Met Data'!$A$2:$F$368,G771,FALSE)</f>
        <v>17.483333333333299</v>
      </c>
      <c r="J771" s="121">
        <f ca="1">HLOOKUP($H$4,'Met Data'!$H$2:$M$368,G771,FALSE)*L771</f>
        <v>4.589999999999983</v>
      </c>
      <c r="K771" s="100">
        <f ca="1">HLOOKUP($H$4,'Met Data'!$O$2:$T$368,G771,FALSE)</f>
        <v>3.8024866154372199</v>
      </c>
      <c r="L771">
        <f t="shared" ca="1" si="121"/>
        <v>1.7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5" t="e">
        <f t="shared" ca="1" si="126"/>
        <v>#N/A</v>
      </c>
      <c r="AH771" s="65" t="e">
        <f t="shared" ca="1" si="127"/>
        <v>#N/A</v>
      </c>
      <c r="AI771" s="3" t="e">
        <f t="shared" ca="1" si="128"/>
        <v>#N/A</v>
      </c>
    </row>
    <row r="772" spans="7:35" ht="15.75" thickBot="1" x14ac:dyDescent="0.3">
      <c r="G772" s="3">
        <f t="shared" ca="1" si="120"/>
        <v>41</v>
      </c>
      <c r="H772" s="99">
        <f t="shared" ca="1" si="119"/>
        <v>46062</v>
      </c>
      <c r="I772" s="123">
        <f ca="1">HLOOKUP($H$4,'Met Data'!$A$2:$F$368,G772,FALSE)</f>
        <v>17.5625</v>
      </c>
      <c r="J772" s="121">
        <f ca="1">HLOOKUP($H$4,'Met Data'!$H$2:$M$368,G772,FALSE)*L772</f>
        <v>0.8783333333333323</v>
      </c>
      <c r="K772" s="100">
        <f ca="1">HLOOKUP($H$4,'Met Data'!$O$2:$T$368,G772,FALSE)</f>
        <v>3.9226252937625699</v>
      </c>
      <c r="L772">
        <f t="shared" ca="1" si="121"/>
        <v>1.7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5" t="e">
        <f t="shared" ca="1" si="126"/>
        <v>#N/A</v>
      </c>
      <c r="AH772" s="65" t="e">
        <f t="shared" ca="1" si="127"/>
        <v>#N/A</v>
      </c>
      <c r="AI772" s="3" t="e">
        <f t="shared" ca="1" si="128"/>
        <v>#N/A</v>
      </c>
    </row>
    <row r="773" spans="7:35" ht="15.75" thickBot="1" x14ac:dyDescent="0.3">
      <c r="G773" s="3">
        <f t="shared" ca="1" si="120"/>
        <v>42</v>
      </c>
      <c r="H773" s="99">
        <f t="shared" ca="1" si="119"/>
        <v>46063</v>
      </c>
      <c r="I773" s="123">
        <f ca="1">HLOOKUP($H$4,'Met Data'!$A$2:$F$368,G773,FALSE)</f>
        <v>17.7083333333333</v>
      </c>
      <c r="J773" s="121">
        <f ca="1">HLOOKUP($H$4,'Met Data'!$H$2:$M$368,G773,FALSE)*L773</f>
        <v>4.6466666666666603</v>
      </c>
      <c r="K773" s="100">
        <f ca="1">HLOOKUP($H$4,'Met Data'!$O$2:$T$368,G773,FALSE)</f>
        <v>3.6312925833969301</v>
      </c>
      <c r="L773">
        <f t="shared" ca="1" si="121"/>
        <v>1.7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5" t="e">
        <f t="shared" ca="1" si="126"/>
        <v>#N/A</v>
      </c>
      <c r="AH773" s="65" t="e">
        <f t="shared" ca="1" si="127"/>
        <v>#N/A</v>
      </c>
      <c r="AI773" s="3" t="e">
        <f t="shared" ca="1" si="128"/>
        <v>#N/A</v>
      </c>
    </row>
    <row r="774" spans="7:35" ht="15.75" thickBot="1" x14ac:dyDescent="0.3">
      <c r="G774" s="3">
        <f t="shared" ca="1" si="120"/>
        <v>43</v>
      </c>
      <c r="H774" s="99">
        <f t="shared" ca="1" si="119"/>
        <v>46064</v>
      </c>
      <c r="I774" s="123">
        <f ca="1">HLOOKUP($H$4,'Met Data'!$A$2:$F$368,G774,FALSE)</f>
        <v>17.654166666666601</v>
      </c>
      <c r="J774" s="121">
        <f ca="1">HLOOKUP($H$4,'Met Data'!$H$2:$M$368,G774,FALSE)*L774</f>
        <v>9.0383333333333216</v>
      </c>
      <c r="K774" s="100">
        <f ca="1">HLOOKUP($H$4,'Met Data'!$O$2:$T$368,G774,FALSE)</f>
        <v>3.7825096271499201</v>
      </c>
      <c r="L774">
        <f t="shared" ca="1" si="121"/>
        <v>1.7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5" t="e">
        <f t="shared" ca="1" si="126"/>
        <v>#N/A</v>
      </c>
      <c r="AH774" s="65" t="e">
        <f t="shared" ca="1" si="127"/>
        <v>#N/A</v>
      </c>
      <c r="AI774" s="3" t="e">
        <f t="shared" ca="1" si="128"/>
        <v>#N/A</v>
      </c>
    </row>
    <row r="775" spans="7:35" ht="15.75" thickBot="1" x14ac:dyDescent="0.3">
      <c r="G775" s="3">
        <f t="shared" ca="1" si="120"/>
        <v>44</v>
      </c>
      <c r="H775" s="99">
        <f t="shared" ca="1" si="119"/>
        <v>46065</v>
      </c>
      <c r="I775" s="123">
        <f ca="1">HLOOKUP($H$4,'Met Data'!$A$2:$F$368,G775,FALSE)</f>
        <v>18.245833333333302</v>
      </c>
      <c r="J775" s="121">
        <f ca="1">HLOOKUP($H$4,'Met Data'!$H$2:$M$368,G775,FALSE)*L775</f>
        <v>3.06</v>
      </c>
      <c r="K775" s="100">
        <f ca="1">HLOOKUP($H$4,'Met Data'!$O$2:$T$368,G775,FALSE)</f>
        <v>3.5345089397679601</v>
      </c>
      <c r="L775">
        <f t="shared" ca="1" si="121"/>
        <v>1.7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5" t="e">
        <f t="shared" ca="1" si="126"/>
        <v>#N/A</v>
      </c>
      <c r="AH775" s="65" t="e">
        <f t="shared" ca="1" si="127"/>
        <v>#N/A</v>
      </c>
      <c r="AI775" s="3" t="e">
        <f t="shared" ca="1" si="128"/>
        <v>#N/A</v>
      </c>
    </row>
    <row r="776" spans="7:35" ht="15.75" thickBot="1" x14ac:dyDescent="0.3">
      <c r="G776" s="3">
        <f t="shared" ca="1" si="120"/>
        <v>45</v>
      </c>
      <c r="H776" s="99">
        <f t="shared" ref="H776:H839" ca="1" si="129">H775+1</f>
        <v>46066</v>
      </c>
      <c r="I776" s="123">
        <f ca="1">HLOOKUP($H$4,'Met Data'!$A$2:$F$368,G776,FALSE)</f>
        <v>18.674999999999901</v>
      </c>
      <c r="J776" s="121">
        <f ca="1">HLOOKUP($H$4,'Met Data'!$H$2:$M$368,G776,FALSE)*L776</f>
        <v>0.76499999999999835</v>
      </c>
      <c r="K776" s="100">
        <f ca="1">HLOOKUP($H$4,'Met Data'!$O$2:$T$368,G776,FALSE)</f>
        <v>3.2860966338213999</v>
      </c>
      <c r="L776">
        <f t="shared" ca="1" si="121"/>
        <v>1.7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5" t="e">
        <f t="shared" ca="1" si="126"/>
        <v>#N/A</v>
      </c>
      <c r="AH776" s="65" t="e">
        <f t="shared" ca="1" si="127"/>
        <v>#N/A</v>
      </c>
      <c r="AI776" s="3" t="e">
        <f t="shared" ca="1" si="128"/>
        <v>#N/A</v>
      </c>
    </row>
    <row r="777" spans="7:35" ht="15.75" thickBot="1" x14ac:dyDescent="0.3">
      <c r="G777" s="3">
        <f t="shared" ca="1" si="120"/>
        <v>46</v>
      </c>
      <c r="H777" s="99">
        <f t="shared" ca="1" si="129"/>
        <v>46067</v>
      </c>
      <c r="I777" s="123">
        <f ca="1">HLOOKUP($H$4,'Met Data'!$A$2:$F$368,G777,FALSE)</f>
        <v>18.670833333333299</v>
      </c>
      <c r="J777" s="121">
        <f ca="1">HLOOKUP($H$4,'Met Data'!$H$2:$M$368,G777,FALSE)*L777</f>
        <v>1.926666666666661</v>
      </c>
      <c r="K777" s="100">
        <f ca="1">HLOOKUP($H$4,'Met Data'!$O$2:$T$368,G777,FALSE)</f>
        <v>3.8932908527116399</v>
      </c>
      <c r="L777">
        <f t="shared" ca="1" si="121"/>
        <v>1.7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5" t="e">
        <f t="shared" ca="1" si="126"/>
        <v>#N/A</v>
      </c>
      <c r="AH777" s="65" t="e">
        <f t="shared" ca="1" si="127"/>
        <v>#N/A</v>
      </c>
      <c r="AI777" s="3" t="e">
        <f t="shared" ca="1" si="128"/>
        <v>#N/A</v>
      </c>
    </row>
    <row r="778" spans="7:35" ht="15.75" thickBot="1" x14ac:dyDescent="0.3">
      <c r="G778" s="3">
        <f t="shared" ca="1" si="120"/>
        <v>47</v>
      </c>
      <c r="H778" s="99">
        <f t="shared" ca="1" si="129"/>
        <v>46068</v>
      </c>
      <c r="I778" s="123">
        <f ca="1">HLOOKUP($H$4,'Met Data'!$A$2:$F$368,G778,FALSE)</f>
        <v>18.1666666666666</v>
      </c>
      <c r="J778" s="121">
        <f ca="1">HLOOKUP($H$4,'Met Data'!$H$2:$M$368,G778,FALSE)*L778</f>
        <v>2.946666666666661</v>
      </c>
      <c r="K778" s="100">
        <f ca="1">HLOOKUP($H$4,'Met Data'!$O$2:$T$368,G778,FALSE)</f>
        <v>3.7918051722380999</v>
      </c>
      <c r="L778">
        <f t="shared" ca="1" si="121"/>
        <v>1.7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5" t="e">
        <f t="shared" ca="1" si="126"/>
        <v>#N/A</v>
      </c>
      <c r="AH778" s="65" t="e">
        <f t="shared" ca="1" si="127"/>
        <v>#N/A</v>
      </c>
      <c r="AI778" s="3" t="e">
        <f t="shared" ca="1" si="128"/>
        <v>#N/A</v>
      </c>
    </row>
    <row r="779" spans="7:35" ht="15.75" thickBot="1" x14ac:dyDescent="0.3">
      <c r="G779" s="3">
        <f t="shared" ca="1" si="120"/>
        <v>48</v>
      </c>
      <c r="H779" s="99">
        <f t="shared" ca="1" si="129"/>
        <v>46069</v>
      </c>
      <c r="I779" s="123">
        <f ca="1">HLOOKUP($H$4,'Met Data'!$A$2:$F$368,G779,FALSE)</f>
        <v>17.879166666666599</v>
      </c>
      <c r="J779" s="121">
        <f ca="1">HLOOKUP($H$4,'Met Data'!$H$2:$M$368,G779,FALSE)*L779</f>
        <v>1.2466666666666659</v>
      </c>
      <c r="K779" s="100">
        <f ca="1">HLOOKUP($H$4,'Met Data'!$O$2:$T$368,G779,FALSE)</f>
        <v>3.8813294167315999</v>
      </c>
      <c r="L779">
        <f t="shared" ca="1" si="121"/>
        <v>1.7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5" t="e">
        <f t="shared" ca="1" si="126"/>
        <v>#N/A</v>
      </c>
      <c r="AH779" s="65" t="e">
        <f t="shared" ca="1" si="127"/>
        <v>#N/A</v>
      </c>
      <c r="AI779" s="3" t="e">
        <f t="shared" ca="1" si="128"/>
        <v>#N/A</v>
      </c>
    </row>
    <row r="780" spans="7:35" ht="15.75" thickBot="1" x14ac:dyDescent="0.3">
      <c r="G780" s="3">
        <f t="shared" ca="1" si="120"/>
        <v>49</v>
      </c>
      <c r="H780" s="99">
        <f t="shared" ca="1" si="129"/>
        <v>46070</v>
      </c>
      <c r="I780" s="123">
        <f ca="1">HLOOKUP($H$4,'Met Data'!$A$2:$F$368,G780,FALSE)</f>
        <v>18.2083333333333</v>
      </c>
      <c r="J780" s="121">
        <f ca="1">HLOOKUP($H$4,'Met Data'!$H$2:$M$368,G780,FALSE)*L780</f>
        <v>4.9016666666666611</v>
      </c>
      <c r="K780" s="100">
        <f ca="1">HLOOKUP($H$4,'Met Data'!$O$2:$T$368,G780,FALSE)</f>
        <v>3.5062121478789399</v>
      </c>
      <c r="L780">
        <f t="shared" ca="1" si="121"/>
        <v>1.7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5" t="e">
        <f t="shared" ca="1" si="126"/>
        <v>#N/A</v>
      </c>
      <c r="AH780" s="65" t="e">
        <f t="shared" ca="1" si="127"/>
        <v>#N/A</v>
      </c>
      <c r="AI780" s="3" t="e">
        <f t="shared" ca="1" si="128"/>
        <v>#N/A</v>
      </c>
    </row>
    <row r="781" spans="7:35" ht="15.75" thickBot="1" x14ac:dyDescent="0.3">
      <c r="G781" s="3">
        <f t="shared" ca="1" si="120"/>
        <v>50</v>
      </c>
      <c r="H781" s="99">
        <f t="shared" ca="1" si="129"/>
        <v>46071</v>
      </c>
      <c r="I781" s="123">
        <f ca="1">HLOOKUP($H$4,'Met Data'!$A$2:$F$368,G781,FALSE)</f>
        <v>18.529166666666601</v>
      </c>
      <c r="J781" s="121">
        <f ca="1">HLOOKUP($H$4,'Met Data'!$H$2:$M$368,G781,FALSE)*L781</f>
        <v>4.8449999999999998</v>
      </c>
      <c r="K781" s="100">
        <f ca="1">HLOOKUP($H$4,'Met Data'!$O$2:$T$368,G781,FALSE)</f>
        <v>3.5342235016405201</v>
      </c>
      <c r="L781">
        <f t="shared" ca="1" si="121"/>
        <v>1.7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5" t="e">
        <f t="shared" ca="1" si="126"/>
        <v>#N/A</v>
      </c>
      <c r="AH781" s="65" t="e">
        <f t="shared" ca="1" si="127"/>
        <v>#N/A</v>
      </c>
      <c r="AI781" s="3" t="e">
        <f t="shared" ca="1" si="128"/>
        <v>#N/A</v>
      </c>
    </row>
    <row r="782" spans="7:35" ht="15.75" thickBot="1" x14ac:dyDescent="0.3">
      <c r="G782" s="3">
        <f t="shared" ca="1" si="120"/>
        <v>51</v>
      </c>
      <c r="H782" s="99">
        <f t="shared" ca="1" si="129"/>
        <v>46072</v>
      </c>
      <c r="I782" s="123">
        <f ca="1">HLOOKUP($H$4,'Met Data'!$A$2:$F$368,G782,FALSE)</f>
        <v>18.925000000000001</v>
      </c>
      <c r="J782" s="121">
        <f ca="1">HLOOKUP($H$4,'Met Data'!$H$2:$M$368,G782,FALSE)*L782</f>
        <v>6.5733333333333217</v>
      </c>
      <c r="K782" s="100">
        <f ca="1">HLOOKUP($H$4,'Met Data'!$O$2:$T$368,G782,FALSE)</f>
        <v>3.6338116563958698</v>
      </c>
      <c r="L782">
        <f t="shared" ca="1" si="121"/>
        <v>1.7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5" t="e">
        <f t="shared" ca="1" si="126"/>
        <v>#N/A</v>
      </c>
      <c r="AH782" s="65" t="e">
        <f t="shared" ca="1" si="127"/>
        <v>#N/A</v>
      </c>
      <c r="AI782" s="3" t="e">
        <f t="shared" ca="1" si="128"/>
        <v>#N/A</v>
      </c>
    </row>
    <row r="783" spans="7:35" ht="15.75" thickBot="1" x14ac:dyDescent="0.3">
      <c r="G783" s="3">
        <f t="shared" ca="1" si="120"/>
        <v>52</v>
      </c>
      <c r="H783" s="99">
        <f t="shared" ca="1" si="129"/>
        <v>46073</v>
      </c>
      <c r="I783" s="123">
        <f ca="1">HLOOKUP($H$4,'Met Data'!$A$2:$F$368,G783,FALSE)</f>
        <v>19.195833333333301</v>
      </c>
      <c r="J783" s="121">
        <f ca="1">HLOOKUP($H$4,'Met Data'!$H$2:$M$368,G783,FALSE)*L783</f>
        <v>2.0116666666666609</v>
      </c>
      <c r="K783" s="100">
        <f ca="1">HLOOKUP($H$4,'Met Data'!$O$2:$T$368,G783,FALSE)</f>
        <v>3.7477053916930299</v>
      </c>
      <c r="L783">
        <f t="shared" ca="1" si="121"/>
        <v>1.7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5" t="e">
        <f t="shared" ca="1" si="126"/>
        <v>#N/A</v>
      </c>
      <c r="AH783" s="65" t="e">
        <f t="shared" ca="1" si="127"/>
        <v>#N/A</v>
      </c>
      <c r="AI783" s="3" t="e">
        <f t="shared" ca="1" si="128"/>
        <v>#N/A</v>
      </c>
    </row>
    <row r="784" spans="7:35" ht="15.75" thickBot="1" x14ac:dyDescent="0.3">
      <c r="G784" s="3">
        <f t="shared" ca="1" si="120"/>
        <v>53</v>
      </c>
      <c r="H784" s="99">
        <f t="shared" ca="1" si="129"/>
        <v>46074</v>
      </c>
      <c r="I784" s="123">
        <f ca="1">HLOOKUP($H$4,'Met Data'!$A$2:$F$368,G784,FALSE)</f>
        <v>18.945833333333301</v>
      </c>
      <c r="J784" s="121">
        <f ca="1">HLOOKUP($H$4,'Met Data'!$H$2:$M$368,G784,FALSE)*L784</f>
        <v>2.2666666666666608</v>
      </c>
      <c r="K784" s="100">
        <f ca="1">HLOOKUP($H$4,'Met Data'!$O$2:$T$368,G784,FALSE)</f>
        <v>3.7395681594102799</v>
      </c>
      <c r="L784">
        <f t="shared" ca="1" si="121"/>
        <v>1.7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5" t="e">
        <f t="shared" ca="1" si="126"/>
        <v>#N/A</v>
      </c>
      <c r="AH784" s="65" t="e">
        <f t="shared" ca="1" si="127"/>
        <v>#N/A</v>
      </c>
      <c r="AI784" s="3" t="e">
        <f t="shared" ca="1" si="128"/>
        <v>#N/A</v>
      </c>
    </row>
    <row r="785" spans="7:35" ht="15.75" thickBot="1" x14ac:dyDescent="0.3">
      <c r="G785" s="3">
        <f t="shared" ca="1" si="120"/>
        <v>54</v>
      </c>
      <c r="H785" s="99">
        <f t="shared" ca="1" si="129"/>
        <v>46075</v>
      </c>
      <c r="I785" s="123">
        <f ca="1">HLOOKUP($H$4,'Met Data'!$A$2:$F$368,G785,FALSE)</f>
        <v>18.912499999999898</v>
      </c>
      <c r="J785" s="121">
        <f ca="1">HLOOKUP($H$4,'Met Data'!$H$2:$M$368,G785,FALSE)*L785</f>
        <v>10.511666666666661</v>
      </c>
      <c r="K785" s="100">
        <f ca="1">HLOOKUP($H$4,'Met Data'!$O$2:$T$368,G785,FALSE)</f>
        <v>3.0629444033618198</v>
      </c>
      <c r="L785">
        <f t="shared" ca="1" si="121"/>
        <v>1.7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5" t="e">
        <f t="shared" ca="1" si="126"/>
        <v>#N/A</v>
      </c>
      <c r="AH785" s="65" t="e">
        <f t="shared" ca="1" si="127"/>
        <v>#N/A</v>
      </c>
      <c r="AI785" s="3" t="e">
        <f t="shared" ca="1" si="128"/>
        <v>#N/A</v>
      </c>
    </row>
    <row r="786" spans="7:35" ht="15.75" thickBot="1" x14ac:dyDescent="0.3">
      <c r="G786" s="3">
        <f t="shared" ca="1" si="120"/>
        <v>55</v>
      </c>
      <c r="H786" s="99">
        <f t="shared" ca="1" si="129"/>
        <v>46076</v>
      </c>
      <c r="I786" s="123">
        <f ca="1">HLOOKUP($H$4,'Met Data'!$A$2:$F$368,G786,FALSE)</f>
        <v>17.745833333333302</v>
      </c>
      <c r="J786" s="121">
        <f ca="1">HLOOKUP($H$4,'Met Data'!$H$2:$M$368,G786,FALSE)*L786</f>
        <v>1.19</v>
      </c>
      <c r="K786" s="100">
        <f ca="1">HLOOKUP($H$4,'Met Data'!$O$2:$T$368,G786,FALSE)</f>
        <v>3.7397228058893299</v>
      </c>
      <c r="L786">
        <f t="shared" ca="1" si="121"/>
        <v>1.7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5" t="e">
        <f t="shared" ca="1" si="126"/>
        <v>#N/A</v>
      </c>
      <c r="AH786" s="65" t="e">
        <f t="shared" ca="1" si="127"/>
        <v>#N/A</v>
      </c>
      <c r="AI786" s="3" t="e">
        <f t="shared" ca="1" si="128"/>
        <v>#N/A</v>
      </c>
    </row>
    <row r="787" spans="7:35" ht="15.75" thickBot="1" x14ac:dyDescent="0.3">
      <c r="G787" s="3">
        <f t="shared" ca="1" si="120"/>
        <v>56</v>
      </c>
      <c r="H787" s="99">
        <f t="shared" ca="1" si="129"/>
        <v>46077</v>
      </c>
      <c r="I787" s="123">
        <f ca="1">HLOOKUP($H$4,'Met Data'!$A$2:$F$368,G787,FALSE)</f>
        <v>16.945833333333301</v>
      </c>
      <c r="J787" s="121">
        <f ca="1">HLOOKUP($H$4,'Met Data'!$H$2:$M$368,G787,FALSE)*L787</f>
        <v>2.7199999999999829</v>
      </c>
      <c r="K787" s="100">
        <f ca="1">HLOOKUP($H$4,'Met Data'!$O$2:$T$368,G787,FALSE)</f>
        <v>3.5683594386422701</v>
      </c>
      <c r="L787">
        <f t="shared" ca="1" si="121"/>
        <v>1.7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5" t="e">
        <f t="shared" ca="1" si="126"/>
        <v>#N/A</v>
      </c>
      <c r="AH787" s="65" t="e">
        <f t="shared" ca="1" si="127"/>
        <v>#N/A</v>
      </c>
      <c r="AI787" s="3" t="e">
        <f t="shared" ca="1" si="128"/>
        <v>#N/A</v>
      </c>
    </row>
    <row r="788" spans="7:35" ht="15.75" thickBot="1" x14ac:dyDescent="0.3">
      <c r="G788" s="3">
        <f t="shared" ca="1" si="120"/>
        <v>57</v>
      </c>
      <c r="H788" s="99">
        <f t="shared" ca="1" si="129"/>
        <v>46078</v>
      </c>
      <c r="I788" s="123">
        <f ca="1">HLOOKUP($H$4,'Met Data'!$A$2:$F$368,G788,FALSE)</f>
        <v>17.495833333333302</v>
      </c>
      <c r="J788" s="121">
        <f ca="1">HLOOKUP($H$4,'Met Data'!$H$2:$M$368,G788,FALSE)*L788</f>
        <v>1.4733333333333323</v>
      </c>
      <c r="K788" s="100">
        <f ca="1">HLOOKUP($H$4,'Met Data'!$O$2:$T$368,G788,FALSE)</f>
        <v>3.5556810366886502</v>
      </c>
      <c r="L788">
        <f t="shared" ca="1" si="121"/>
        <v>1.7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5" t="e">
        <f t="shared" ca="1" si="126"/>
        <v>#N/A</v>
      </c>
      <c r="AH788" s="65" t="e">
        <f t="shared" ca="1" si="127"/>
        <v>#N/A</v>
      </c>
      <c r="AI788" s="3" t="e">
        <f t="shared" ca="1" si="128"/>
        <v>#N/A</v>
      </c>
    </row>
    <row r="789" spans="7:35" ht="15.75" thickBot="1" x14ac:dyDescent="0.3">
      <c r="G789" s="3">
        <f t="shared" ca="1" si="120"/>
        <v>58</v>
      </c>
      <c r="H789" s="99">
        <f t="shared" ca="1" si="129"/>
        <v>46079</v>
      </c>
      <c r="I789" s="123">
        <f ca="1">HLOOKUP($H$4,'Met Data'!$A$2:$F$368,G789,FALSE)</f>
        <v>16.954166666666602</v>
      </c>
      <c r="J789" s="121">
        <f ca="1">HLOOKUP($H$4,'Met Data'!$H$2:$M$368,G789,FALSE)*L789</f>
        <v>1.586666666666666</v>
      </c>
      <c r="K789" s="100">
        <f ca="1">HLOOKUP($H$4,'Met Data'!$O$2:$T$368,G789,FALSE)</f>
        <v>3.6102637976598602</v>
      </c>
      <c r="L789">
        <f t="shared" ca="1" si="121"/>
        <v>1.7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5" t="e">
        <f t="shared" ca="1" si="126"/>
        <v>#N/A</v>
      </c>
      <c r="AH789" s="65" t="e">
        <f t="shared" ca="1" si="127"/>
        <v>#N/A</v>
      </c>
      <c r="AI789" s="3" t="e">
        <f t="shared" ca="1" si="128"/>
        <v>#N/A</v>
      </c>
    </row>
    <row r="790" spans="7:35" ht="15.75" thickBot="1" x14ac:dyDescent="0.3">
      <c r="G790" s="3">
        <f t="shared" ca="1" si="120"/>
        <v>59</v>
      </c>
      <c r="H790" s="99">
        <f t="shared" ca="1" si="129"/>
        <v>46080</v>
      </c>
      <c r="I790" s="123">
        <f ca="1">HLOOKUP($H$4,'Met Data'!$A$2:$F$368,G790,FALSE)</f>
        <v>16.829166666666602</v>
      </c>
      <c r="J790" s="121">
        <f ca="1">HLOOKUP($H$4,'Met Data'!$H$2:$M$368,G790,FALSE)*L790</f>
        <v>0.70833333333333226</v>
      </c>
      <c r="K790" s="100">
        <f ca="1">HLOOKUP($H$4,'Met Data'!$O$2:$T$368,G790,FALSE)</f>
        <v>3.6752740997587301</v>
      </c>
      <c r="L790">
        <f t="shared" ca="1" si="121"/>
        <v>1.7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5" t="e">
        <f t="shared" ca="1" si="126"/>
        <v>#N/A</v>
      </c>
      <c r="AH790" s="65" t="e">
        <f t="shared" ca="1" si="127"/>
        <v>#N/A</v>
      </c>
      <c r="AI790" s="3" t="e">
        <f t="shared" ca="1" si="128"/>
        <v>#N/A</v>
      </c>
    </row>
    <row r="791" spans="7:35" ht="15.75" thickBot="1" x14ac:dyDescent="0.3">
      <c r="G791" s="3">
        <f t="shared" ca="1" si="120"/>
        <v>60</v>
      </c>
      <c r="H791" s="99">
        <f t="shared" ca="1" si="129"/>
        <v>46081</v>
      </c>
      <c r="I791" s="123">
        <f ca="1">HLOOKUP($H$4,'Met Data'!$A$2:$F$368,G791,FALSE)</f>
        <v>17.512499999999999</v>
      </c>
      <c r="J791" s="121">
        <f ca="1">HLOOKUP($H$4,'Met Data'!$H$2:$M$368,G791,FALSE)*L791</f>
        <v>0.65166666666666617</v>
      </c>
      <c r="K791" s="100">
        <f ca="1">HLOOKUP($H$4,'Met Data'!$O$2:$T$368,G791,FALSE)</f>
        <v>3.6973328494211302</v>
      </c>
      <c r="L791">
        <f t="shared" ca="1" si="121"/>
        <v>1.7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5" t="e">
        <f t="shared" ca="1" si="126"/>
        <v>#N/A</v>
      </c>
      <c r="AH791" s="65" t="e">
        <f t="shared" ca="1" si="127"/>
        <v>#N/A</v>
      </c>
      <c r="AI791" s="3" t="e">
        <f t="shared" ca="1" si="128"/>
        <v>#N/A</v>
      </c>
    </row>
    <row r="792" spans="7:35" ht="15.75" thickBot="1" x14ac:dyDescent="0.3">
      <c r="G792" s="3">
        <f t="shared" ca="1" si="120"/>
        <v>61</v>
      </c>
      <c r="H792" s="99">
        <f t="shared" ca="1" si="129"/>
        <v>46082</v>
      </c>
      <c r="I792" s="123">
        <f ca="1">HLOOKUP($H$4,'Met Data'!$A$2:$F$368,G792,FALSE)</f>
        <v>17.1166666666666</v>
      </c>
      <c r="J792" s="121">
        <f ca="1">HLOOKUP($H$4,'Met Data'!$H$2:$M$368,G792,FALSE)*L792</f>
        <v>3.9383333333333224</v>
      </c>
      <c r="K792" s="100">
        <f ca="1">HLOOKUP($H$4,'Met Data'!$O$2:$T$368,G792,FALSE)</f>
        <v>3.5365052642272401</v>
      </c>
      <c r="L792">
        <f t="shared" ca="1" si="121"/>
        <v>1.7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5" t="e">
        <f t="shared" ca="1" si="126"/>
        <v>#N/A</v>
      </c>
      <c r="AH792" s="65" t="e">
        <f t="shared" ca="1" si="127"/>
        <v>#N/A</v>
      </c>
      <c r="AI792" s="3" t="e">
        <f t="shared" ca="1" si="128"/>
        <v>#N/A</v>
      </c>
    </row>
    <row r="793" spans="7:35" ht="15.75" thickBot="1" x14ac:dyDescent="0.3">
      <c r="G793" s="3">
        <f t="shared" ca="1" si="120"/>
        <v>62</v>
      </c>
      <c r="H793" s="99">
        <f t="shared" ca="1" si="129"/>
        <v>46083</v>
      </c>
      <c r="I793" s="123">
        <f ca="1">HLOOKUP($H$4,'Met Data'!$A$2:$F$368,G793,FALSE)</f>
        <v>17.037500000000001</v>
      </c>
      <c r="J793" s="121">
        <f ca="1">HLOOKUP($H$4,'Met Data'!$H$2:$M$368,G793,FALSE)*L793</f>
        <v>3.7116666666666611</v>
      </c>
      <c r="K793" s="100">
        <f ca="1">HLOOKUP($H$4,'Met Data'!$O$2:$T$368,G793,FALSE)</f>
        <v>3.0680063753167199</v>
      </c>
      <c r="L793">
        <f t="shared" ca="1" si="121"/>
        <v>1.7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5" t="e">
        <f t="shared" ca="1" si="126"/>
        <v>#N/A</v>
      </c>
      <c r="AH793" s="65" t="e">
        <f t="shared" ca="1" si="127"/>
        <v>#N/A</v>
      </c>
      <c r="AI793" s="3" t="e">
        <f t="shared" ca="1" si="128"/>
        <v>#N/A</v>
      </c>
    </row>
    <row r="794" spans="7:35" ht="15.75" thickBot="1" x14ac:dyDescent="0.3">
      <c r="G794" s="3">
        <f t="shared" ca="1" si="120"/>
        <v>63</v>
      </c>
      <c r="H794" s="99">
        <f t="shared" ca="1" si="129"/>
        <v>46084</v>
      </c>
      <c r="I794" s="123">
        <f ca="1">HLOOKUP($H$4,'Met Data'!$A$2:$F$368,G794,FALSE)</f>
        <v>17.204166666666602</v>
      </c>
      <c r="J794" s="121">
        <f ca="1">HLOOKUP($H$4,'Met Data'!$H$2:$M$368,G794,FALSE)*L794</f>
        <v>1.0483333333333322</v>
      </c>
      <c r="K794" s="100">
        <f ca="1">HLOOKUP($H$4,'Met Data'!$O$2:$T$368,G794,FALSE)</f>
        <v>3.2161744467378801</v>
      </c>
      <c r="L794">
        <f t="shared" ca="1" si="121"/>
        <v>1.7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5" t="e">
        <f t="shared" ca="1" si="126"/>
        <v>#N/A</v>
      </c>
      <c r="AH794" s="65" t="e">
        <f t="shared" ca="1" si="127"/>
        <v>#N/A</v>
      </c>
      <c r="AI794" s="3" t="e">
        <f t="shared" ca="1" si="128"/>
        <v>#N/A</v>
      </c>
    </row>
    <row r="795" spans="7:35" ht="15.75" thickBot="1" x14ac:dyDescent="0.3">
      <c r="G795" s="3">
        <f t="shared" ca="1" si="120"/>
        <v>64</v>
      </c>
      <c r="H795" s="99">
        <f t="shared" ca="1" si="129"/>
        <v>46085</v>
      </c>
      <c r="I795" s="123">
        <f ca="1">HLOOKUP($H$4,'Met Data'!$A$2:$F$368,G795,FALSE)</f>
        <v>16.720833333333299</v>
      </c>
      <c r="J795" s="121">
        <f ca="1">HLOOKUP($H$4,'Met Data'!$H$2:$M$368,G795,FALSE)*L795</f>
        <v>4.986666666666661</v>
      </c>
      <c r="K795" s="100">
        <f ca="1">HLOOKUP($H$4,'Met Data'!$O$2:$T$368,G795,FALSE)</f>
        <v>2.8476580172568502</v>
      </c>
      <c r="L795">
        <f t="shared" ca="1" si="121"/>
        <v>1.7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5" t="e">
        <f t="shared" ca="1" si="126"/>
        <v>#N/A</v>
      </c>
      <c r="AH795" s="65" t="e">
        <f t="shared" ca="1" si="127"/>
        <v>#N/A</v>
      </c>
      <c r="AI795" s="3" t="e">
        <f t="shared" ca="1" si="128"/>
        <v>#N/A</v>
      </c>
    </row>
    <row r="796" spans="7:35" ht="15.75" thickBot="1" x14ac:dyDescent="0.3">
      <c r="G796" s="3">
        <f t="shared" ca="1" si="120"/>
        <v>65</v>
      </c>
      <c r="H796" s="99">
        <f t="shared" ca="1" si="129"/>
        <v>46086</v>
      </c>
      <c r="I796" s="123">
        <f ca="1">HLOOKUP($H$4,'Met Data'!$A$2:$F$368,G796,FALSE)</f>
        <v>17.05</v>
      </c>
      <c r="J796" s="121">
        <f ca="1">HLOOKUP($H$4,'Met Data'!$H$2:$M$368,G796,FALSE)*L796</f>
        <v>5.95</v>
      </c>
      <c r="K796" s="100">
        <f ca="1">HLOOKUP($H$4,'Met Data'!$O$2:$T$368,G796,FALSE)</f>
        <v>3.0856400612975601</v>
      </c>
      <c r="L796">
        <f t="shared" ca="1" si="121"/>
        <v>1.7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5" t="e">
        <f t="shared" ca="1" si="126"/>
        <v>#N/A</v>
      </c>
      <c r="AH796" s="65" t="e">
        <f t="shared" ca="1" si="127"/>
        <v>#N/A</v>
      </c>
      <c r="AI796" s="3" t="e">
        <f t="shared" ca="1" si="128"/>
        <v>#N/A</v>
      </c>
    </row>
    <row r="797" spans="7:35" ht="15.75" thickBot="1" x14ac:dyDescent="0.3">
      <c r="G797" s="3">
        <f t="shared" ca="1" si="120"/>
        <v>66</v>
      </c>
      <c r="H797" s="99">
        <f t="shared" ca="1" si="129"/>
        <v>46087</v>
      </c>
      <c r="I797" s="123">
        <f ca="1">HLOOKUP($H$4,'Met Data'!$A$2:$F$368,G797,FALSE)</f>
        <v>16.5625</v>
      </c>
      <c r="J797" s="121">
        <f ca="1">HLOOKUP($H$4,'Met Data'!$H$2:$M$368,G797,FALSE)*L797</f>
        <v>3.2583333333333222</v>
      </c>
      <c r="K797" s="100">
        <f ca="1">HLOOKUP($H$4,'Met Data'!$O$2:$T$368,G797,FALSE)</f>
        <v>2.4477007585282702</v>
      </c>
      <c r="L797">
        <f t="shared" ca="1" si="121"/>
        <v>1.7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5" t="e">
        <f t="shared" ca="1" si="126"/>
        <v>#N/A</v>
      </c>
      <c r="AH797" s="65" t="e">
        <f t="shared" ca="1" si="127"/>
        <v>#N/A</v>
      </c>
      <c r="AI797" s="3" t="e">
        <f t="shared" ca="1" si="128"/>
        <v>#N/A</v>
      </c>
    </row>
    <row r="798" spans="7:35" ht="15.75" thickBot="1" x14ac:dyDescent="0.3">
      <c r="G798" s="3">
        <f t="shared" ca="1" si="120"/>
        <v>67</v>
      </c>
      <c r="H798" s="99">
        <f t="shared" ca="1" si="129"/>
        <v>46088</v>
      </c>
      <c r="I798" s="123">
        <f ca="1">HLOOKUP($H$4,'Met Data'!$A$2:$F$368,G798,FALSE)</f>
        <v>16.349999999999898</v>
      </c>
      <c r="J798" s="121">
        <f ca="1">HLOOKUP($H$4,'Met Data'!$H$2:$M$368,G798,FALSE)*L798</f>
        <v>9.18</v>
      </c>
      <c r="K798" s="100">
        <f ca="1">HLOOKUP($H$4,'Met Data'!$O$2:$T$368,G798,FALSE)</f>
        <v>3.2051572713162999</v>
      </c>
      <c r="L798">
        <f t="shared" ca="1" si="121"/>
        <v>1.7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5" t="e">
        <f t="shared" ca="1" si="126"/>
        <v>#N/A</v>
      </c>
      <c r="AH798" s="65" t="e">
        <f t="shared" ca="1" si="127"/>
        <v>#N/A</v>
      </c>
      <c r="AI798" s="3" t="e">
        <f t="shared" ca="1" si="128"/>
        <v>#N/A</v>
      </c>
    </row>
    <row r="799" spans="7:35" ht="15.75" thickBot="1" x14ac:dyDescent="0.3">
      <c r="G799" s="3">
        <f t="shared" ca="1" si="120"/>
        <v>68</v>
      </c>
      <c r="H799" s="99">
        <f t="shared" ca="1" si="129"/>
        <v>46089</v>
      </c>
      <c r="I799" s="123">
        <f ca="1">HLOOKUP($H$4,'Met Data'!$A$2:$F$368,G799,FALSE)</f>
        <v>16.404166666666601</v>
      </c>
      <c r="J799" s="121">
        <f ca="1">HLOOKUP($H$4,'Met Data'!$H$2:$M$368,G799,FALSE)*L799</f>
        <v>3.0033333333333219</v>
      </c>
      <c r="K799" s="100">
        <f ca="1">HLOOKUP($H$4,'Met Data'!$O$2:$T$368,G799,FALSE)</f>
        <v>3.3473688975414899</v>
      </c>
      <c r="L799">
        <f t="shared" ca="1" si="121"/>
        <v>1.7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5" t="e">
        <f t="shared" ca="1" si="126"/>
        <v>#N/A</v>
      </c>
      <c r="AH799" s="65" t="e">
        <f t="shared" ca="1" si="127"/>
        <v>#N/A</v>
      </c>
      <c r="AI799" s="3" t="e">
        <f t="shared" ca="1" si="128"/>
        <v>#N/A</v>
      </c>
    </row>
    <row r="800" spans="7:35" ht="15.75" thickBot="1" x14ac:dyDescent="0.3">
      <c r="G800" s="3">
        <f t="shared" ca="1" si="120"/>
        <v>69</v>
      </c>
      <c r="H800" s="99">
        <f t="shared" ca="1" si="129"/>
        <v>46090</v>
      </c>
      <c r="I800" s="123">
        <f ca="1">HLOOKUP($H$4,'Met Data'!$A$2:$F$368,G800,FALSE)</f>
        <v>16.174999999999901</v>
      </c>
      <c r="J800" s="121">
        <f ca="1">HLOOKUP($H$4,'Met Data'!$H$2:$M$368,G800,FALSE)*L800</f>
        <v>0.93499999999999839</v>
      </c>
      <c r="K800" s="100">
        <f ca="1">HLOOKUP($H$4,'Met Data'!$O$2:$T$368,G800,FALSE)</f>
        <v>3.3552920602916099</v>
      </c>
      <c r="L800">
        <f t="shared" ca="1" si="121"/>
        <v>1.7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5" t="e">
        <f t="shared" ca="1" si="126"/>
        <v>#N/A</v>
      </c>
      <c r="AH800" s="65" t="e">
        <f t="shared" ca="1" si="127"/>
        <v>#N/A</v>
      </c>
      <c r="AI800" s="3" t="e">
        <f t="shared" ca="1" si="128"/>
        <v>#N/A</v>
      </c>
    </row>
    <row r="801" spans="7:35" ht="15.75" thickBot="1" x14ac:dyDescent="0.3">
      <c r="G801" s="3">
        <f t="shared" ca="1" si="120"/>
        <v>70</v>
      </c>
      <c r="H801" s="99">
        <f t="shared" ca="1" si="129"/>
        <v>46091</v>
      </c>
      <c r="I801" s="123">
        <f ca="1">HLOOKUP($H$4,'Met Data'!$A$2:$F$368,G801,FALSE)</f>
        <v>16.625</v>
      </c>
      <c r="J801" s="121">
        <f ca="1">HLOOKUP($H$4,'Met Data'!$H$2:$M$368,G801,FALSE)*L801</f>
        <v>3.5133333333333221</v>
      </c>
      <c r="K801" s="100">
        <f ca="1">HLOOKUP($H$4,'Met Data'!$O$2:$T$368,G801,FALSE)</f>
        <v>3.2920876744510998</v>
      </c>
      <c r="L801">
        <f t="shared" ca="1" si="121"/>
        <v>1.7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5" t="e">
        <f t="shared" ca="1" si="126"/>
        <v>#N/A</v>
      </c>
      <c r="AH801" s="65" t="e">
        <f t="shared" ca="1" si="127"/>
        <v>#N/A</v>
      </c>
      <c r="AI801" s="3" t="e">
        <f t="shared" ca="1" si="128"/>
        <v>#N/A</v>
      </c>
    </row>
    <row r="802" spans="7:35" ht="15.75" thickBot="1" x14ac:dyDescent="0.3">
      <c r="G802" s="3">
        <f t="shared" ca="1" si="120"/>
        <v>71</v>
      </c>
      <c r="H802" s="99">
        <f t="shared" ca="1" si="129"/>
        <v>46092</v>
      </c>
      <c r="I802" s="123">
        <f ca="1">HLOOKUP($H$4,'Met Data'!$A$2:$F$368,G802,FALSE)</f>
        <v>16.266666666666602</v>
      </c>
      <c r="J802" s="121">
        <f ca="1">HLOOKUP($H$4,'Met Data'!$H$2:$M$368,G802,FALSE)*L802</f>
        <v>5.8649999999999824</v>
      </c>
      <c r="K802" s="100">
        <f ca="1">HLOOKUP($H$4,'Met Data'!$O$2:$T$368,G802,FALSE)</f>
        <v>2.5592177640993499</v>
      </c>
      <c r="L802">
        <f t="shared" ca="1" si="121"/>
        <v>1.7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5" t="e">
        <f t="shared" ca="1" si="126"/>
        <v>#N/A</v>
      </c>
      <c r="AH802" s="65" t="e">
        <f t="shared" ca="1" si="127"/>
        <v>#N/A</v>
      </c>
      <c r="AI802" s="3" t="e">
        <f t="shared" ca="1" si="128"/>
        <v>#N/A</v>
      </c>
    </row>
    <row r="803" spans="7:35" ht="15.75" thickBot="1" x14ac:dyDescent="0.3">
      <c r="G803" s="3">
        <f t="shared" ca="1" si="120"/>
        <v>72</v>
      </c>
      <c r="H803" s="99">
        <f t="shared" ca="1" si="129"/>
        <v>46093</v>
      </c>
      <c r="I803" s="123">
        <f ca="1">HLOOKUP($H$4,'Met Data'!$A$2:$F$368,G803,FALSE)</f>
        <v>16.404166666666601</v>
      </c>
      <c r="J803" s="121">
        <f ca="1">HLOOKUP($H$4,'Met Data'!$H$2:$M$368,G803,FALSE)*L803</f>
        <v>2.6916666666666607</v>
      </c>
      <c r="K803" s="100">
        <f ca="1">HLOOKUP($H$4,'Met Data'!$O$2:$T$368,G803,FALSE)</f>
        <v>2.85115032224514</v>
      </c>
      <c r="L803">
        <f t="shared" ca="1" si="121"/>
        <v>1.7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5" t="e">
        <f t="shared" ca="1" si="126"/>
        <v>#N/A</v>
      </c>
      <c r="AH803" s="65" t="e">
        <f t="shared" ca="1" si="127"/>
        <v>#N/A</v>
      </c>
      <c r="AI803" s="3" t="e">
        <f t="shared" ca="1" si="128"/>
        <v>#N/A</v>
      </c>
    </row>
    <row r="804" spans="7:35" ht="15.75" thickBot="1" x14ac:dyDescent="0.3">
      <c r="G804" s="3">
        <f t="shared" ca="1" si="120"/>
        <v>73</v>
      </c>
      <c r="H804" s="99">
        <f t="shared" ca="1" si="129"/>
        <v>46094</v>
      </c>
      <c r="I804" s="123">
        <f ca="1">HLOOKUP($H$4,'Met Data'!$A$2:$F$368,G804,FALSE)</f>
        <v>15.324999999999999</v>
      </c>
      <c r="J804" s="121">
        <f ca="1">HLOOKUP($H$4,'Met Data'!$H$2:$M$368,G804,FALSE)*L804</f>
        <v>2.3516666666666608</v>
      </c>
      <c r="K804" s="100">
        <f ca="1">HLOOKUP($H$4,'Met Data'!$O$2:$T$368,G804,FALSE)</f>
        <v>2.7545575054438101</v>
      </c>
      <c r="L804">
        <f t="shared" ca="1" si="121"/>
        <v>1.7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5" t="e">
        <f t="shared" ca="1" si="126"/>
        <v>#N/A</v>
      </c>
      <c r="AH804" s="65" t="e">
        <f t="shared" ca="1" si="127"/>
        <v>#N/A</v>
      </c>
      <c r="AI804" s="3" t="e">
        <f t="shared" ca="1" si="128"/>
        <v>#N/A</v>
      </c>
    </row>
    <row r="805" spans="7:35" ht="15.75" thickBot="1" x14ac:dyDescent="0.3">
      <c r="G805" s="3">
        <f t="shared" ca="1" si="120"/>
        <v>74</v>
      </c>
      <c r="H805" s="99">
        <f t="shared" ca="1" si="129"/>
        <v>46095</v>
      </c>
      <c r="I805" s="123">
        <f ca="1">HLOOKUP($H$4,'Met Data'!$A$2:$F$368,G805,FALSE)</f>
        <v>15.8333333333333</v>
      </c>
      <c r="J805" s="121">
        <f ca="1">HLOOKUP($H$4,'Met Data'!$H$2:$M$368,G805,FALSE)*L805</f>
        <v>0.8216666666666661</v>
      </c>
      <c r="K805" s="100">
        <f ca="1">HLOOKUP($H$4,'Met Data'!$O$2:$T$368,G805,FALSE)</f>
        <v>2.9925841251346701</v>
      </c>
      <c r="L805">
        <f t="shared" ca="1" si="121"/>
        <v>1.7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5" t="e">
        <f t="shared" ca="1" si="126"/>
        <v>#N/A</v>
      </c>
      <c r="AH805" s="65" t="e">
        <f t="shared" ca="1" si="127"/>
        <v>#N/A</v>
      </c>
      <c r="AI805" s="3" t="e">
        <f t="shared" ca="1" si="128"/>
        <v>#N/A</v>
      </c>
    </row>
    <row r="806" spans="7:35" ht="15.75" thickBot="1" x14ac:dyDescent="0.3">
      <c r="G806" s="3">
        <f t="shared" ca="1" si="120"/>
        <v>75</v>
      </c>
      <c r="H806" s="99">
        <f t="shared" ca="1" si="129"/>
        <v>46096</v>
      </c>
      <c r="I806" s="123">
        <f ca="1">HLOOKUP($H$4,'Met Data'!$A$2:$F$368,G806,FALSE)</f>
        <v>16.966666666666601</v>
      </c>
      <c r="J806" s="121">
        <f ca="1">HLOOKUP($H$4,'Met Data'!$H$2:$M$368,G806,FALSE)*L806</f>
        <v>0.53833333333333211</v>
      </c>
      <c r="K806" s="100">
        <f ca="1">HLOOKUP($H$4,'Met Data'!$O$2:$T$368,G806,FALSE)</f>
        <v>2.9125814341448</v>
      </c>
      <c r="L806">
        <f t="shared" ca="1" si="121"/>
        <v>1.7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5" t="e">
        <f t="shared" ca="1" si="126"/>
        <v>#N/A</v>
      </c>
      <c r="AH806" s="65" t="e">
        <f t="shared" ca="1" si="127"/>
        <v>#N/A</v>
      </c>
      <c r="AI806" s="3" t="e">
        <f t="shared" ca="1" si="128"/>
        <v>#N/A</v>
      </c>
    </row>
    <row r="807" spans="7:35" ht="15.75" thickBot="1" x14ac:dyDescent="0.3">
      <c r="G807" s="3">
        <f t="shared" ca="1" si="120"/>
        <v>76</v>
      </c>
      <c r="H807" s="99">
        <f t="shared" ca="1" si="129"/>
        <v>46097</v>
      </c>
      <c r="I807" s="123">
        <f ca="1">HLOOKUP($H$4,'Met Data'!$A$2:$F$368,G807,FALSE)</f>
        <v>17.766666666666602</v>
      </c>
      <c r="J807" s="121">
        <f ca="1">HLOOKUP($H$4,'Met Data'!$H$2:$M$368,G807,FALSE)*L807</f>
        <v>3.8249999999999997</v>
      </c>
      <c r="K807" s="100">
        <f ca="1">HLOOKUP($H$4,'Met Data'!$O$2:$T$368,G807,FALSE)</f>
        <v>2.3685635659939601</v>
      </c>
      <c r="L807">
        <f t="shared" ca="1" si="121"/>
        <v>1.7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5" t="e">
        <f t="shared" ca="1" si="126"/>
        <v>#N/A</v>
      </c>
      <c r="AH807" s="65" t="e">
        <f t="shared" ca="1" si="127"/>
        <v>#N/A</v>
      </c>
      <c r="AI807" s="3" t="e">
        <f t="shared" ca="1" si="128"/>
        <v>#N/A</v>
      </c>
    </row>
    <row r="808" spans="7:35" ht="15.75" thickBot="1" x14ac:dyDescent="0.3">
      <c r="G808" s="3">
        <f t="shared" ca="1" si="120"/>
        <v>77</v>
      </c>
      <c r="H808" s="99">
        <f t="shared" ca="1" si="129"/>
        <v>46098</v>
      </c>
      <c r="I808" s="123">
        <f ca="1">HLOOKUP($H$4,'Met Data'!$A$2:$F$368,G808,FALSE)</f>
        <v>16.100000000000001</v>
      </c>
      <c r="J808" s="121">
        <f ca="1">HLOOKUP($H$4,'Met Data'!$H$2:$M$368,G808,FALSE)*L808</f>
        <v>2.38</v>
      </c>
      <c r="K808" s="100">
        <f ca="1">HLOOKUP($H$4,'Met Data'!$O$2:$T$368,G808,FALSE)</f>
        <v>2.7759280674014901</v>
      </c>
      <c r="L808">
        <f t="shared" ca="1" si="121"/>
        <v>1.7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5" t="e">
        <f t="shared" ca="1" si="126"/>
        <v>#N/A</v>
      </c>
      <c r="AH808" s="65" t="e">
        <f t="shared" ca="1" si="127"/>
        <v>#N/A</v>
      </c>
      <c r="AI808" s="3" t="e">
        <f t="shared" ca="1" si="128"/>
        <v>#N/A</v>
      </c>
    </row>
    <row r="809" spans="7:35" ht="15.75" thickBot="1" x14ac:dyDescent="0.3">
      <c r="G809" s="3">
        <f t="shared" ca="1" si="120"/>
        <v>78</v>
      </c>
      <c r="H809" s="99">
        <f t="shared" ca="1" si="129"/>
        <v>46099</v>
      </c>
      <c r="I809" s="123">
        <f ca="1">HLOOKUP($H$4,'Met Data'!$A$2:$F$368,G809,FALSE)</f>
        <v>15.379166666666601</v>
      </c>
      <c r="J809" s="121">
        <f ca="1">HLOOKUP($H$4,'Met Data'!$H$2:$M$368,G809,FALSE)*L809</f>
        <v>6.2616666666666605</v>
      </c>
      <c r="K809" s="100">
        <f ca="1">HLOOKUP($H$4,'Met Data'!$O$2:$T$368,G809,FALSE)</f>
        <v>2.7162290778951999</v>
      </c>
      <c r="L809">
        <f t="shared" ca="1" si="121"/>
        <v>1.7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5" t="e">
        <f t="shared" ca="1" si="126"/>
        <v>#N/A</v>
      </c>
      <c r="AH809" s="65" t="e">
        <f t="shared" ca="1" si="127"/>
        <v>#N/A</v>
      </c>
      <c r="AI809" s="3" t="e">
        <f t="shared" ca="1" si="128"/>
        <v>#N/A</v>
      </c>
    </row>
    <row r="810" spans="7:35" ht="15.75" thickBot="1" x14ac:dyDescent="0.3">
      <c r="G810" s="3">
        <f t="shared" ca="1" si="120"/>
        <v>79</v>
      </c>
      <c r="H810" s="99">
        <f t="shared" ca="1" si="129"/>
        <v>46100</v>
      </c>
      <c r="I810" s="123">
        <f ca="1">HLOOKUP($H$4,'Met Data'!$A$2:$F$368,G810,FALSE)</f>
        <v>15.858333333333301</v>
      </c>
      <c r="J810" s="121">
        <f ca="1">HLOOKUP($H$4,'Met Data'!$H$2:$M$368,G810,FALSE)*L810</f>
        <v>1.4449999999999998</v>
      </c>
      <c r="K810" s="100">
        <f ca="1">HLOOKUP($H$4,'Met Data'!$O$2:$T$368,G810,FALSE)</f>
        <v>2.8216063312721902</v>
      </c>
      <c r="L810">
        <f t="shared" ca="1" si="121"/>
        <v>1.7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5" t="e">
        <f t="shared" ca="1" si="126"/>
        <v>#N/A</v>
      </c>
      <c r="AH810" s="65" t="e">
        <f t="shared" ca="1" si="127"/>
        <v>#N/A</v>
      </c>
      <c r="AI810" s="3" t="e">
        <f t="shared" ca="1" si="128"/>
        <v>#N/A</v>
      </c>
    </row>
    <row r="811" spans="7:35" ht="15.75" thickBot="1" x14ac:dyDescent="0.3">
      <c r="G811" s="3">
        <f t="shared" ca="1" si="120"/>
        <v>80</v>
      </c>
      <c r="H811" s="99">
        <f t="shared" ca="1" si="129"/>
        <v>46101</v>
      </c>
      <c r="I811" s="123">
        <f ca="1">HLOOKUP($H$4,'Met Data'!$A$2:$F$368,G811,FALSE)</f>
        <v>16.216666666666601</v>
      </c>
      <c r="J811" s="121">
        <f ca="1">HLOOKUP($H$4,'Met Data'!$H$2:$M$368,G811,FALSE)*L811</f>
        <v>0.14166666666666661</v>
      </c>
      <c r="K811" s="100">
        <f ca="1">HLOOKUP($H$4,'Met Data'!$O$2:$T$368,G811,FALSE)</f>
        <v>2.7500481593686201</v>
      </c>
      <c r="L811">
        <f t="shared" ca="1" si="121"/>
        <v>1.7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5" t="e">
        <f t="shared" ca="1" si="126"/>
        <v>#N/A</v>
      </c>
      <c r="AH811" s="65" t="e">
        <f t="shared" ca="1" si="127"/>
        <v>#N/A</v>
      </c>
      <c r="AI811" s="3" t="e">
        <f t="shared" ca="1" si="128"/>
        <v>#N/A</v>
      </c>
    </row>
    <row r="812" spans="7:35" ht="15.75" thickBot="1" x14ac:dyDescent="0.3">
      <c r="G812" s="3">
        <f t="shared" ca="1" si="120"/>
        <v>81</v>
      </c>
      <c r="H812" s="99">
        <f t="shared" ca="1" si="129"/>
        <v>46102</v>
      </c>
      <c r="I812" s="123">
        <f ca="1">HLOOKUP($H$4,'Met Data'!$A$2:$F$368,G812,FALSE)</f>
        <v>16.483333333333299</v>
      </c>
      <c r="J812" s="121">
        <f ca="1">HLOOKUP($H$4,'Met Data'!$H$2:$M$368,G812,FALSE)*L812</f>
        <v>1.8983333333333221</v>
      </c>
      <c r="K812" s="100">
        <f ca="1">HLOOKUP($H$4,'Met Data'!$O$2:$T$368,G812,FALSE)</f>
        <v>2.6292753041097501</v>
      </c>
      <c r="L812">
        <f t="shared" ca="1" si="121"/>
        <v>1.7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5" t="e">
        <f t="shared" ca="1" si="126"/>
        <v>#N/A</v>
      </c>
      <c r="AH812" s="65" t="e">
        <f t="shared" ca="1" si="127"/>
        <v>#N/A</v>
      </c>
      <c r="AI812" s="3" t="e">
        <f t="shared" ca="1" si="128"/>
        <v>#N/A</v>
      </c>
    </row>
    <row r="813" spans="7:35" ht="15.75" thickBot="1" x14ac:dyDescent="0.3">
      <c r="G813" s="3">
        <f t="shared" ca="1" si="120"/>
        <v>82</v>
      </c>
      <c r="H813" s="99">
        <f t="shared" ca="1" si="129"/>
        <v>46103</v>
      </c>
      <c r="I813" s="123">
        <f ca="1">HLOOKUP($H$4,'Met Data'!$A$2:$F$368,G813,FALSE)</f>
        <v>16.6791666666666</v>
      </c>
      <c r="J813" s="121">
        <f ca="1">HLOOKUP($H$4,'Met Data'!$H$2:$M$368,G813,FALSE)*L813</f>
        <v>2.7766666666666611</v>
      </c>
      <c r="K813" s="100">
        <f ca="1">HLOOKUP($H$4,'Met Data'!$O$2:$T$368,G813,FALSE)</f>
        <v>2.3413673129625598</v>
      </c>
      <c r="L813">
        <f t="shared" ca="1" si="121"/>
        <v>1.7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5" t="e">
        <f t="shared" ca="1" si="126"/>
        <v>#N/A</v>
      </c>
      <c r="AH813" s="65" t="e">
        <f t="shared" ca="1" si="127"/>
        <v>#N/A</v>
      </c>
      <c r="AI813" s="3" t="e">
        <f t="shared" ca="1" si="128"/>
        <v>#N/A</v>
      </c>
    </row>
    <row r="814" spans="7:35" ht="15.75" thickBot="1" x14ac:dyDescent="0.3">
      <c r="G814" s="3">
        <f t="shared" ca="1" si="120"/>
        <v>83</v>
      </c>
      <c r="H814" s="99">
        <f t="shared" ca="1" si="129"/>
        <v>46104</v>
      </c>
      <c r="I814" s="123">
        <f ca="1">HLOOKUP($H$4,'Met Data'!$A$2:$F$368,G814,FALSE)</f>
        <v>16.8</v>
      </c>
      <c r="J814" s="121">
        <f ca="1">HLOOKUP($H$4,'Met Data'!$H$2:$M$368,G814,FALSE)*L814</f>
        <v>3.881666666666661</v>
      </c>
      <c r="K814" s="100">
        <f ca="1">HLOOKUP($H$4,'Met Data'!$O$2:$T$368,G814,FALSE)</f>
        <v>2.7038604411954998</v>
      </c>
      <c r="L814">
        <f t="shared" ca="1" si="121"/>
        <v>1.7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5" t="e">
        <f t="shared" ca="1" si="126"/>
        <v>#N/A</v>
      </c>
      <c r="AH814" s="65" t="e">
        <f t="shared" ca="1" si="127"/>
        <v>#N/A</v>
      </c>
      <c r="AI814" s="3" t="e">
        <f t="shared" ca="1" si="128"/>
        <v>#N/A</v>
      </c>
    </row>
    <row r="815" spans="7:35" ht="15.75" thickBot="1" x14ac:dyDescent="0.3">
      <c r="G815" s="3">
        <f t="shared" ca="1" si="120"/>
        <v>84</v>
      </c>
      <c r="H815" s="99">
        <f t="shared" ca="1" si="129"/>
        <v>46105</v>
      </c>
      <c r="I815" s="123">
        <f ca="1">HLOOKUP($H$4,'Met Data'!$A$2:$F$368,G815,FALSE)</f>
        <v>16.237500000000001</v>
      </c>
      <c r="J815" s="121">
        <f ca="1">HLOOKUP($H$4,'Met Data'!$H$2:$M$368,G815,FALSE)*L815</f>
        <v>6.4316666666666613</v>
      </c>
      <c r="K815" s="100">
        <f ca="1">HLOOKUP($H$4,'Met Data'!$O$2:$T$368,G815,FALSE)</f>
        <v>2.1387131538714801</v>
      </c>
      <c r="L815">
        <f t="shared" ca="1" si="121"/>
        <v>1.7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5" t="e">
        <f t="shared" ca="1" si="126"/>
        <v>#N/A</v>
      </c>
      <c r="AH815" s="65" t="e">
        <f t="shared" ca="1" si="127"/>
        <v>#N/A</v>
      </c>
      <c r="AI815" s="3" t="e">
        <f t="shared" ca="1" si="128"/>
        <v>#N/A</v>
      </c>
    </row>
    <row r="816" spans="7:35" ht="15.75" thickBot="1" x14ac:dyDescent="0.3">
      <c r="G816" s="3">
        <f t="shared" ref="G816:G879" ca="1" si="130">H816-DATE(YEAR(H816),1,0)+1</f>
        <v>85</v>
      </c>
      <c r="H816" s="99">
        <f t="shared" ca="1" si="129"/>
        <v>46106</v>
      </c>
      <c r="I816" s="123">
        <f ca="1">HLOOKUP($H$4,'Met Data'!$A$2:$F$368,G816,FALSE)</f>
        <v>16.875</v>
      </c>
      <c r="J816" s="121">
        <f ca="1">HLOOKUP($H$4,'Met Data'!$H$2:$M$368,G816,FALSE)*L816</f>
        <v>4.93</v>
      </c>
      <c r="K816" s="100">
        <f ca="1">HLOOKUP($H$4,'Met Data'!$O$2:$T$368,G816,FALSE)</f>
        <v>2.4308063740099</v>
      </c>
      <c r="L816">
        <f t="shared" ref="L816:L879" ca="1" si="131">IF(H816&lt;$B$31,$J$3,$J$4)</f>
        <v>1.7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5" t="e">
        <f t="shared" ref="AG816:AG879" ca="1" si="136">Q815+S816+T816+U816</f>
        <v>#N/A</v>
      </c>
      <c r="AH816" s="65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.75" thickBot="1" x14ac:dyDescent="0.3">
      <c r="G817" s="3">
        <f t="shared" ca="1" si="130"/>
        <v>86</v>
      </c>
      <c r="H817" s="99">
        <f t="shared" ca="1" si="129"/>
        <v>46107</v>
      </c>
      <c r="I817" s="123">
        <f ca="1">HLOOKUP($H$4,'Met Data'!$A$2:$F$368,G817,FALSE)</f>
        <v>17.024999999999999</v>
      </c>
      <c r="J817" s="121">
        <f ca="1">HLOOKUP($H$4,'Met Data'!$H$2:$M$368,G817,FALSE)*L817</f>
        <v>6.3466666666666605</v>
      </c>
      <c r="K817" s="100">
        <f ca="1">HLOOKUP($H$4,'Met Data'!$O$2:$T$368,G817,FALSE)</f>
        <v>2.3866525377963699</v>
      </c>
      <c r="L817">
        <f t="shared" ca="1" si="131"/>
        <v>1.7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5" t="e">
        <f t="shared" ca="1" si="136"/>
        <v>#N/A</v>
      </c>
      <c r="AH817" s="65" t="e">
        <f t="shared" ca="1" si="137"/>
        <v>#N/A</v>
      </c>
      <c r="AI817" s="3" t="e">
        <f t="shared" ca="1" si="138"/>
        <v>#N/A</v>
      </c>
    </row>
    <row r="818" spans="7:35" ht="15.75" thickBot="1" x14ac:dyDescent="0.3">
      <c r="G818" s="3">
        <f t="shared" ca="1" si="130"/>
        <v>87</v>
      </c>
      <c r="H818" s="99">
        <f t="shared" ca="1" si="129"/>
        <v>46108</v>
      </c>
      <c r="I818" s="123">
        <f ca="1">HLOOKUP($H$4,'Met Data'!$A$2:$F$368,G818,FALSE)</f>
        <v>17.3</v>
      </c>
      <c r="J818" s="121">
        <f ca="1">HLOOKUP($H$4,'Met Data'!$H$2:$M$368,G818,FALSE)*L818</f>
        <v>3.2866666666666609</v>
      </c>
      <c r="K818" s="100">
        <f ca="1">HLOOKUP($H$4,'Met Data'!$O$2:$T$368,G818,FALSE)</f>
        <v>2.6501779961824399</v>
      </c>
      <c r="L818">
        <f t="shared" ca="1" si="131"/>
        <v>1.7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5" t="e">
        <f t="shared" ca="1" si="136"/>
        <v>#N/A</v>
      </c>
      <c r="AH818" s="65" t="e">
        <f t="shared" ca="1" si="137"/>
        <v>#N/A</v>
      </c>
      <c r="AI818" s="3" t="e">
        <f t="shared" ca="1" si="138"/>
        <v>#N/A</v>
      </c>
    </row>
    <row r="819" spans="7:35" ht="15.75" thickBot="1" x14ac:dyDescent="0.3">
      <c r="G819" s="3">
        <f t="shared" ca="1" si="130"/>
        <v>88</v>
      </c>
      <c r="H819" s="99">
        <f t="shared" ca="1" si="129"/>
        <v>46109</v>
      </c>
      <c r="I819" s="123">
        <f ca="1">HLOOKUP($H$4,'Met Data'!$A$2:$F$368,G819,FALSE)</f>
        <v>15.983333333333301</v>
      </c>
      <c r="J819" s="121">
        <f ca="1">HLOOKUP($H$4,'Met Data'!$H$2:$M$368,G819,FALSE)*L819</f>
        <v>2.0683333333333218</v>
      </c>
      <c r="K819" s="100">
        <f ca="1">HLOOKUP($H$4,'Met Data'!$O$2:$T$368,G819,FALSE)</f>
        <v>2.2352735074469998</v>
      </c>
      <c r="L819">
        <f t="shared" ca="1" si="131"/>
        <v>1.7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5" t="e">
        <f t="shared" ca="1" si="136"/>
        <v>#N/A</v>
      </c>
      <c r="AH819" s="65" t="e">
        <f t="shared" ca="1" si="137"/>
        <v>#N/A</v>
      </c>
      <c r="AI819" s="3" t="e">
        <f t="shared" ca="1" si="138"/>
        <v>#N/A</v>
      </c>
    </row>
    <row r="820" spans="7:35" ht="15.75" thickBot="1" x14ac:dyDescent="0.3">
      <c r="G820" s="3">
        <f t="shared" ca="1" si="130"/>
        <v>89</v>
      </c>
      <c r="H820" s="99">
        <f t="shared" ca="1" si="129"/>
        <v>46110</v>
      </c>
      <c r="I820" s="123">
        <f ca="1">HLOOKUP($H$4,'Met Data'!$A$2:$F$368,G820,FALSE)</f>
        <v>16.404166666666601</v>
      </c>
      <c r="J820" s="121">
        <f ca="1">HLOOKUP($H$4,'Met Data'!$H$2:$M$368,G820,FALSE)*L820</f>
        <v>3.9666666666666606</v>
      </c>
      <c r="K820" s="100">
        <f ca="1">HLOOKUP($H$4,'Met Data'!$O$2:$T$368,G820,FALSE)</f>
        <v>2.3461969045698901</v>
      </c>
      <c r="L820">
        <f t="shared" ca="1" si="131"/>
        <v>1.7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5" t="e">
        <f t="shared" ca="1" si="136"/>
        <v>#N/A</v>
      </c>
      <c r="AH820" s="65" t="e">
        <f t="shared" ca="1" si="137"/>
        <v>#N/A</v>
      </c>
      <c r="AI820" s="3" t="e">
        <f t="shared" ca="1" si="138"/>
        <v>#N/A</v>
      </c>
    </row>
    <row r="821" spans="7:35" ht="15.75" thickBot="1" x14ac:dyDescent="0.3">
      <c r="G821" s="3">
        <f t="shared" ca="1" si="130"/>
        <v>90</v>
      </c>
      <c r="H821" s="99">
        <f t="shared" ca="1" si="129"/>
        <v>46111</v>
      </c>
      <c r="I821" s="123">
        <f ca="1">HLOOKUP($H$4,'Met Data'!$A$2:$F$368,G821,FALSE)</f>
        <v>16.629166666666599</v>
      </c>
      <c r="J821" s="121">
        <f ca="1">HLOOKUP($H$4,'Met Data'!$H$2:$M$368,G821,FALSE)*L821</f>
        <v>3.7966666666666606</v>
      </c>
      <c r="K821" s="100">
        <f ca="1">HLOOKUP($H$4,'Met Data'!$O$2:$T$368,G821,FALSE)</f>
        <v>2.5330458314755799</v>
      </c>
      <c r="L821">
        <f t="shared" ca="1" si="131"/>
        <v>1.7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5" t="e">
        <f t="shared" ca="1" si="136"/>
        <v>#N/A</v>
      </c>
      <c r="AH821" s="65" t="e">
        <f t="shared" ca="1" si="137"/>
        <v>#N/A</v>
      </c>
      <c r="AI821" s="3" t="e">
        <f t="shared" ca="1" si="138"/>
        <v>#N/A</v>
      </c>
    </row>
    <row r="822" spans="7:35" ht="15.75" thickBot="1" x14ac:dyDescent="0.3">
      <c r="G822" s="3">
        <f t="shared" ca="1" si="130"/>
        <v>91</v>
      </c>
      <c r="H822" s="99">
        <f t="shared" ca="1" si="129"/>
        <v>46112</v>
      </c>
      <c r="I822" s="123">
        <f ca="1">HLOOKUP($H$4,'Met Data'!$A$2:$F$368,G822,FALSE)</f>
        <v>16.112499999999901</v>
      </c>
      <c r="J822" s="121">
        <f ca="1">HLOOKUP($H$4,'Met Data'!$H$2:$M$368,G822,FALSE)*L822</f>
        <v>3.5416666666666607</v>
      </c>
      <c r="K822" s="100">
        <f ca="1">HLOOKUP($H$4,'Met Data'!$O$2:$T$368,G822,FALSE)</f>
        <v>2.4661161715906501</v>
      </c>
      <c r="L822">
        <f t="shared" ca="1" si="131"/>
        <v>1.7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5" t="e">
        <f t="shared" ca="1" si="136"/>
        <v>#N/A</v>
      </c>
      <c r="AH822" s="65" t="e">
        <f t="shared" ca="1" si="137"/>
        <v>#N/A</v>
      </c>
      <c r="AI822" s="3" t="e">
        <f t="shared" ca="1" si="138"/>
        <v>#N/A</v>
      </c>
    </row>
    <row r="823" spans="7:35" ht="15.75" thickBot="1" x14ac:dyDescent="0.3">
      <c r="G823" s="3">
        <f t="shared" ca="1" si="130"/>
        <v>92</v>
      </c>
      <c r="H823" s="99">
        <f t="shared" ca="1" si="129"/>
        <v>46113</v>
      </c>
      <c r="I823" s="123">
        <f ca="1">HLOOKUP($H$4,'Met Data'!$A$2:$F$368,G823,FALSE)</f>
        <v>15.862500000000001</v>
      </c>
      <c r="J823" s="121">
        <f ca="1">HLOOKUP($H$4,'Met Data'!$H$2:$M$368,G823,FALSE)*L823</f>
        <v>2.2666666666666608</v>
      </c>
      <c r="K823" s="100">
        <f ca="1">HLOOKUP($H$4,'Met Data'!$O$2:$T$368,G823,FALSE)</f>
        <v>2.3173978620084501</v>
      </c>
      <c r="L823">
        <f t="shared" ca="1" si="131"/>
        <v>1.7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5" t="e">
        <f t="shared" ca="1" si="136"/>
        <v>#N/A</v>
      </c>
      <c r="AH823" s="65" t="e">
        <f t="shared" ca="1" si="137"/>
        <v>#N/A</v>
      </c>
      <c r="AI823" s="3" t="e">
        <f t="shared" ca="1" si="138"/>
        <v>#N/A</v>
      </c>
    </row>
    <row r="824" spans="7:35" ht="15.75" thickBot="1" x14ac:dyDescent="0.3">
      <c r="G824" s="3">
        <f t="shared" ca="1" si="130"/>
        <v>93</v>
      </c>
      <c r="H824" s="99">
        <f t="shared" ca="1" si="129"/>
        <v>46114</v>
      </c>
      <c r="I824" s="123">
        <f ca="1">HLOOKUP($H$4,'Met Data'!$A$2:$F$368,G824,FALSE)</f>
        <v>15.299999999999899</v>
      </c>
      <c r="J824" s="121">
        <f ca="1">HLOOKUP($H$4,'Met Data'!$H$2:$M$368,G824,FALSE)*L824</f>
        <v>0.62333333333333218</v>
      </c>
      <c r="K824" s="100">
        <f ca="1">HLOOKUP($H$4,'Met Data'!$O$2:$T$368,G824,FALSE)</f>
        <v>2.1311275850035698</v>
      </c>
      <c r="L824">
        <f t="shared" ca="1" si="131"/>
        <v>1.7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5" t="e">
        <f t="shared" ca="1" si="136"/>
        <v>#N/A</v>
      </c>
      <c r="AH824" s="65" t="e">
        <f t="shared" ca="1" si="137"/>
        <v>#N/A</v>
      </c>
      <c r="AI824" s="3" t="e">
        <f t="shared" ca="1" si="138"/>
        <v>#N/A</v>
      </c>
    </row>
    <row r="825" spans="7:35" ht="15.75" thickBot="1" x14ac:dyDescent="0.3">
      <c r="G825" s="3">
        <f t="shared" ca="1" si="130"/>
        <v>94</v>
      </c>
      <c r="H825" s="99">
        <f t="shared" ca="1" si="129"/>
        <v>46115</v>
      </c>
      <c r="I825" s="123">
        <f ca="1">HLOOKUP($H$4,'Met Data'!$A$2:$F$368,G825,FALSE)</f>
        <v>16.266666666666602</v>
      </c>
      <c r="J825" s="121">
        <f ca="1">HLOOKUP($H$4,'Met Data'!$H$2:$M$368,G825,FALSE)*L825</f>
        <v>7.4233333333333222</v>
      </c>
      <c r="K825" s="100">
        <f ca="1">HLOOKUP($H$4,'Met Data'!$O$2:$T$368,G825,FALSE)</f>
        <v>2.1942415542804201</v>
      </c>
      <c r="L825">
        <f t="shared" ca="1" si="131"/>
        <v>1.7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5" t="e">
        <f t="shared" ca="1" si="136"/>
        <v>#N/A</v>
      </c>
      <c r="AH825" s="65" t="e">
        <f t="shared" ca="1" si="137"/>
        <v>#N/A</v>
      </c>
      <c r="AI825" s="3" t="e">
        <f t="shared" ca="1" si="138"/>
        <v>#N/A</v>
      </c>
    </row>
    <row r="826" spans="7:35" ht="15.75" thickBot="1" x14ac:dyDescent="0.3">
      <c r="G826" s="3">
        <f t="shared" ca="1" si="130"/>
        <v>95</v>
      </c>
      <c r="H826" s="99">
        <f t="shared" ca="1" si="129"/>
        <v>46116</v>
      </c>
      <c r="I826" s="123">
        <f ca="1">HLOOKUP($H$4,'Met Data'!$A$2:$F$368,G826,FALSE)</f>
        <v>16.008333333333301</v>
      </c>
      <c r="J826" s="121">
        <f ca="1">HLOOKUP($H$4,'Met Data'!$H$2:$M$368,G826,FALSE)*L826</f>
        <v>9.4916666666666618</v>
      </c>
      <c r="K826" s="100">
        <f ca="1">HLOOKUP($H$4,'Met Data'!$O$2:$T$368,G826,FALSE)</f>
        <v>2.18875214188912</v>
      </c>
      <c r="L826">
        <f t="shared" ca="1" si="131"/>
        <v>1.7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5" t="e">
        <f t="shared" ca="1" si="136"/>
        <v>#N/A</v>
      </c>
      <c r="AH826" s="65" t="e">
        <f t="shared" ca="1" si="137"/>
        <v>#N/A</v>
      </c>
      <c r="AI826" s="3" t="e">
        <f t="shared" ca="1" si="138"/>
        <v>#N/A</v>
      </c>
    </row>
    <row r="827" spans="7:35" ht="15.75" thickBot="1" x14ac:dyDescent="0.3">
      <c r="G827" s="3">
        <f t="shared" ca="1" si="130"/>
        <v>96</v>
      </c>
      <c r="H827" s="99">
        <f t="shared" ca="1" si="129"/>
        <v>46117</v>
      </c>
      <c r="I827" s="123">
        <f ca="1">HLOOKUP($H$4,'Met Data'!$A$2:$F$368,G827,FALSE)</f>
        <v>14.8083333333333</v>
      </c>
      <c r="J827" s="121">
        <f ca="1">HLOOKUP($H$4,'Met Data'!$H$2:$M$368,G827,FALSE)*L827</f>
        <v>6.6866666666666612</v>
      </c>
      <c r="K827" s="100">
        <f ca="1">HLOOKUP($H$4,'Met Data'!$O$2:$T$368,G827,FALSE)</f>
        <v>2.25899576438928</v>
      </c>
      <c r="L827">
        <f t="shared" ca="1" si="131"/>
        <v>1.7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5" t="e">
        <f t="shared" ca="1" si="136"/>
        <v>#N/A</v>
      </c>
      <c r="AH827" s="65" t="e">
        <f t="shared" ca="1" si="137"/>
        <v>#N/A</v>
      </c>
      <c r="AI827" s="3" t="e">
        <f t="shared" ca="1" si="138"/>
        <v>#N/A</v>
      </c>
    </row>
    <row r="828" spans="7:35" ht="15.75" thickBot="1" x14ac:dyDescent="0.3">
      <c r="G828" s="3">
        <f t="shared" ca="1" si="130"/>
        <v>97</v>
      </c>
      <c r="H828" s="99">
        <f t="shared" ca="1" si="129"/>
        <v>46118</v>
      </c>
      <c r="I828" s="123">
        <f ca="1">HLOOKUP($H$4,'Met Data'!$A$2:$F$368,G828,FALSE)</f>
        <v>14.283333333333299</v>
      </c>
      <c r="J828" s="121">
        <f ca="1">HLOOKUP($H$4,'Met Data'!$H$2:$M$368,G828,FALSE)*L828</f>
        <v>2.1533333333333218</v>
      </c>
      <c r="K828" s="100">
        <f ca="1">HLOOKUP($H$4,'Met Data'!$O$2:$T$368,G828,FALSE)</f>
        <v>2.2952223200603901</v>
      </c>
      <c r="L828">
        <f t="shared" ca="1" si="131"/>
        <v>1.7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5" t="e">
        <f t="shared" ca="1" si="136"/>
        <v>#N/A</v>
      </c>
      <c r="AH828" s="65" t="e">
        <f t="shared" ca="1" si="137"/>
        <v>#N/A</v>
      </c>
      <c r="AI828" s="3" t="e">
        <f t="shared" ca="1" si="138"/>
        <v>#N/A</v>
      </c>
    </row>
    <row r="829" spans="7:35" ht="15.75" thickBot="1" x14ac:dyDescent="0.3">
      <c r="G829" s="3">
        <f t="shared" ca="1" si="130"/>
        <v>98</v>
      </c>
      <c r="H829" s="99">
        <f t="shared" ca="1" si="129"/>
        <v>46119</v>
      </c>
      <c r="I829" s="123">
        <f ca="1">HLOOKUP($H$4,'Met Data'!$A$2:$F$368,G829,FALSE)</f>
        <v>13.258333333333301</v>
      </c>
      <c r="J829" s="121">
        <f ca="1">HLOOKUP($H$4,'Met Data'!$H$2:$M$368,G829,FALSE)*L829</f>
        <v>2.0116666666666609</v>
      </c>
      <c r="K829" s="100">
        <f ca="1">HLOOKUP($H$4,'Met Data'!$O$2:$T$368,G829,FALSE)</f>
        <v>1.94562323949851</v>
      </c>
      <c r="L829">
        <f t="shared" ca="1" si="131"/>
        <v>1.7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5" t="e">
        <f t="shared" ca="1" si="136"/>
        <v>#N/A</v>
      </c>
      <c r="AH829" s="65" t="e">
        <f t="shared" ca="1" si="137"/>
        <v>#N/A</v>
      </c>
      <c r="AI829" s="3" t="e">
        <f t="shared" ca="1" si="138"/>
        <v>#N/A</v>
      </c>
    </row>
    <row r="830" spans="7:35" ht="15.75" thickBot="1" x14ac:dyDescent="0.3">
      <c r="G830" s="3">
        <f t="shared" ca="1" si="130"/>
        <v>99</v>
      </c>
      <c r="H830" s="99">
        <f t="shared" ca="1" si="129"/>
        <v>46120</v>
      </c>
      <c r="I830" s="123">
        <f ca="1">HLOOKUP($H$4,'Met Data'!$A$2:$F$368,G830,FALSE)</f>
        <v>13.8666666666666</v>
      </c>
      <c r="J830" s="121">
        <f ca="1">HLOOKUP($H$4,'Met Data'!$H$2:$M$368,G830,FALSE)*L830</f>
        <v>8.0466666666666598</v>
      </c>
      <c r="K830" s="100">
        <f ca="1">HLOOKUP($H$4,'Met Data'!$O$2:$T$368,G830,FALSE)</f>
        <v>1.65226329552866</v>
      </c>
      <c r="L830">
        <f t="shared" ca="1" si="131"/>
        <v>1.7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5" t="e">
        <f t="shared" ca="1" si="136"/>
        <v>#N/A</v>
      </c>
      <c r="AH830" s="65" t="e">
        <f t="shared" ca="1" si="137"/>
        <v>#N/A</v>
      </c>
      <c r="AI830" s="3" t="e">
        <f t="shared" ca="1" si="138"/>
        <v>#N/A</v>
      </c>
    </row>
    <row r="831" spans="7:35" ht="15.75" thickBot="1" x14ac:dyDescent="0.3">
      <c r="G831" s="3">
        <f t="shared" ca="1" si="130"/>
        <v>100</v>
      </c>
      <c r="H831" s="99">
        <f t="shared" ca="1" si="129"/>
        <v>46121</v>
      </c>
      <c r="I831" s="123">
        <f ca="1">HLOOKUP($H$4,'Met Data'!$A$2:$F$368,G831,FALSE)</f>
        <v>14.404166666666599</v>
      </c>
      <c r="J831" s="121">
        <f ca="1">HLOOKUP($H$4,'Met Data'!$H$2:$M$368,G831,FALSE)*L831</f>
        <v>7.3383333333333223</v>
      </c>
      <c r="K831" s="100">
        <f ca="1">HLOOKUP($H$4,'Met Data'!$O$2:$T$368,G831,FALSE)</f>
        <v>1.8668252234765801</v>
      </c>
      <c r="L831">
        <f t="shared" ca="1" si="131"/>
        <v>1.7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5" t="e">
        <f t="shared" ca="1" si="136"/>
        <v>#N/A</v>
      </c>
      <c r="AH831" s="65" t="e">
        <f t="shared" ca="1" si="137"/>
        <v>#N/A</v>
      </c>
      <c r="AI831" s="3" t="e">
        <f t="shared" ca="1" si="138"/>
        <v>#N/A</v>
      </c>
    </row>
    <row r="832" spans="7:35" ht="15.75" thickBot="1" x14ac:dyDescent="0.3">
      <c r="G832" s="3">
        <f t="shared" ca="1" si="130"/>
        <v>101</v>
      </c>
      <c r="H832" s="99">
        <f t="shared" ca="1" si="129"/>
        <v>46122</v>
      </c>
      <c r="I832" s="123">
        <f ca="1">HLOOKUP($H$4,'Met Data'!$A$2:$F$368,G832,FALSE)</f>
        <v>14.5416666666666</v>
      </c>
      <c r="J832" s="121">
        <f ca="1">HLOOKUP($H$4,'Met Data'!$H$2:$M$368,G832,FALSE)*L832</f>
        <v>7.5366666666666609</v>
      </c>
      <c r="K832" s="100">
        <f ca="1">HLOOKUP($H$4,'Met Data'!$O$2:$T$368,G832,FALSE)</f>
        <v>1.97301093095216</v>
      </c>
      <c r="L832">
        <f t="shared" ca="1" si="131"/>
        <v>1.7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5" t="e">
        <f t="shared" ca="1" si="136"/>
        <v>#N/A</v>
      </c>
      <c r="AH832" s="65" t="e">
        <f t="shared" ca="1" si="137"/>
        <v>#N/A</v>
      </c>
      <c r="AI832" s="3" t="e">
        <f t="shared" ca="1" si="138"/>
        <v>#N/A</v>
      </c>
    </row>
    <row r="833" spans="7:35" ht="15.75" thickBot="1" x14ac:dyDescent="0.3">
      <c r="G833" s="3">
        <f t="shared" ca="1" si="130"/>
        <v>102</v>
      </c>
      <c r="H833" s="99">
        <f t="shared" ca="1" si="129"/>
        <v>46123</v>
      </c>
      <c r="I833" s="123">
        <f ca="1">HLOOKUP($H$4,'Met Data'!$A$2:$F$368,G833,FALSE)</f>
        <v>14.279166666666599</v>
      </c>
      <c r="J833" s="121">
        <f ca="1">HLOOKUP($H$4,'Met Data'!$H$2:$M$368,G833,FALSE)*L833</f>
        <v>2.2666666666666608</v>
      </c>
      <c r="K833" s="100">
        <f ca="1">HLOOKUP($H$4,'Met Data'!$O$2:$T$368,G833,FALSE)</f>
        <v>1.63836682585681</v>
      </c>
      <c r="L833">
        <f t="shared" ca="1" si="131"/>
        <v>1.7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5" t="e">
        <f t="shared" ca="1" si="136"/>
        <v>#N/A</v>
      </c>
      <c r="AH833" s="65" t="e">
        <f t="shared" ca="1" si="137"/>
        <v>#N/A</v>
      </c>
      <c r="AI833" s="3" t="e">
        <f t="shared" ca="1" si="138"/>
        <v>#N/A</v>
      </c>
    </row>
    <row r="834" spans="7:35" ht="15.75" thickBot="1" x14ac:dyDescent="0.3">
      <c r="G834" s="3">
        <f t="shared" ca="1" si="130"/>
        <v>103</v>
      </c>
      <c r="H834" s="99">
        <f t="shared" ca="1" si="129"/>
        <v>46124</v>
      </c>
      <c r="I834" s="123">
        <f ca="1">HLOOKUP($H$4,'Met Data'!$A$2:$F$368,G834,FALSE)</f>
        <v>15.1666666666666</v>
      </c>
      <c r="J834" s="121">
        <f ca="1">HLOOKUP($H$4,'Met Data'!$H$2:$M$368,G834,FALSE)*L834</f>
        <v>6.4316666666666613</v>
      </c>
      <c r="K834" s="100">
        <f ca="1">HLOOKUP($H$4,'Met Data'!$O$2:$T$368,G834,FALSE)</f>
        <v>1.8936832301932101</v>
      </c>
      <c r="L834">
        <f t="shared" ca="1" si="131"/>
        <v>1.7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5" t="e">
        <f t="shared" ca="1" si="136"/>
        <v>#N/A</v>
      </c>
      <c r="AH834" s="65" t="e">
        <f t="shared" ca="1" si="137"/>
        <v>#N/A</v>
      </c>
      <c r="AI834" s="3" t="e">
        <f t="shared" ca="1" si="138"/>
        <v>#N/A</v>
      </c>
    </row>
    <row r="835" spans="7:35" ht="15.75" thickBot="1" x14ac:dyDescent="0.3">
      <c r="G835" s="3">
        <f t="shared" ca="1" si="130"/>
        <v>104</v>
      </c>
      <c r="H835" s="99">
        <f t="shared" ca="1" si="129"/>
        <v>46125</v>
      </c>
      <c r="I835" s="123">
        <f ca="1">HLOOKUP($H$4,'Met Data'!$A$2:$F$368,G835,FALSE)</f>
        <v>14.675000000000001</v>
      </c>
      <c r="J835" s="121">
        <f ca="1">HLOOKUP($H$4,'Met Data'!$H$2:$M$368,G835,FALSE)*L835</f>
        <v>7.6783333333333221</v>
      </c>
      <c r="K835" s="100">
        <f ca="1">HLOOKUP($H$4,'Met Data'!$O$2:$T$368,G835,FALSE)</f>
        <v>1.6971366028359001</v>
      </c>
      <c r="L835">
        <f t="shared" ca="1" si="131"/>
        <v>1.7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5" t="e">
        <f t="shared" ca="1" si="136"/>
        <v>#N/A</v>
      </c>
      <c r="AH835" s="65" t="e">
        <f t="shared" ca="1" si="137"/>
        <v>#N/A</v>
      </c>
      <c r="AI835" s="3" t="e">
        <f t="shared" ca="1" si="138"/>
        <v>#N/A</v>
      </c>
    </row>
    <row r="836" spans="7:35" ht="15.75" thickBot="1" x14ac:dyDescent="0.3">
      <c r="G836" s="3">
        <f t="shared" ca="1" si="130"/>
        <v>105</v>
      </c>
      <c r="H836" s="99">
        <f t="shared" ca="1" si="129"/>
        <v>46126</v>
      </c>
      <c r="I836" s="123">
        <f ca="1">HLOOKUP($H$4,'Met Data'!$A$2:$F$368,G836,FALSE)</f>
        <v>13.504166666666601</v>
      </c>
      <c r="J836" s="121">
        <f ca="1">HLOOKUP($H$4,'Met Data'!$H$2:$M$368,G836,FALSE)*L836</f>
        <v>7.6499999999999995</v>
      </c>
      <c r="K836" s="100">
        <f ca="1">HLOOKUP($H$4,'Met Data'!$O$2:$T$368,G836,FALSE)</f>
        <v>1.6970685904410301</v>
      </c>
      <c r="L836">
        <f t="shared" ca="1" si="131"/>
        <v>1.7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5" t="e">
        <f t="shared" ca="1" si="136"/>
        <v>#N/A</v>
      </c>
      <c r="AH836" s="65" t="e">
        <f t="shared" ca="1" si="137"/>
        <v>#N/A</v>
      </c>
      <c r="AI836" s="3" t="e">
        <f t="shared" ca="1" si="138"/>
        <v>#N/A</v>
      </c>
    </row>
    <row r="837" spans="7:35" ht="15.75" thickBot="1" x14ac:dyDescent="0.3">
      <c r="G837" s="3">
        <f t="shared" ca="1" si="130"/>
        <v>106</v>
      </c>
      <c r="H837" s="99">
        <f t="shared" ca="1" si="129"/>
        <v>46127</v>
      </c>
      <c r="I837" s="123">
        <f ca="1">HLOOKUP($H$4,'Met Data'!$A$2:$F$368,G837,FALSE)</f>
        <v>13.779166666666599</v>
      </c>
      <c r="J837" s="121">
        <f ca="1">HLOOKUP($H$4,'Met Data'!$H$2:$M$368,G837,FALSE)*L837</f>
        <v>1.53</v>
      </c>
      <c r="K837" s="100">
        <f ca="1">HLOOKUP($H$4,'Met Data'!$O$2:$T$368,G837,FALSE)</f>
        <v>2.0649391337631702</v>
      </c>
      <c r="L837">
        <f t="shared" ca="1" si="131"/>
        <v>1.7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5" t="e">
        <f t="shared" ca="1" si="136"/>
        <v>#N/A</v>
      </c>
      <c r="AH837" s="65" t="e">
        <f t="shared" ca="1" si="137"/>
        <v>#N/A</v>
      </c>
      <c r="AI837" s="3" t="e">
        <f t="shared" ca="1" si="138"/>
        <v>#N/A</v>
      </c>
    </row>
    <row r="838" spans="7:35" ht="15.75" thickBot="1" x14ac:dyDescent="0.3">
      <c r="G838" s="3">
        <f t="shared" ca="1" si="130"/>
        <v>107</v>
      </c>
      <c r="H838" s="99">
        <f t="shared" ca="1" si="129"/>
        <v>46128</v>
      </c>
      <c r="I838" s="123">
        <f ca="1">HLOOKUP($H$4,'Met Data'!$A$2:$F$368,G838,FALSE)</f>
        <v>13.920833333333301</v>
      </c>
      <c r="J838" s="121">
        <f ca="1">HLOOKUP($H$4,'Met Data'!$H$2:$M$368,G838,FALSE)*L838</f>
        <v>12.92</v>
      </c>
      <c r="K838" s="100">
        <f ca="1">HLOOKUP($H$4,'Met Data'!$O$2:$T$368,G838,FALSE)</f>
        <v>1.7084212444020199</v>
      </c>
      <c r="L838">
        <f t="shared" ca="1" si="131"/>
        <v>1.7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5" t="e">
        <f t="shared" ca="1" si="136"/>
        <v>#N/A</v>
      </c>
      <c r="AH838" s="65" t="e">
        <f t="shared" ca="1" si="137"/>
        <v>#N/A</v>
      </c>
      <c r="AI838" s="3" t="e">
        <f t="shared" ca="1" si="138"/>
        <v>#N/A</v>
      </c>
    </row>
    <row r="839" spans="7:35" ht="15.75" thickBot="1" x14ac:dyDescent="0.3">
      <c r="G839" s="3">
        <f t="shared" ca="1" si="130"/>
        <v>108</v>
      </c>
      <c r="H839" s="99">
        <f t="shared" ca="1" si="129"/>
        <v>46129</v>
      </c>
      <c r="I839" s="123">
        <f ca="1">HLOOKUP($H$4,'Met Data'!$A$2:$F$368,G839,FALSE)</f>
        <v>13.6416666666666</v>
      </c>
      <c r="J839" s="121">
        <f ca="1">HLOOKUP($H$4,'Met Data'!$H$2:$M$368,G839,FALSE)*L839</f>
        <v>5.8649999999999824</v>
      </c>
      <c r="K839" s="100">
        <f ca="1">HLOOKUP($H$4,'Met Data'!$O$2:$T$368,G839,FALSE)</f>
        <v>1.46996077972592</v>
      </c>
      <c r="L839">
        <f t="shared" ca="1" si="131"/>
        <v>1.7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5" t="e">
        <f t="shared" ca="1" si="136"/>
        <v>#N/A</v>
      </c>
      <c r="AH839" s="65" t="e">
        <f t="shared" ca="1" si="137"/>
        <v>#N/A</v>
      </c>
      <c r="AI839" s="3" t="e">
        <f t="shared" ca="1" si="138"/>
        <v>#N/A</v>
      </c>
    </row>
    <row r="840" spans="7:35" ht="15.75" thickBot="1" x14ac:dyDescent="0.3">
      <c r="G840" s="3">
        <f t="shared" ca="1" si="130"/>
        <v>109</v>
      </c>
      <c r="H840" s="99">
        <f t="shared" ref="H840:H903" ca="1" si="139">H839+1</f>
        <v>46130</v>
      </c>
      <c r="I840" s="123">
        <f ca="1">HLOOKUP($H$4,'Met Data'!$A$2:$F$368,G840,FALSE)</f>
        <v>13.6833333333333</v>
      </c>
      <c r="J840" s="121">
        <f ca="1">HLOOKUP($H$4,'Met Data'!$H$2:$M$368,G840,FALSE)*L840</f>
        <v>4.1083333333333218</v>
      </c>
      <c r="K840" s="100">
        <f ca="1">HLOOKUP($H$4,'Met Data'!$O$2:$T$368,G840,FALSE)</f>
        <v>1.64274717869015</v>
      </c>
      <c r="L840">
        <f t="shared" ca="1" si="131"/>
        <v>1.7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5" t="e">
        <f t="shared" ca="1" si="136"/>
        <v>#N/A</v>
      </c>
      <c r="AH840" s="65" t="e">
        <f t="shared" ca="1" si="137"/>
        <v>#N/A</v>
      </c>
      <c r="AI840" s="3" t="e">
        <f t="shared" ca="1" si="138"/>
        <v>#N/A</v>
      </c>
    </row>
    <row r="841" spans="7:35" ht="15.75" thickBot="1" x14ac:dyDescent="0.3">
      <c r="G841" s="3">
        <f t="shared" ca="1" si="130"/>
        <v>110</v>
      </c>
      <c r="H841" s="99">
        <f t="shared" ca="1" si="139"/>
        <v>46131</v>
      </c>
      <c r="I841" s="123">
        <f ca="1">HLOOKUP($H$4,'Met Data'!$A$2:$F$368,G841,FALSE)</f>
        <v>12.945833333333301</v>
      </c>
      <c r="J841" s="121">
        <f ca="1">HLOOKUP($H$4,'Met Data'!$H$2:$M$368,G841,FALSE)*L841</f>
        <v>2.7199999999999829</v>
      </c>
      <c r="K841" s="100">
        <f ca="1">HLOOKUP($H$4,'Met Data'!$O$2:$T$368,G841,FALSE)</f>
        <v>1.70342846945819</v>
      </c>
      <c r="L841">
        <f t="shared" ca="1" si="131"/>
        <v>1.7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5" t="e">
        <f t="shared" ca="1" si="136"/>
        <v>#N/A</v>
      </c>
      <c r="AH841" s="65" t="e">
        <f t="shared" ca="1" si="137"/>
        <v>#N/A</v>
      </c>
      <c r="AI841" s="3" t="e">
        <f t="shared" ca="1" si="138"/>
        <v>#N/A</v>
      </c>
    </row>
    <row r="842" spans="7:35" ht="15.75" thickBot="1" x14ac:dyDescent="0.3">
      <c r="G842" s="3">
        <f t="shared" ca="1" si="130"/>
        <v>111</v>
      </c>
      <c r="H842" s="99">
        <f t="shared" ca="1" si="139"/>
        <v>46132</v>
      </c>
      <c r="I842" s="123">
        <f ca="1">HLOOKUP($H$4,'Met Data'!$A$2:$F$368,G842,FALSE)</f>
        <v>14.2875</v>
      </c>
      <c r="J842" s="121">
        <f ca="1">HLOOKUP($H$4,'Met Data'!$H$2:$M$368,G842,FALSE)*L842</f>
        <v>1.9549999999999998</v>
      </c>
      <c r="K842" s="100">
        <f ca="1">HLOOKUP($H$4,'Met Data'!$O$2:$T$368,G842,FALSE)</f>
        <v>1.68674688590323</v>
      </c>
      <c r="L842">
        <f t="shared" ca="1" si="131"/>
        <v>1.7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5" t="e">
        <f t="shared" ca="1" si="136"/>
        <v>#N/A</v>
      </c>
      <c r="AH842" s="65" t="e">
        <f t="shared" ca="1" si="137"/>
        <v>#N/A</v>
      </c>
      <c r="AI842" s="3" t="e">
        <f t="shared" ca="1" si="138"/>
        <v>#N/A</v>
      </c>
    </row>
    <row r="843" spans="7:35" ht="15.75" thickBot="1" x14ac:dyDescent="0.3">
      <c r="G843" s="3">
        <f t="shared" ca="1" si="130"/>
        <v>112</v>
      </c>
      <c r="H843" s="99">
        <f t="shared" ca="1" si="139"/>
        <v>46133</v>
      </c>
      <c r="I843" s="123">
        <f ca="1">HLOOKUP($H$4,'Met Data'!$A$2:$F$368,G843,FALSE)</f>
        <v>14.275</v>
      </c>
      <c r="J843" s="121">
        <f ca="1">HLOOKUP($H$4,'Met Data'!$H$2:$M$368,G843,FALSE)*L843</f>
        <v>3.5416666666666607</v>
      </c>
      <c r="K843" s="100">
        <f ca="1">HLOOKUP($H$4,'Met Data'!$O$2:$T$368,G843,FALSE)</f>
        <v>1.5152419322458901</v>
      </c>
      <c r="L843">
        <f t="shared" ca="1" si="131"/>
        <v>1.7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5" t="e">
        <f t="shared" ca="1" si="136"/>
        <v>#N/A</v>
      </c>
      <c r="AH843" s="65" t="e">
        <f t="shared" ca="1" si="137"/>
        <v>#N/A</v>
      </c>
      <c r="AI843" s="3" t="e">
        <f t="shared" ca="1" si="138"/>
        <v>#N/A</v>
      </c>
    </row>
    <row r="844" spans="7:35" ht="15.75" thickBot="1" x14ac:dyDescent="0.3">
      <c r="G844" s="3">
        <f t="shared" ca="1" si="130"/>
        <v>113</v>
      </c>
      <c r="H844" s="99">
        <f t="shared" ca="1" si="139"/>
        <v>46134</v>
      </c>
      <c r="I844" s="123">
        <f ca="1">HLOOKUP($H$4,'Met Data'!$A$2:$F$368,G844,FALSE)</f>
        <v>13.595833333333299</v>
      </c>
      <c r="J844" s="121">
        <f ca="1">HLOOKUP($H$4,'Met Data'!$H$2:$M$368,G844,FALSE)*L844</f>
        <v>1.3033333333333323</v>
      </c>
      <c r="K844" s="100">
        <f ca="1">HLOOKUP($H$4,'Met Data'!$O$2:$T$368,G844,FALSE)</f>
        <v>1.65518894118648</v>
      </c>
      <c r="L844">
        <f t="shared" ca="1" si="131"/>
        <v>1.7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5" t="e">
        <f t="shared" ca="1" si="136"/>
        <v>#N/A</v>
      </c>
      <c r="AH844" s="65" t="e">
        <f t="shared" ca="1" si="137"/>
        <v>#N/A</v>
      </c>
      <c r="AI844" s="3" t="e">
        <f t="shared" ca="1" si="138"/>
        <v>#N/A</v>
      </c>
    </row>
    <row r="845" spans="7:35" ht="15.75" thickBot="1" x14ac:dyDescent="0.3">
      <c r="G845" s="3">
        <f t="shared" ca="1" si="130"/>
        <v>114</v>
      </c>
      <c r="H845" s="99">
        <f t="shared" ca="1" si="139"/>
        <v>46135</v>
      </c>
      <c r="I845" s="123">
        <f ca="1">HLOOKUP($H$4,'Met Data'!$A$2:$F$368,G845,FALSE)</f>
        <v>13.9125</v>
      </c>
      <c r="J845" s="121">
        <f ca="1">HLOOKUP($H$4,'Met Data'!$H$2:$M$368,G845,FALSE)*L845</f>
        <v>0.51</v>
      </c>
      <c r="K845" s="100">
        <f ca="1">HLOOKUP($H$4,'Met Data'!$O$2:$T$368,G845,FALSE)</f>
        <v>1.66585763602601</v>
      </c>
      <c r="L845">
        <f t="shared" ca="1" si="131"/>
        <v>1.7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5" t="e">
        <f t="shared" ca="1" si="136"/>
        <v>#N/A</v>
      </c>
      <c r="AH845" s="65" t="e">
        <f t="shared" ca="1" si="137"/>
        <v>#N/A</v>
      </c>
      <c r="AI845" s="3" t="e">
        <f t="shared" ca="1" si="138"/>
        <v>#N/A</v>
      </c>
    </row>
    <row r="846" spans="7:35" ht="15.75" thickBot="1" x14ac:dyDescent="0.3">
      <c r="G846" s="3">
        <f t="shared" ca="1" si="130"/>
        <v>115</v>
      </c>
      <c r="H846" s="99">
        <f t="shared" ca="1" si="139"/>
        <v>46136</v>
      </c>
      <c r="I846" s="123">
        <f ca="1">HLOOKUP($H$4,'Met Data'!$A$2:$F$368,G846,FALSE)</f>
        <v>14.820833333333301</v>
      </c>
      <c r="J846" s="121">
        <f ca="1">HLOOKUP($H$4,'Met Data'!$H$2:$M$368,G846,FALSE)*L846</f>
        <v>4.3066666666666613</v>
      </c>
      <c r="K846" s="100">
        <f ca="1">HLOOKUP($H$4,'Met Data'!$O$2:$T$368,G846,FALSE)</f>
        <v>1.5754379638326901</v>
      </c>
      <c r="L846">
        <f t="shared" ca="1" si="131"/>
        <v>1.7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5" t="e">
        <f t="shared" ca="1" si="136"/>
        <v>#N/A</v>
      </c>
      <c r="AH846" s="65" t="e">
        <f t="shared" ca="1" si="137"/>
        <v>#N/A</v>
      </c>
      <c r="AI846" s="3" t="e">
        <f t="shared" ca="1" si="138"/>
        <v>#N/A</v>
      </c>
    </row>
    <row r="847" spans="7:35" ht="15.75" thickBot="1" x14ac:dyDescent="0.3">
      <c r="G847" s="3">
        <f t="shared" ca="1" si="130"/>
        <v>116</v>
      </c>
      <c r="H847" s="99">
        <f t="shared" ca="1" si="139"/>
        <v>46137</v>
      </c>
      <c r="I847" s="123">
        <f ca="1">HLOOKUP($H$4,'Met Data'!$A$2:$F$368,G847,FALSE)</f>
        <v>14.4166666666666</v>
      </c>
      <c r="J847" s="121">
        <f ca="1">HLOOKUP($H$4,'Met Data'!$H$2:$M$368,G847,FALSE)*L847</f>
        <v>12.551666666666661</v>
      </c>
      <c r="K847" s="100">
        <f ca="1">HLOOKUP($H$4,'Met Data'!$O$2:$T$368,G847,FALSE)</f>
        <v>1.4622003711311999</v>
      </c>
      <c r="L847">
        <f t="shared" ca="1" si="131"/>
        <v>1.7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5" t="e">
        <f t="shared" ca="1" si="136"/>
        <v>#N/A</v>
      </c>
      <c r="AH847" s="65" t="e">
        <f t="shared" ca="1" si="137"/>
        <v>#N/A</v>
      </c>
      <c r="AI847" s="3" t="e">
        <f t="shared" ca="1" si="138"/>
        <v>#N/A</v>
      </c>
    </row>
    <row r="848" spans="7:35" ht="15.75" thickBot="1" x14ac:dyDescent="0.3">
      <c r="G848" s="3">
        <f t="shared" ca="1" si="130"/>
        <v>117</v>
      </c>
      <c r="H848" s="99">
        <f t="shared" ca="1" si="139"/>
        <v>46138</v>
      </c>
      <c r="I848" s="123">
        <f ca="1">HLOOKUP($H$4,'Met Data'!$A$2:$F$368,G848,FALSE)</f>
        <v>13.9375</v>
      </c>
      <c r="J848" s="121">
        <f ca="1">HLOOKUP($H$4,'Met Data'!$H$2:$M$368,G848,FALSE)*L848</f>
        <v>1.19</v>
      </c>
      <c r="K848" s="100">
        <f ca="1">HLOOKUP($H$4,'Met Data'!$O$2:$T$368,G848,FALSE)</f>
        <v>1.4965322621758601</v>
      </c>
      <c r="L848">
        <f t="shared" ca="1" si="131"/>
        <v>1.7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5" t="e">
        <f t="shared" ca="1" si="136"/>
        <v>#N/A</v>
      </c>
      <c r="AH848" s="65" t="e">
        <f t="shared" ca="1" si="137"/>
        <v>#N/A</v>
      </c>
      <c r="AI848" s="3" t="e">
        <f t="shared" ca="1" si="138"/>
        <v>#N/A</v>
      </c>
    </row>
    <row r="849" spans="7:35" ht="15.75" thickBot="1" x14ac:dyDescent="0.3">
      <c r="G849" s="3">
        <f t="shared" ca="1" si="130"/>
        <v>118</v>
      </c>
      <c r="H849" s="99">
        <f t="shared" ca="1" si="139"/>
        <v>46139</v>
      </c>
      <c r="I849" s="123">
        <f ca="1">HLOOKUP($H$4,'Met Data'!$A$2:$F$368,G849,FALSE)</f>
        <v>14.8045454545454</v>
      </c>
      <c r="J849" s="121">
        <f ca="1">HLOOKUP($H$4,'Met Data'!$H$2:$M$368,G849,FALSE)*L849</f>
        <v>7.7890909090909064</v>
      </c>
      <c r="K849" s="100">
        <f ca="1">HLOOKUP($H$4,'Met Data'!$O$2:$T$368,G849,FALSE)</f>
        <v>1.5702581753512701</v>
      </c>
      <c r="L849">
        <f t="shared" ca="1" si="131"/>
        <v>1.7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5" t="e">
        <f t="shared" ca="1" si="136"/>
        <v>#N/A</v>
      </c>
      <c r="AH849" s="65" t="e">
        <f t="shared" ca="1" si="137"/>
        <v>#N/A</v>
      </c>
      <c r="AI849" s="3" t="e">
        <f t="shared" ca="1" si="138"/>
        <v>#N/A</v>
      </c>
    </row>
    <row r="850" spans="7:35" ht="15.75" thickBot="1" x14ac:dyDescent="0.3">
      <c r="G850" s="3">
        <f t="shared" ca="1" si="130"/>
        <v>119</v>
      </c>
      <c r="H850" s="99">
        <f t="shared" ca="1" si="139"/>
        <v>46140</v>
      </c>
      <c r="I850" s="123">
        <f ca="1">HLOOKUP($H$4,'Met Data'!$A$2:$F$368,G850,FALSE)</f>
        <v>14.1090909090909</v>
      </c>
      <c r="J850" s="121">
        <f ca="1">HLOOKUP($H$4,'Met Data'!$H$2:$M$368,G850,FALSE)*L850</f>
        <v>9.427272727272717</v>
      </c>
      <c r="K850" s="100">
        <f ca="1">HLOOKUP($H$4,'Met Data'!$O$2:$T$368,G850,FALSE)</f>
        <v>1.27231342308323</v>
      </c>
      <c r="L850">
        <f t="shared" ca="1" si="131"/>
        <v>1.7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5" t="e">
        <f t="shared" ca="1" si="136"/>
        <v>#N/A</v>
      </c>
      <c r="AH850" s="65" t="e">
        <f t="shared" ca="1" si="137"/>
        <v>#N/A</v>
      </c>
      <c r="AI850" s="3" t="e">
        <f t="shared" ca="1" si="138"/>
        <v>#N/A</v>
      </c>
    </row>
    <row r="851" spans="7:35" ht="15.75" thickBot="1" x14ac:dyDescent="0.3">
      <c r="G851" s="3">
        <f t="shared" ca="1" si="130"/>
        <v>120</v>
      </c>
      <c r="H851" s="99">
        <f t="shared" ca="1" si="139"/>
        <v>46141</v>
      </c>
      <c r="I851" s="123">
        <f ca="1">HLOOKUP($H$4,'Met Data'!$A$2:$F$368,G851,FALSE)</f>
        <v>13.8375</v>
      </c>
      <c r="J851" s="121">
        <f ca="1">HLOOKUP($H$4,'Met Data'!$H$2:$M$368,G851,FALSE)*L851</f>
        <v>7.9616666666666607</v>
      </c>
      <c r="K851" s="100">
        <f ca="1">HLOOKUP($H$4,'Met Data'!$O$2:$T$368,G851,FALSE)</f>
        <v>1.5077932055652401</v>
      </c>
      <c r="L851">
        <f t="shared" ca="1" si="131"/>
        <v>1.7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5" t="e">
        <f t="shared" ca="1" si="136"/>
        <v>#N/A</v>
      </c>
      <c r="AH851" s="65" t="e">
        <f t="shared" ca="1" si="137"/>
        <v>#N/A</v>
      </c>
      <c r="AI851" s="3" t="e">
        <f t="shared" ca="1" si="138"/>
        <v>#N/A</v>
      </c>
    </row>
    <row r="852" spans="7:35" ht="15.75" thickBot="1" x14ac:dyDescent="0.3">
      <c r="G852" s="3">
        <f t="shared" ca="1" si="130"/>
        <v>121</v>
      </c>
      <c r="H852" s="99">
        <f t="shared" ca="1" si="139"/>
        <v>46142</v>
      </c>
      <c r="I852" s="123">
        <f ca="1">HLOOKUP($H$4,'Met Data'!$A$2:$F$368,G852,FALSE)</f>
        <v>13.6458333333333</v>
      </c>
      <c r="J852" s="121">
        <f ca="1">HLOOKUP($H$4,'Met Data'!$H$2:$M$368,G852,FALSE)*L852</f>
        <v>9.179999999999982</v>
      </c>
      <c r="K852" s="100">
        <f ca="1">HLOOKUP($H$4,'Met Data'!$O$2:$T$368,G852,FALSE)</f>
        <v>1.60300410285803</v>
      </c>
      <c r="L852">
        <f t="shared" ca="1" si="131"/>
        <v>1.7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5" t="e">
        <f t="shared" ca="1" si="136"/>
        <v>#N/A</v>
      </c>
      <c r="AH852" s="65" t="e">
        <f t="shared" ca="1" si="137"/>
        <v>#N/A</v>
      </c>
      <c r="AI852" s="3" t="e">
        <f t="shared" ca="1" si="138"/>
        <v>#N/A</v>
      </c>
    </row>
    <row r="853" spans="7:35" ht="15.75" thickBot="1" x14ac:dyDescent="0.3">
      <c r="G853" s="3">
        <f t="shared" ca="1" si="130"/>
        <v>122</v>
      </c>
      <c r="H853" s="99">
        <f t="shared" ca="1" si="139"/>
        <v>46143</v>
      </c>
      <c r="I853" s="123">
        <f ca="1">HLOOKUP($H$4,'Met Data'!$A$2:$F$368,G853,FALSE)</f>
        <v>11.883333333333301</v>
      </c>
      <c r="J853" s="121">
        <f ca="1">HLOOKUP($H$4,'Met Data'!$H$2:$M$368,G853,FALSE)*L853</f>
        <v>0.42499999999999999</v>
      </c>
      <c r="K853" s="100">
        <f ca="1">HLOOKUP($H$4,'Met Data'!$O$2:$T$368,G853,FALSE)</f>
        <v>1.67837953393642</v>
      </c>
      <c r="L853">
        <f t="shared" ca="1" si="131"/>
        <v>1.7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5" t="e">
        <f t="shared" ca="1" si="136"/>
        <v>#N/A</v>
      </c>
      <c r="AH853" s="65" t="e">
        <f t="shared" ca="1" si="137"/>
        <v>#N/A</v>
      </c>
      <c r="AI853" s="3" t="e">
        <f t="shared" ca="1" si="138"/>
        <v>#N/A</v>
      </c>
    </row>
    <row r="854" spans="7:35" ht="15.75" thickBot="1" x14ac:dyDescent="0.3">
      <c r="G854" s="3">
        <f t="shared" ca="1" si="130"/>
        <v>123</v>
      </c>
      <c r="H854" s="99">
        <f t="shared" ca="1" si="139"/>
        <v>46144</v>
      </c>
      <c r="I854" s="123">
        <f ca="1">HLOOKUP($H$4,'Met Data'!$A$2:$F$368,G854,FALSE)</f>
        <v>11.8541666666666</v>
      </c>
      <c r="J854" s="121">
        <f ca="1">HLOOKUP($H$4,'Met Data'!$H$2:$M$368,G854,FALSE)*L854</f>
        <v>0.2266666666666661</v>
      </c>
      <c r="K854" s="100">
        <f ca="1">HLOOKUP($H$4,'Met Data'!$O$2:$T$368,G854,FALSE)</f>
        <v>1.44561782365903</v>
      </c>
      <c r="L854">
        <f t="shared" ca="1" si="131"/>
        <v>1.7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5" t="e">
        <f t="shared" ca="1" si="136"/>
        <v>#N/A</v>
      </c>
      <c r="AH854" s="65" t="e">
        <f t="shared" ca="1" si="137"/>
        <v>#N/A</v>
      </c>
      <c r="AI854" s="3" t="e">
        <f t="shared" ca="1" si="138"/>
        <v>#N/A</v>
      </c>
    </row>
    <row r="855" spans="7:35" ht="15.75" thickBot="1" x14ac:dyDescent="0.3">
      <c r="G855" s="3">
        <f t="shared" ca="1" si="130"/>
        <v>124</v>
      </c>
      <c r="H855" s="99">
        <f t="shared" ca="1" si="139"/>
        <v>46145</v>
      </c>
      <c r="I855" s="123">
        <f ca="1">HLOOKUP($H$4,'Met Data'!$A$2:$F$368,G855,FALSE)</f>
        <v>13.0875</v>
      </c>
      <c r="J855" s="121">
        <f ca="1">HLOOKUP($H$4,'Met Data'!$H$2:$M$368,G855,FALSE)*L855</f>
        <v>3.6266666666666612</v>
      </c>
      <c r="K855" s="100">
        <f ca="1">HLOOKUP($H$4,'Met Data'!$O$2:$T$368,G855,FALSE)</f>
        <v>1.4319782957140901</v>
      </c>
      <c r="L855">
        <f t="shared" ca="1" si="131"/>
        <v>1.7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5" t="e">
        <f t="shared" ca="1" si="136"/>
        <v>#N/A</v>
      </c>
      <c r="AH855" s="65" t="e">
        <f t="shared" ca="1" si="137"/>
        <v>#N/A</v>
      </c>
      <c r="AI855" s="3" t="e">
        <f t="shared" ca="1" si="138"/>
        <v>#N/A</v>
      </c>
    </row>
    <row r="856" spans="7:35" ht="15.75" thickBot="1" x14ac:dyDescent="0.3">
      <c r="G856" s="3">
        <f t="shared" ca="1" si="130"/>
        <v>125</v>
      </c>
      <c r="H856" s="99">
        <f t="shared" ca="1" si="139"/>
        <v>46146</v>
      </c>
      <c r="I856" s="123">
        <f ca="1">HLOOKUP($H$4,'Met Data'!$A$2:$F$368,G856,FALSE)</f>
        <v>13.137499999999999</v>
      </c>
      <c r="J856" s="121">
        <f ca="1">HLOOKUP($H$4,'Met Data'!$H$2:$M$368,G856,FALSE)*L856</f>
        <v>5.0999999999999996</v>
      </c>
      <c r="K856" s="100">
        <f ca="1">HLOOKUP($H$4,'Met Data'!$O$2:$T$368,G856,FALSE)</f>
        <v>1.16413167388704</v>
      </c>
      <c r="L856">
        <f t="shared" ca="1" si="131"/>
        <v>1.7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5" t="e">
        <f t="shared" ca="1" si="136"/>
        <v>#N/A</v>
      </c>
      <c r="AH856" s="65" t="e">
        <f t="shared" ca="1" si="137"/>
        <v>#N/A</v>
      </c>
      <c r="AI856" s="3" t="e">
        <f t="shared" ca="1" si="138"/>
        <v>#N/A</v>
      </c>
    </row>
    <row r="857" spans="7:35" ht="15.75" thickBot="1" x14ac:dyDescent="0.3">
      <c r="G857" s="3">
        <f t="shared" ca="1" si="130"/>
        <v>126</v>
      </c>
      <c r="H857" s="99">
        <f t="shared" ca="1" si="139"/>
        <v>46147</v>
      </c>
      <c r="I857" s="123">
        <f ca="1">HLOOKUP($H$4,'Met Data'!$A$2:$F$368,G857,FALSE)</f>
        <v>13.591666666666599</v>
      </c>
      <c r="J857" s="121">
        <f ca="1">HLOOKUP($H$4,'Met Data'!$H$2:$M$368,G857,FALSE)*L857</f>
        <v>8.2449999999999992</v>
      </c>
      <c r="K857" s="100">
        <f ca="1">HLOOKUP($H$4,'Met Data'!$O$2:$T$368,G857,FALSE)</f>
        <v>1.3049016144750001</v>
      </c>
      <c r="L857">
        <f t="shared" ca="1" si="131"/>
        <v>1.7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5" t="e">
        <f t="shared" ca="1" si="136"/>
        <v>#N/A</v>
      </c>
      <c r="AH857" s="65" t="e">
        <f t="shared" ca="1" si="137"/>
        <v>#N/A</v>
      </c>
      <c r="AI857" s="3" t="e">
        <f t="shared" ca="1" si="138"/>
        <v>#N/A</v>
      </c>
    </row>
    <row r="858" spans="7:35" ht="15.75" thickBot="1" x14ac:dyDescent="0.3">
      <c r="G858" s="3">
        <f t="shared" ca="1" si="130"/>
        <v>127</v>
      </c>
      <c r="H858" s="99">
        <f t="shared" ca="1" si="139"/>
        <v>46148</v>
      </c>
      <c r="I858" s="123">
        <f ca="1">HLOOKUP($H$4,'Met Data'!$A$2:$F$368,G858,FALSE)</f>
        <v>13.2708333333333</v>
      </c>
      <c r="J858" s="121">
        <f ca="1">HLOOKUP($H$4,'Met Data'!$H$2:$M$368,G858,FALSE)*L858</f>
        <v>4.0233333333333219</v>
      </c>
      <c r="K858" s="100">
        <f ca="1">HLOOKUP($H$4,'Met Data'!$O$2:$T$368,G858,FALSE)</f>
        <v>1.29751787384439</v>
      </c>
      <c r="L858">
        <f t="shared" ca="1" si="131"/>
        <v>1.7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5" t="e">
        <f t="shared" ca="1" si="136"/>
        <v>#N/A</v>
      </c>
      <c r="AH858" s="65" t="e">
        <f t="shared" ca="1" si="137"/>
        <v>#N/A</v>
      </c>
      <c r="AI858" s="3" t="e">
        <f t="shared" ca="1" si="138"/>
        <v>#N/A</v>
      </c>
    </row>
    <row r="859" spans="7:35" ht="15.75" thickBot="1" x14ac:dyDescent="0.3">
      <c r="G859" s="3">
        <f t="shared" ca="1" si="130"/>
        <v>128</v>
      </c>
      <c r="H859" s="99">
        <f t="shared" ca="1" si="139"/>
        <v>46149</v>
      </c>
      <c r="I859" s="123">
        <f ca="1">HLOOKUP($H$4,'Met Data'!$A$2:$F$368,G859,FALSE)</f>
        <v>12.6791666666666</v>
      </c>
      <c r="J859" s="121">
        <f ca="1">HLOOKUP($H$4,'Met Data'!$H$2:$M$368,G859,FALSE)*L859</f>
        <v>9.2083333333333215</v>
      </c>
      <c r="K859" s="100">
        <f ca="1">HLOOKUP($H$4,'Met Data'!$O$2:$T$368,G859,FALSE)</f>
        <v>1.3071916611718599</v>
      </c>
      <c r="L859">
        <f t="shared" ca="1" si="131"/>
        <v>1.7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5" t="e">
        <f t="shared" ca="1" si="136"/>
        <v>#N/A</v>
      </c>
      <c r="AH859" s="65" t="e">
        <f t="shared" ca="1" si="137"/>
        <v>#N/A</v>
      </c>
      <c r="AI859" s="3" t="e">
        <f t="shared" ca="1" si="138"/>
        <v>#N/A</v>
      </c>
    </row>
    <row r="860" spans="7:35" ht="15.75" thickBot="1" x14ac:dyDescent="0.3">
      <c r="G860" s="3">
        <f t="shared" ca="1" si="130"/>
        <v>129</v>
      </c>
      <c r="H860" s="99">
        <f t="shared" ca="1" si="139"/>
        <v>46150</v>
      </c>
      <c r="I860" s="123">
        <f ca="1">HLOOKUP($H$4,'Met Data'!$A$2:$F$368,G860,FALSE)</f>
        <v>12.799999999999899</v>
      </c>
      <c r="J860" s="121">
        <f ca="1">HLOOKUP($H$4,'Met Data'!$H$2:$M$368,G860,FALSE)*L860</f>
        <v>3.6833333333333216</v>
      </c>
      <c r="K860" s="100">
        <f ca="1">HLOOKUP($H$4,'Met Data'!$O$2:$T$368,G860,FALSE)</f>
        <v>1.27112414081248</v>
      </c>
      <c r="L860">
        <f t="shared" ca="1" si="131"/>
        <v>1.7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5" t="e">
        <f t="shared" ca="1" si="136"/>
        <v>#N/A</v>
      </c>
      <c r="AH860" s="65" t="e">
        <f t="shared" ca="1" si="137"/>
        <v>#N/A</v>
      </c>
      <c r="AI860" s="3" t="e">
        <f t="shared" ca="1" si="138"/>
        <v>#N/A</v>
      </c>
    </row>
    <row r="861" spans="7:35" ht="15.75" thickBot="1" x14ac:dyDescent="0.3">
      <c r="G861" s="3">
        <f t="shared" ca="1" si="130"/>
        <v>130</v>
      </c>
      <c r="H861" s="99">
        <f t="shared" ca="1" si="139"/>
        <v>46151</v>
      </c>
      <c r="I861" s="123">
        <f ca="1">HLOOKUP($H$4,'Met Data'!$A$2:$F$368,G861,FALSE)</f>
        <v>14.1</v>
      </c>
      <c r="J861" s="121">
        <f ca="1">HLOOKUP($H$4,'Met Data'!$H$2:$M$368,G861,FALSE)*L861</f>
        <v>2.0966666666666609</v>
      </c>
      <c r="K861" s="100">
        <f ca="1">HLOOKUP($H$4,'Met Data'!$O$2:$T$368,G861,FALSE)</f>
        <v>1.3593529897032299</v>
      </c>
      <c r="L861">
        <f t="shared" ca="1" si="131"/>
        <v>1.7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5" t="e">
        <f t="shared" ca="1" si="136"/>
        <v>#N/A</v>
      </c>
      <c r="AH861" s="65" t="e">
        <f t="shared" ca="1" si="137"/>
        <v>#N/A</v>
      </c>
      <c r="AI861" s="3" t="e">
        <f t="shared" ca="1" si="138"/>
        <v>#N/A</v>
      </c>
    </row>
    <row r="862" spans="7:35" ht="15.75" thickBot="1" x14ac:dyDescent="0.3">
      <c r="G862" s="3">
        <f t="shared" ca="1" si="130"/>
        <v>131</v>
      </c>
      <c r="H862" s="99">
        <f t="shared" ca="1" si="139"/>
        <v>46152</v>
      </c>
      <c r="I862" s="123">
        <f ca="1">HLOOKUP($H$4,'Met Data'!$A$2:$F$368,G862,FALSE)</f>
        <v>13.7416666666666</v>
      </c>
      <c r="J862" s="121">
        <f ca="1">HLOOKUP($H$4,'Met Data'!$H$2:$M$368,G862,FALSE)*L862</f>
        <v>2.663333333333322</v>
      </c>
      <c r="K862" s="100">
        <f ca="1">HLOOKUP($H$4,'Met Data'!$O$2:$T$368,G862,FALSE)</f>
        <v>1.1980493949464299</v>
      </c>
      <c r="L862">
        <f t="shared" ca="1" si="131"/>
        <v>1.7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5" t="e">
        <f t="shared" ca="1" si="136"/>
        <v>#N/A</v>
      </c>
      <c r="AH862" s="65" t="e">
        <f t="shared" ca="1" si="137"/>
        <v>#N/A</v>
      </c>
      <c r="AI862" s="3" t="e">
        <f t="shared" ca="1" si="138"/>
        <v>#N/A</v>
      </c>
    </row>
    <row r="863" spans="7:35" ht="15.75" thickBot="1" x14ac:dyDescent="0.3">
      <c r="G863" s="3">
        <f t="shared" ca="1" si="130"/>
        <v>132</v>
      </c>
      <c r="H863" s="99">
        <f t="shared" ca="1" si="139"/>
        <v>46153</v>
      </c>
      <c r="I863" s="123">
        <f ca="1">HLOOKUP($H$4,'Met Data'!$A$2:$F$368,G863,FALSE)</f>
        <v>13.1</v>
      </c>
      <c r="J863" s="121">
        <f ca="1">HLOOKUP($H$4,'Met Data'!$H$2:$M$368,G863,FALSE)*L863</f>
        <v>6.3183333333333218</v>
      </c>
      <c r="K863" s="100">
        <f ca="1">HLOOKUP($H$4,'Met Data'!$O$2:$T$368,G863,FALSE)</f>
        <v>1.0818629782871001</v>
      </c>
      <c r="L863">
        <f t="shared" ca="1" si="131"/>
        <v>1.7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5" t="e">
        <f t="shared" ca="1" si="136"/>
        <v>#N/A</v>
      </c>
      <c r="AH863" s="65" t="e">
        <f t="shared" ca="1" si="137"/>
        <v>#N/A</v>
      </c>
      <c r="AI863" s="3" t="e">
        <f t="shared" ca="1" si="138"/>
        <v>#N/A</v>
      </c>
    </row>
    <row r="864" spans="7:35" ht="15.75" thickBot="1" x14ac:dyDescent="0.3">
      <c r="G864" s="3">
        <f t="shared" ca="1" si="130"/>
        <v>133</v>
      </c>
      <c r="H864" s="99">
        <f t="shared" ca="1" si="139"/>
        <v>46154</v>
      </c>
      <c r="I864" s="123">
        <f ca="1">HLOOKUP($H$4,'Met Data'!$A$2:$F$368,G864,FALSE)</f>
        <v>13.566666666666601</v>
      </c>
      <c r="J864" s="121">
        <f ca="1">HLOOKUP($H$4,'Met Data'!$H$2:$M$368,G864,FALSE)*L864</f>
        <v>9.9733333333333221</v>
      </c>
      <c r="K864" s="100">
        <f ca="1">HLOOKUP($H$4,'Met Data'!$O$2:$T$368,G864,FALSE)</f>
        <v>0.93360919947406795</v>
      </c>
      <c r="L864">
        <f t="shared" ca="1" si="131"/>
        <v>1.7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5" t="e">
        <f t="shared" ca="1" si="136"/>
        <v>#N/A</v>
      </c>
      <c r="AH864" s="65" t="e">
        <f t="shared" ca="1" si="137"/>
        <v>#N/A</v>
      </c>
      <c r="AI864" s="3" t="e">
        <f t="shared" ca="1" si="138"/>
        <v>#N/A</v>
      </c>
    </row>
    <row r="865" spans="7:35" ht="15.75" thickBot="1" x14ac:dyDescent="0.3">
      <c r="G865" s="3">
        <f t="shared" ca="1" si="130"/>
        <v>134</v>
      </c>
      <c r="H865" s="99">
        <f t="shared" ca="1" si="139"/>
        <v>46155</v>
      </c>
      <c r="I865" s="123">
        <f ca="1">HLOOKUP($H$4,'Met Data'!$A$2:$F$368,G865,FALSE)</f>
        <v>12.887499999999999</v>
      </c>
      <c r="J865" s="121">
        <f ca="1">HLOOKUP($H$4,'Met Data'!$H$2:$M$368,G865,FALSE)*L865</f>
        <v>8.7833333333333208</v>
      </c>
      <c r="K865" s="100">
        <f ca="1">HLOOKUP($H$4,'Met Data'!$O$2:$T$368,G865,FALSE)</f>
        <v>1.3361527471355901</v>
      </c>
      <c r="L865">
        <f t="shared" ca="1" si="131"/>
        <v>1.7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5" t="e">
        <f t="shared" ca="1" si="136"/>
        <v>#N/A</v>
      </c>
      <c r="AH865" s="65" t="e">
        <f t="shared" ca="1" si="137"/>
        <v>#N/A</v>
      </c>
      <c r="AI865" s="3" t="e">
        <f t="shared" ca="1" si="138"/>
        <v>#N/A</v>
      </c>
    </row>
    <row r="866" spans="7:35" ht="15.75" thickBot="1" x14ac:dyDescent="0.3">
      <c r="G866" s="3">
        <f t="shared" ca="1" si="130"/>
        <v>135</v>
      </c>
      <c r="H866" s="99">
        <f t="shared" ca="1" si="139"/>
        <v>46156</v>
      </c>
      <c r="I866" s="123">
        <f ca="1">HLOOKUP($H$4,'Met Data'!$A$2:$F$368,G866,FALSE)</f>
        <v>13</v>
      </c>
      <c r="J866" s="121">
        <f ca="1">HLOOKUP($H$4,'Met Data'!$H$2:$M$368,G866,FALSE)*L866</f>
        <v>8.273333333333321</v>
      </c>
      <c r="K866" s="100">
        <f ca="1">HLOOKUP($H$4,'Met Data'!$O$2:$T$368,G866,FALSE)</f>
        <v>1.1907632624443201</v>
      </c>
      <c r="L866">
        <f t="shared" ca="1" si="131"/>
        <v>1.7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5" t="e">
        <f t="shared" ca="1" si="136"/>
        <v>#N/A</v>
      </c>
      <c r="AH866" s="65" t="e">
        <f t="shared" ca="1" si="137"/>
        <v>#N/A</v>
      </c>
      <c r="AI866" s="3" t="e">
        <f t="shared" ca="1" si="138"/>
        <v>#N/A</v>
      </c>
    </row>
    <row r="867" spans="7:35" ht="15.75" thickBot="1" x14ac:dyDescent="0.3">
      <c r="G867" s="3">
        <f t="shared" ca="1" si="130"/>
        <v>136</v>
      </c>
      <c r="H867" s="99">
        <f t="shared" ca="1" si="139"/>
        <v>46157</v>
      </c>
      <c r="I867" s="123">
        <f ca="1">HLOOKUP($H$4,'Met Data'!$A$2:$F$368,G867,FALSE)</f>
        <v>13.470833333333299</v>
      </c>
      <c r="J867" s="121">
        <f ca="1">HLOOKUP($H$4,'Met Data'!$H$2:$M$368,G867,FALSE)*L867</f>
        <v>14.93166666666666</v>
      </c>
      <c r="K867" s="100">
        <f ca="1">HLOOKUP($H$4,'Met Data'!$O$2:$T$368,G867,FALSE)</f>
        <v>1.16840876605303</v>
      </c>
      <c r="L867">
        <f t="shared" ca="1" si="131"/>
        <v>1.7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5" t="e">
        <f t="shared" ca="1" si="136"/>
        <v>#N/A</v>
      </c>
      <c r="AH867" s="65" t="e">
        <f t="shared" ca="1" si="137"/>
        <v>#N/A</v>
      </c>
      <c r="AI867" s="3" t="e">
        <f t="shared" ca="1" si="138"/>
        <v>#N/A</v>
      </c>
    </row>
    <row r="868" spans="7:35" ht="15.75" thickBot="1" x14ac:dyDescent="0.3">
      <c r="G868" s="3">
        <f t="shared" ca="1" si="130"/>
        <v>137</v>
      </c>
      <c r="H868" s="99">
        <f t="shared" ca="1" si="139"/>
        <v>46158</v>
      </c>
      <c r="I868" s="123">
        <f ca="1">HLOOKUP($H$4,'Met Data'!$A$2:$F$368,G868,FALSE)</f>
        <v>12.8666666666666</v>
      </c>
      <c r="J868" s="121">
        <f ca="1">HLOOKUP($H$4,'Met Data'!$H$2:$M$368,G868,FALSE)*L868</f>
        <v>8.273333333333321</v>
      </c>
      <c r="K868" s="100">
        <f ca="1">HLOOKUP($H$4,'Met Data'!$O$2:$T$368,G868,FALSE)</f>
        <v>1.23845839693481</v>
      </c>
      <c r="L868">
        <f t="shared" ca="1" si="131"/>
        <v>1.7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5" t="e">
        <f t="shared" ca="1" si="136"/>
        <v>#N/A</v>
      </c>
      <c r="AH868" s="65" t="e">
        <f t="shared" ca="1" si="137"/>
        <v>#N/A</v>
      </c>
      <c r="AI868" s="3" t="e">
        <f t="shared" ca="1" si="138"/>
        <v>#N/A</v>
      </c>
    </row>
    <row r="869" spans="7:35" ht="15.75" thickBot="1" x14ac:dyDescent="0.3">
      <c r="G869" s="3">
        <f t="shared" ca="1" si="130"/>
        <v>138</v>
      </c>
      <c r="H869" s="99">
        <f t="shared" ca="1" si="139"/>
        <v>46159</v>
      </c>
      <c r="I869" s="123">
        <f ca="1">HLOOKUP($H$4,'Met Data'!$A$2:$F$368,G869,FALSE)</f>
        <v>12.237499999999899</v>
      </c>
      <c r="J869" s="121">
        <f ca="1">HLOOKUP($H$4,'Met Data'!$H$2:$M$368,G869,FALSE)*L869</f>
        <v>6.3183333333333218</v>
      </c>
      <c r="K869" s="100">
        <f ca="1">HLOOKUP($H$4,'Met Data'!$O$2:$T$368,G869,FALSE)</f>
        <v>1.3074898165915401</v>
      </c>
      <c r="L869">
        <f t="shared" ca="1" si="131"/>
        <v>1.7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5" t="e">
        <f t="shared" ca="1" si="136"/>
        <v>#N/A</v>
      </c>
      <c r="AH869" s="65" t="e">
        <f t="shared" ca="1" si="137"/>
        <v>#N/A</v>
      </c>
      <c r="AI869" s="3" t="e">
        <f t="shared" ca="1" si="138"/>
        <v>#N/A</v>
      </c>
    </row>
    <row r="870" spans="7:35" ht="15.75" thickBot="1" x14ac:dyDescent="0.3">
      <c r="G870" s="3">
        <f t="shared" ca="1" si="130"/>
        <v>139</v>
      </c>
      <c r="H870" s="99">
        <f t="shared" ca="1" si="139"/>
        <v>46160</v>
      </c>
      <c r="I870" s="123">
        <f ca="1">HLOOKUP($H$4,'Met Data'!$A$2:$F$368,G870,FALSE)</f>
        <v>11.595833333333299</v>
      </c>
      <c r="J870" s="121">
        <f ca="1">HLOOKUP($H$4,'Met Data'!$H$2:$M$368,G870,FALSE)*L870</f>
        <v>4.4483333333333217</v>
      </c>
      <c r="K870" s="100">
        <f ca="1">HLOOKUP($H$4,'Met Data'!$O$2:$T$368,G870,FALSE)</f>
        <v>1.3321153360432201</v>
      </c>
      <c r="L870">
        <f t="shared" ca="1" si="131"/>
        <v>1.7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5" t="e">
        <f t="shared" ca="1" si="136"/>
        <v>#N/A</v>
      </c>
      <c r="AH870" s="65" t="e">
        <f t="shared" ca="1" si="137"/>
        <v>#N/A</v>
      </c>
      <c r="AI870" s="3" t="e">
        <f t="shared" ca="1" si="138"/>
        <v>#N/A</v>
      </c>
    </row>
    <row r="871" spans="7:35" ht="15.75" thickBot="1" x14ac:dyDescent="0.3">
      <c r="G871" s="3">
        <f t="shared" ca="1" si="130"/>
        <v>140</v>
      </c>
      <c r="H871" s="99">
        <f t="shared" ca="1" si="139"/>
        <v>46161</v>
      </c>
      <c r="I871" s="123">
        <f ca="1">HLOOKUP($H$4,'Met Data'!$A$2:$F$368,G871,FALSE)</f>
        <v>11.904166666666599</v>
      </c>
      <c r="J871" s="121">
        <f ca="1">HLOOKUP($H$4,'Met Data'!$H$2:$M$368,G871,FALSE)*L871</f>
        <v>3.9950000000000001</v>
      </c>
      <c r="K871" s="100">
        <f ca="1">HLOOKUP($H$4,'Met Data'!$O$2:$T$368,G871,FALSE)</f>
        <v>1.2961776408629699</v>
      </c>
      <c r="L871">
        <f t="shared" ca="1" si="131"/>
        <v>1.7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5" t="e">
        <f t="shared" ca="1" si="136"/>
        <v>#N/A</v>
      </c>
      <c r="AH871" s="65" t="e">
        <f t="shared" ca="1" si="137"/>
        <v>#N/A</v>
      </c>
      <c r="AI871" s="3" t="e">
        <f t="shared" ca="1" si="138"/>
        <v>#N/A</v>
      </c>
    </row>
    <row r="872" spans="7:35" ht="15.75" thickBot="1" x14ac:dyDescent="0.3">
      <c r="G872" s="3">
        <f t="shared" ca="1" si="130"/>
        <v>141</v>
      </c>
      <c r="H872" s="99">
        <f t="shared" ca="1" si="139"/>
        <v>46162</v>
      </c>
      <c r="I872" s="123">
        <f ca="1">HLOOKUP($H$4,'Met Data'!$A$2:$F$368,G872,FALSE)</f>
        <v>11.762499999999999</v>
      </c>
      <c r="J872" s="121">
        <f ca="1">HLOOKUP($H$4,'Met Data'!$H$2:$M$368,G872,FALSE)*L872</f>
        <v>0.53833333333333211</v>
      </c>
      <c r="K872" s="100">
        <f ca="1">HLOOKUP($H$4,'Met Data'!$O$2:$T$368,G872,FALSE)</f>
        <v>1.26598619456247</v>
      </c>
      <c r="L872">
        <f t="shared" ca="1" si="131"/>
        <v>1.7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5" t="e">
        <f t="shared" ca="1" si="136"/>
        <v>#N/A</v>
      </c>
      <c r="AH872" s="65" t="e">
        <f t="shared" ca="1" si="137"/>
        <v>#N/A</v>
      </c>
      <c r="AI872" s="3" t="e">
        <f t="shared" ca="1" si="138"/>
        <v>#N/A</v>
      </c>
    </row>
    <row r="873" spans="7:35" ht="15.75" thickBot="1" x14ac:dyDescent="0.3">
      <c r="G873" s="3">
        <f t="shared" ca="1" si="130"/>
        <v>142</v>
      </c>
      <c r="H873" s="99">
        <f t="shared" ca="1" si="139"/>
        <v>46163</v>
      </c>
      <c r="I873" s="123">
        <f ca="1">HLOOKUP($H$4,'Met Data'!$A$2:$F$368,G873,FALSE)</f>
        <v>11.612500000000001</v>
      </c>
      <c r="J873" s="121">
        <f ca="1">HLOOKUP($H$4,'Met Data'!$H$2:$M$368,G873,FALSE)*L873</f>
        <v>3.4</v>
      </c>
      <c r="K873" s="100">
        <f ca="1">HLOOKUP($H$4,'Met Data'!$O$2:$T$368,G873,FALSE)</f>
        <v>1.0607063970516699</v>
      </c>
      <c r="L873">
        <f t="shared" ca="1" si="131"/>
        <v>1.7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5" t="e">
        <f t="shared" ca="1" si="136"/>
        <v>#N/A</v>
      </c>
      <c r="AH873" s="65" t="e">
        <f t="shared" ca="1" si="137"/>
        <v>#N/A</v>
      </c>
      <c r="AI873" s="3" t="e">
        <f t="shared" ca="1" si="138"/>
        <v>#N/A</v>
      </c>
    </row>
    <row r="874" spans="7:35" ht="15.75" thickBot="1" x14ac:dyDescent="0.3">
      <c r="G874" s="3">
        <f t="shared" ca="1" si="130"/>
        <v>143</v>
      </c>
      <c r="H874" s="99">
        <f t="shared" ca="1" si="139"/>
        <v>46164</v>
      </c>
      <c r="I874" s="123">
        <f ca="1">HLOOKUP($H$4,'Met Data'!$A$2:$F$368,G874,FALSE)</f>
        <v>10.174999999999899</v>
      </c>
      <c r="J874" s="121">
        <f ca="1">HLOOKUP($H$4,'Met Data'!$H$2:$M$368,G874,FALSE)*L874</f>
        <v>4.986666666666661</v>
      </c>
      <c r="K874" s="100">
        <f ca="1">HLOOKUP($H$4,'Met Data'!$O$2:$T$368,G874,FALSE)</f>
        <v>1.10734547072848</v>
      </c>
      <c r="L874">
        <f t="shared" ca="1" si="131"/>
        <v>1.7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5" t="e">
        <f t="shared" ca="1" si="136"/>
        <v>#N/A</v>
      </c>
      <c r="AH874" s="65" t="e">
        <f t="shared" ca="1" si="137"/>
        <v>#N/A</v>
      </c>
      <c r="AI874" s="3" t="e">
        <f t="shared" ca="1" si="138"/>
        <v>#N/A</v>
      </c>
    </row>
    <row r="875" spans="7:35" ht="15.75" thickBot="1" x14ac:dyDescent="0.3">
      <c r="G875" s="3">
        <f t="shared" ca="1" si="130"/>
        <v>144</v>
      </c>
      <c r="H875" s="99">
        <f t="shared" ca="1" si="139"/>
        <v>46165</v>
      </c>
      <c r="I875" s="123">
        <f ca="1">HLOOKUP($H$4,'Met Data'!$A$2:$F$368,G875,FALSE)</f>
        <v>10.7416666666666</v>
      </c>
      <c r="J875" s="121">
        <f ca="1">HLOOKUP($H$4,'Met Data'!$H$2:$M$368,G875,FALSE)*L875</f>
        <v>4.76</v>
      </c>
      <c r="K875" s="100">
        <f ca="1">HLOOKUP($H$4,'Met Data'!$O$2:$T$368,G875,FALSE)</f>
        <v>0.94921082080766905</v>
      </c>
      <c r="L875">
        <f t="shared" ca="1" si="131"/>
        <v>1.7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5" t="e">
        <f t="shared" ca="1" si="136"/>
        <v>#N/A</v>
      </c>
      <c r="AH875" s="65" t="e">
        <f t="shared" ca="1" si="137"/>
        <v>#N/A</v>
      </c>
      <c r="AI875" s="3" t="e">
        <f t="shared" ca="1" si="138"/>
        <v>#N/A</v>
      </c>
    </row>
    <row r="876" spans="7:35" ht="15.75" thickBot="1" x14ac:dyDescent="0.3">
      <c r="G876" s="3">
        <f t="shared" ca="1" si="130"/>
        <v>145</v>
      </c>
      <c r="H876" s="99">
        <f t="shared" ca="1" si="139"/>
        <v>46166</v>
      </c>
      <c r="I876" s="123">
        <f ca="1">HLOOKUP($H$4,'Met Data'!$A$2:$F$368,G876,FALSE)</f>
        <v>10.983333333333301</v>
      </c>
      <c r="J876" s="121">
        <f ca="1">HLOOKUP($H$4,'Met Data'!$H$2:$M$368,G876,FALSE)*L876</f>
        <v>9.5483333333333213</v>
      </c>
      <c r="K876" s="100">
        <f ca="1">HLOOKUP($H$4,'Met Data'!$O$2:$T$368,G876,FALSE)</f>
        <v>0.95593712910075901</v>
      </c>
      <c r="L876">
        <f t="shared" ca="1" si="131"/>
        <v>1.7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5" t="e">
        <f t="shared" ca="1" si="136"/>
        <v>#N/A</v>
      </c>
      <c r="AH876" s="65" t="e">
        <f t="shared" ca="1" si="137"/>
        <v>#N/A</v>
      </c>
      <c r="AI876" s="3" t="e">
        <f t="shared" ca="1" si="138"/>
        <v>#N/A</v>
      </c>
    </row>
    <row r="877" spans="7:35" ht="15.75" thickBot="1" x14ac:dyDescent="0.3">
      <c r="G877" s="3">
        <f t="shared" ca="1" si="130"/>
        <v>146</v>
      </c>
      <c r="H877" s="99">
        <f t="shared" ca="1" si="139"/>
        <v>46167</v>
      </c>
      <c r="I877" s="123">
        <f ca="1">HLOOKUP($H$4,'Met Data'!$A$2:$F$368,G877,FALSE)</f>
        <v>10.7666666666666</v>
      </c>
      <c r="J877" s="121">
        <f ca="1">HLOOKUP($H$4,'Met Data'!$H$2:$M$368,G877,FALSE)*L877</f>
        <v>5.3833333333333213</v>
      </c>
      <c r="K877" s="100">
        <f ca="1">HLOOKUP($H$4,'Met Data'!$O$2:$T$368,G877,FALSE)</f>
        <v>0.98597820560947502</v>
      </c>
      <c r="L877">
        <f t="shared" ca="1" si="131"/>
        <v>1.7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5" t="e">
        <f t="shared" ca="1" si="136"/>
        <v>#N/A</v>
      </c>
      <c r="AH877" s="65" t="e">
        <f t="shared" ca="1" si="137"/>
        <v>#N/A</v>
      </c>
      <c r="AI877" s="3" t="e">
        <f t="shared" ca="1" si="138"/>
        <v>#N/A</v>
      </c>
    </row>
    <row r="878" spans="7:35" ht="15.75" thickBot="1" x14ac:dyDescent="0.3">
      <c r="G878" s="3">
        <f t="shared" ca="1" si="130"/>
        <v>147</v>
      </c>
      <c r="H878" s="99">
        <f t="shared" ca="1" si="139"/>
        <v>46168</v>
      </c>
      <c r="I878" s="123">
        <f ca="1">HLOOKUP($H$4,'Met Data'!$A$2:$F$368,G878,FALSE)</f>
        <v>11.1833333333333</v>
      </c>
      <c r="J878" s="121">
        <f ca="1">HLOOKUP($H$4,'Met Data'!$H$2:$M$368,G878,FALSE)*L878</f>
        <v>10.454999999999982</v>
      </c>
      <c r="K878" s="100">
        <f ca="1">HLOOKUP($H$4,'Met Data'!$O$2:$T$368,G878,FALSE)</f>
        <v>1.02530679052105</v>
      </c>
      <c r="L878">
        <f t="shared" ca="1" si="131"/>
        <v>1.7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5" t="e">
        <f t="shared" ca="1" si="136"/>
        <v>#N/A</v>
      </c>
      <c r="AH878" s="65" t="e">
        <f t="shared" ca="1" si="137"/>
        <v>#N/A</v>
      </c>
      <c r="AI878" s="3" t="e">
        <f t="shared" ca="1" si="138"/>
        <v>#N/A</v>
      </c>
    </row>
    <row r="879" spans="7:35" ht="15.75" thickBot="1" x14ac:dyDescent="0.3">
      <c r="G879" s="3">
        <f t="shared" ca="1" si="130"/>
        <v>148</v>
      </c>
      <c r="H879" s="99">
        <f t="shared" ca="1" si="139"/>
        <v>46169</v>
      </c>
      <c r="I879" s="123">
        <f ca="1">HLOOKUP($H$4,'Met Data'!$A$2:$F$368,G879,FALSE)</f>
        <v>10.566666666666601</v>
      </c>
      <c r="J879" s="121">
        <f ca="1">HLOOKUP($H$4,'Met Data'!$H$2:$M$368,G879,FALSE)*L879</f>
        <v>4.7033333333333216</v>
      </c>
      <c r="K879" s="100">
        <f ca="1">HLOOKUP($H$4,'Met Data'!$O$2:$T$368,G879,FALSE)</f>
        <v>1.05508542906727</v>
      </c>
      <c r="L879">
        <f t="shared" ca="1" si="131"/>
        <v>1.7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5" t="e">
        <f t="shared" ca="1" si="136"/>
        <v>#N/A</v>
      </c>
      <c r="AH879" s="65" t="e">
        <f t="shared" ca="1" si="137"/>
        <v>#N/A</v>
      </c>
      <c r="AI879" s="3" t="e">
        <f t="shared" ca="1" si="138"/>
        <v>#N/A</v>
      </c>
    </row>
    <row r="880" spans="7:35" ht="15.75" thickBot="1" x14ac:dyDescent="0.3">
      <c r="G880" s="3">
        <f t="shared" ref="G880:G943" ca="1" si="140">H880-DATE(YEAR(H880),1,0)+1</f>
        <v>149</v>
      </c>
      <c r="H880" s="99">
        <f t="shared" ca="1" si="139"/>
        <v>46170</v>
      </c>
      <c r="I880" s="123">
        <f ca="1">HLOOKUP($H$4,'Met Data'!$A$2:$F$368,G880,FALSE)</f>
        <v>10.283333333333299</v>
      </c>
      <c r="J880" s="121">
        <f ca="1">HLOOKUP($H$4,'Met Data'!$H$2:$M$368,G880,FALSE)*L880</f>
        <v>4.6466666666666603</v>
      </c>
      <c r="K880" s="100">
        <f ca="1">HLOOKUP($H$4,'Met Data'!$O$2:$T$368,G880,FALSE)</f>
        <v>0.96273544691676505</v>
      </c>
      <c r="L880">
        <f t="shared" ref="L880:L943" ca="1" si="141">IF(H880&lt;$B$31,$J$3,$J$4)</f>
        <v>1.7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5" t="e">
        <f t="shared" ref="AG880:AG943" ca="1" si="146">Q879+S880+T880+U880</f>
        <v>#N/A</v>
      </c>
      <c r="AH880" s="65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.75" thickBot="1" x14ac:dyDescent="0.3">
      <c r="G881" s="3">
        <f t="shared" ca="1" si="140"/>
        <v>150</v>
      </c>
      <c r="H881" s="99">
        <f t="shared" ca="1" si="139"/>
        <v>46171</v>
      </c>
      <c r="I881" s="123">
        <f ca="1">HLOOKUP($H$4,'Met Data'!$A$2:$F$368,G881,FALSE)</f>
        <v>10.8</v>
      </c>
      <c r="J881" s="121">
        <f ca="1">HLOOKUP($H$4,'Met Data'!$H$2:$M$368,G881,FALSE)*L881</f>
        <v>5.4966666666666608</v>
      </c>
      <c r="K881" s="100">
        <f ca="1">HLOOKUP($H$4,'Met Data'!$O$2:$T$368,G881,FALSE)</f>
        <v>1.08816831727148</v>
      </c>
      <c r="L881">
        <f t="shared" ca="1" si="141"/>
        <v>1.7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5" t="e">
        <f t="shared" ca="1" si="146"/>
        <v>#N/A</v>
      </c>
      <c r="AH881" s="65" t="e">
        <f t="shared" ca="1" si="147"/>
        <v>#N/A</v>
      </c>
      <c r="AI881" s="3" t="e">
        <f t="shared" ca="1" si="148"/>
        <v>#N/A</v>
      </c>
    </row>
    <row r="882" spans="7:35" ht="15.75" thickBot="1" x14ac:dyDescent="0.3">
      <c r="G882" s="3">
        <f t="shared" ca="1" si="140"/>
        <v>151</v>
      </c>
      <c r="H882" s="99">
        <f t="shared" ca="1" si="139"/>
        <v>46172</v>
      </c>
      <c r="I882" s="123">
        <f ca="1">HLOOKUP($H$4,'Met Data'!$A$2:$F$368,G882,FALSE)</f>
        <v>9.6624999999999996</v>
      </c>
      <c r="J882" s="121">
        <f ca="1">HLOOKUP($H$4,'Met Data'!$H$2:$M$368,G882,FALSE)*L882</f>
        <v>3.2016666666666609</v>
      </c>
      <c r="K882" s="100">
        <f ca="1">HLOOKUP($H$4,'Met Data'!$O$2:$T$368,G882,FALSE)</f>
        <v>1.0187040175234601</v>
      </c>
      <c r="L882">
        <f t="shared" ca="1" si="141"/>
        <v>1.7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5" t="e">
        <f t="shared" ca="1" si="146"/>
        <v>#N/A</v>
      </c>
      <c r="AH882" s="65" t="e">
        <f t="shared" ca="1" si="147"/>
        <v>#N/A</v>
      </c>
      <c r="AI882" s="3" t="e">
        <f t="shared" ca="1" si="148"/>
        <v>#N/A</v>
      </c>
    </row>
    <row r="883" spans="7:35" ht="15.75" thickBot="1" x14ac:dyDescent="0.3">
      <c r="G883" s="3">
        <f t="shared" ca="1" si="140"/>
        <v>152</v>
      </c>
      <c r="H883" s="99">
        <f t="shared" ca="1" si="139"/>
        <v>46173</v>
      </c>
      <c r="I883" s="123">
        <f ca="1">HLOOKUP($H$4,'Met Data'!$A$2:$F$368,G883,FALSE)</f>
        <v>9.7166666666666597</v>
      </c>
      <c r="J883" s="121">
        <f ca="1">HLOOKUP($H$4,'Met Data'!$H$2:$M$368,G883,FALSE)*L883</f>
        <v>7.99</v>
      </c>
      <c r="K883" s="100">
        <f ca="1">HLOOKUP($H$4,'Met Data'!$O$2:$T$368,G883,FALSE)</f>
        <v>1.10197006718848</v>
      </c>
      <c r="L883">
        <f t="shared" ca="1" si="141"/>
        <v>1.7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5" t="e">
        <f t="shared" ca="1" si="146"/>
        <v>#N/A</v>
      </c>
      <c r="AH883" s="65" t="e">
        <f t="shared" ca="1" si="147"/>
        <v>#N/A</v>
      </c>
      <c r="AI883" s="3" t="e">
        <f t="shared" ca="1" si="148"/>
        <v>#N/A</v>
      </c>
    </row>
    <row r="884" spans="7:35" ht="15.75" thickBot="1" x14ac:dyDescent="0.3">
      <c r="G884" s="3">
        <f t="shared" ca="1" si="140"/>
        <v>153</v>
      </c>
      <c r="H884" s="99">
        <f t="shared" ca="1" si="139"/>
        <v>46174</v>
      </c>
      <c r="I884" s="123">
        <f ca="1">HLOOKUP($H$4,'Met Data'!$A$2:$F$368,G884,FALSE)</f>
        <v>10.004166666666601</v>
      </c>
      <c r="J884" s="121">
        <f ca="1">HLOOKUP($H$4,'Met Data'!$H$2:$M$368,G884,FALSE)*L884</f>
        <v>4.25</v>
      </c>
      <c r="K884" s="100">
        <f ca="1">HLOOKUP($H$4,'Met Data'!$O$2:$T$368,G884,FALSE)</f>
        <v>1.1690097853574</v>
      </c>
      <c r="L884">
        <f t="shared" ca="1" si="141"/>
        <v>1.7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5" t="e">
        <f t="shared" ca="1" si="146"/>
        <v>#N/A</v>
      </c>
      <c r="AH884" s="65" t="e">
        <f t="shared" ca="1" si="147"/>
        <v>#N/A</v>
      </c>
      <c r="AI884" s="3" t="e">
        <f t="shared" ca="1" si="148"/>
        <v>#N/A</v>
      </c>
    </row>
    <row r="885" spans="7:35" ht="15.75" thickBot="1" x14ac:dyDescent="0.3">
      <c r="G885" s="3">
        <f t="shared" ca="1" si="140"/>
        <v>154</v>
      </c>
      <c r="H885" s="99">
        <f t="shared" ca="1" si="139"/>
        <v>46175</v>
      </c>
      <c r="I885" s="123">
        <f ca="1">HLOOKUP($H$4,'Met Data'!$A$2:$F$368,G885,FALSE)</f>
        <v>9.99583333333333</v>
      </c>
      <c r="J885" s="121">
        <f ca="1">HLOOKUP($H$4,'Met Data'!$H$2:$M$368,G885,FALSE)*L885</f>
        <v>4.7316666666666611</v>
      </c>
      <c r="K885" s="100">
        <f ca="1">HLOOKUP($H$4,'Met Data'!$O$2:$T$368,G885,FALSE)</f>
        <v>1.0280895768516001</v>
      </c>
      <c r="L885">
        <f t="shared" ca="1" si="141"/>
        <v>1.7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5" t="e">
        <f t="shared" ca="1" si="146"/>
        <v>#N/A</v>
      </c>
      <c r="AH885" s="65" t="e">
        <f t="shared" ca="1" si="147"/>
        <v>#N/A</v>
      </c>
      <c r="AI885" s="3" t="e">
        <f t="shared" ca="1" si="148"/>
        <v>#N/A</v>
      </c>
    </row>
    <row r="886" spans="7:35" ht="15.75" thickBot="1" x14ac:dyDescent="0.3">
      <c r="G886" s="3">
        <f t="shared" ca="1" si="140"/>
        <v>155</v>
      </c>
      <c r="H886" s="99">
        <f t="shared" ca="1" si="139"/>
        <v>46176</v>
      </c>
      <c r="I886" s="123">
        <f ca="1">HLOOKUP($H$4,'Met Data'!$A$2:$F$368,G886,FALSE)</f>
        <v>9.8999999999999897</v>
      </c>
      <c r="J886" s="121">
        <f ca="1">HLOOKUP($H$4,'Met Data'!$H$2:$M$368,G886,FALSE)*L886</f>
        <v>3.031666666666661</v>
      </c>
      <c r="K886" s="100">
        <f ca="1">HLOOKUP($H$4,'Met Data'!$O$2:$T$368,G886,FALSE)</f>
        <v>0.97110296937720297</v>
      </c>
      <c r="L886">
        <f t="shared" ca="1" si="141"/>
        <v>1.7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5" t="e">
        <f t="shared" ca="1" si="146"/>
        <v>#N/A</v>
      </c>
      <c r="AH886" s="65" t="e">
        <f t="shared" ca="1" si="147"/>
        <v>#N/A</v>
      </c>
      <c r="AI886" s="3" t="e">
        <f t="shared" ca="1" si="148"/>
        <v>#N/A</v>
      </c>
    </row>
    <row r="887" spans="7:35" ht="15.75" thickBot="1" x14ac:dyDescent="0.3">
      <c r="G887" s="3">
        <f t="shared" ca="1" si="140"/>
        <v>156</v>
      </c>
      <c r="H887" s="99">
        <f t="shared" ca="1" si="139"/>
        <v>46177</v>
      </c>
      <c r="I887" s="123">
        <f ca="1">HLOOKUP($H$4,'Met Data'!$A$2:$F$368,G887,FALSE)</f>
        <v>10.95</v>
      </c>
      <c r="J887" s="121">
        <f ca="1">HLOOKUP($H$4,'Met Data'!$H$2:$M$368,G887,FALSE)*L887</f>
        <v>4.1649999999999832</v>
      </c>
      <c r="K887" s="100">
        <f ca="1">HLOOKUP($H$4,'Met Data'!$O$2:$T$368,G887,FALSE)</f>
        <v>0.960770877493487</v>
      </c>
      <c r="L887">
        <f t="shared" ca="1" si="141"/>
        <v>1.7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5" t="e">
        <f t="shared" ca="1" si="146"/>
        <v>#N/A</v>
      </c>
      <c r="AH887" s="65" t="e">
        <f t="shared" ca="1" si="147"/>
        <v>#N/A</v>
      </c>
      <c r="AI887" s="3" t="e">
        <f t="shared" ca="1" si="148"/>
        <v>#N/A</v>
      </c>
    </row>
    <row r="888" spans="7:35" ht="15.75" thickBot="1" x14ac:dyDescent="0.3">
      <c r="G888" s="3">
        <f t="shared" ca="1" si="140"/>
        <v>157</v>
      </c>
      <c r="H888" s="99">
        <f t="shared" ca="1" si="139"/>
        <v>46178</v>
      </c>
      <c r="I888" s="123">
        <f ca="1">HLOOKUP($H$4,'Met Data'!$A$2:$F$368,G888,FALSE)</f>
        <v>10.6875</v>
      </c>
      <c r="J888" s="121">
        <f ca="1">HLOOKUP($H$4,'Met Data'!$H$2:$M$368,G888,FALSE)*L888</f>
        <v>7.0266666666666611</v>
      </c>
      <c r="K888" s="100">
        <f ca="1">HLOOKUP($H$4,'Met Data'!$O$2:$T$368,G888,FALSE)</f>
        <v>0.84332690198160198</v>
      </c>
      <c r="L888">
        <f t="shared" ca="1" si="141"/>
        <v>1.7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5" t="e">
        <f t="shared" ca="1" si="146"/>
        <v>#N/A</v>
      </c>
      <c r="AH888" s="65" t="e">
        <f t="shared" ca="1" si="147"/>
        <v>#N/A</v>
      </c>
      <c r="AI888" s="3" t="e">
        <f t="shared" ca="1" si="148"/>
        <v>#N/A</v>
      </c>
    </row>
    <row r="889" spans="7:35" ht="15.75" thickBot="1" x14ac:dyDescent="0.3">
      <c r="G889" s="3">
        <f t="shared" ca="1" si="140"/>
        <v>158</v>
      </c>
      <c r="H889" s="99">
        <f t="shared" ca="1" si="139"/>
        <v>46179</v>
      </c>
      <c r="I889" s="123">
        <f ca="1">HLOOKUP($H$4,'Met Data'!$A$2:$F$368,G889,FALSE)</f>
        <v>10.5625</v>
      </c>
      <c r="J889" s="121">
        <f ca="1">HLOOKUP($H$4,'Met Data'!$H$2:$M$368,G889,FALSE)*L889</f>
        <v>9.01</v>
      </c>
      <c r="K889" s="100">
        <f ca="1">HLOOKUP($H$4,'Met Data'!$O$2:$T$368,G889,FALSE)</f>
        <v>0.93242759876210701</v>
      </c>
      <c r="L889">
        <f t="shared" ca="1" si="141"/>
        <v>1.7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5" t="e">
        <f t="shared" ca="1" si="146"/>
        <v>#N/A</v>
      </c>
      <c r="AH889" s="65" t="e">
        <f t="shared" ca="1" si="147"/>
        <v>#N/A</v>
      </c>
      <c r="AI889" s="3" t="e">
        <f t="shared" ca="1" si="148"/>
        <v>#N/A</v>
      </c>
    </row>
    <row r="890" spans="7:35" ht="15.75" thickBot="1" x14ac:dyDescent="0.3">
      <c r="G890" s="3">
        <f t="shared" ca="1" si="140"/>
        <v>159</v>
      </c>
      <c r="H890" s="99">
        <f t="shared" ca="1" si="139"/>
        <v>46180</v>
      </c>
      <c r="I890" s="123">
        <f ca="1">HLOOKUP($H$4,'Met Data'!$A$2:$F$368,G890,FALSE)</f>
        <v>10.4625</v>
      </c>
      <c r="J890" s="121">
        <f ca="1">HLOOKUP($H$4,'Met Data'!$H$2:$M$368,G890,FALSE)*L890</f>
        <v>4.1649999999999832</v>
      </c>
      <c r="K890" s="100">
        <f ca="1">HLOOKUP($H$4,'Met Data'!$O$2:$T$368,G890,FALSE)</f>
        <v>0.99912564942381998</v>
      </c>
      <c r="L890">
        <f t="shared" ca="1" si="141"/>
        <v>1.7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5" t="e">
        <f t="shared" ca="1" si="146"/>
        <v>#N/A</v>
      </c>
      <c r="AH890" s="65" t="e">
        <f t="shared" ca="1" si="147"/>
        <v>#N/A</v>
      </c>
      <c r="AI890" s="3" t="e">
        <f t="shared" ca="1" si="148"/>
        <v>#N/A</v>
      </c>
    </row>
    <row r="891" spans="7:35" ht="15.75" thickBot="1" x14ac:dyDescent="0.3">
      <c r="G891" s="3">
        <f t="shared" ca="1" si="140"/>
        <v>160</v>
      </c>
      <c r="H891" s="99">
        <f t="shared" ca="1" si="139"/>
        <v>46181</v>
      </c>
      <c r="I891" s="123">
        <f ca="1">HLOOKUP($H$4,'Met Data'!$A$2:$F$368,G891,FALSE)</f>
        <v>9.5875000000000004</v>
      </c>
      <c r="J891" s="121">
        <f ca="1">HLOOKUP($H$4,'Met Data'!$H$2:$M$368,G891,FALSE)*L891</f>
        <v>2.946666666666661</v>
      </c>
      <c r="K891" s="100">
        <f ca="1">HLOOKUP($H$4,'Met Data'!$O$2:$T$368,G891,FALSE)</f>
        <v>1.0839051549829499</v>
      </c>
      <c r="L891">
        <f t="shared" ca="1" si="141"/>
        <v>1.7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5" t="e">
        <f t="shared" ca="1" si="146"/>
        <v>#N/A</v>
      </c>
      <c r="AH891" s="65" t="e">
        <f t="shared" ca="1" si="147"/>
        <v>#N/A</v>
      </c>
      <c r="AI891" s="3" t="e">
        <f t="shared" ca="1" si="148"/>
        <v>#N/A</v>
      </c>
    </row>
    <row r="892" spans="7:35" ht="15.75" thickBot="1" x14ac:dyDescent="0.3">
      <c r="G892" s="3">
        <f t="shared" ca="1" si="140"/>
        <v>161</v>
      </c>
      <c r="H892" s="99">
        <f t="shared" ca="1" si="139"/>
        <v>46182</v>
      </c>
      <c r="I892" s="123">
        <f ca="1">HLOOKUP($H$4,'Met Data'!$A$2:$F$368,G892,FALSE)</f>
        <v>9.4875000000000007</v>
      </c>
      <c r="J892" s="121">
        <f ca="1">HLOOKUP($H$4,'Met Data'!$H$2:$M$368,G892,FALSE)*L892</f>
        <v>2.6349999999999998</v>
      </c>
      <c r="K892" s="100">
        <f ca="1">HLOOKUP($H$4,'Met Data'!$O$2:$T$368,G892,FALSE)</f>
        <v>0.94567596592895498</v>
      </c>
      <c r="L892">
        <f t="shared" ca="1" si="141"/>
        <v>1.7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5" t="e">
        <f t="shared" ca="1" si="146"/>
        <v>#N/A</v>
      </c>
      <c r="AH892" s="65" t="e">
        <f t="shared" ca="1" si="147"/>
        <v>#N/A</v>
      </c>
      <c r="AI892" s="3" t="e">
        <f t="shared" ca="1" si="148"/>
        <v>#N/A</v>
      </c>
    </row>
    <row r="893" spans="7:35" ht="15.75" thickBot="1" x14ac:dyDescent="0.3">
      <c r="G893" s="3">
        <f t="shared" ca="1" si="140"/>
        <v>162</v>
      </c>
      <c r="H893" s="99">
        <f t="shared" ca="1" si="139"/>
        <v>46183</v>
      </c>
      <c r="I893" s="123">
        <f ca="1">HLOOKUP($H$4,'Met Data'!$A$2:$F$368,G893,FALSE)</f>
        <v>10.9</v>
      </c>
      <c r="J893" s="121">
        <f ca="1">HLOOKUP($H$4,'Met Data'!$H$2:$M$368,G893,FALSE)*L893</f>
        <v>8.2218181818181701</v>
      </c>
      <c r="K893" s="100">
        <f ca="1">HLOOKUP($H$4,'Met Data'!$O$2:$T$368,G893,FALSE)</f>
        <v>0.77149259834587403</v>
      </c>
      <c r="L893">
        <f t="shared" ca="1" si="141"/>
        <v>1.7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5" t="e">
        <f t="shared" ca="1" si="146"/>
        <v>#N/A</v>
      </c>
      <c r="AH893" s="65" t="e">
        <f t="shared" ca="1" si="147"/>
        <v>#N/A</v>
      </c>
      <c r="AI893" s="3" t="e">
        <f t="shared" ca="1" si="148"/>
        <v>#N/A</v>
      </c>
    </row>
    <row r="894" spans="7:35" ht="15.75" thickBot="1" x14ac:dyDescent="0.3">
      <c r="G894" s="3">
        <f t="shared" ca="1" si="140"/>
        <v>163</v>
      </c>
      <c r="H894" s="99">
        <f t="shared" ca="1" si="139"/>
        <v>46184</v>
      </c>
      <c r="I894" s="123">
        <f ca="1">HLOOKUP($H$4,'Met Data'!$A$2:$F$368,G894,FALSE)</f>
        <v>10.8954545454545</v>
      </c>
      <c r="J894" s="121">
        <f ca="1">HLOOKUP($H$4,'Met Data'!$H$2:$M$368,G894,FALSE)*L894</f>
        <v>12.147272727272718</v>
      </c>
      <c r="K894" s="100">
        <f ca="1">HLOOKUP($H$4,'Met Data'!$O$2:$T$368,G894,FALSE)</f>
        <v>0.76887644299908198</v>
      </c>
      <c r="L894">
        <f t="shared" ca="1" si="141"/>
        <v>1.7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5" t="e">
        <f t="shared" ca="1" si="146"/>
        <v>#N/A</v>
      </c>
      <c r="AH894" s="65" t="e">
        <f t="shared" ca="1" si="147"/>
        <v>#N/A</v>
      </c>
      <c r="AI894" s="3" t="e">
        <f t="shared" ca="1" si="148"/>
        <v>#N/A</v>
      </c>
    </row>
    <row r="895" spans="7:35" ht="15.75" thickBot="1" x14ac:dyDescent="0.3">
      <c r="G895" s="3">
        <f t="shared" ca="1" si="140"/>
        <v>164</v>
      </c>
      <c r="H895" s="99">
        <f t="shared" ca="1" si="139"/>
        <v>46185</v>
      </c>
      <c r="I895" s="123">
        <f ca="1">HLOOKUP($H$4,'Met Data'!$A$2:$F$368,G895,FALSE)</f>
        <v>11.8375</v>
      </c>
      <c r="J895" s="121">
        <f ca="1">HLOOKUP($H$4,'Met Data'!$H$2:$M$368,G895,FALSE)*L895</f>
        <v>1.501666666666666</v>
      </c>
      <c r="K895" s="100">
        <f ca="1">HLOOKUP($H$4,'Met Data'!$O$2:$T$368,G895,FALSE)</f>
        <v>0.886573255907814</v>
      </c>
      <c r="L895">
        <f t="shared" ca="1" si="141"/>
        <v>1.7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5" t="e">
        <f t="shared" ca="1" si="146"/>
        <v>#N/A</v>
      </c>
      <c r="AH895" s="65" t="e">
        <f t="shared" ca="1" si="147"/>
        <v>#N/A</v>
      </c>
      <c r="AI895" s="3" t="e">
        <f t="shared" ca="1" si="148"/>
        <v>#N/A</v>
      </c>
    </row>
    <row r="896" spans="7:35" ht="15.75" thickBot="1" x14ac:dyDescent="0.3">
      <c r="G896" s="3">
        <f t="shared" ca="1" si="140"/>
        <v>165</v>
      </c>
      <c r="H896" s="99">
        <f t="shared" ca="1" si="139"/>
        <v>46186</v>
      </c>
      <c r="I896" s="123">
        <f ca="1">HLOOKUP($H$4,'Met Data'!$A$2:$F$368,G896,FALSE)</f>
        <v>10.4916666666666</v>
      </c>
      <c r="J896" s="121">
        <f ca="1">HLOOKUP($H$4,'Met Data'!$H$2:$M$368,G896,FALSE)*L896</f>
        <v>9.0383333333333216</v>
      </c>
      <c r="K896" s="100">
        <f ca="1">HLOOKUP($H$4,'Met Data'!$O$2:$T$368,G896,FALSE)</f>
        <v>0.75300621765048603</v>
      </c>
      <c r="L896">
        <f t="shared" ca="1" si="141"/>
        <v>1.7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5" t="e">
        <f t="shared" ca="1" si="146"/>
        <v>#N/A</v>
      </c>
      <c r="AH896" s="65" t="e">
        <f t="shared" ca="1" si="147"/>
        <v>#N/A</v>
      </c>
      <c r="AI896" s="3" t="e">
        <f t="shared" ca="1" si="148"/>
        <v>#N/A</v>
      </c>
    </row>
    <row r="897" spans="7:35" ht="15.75" thickBot="1" x14ac:dyDescent="0.3">
      <c r="G897" s="3">
        <f t="shared" ca="1" si="140"/>
        <v>166</v>
      </c>
      <c r="H897" s="99">
        <f t="shared" ca="1" si="139"/>
        <v>46187</v>
      </c>
      <c r="I897" s="123">
        <f ca="1">HLOOKUP($H$4,'Met Data'!$A$2:$F$368,G897,FALSE)</f>
        <v>10.133333333333301</v>
      </c>
      <c r="J897" s="121">
        <f ca="1">HLOOKUP($H$4,'Met Data'!$H$2:$M$368,G897,FALSE)*L897</f>
        <v>2.04</v>
      </c>
      <c r="K897" s="100">
        <f ca="1">HLOOKUP($H$4,'Met Data'!$O$2:$T$368,G897,FALSE)</f>
        <v>1.0949815777606999</v>
      </c>
      <c r="L897">
        <f t="shared" ca="1" si="141"/>
        <v>1.7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5" t="e">
        <f t="shared" ca="1" si="146"/>
        <v>#N/A</v>
      </c>
      <c r="AH897" s="65" t="e">
        <f t="shared" ca="1" si="147"/>
        <v>#N/A</v>
      </c>
      <c r="AI897" s="3" t="e">
        <f t="shared" ca="1" si="148"/>
        <v>#N/A</v>
      </c>
    </row>
    <row r="898" spans="7:35" ht="15.75" thickBot="1" x14ac:dyDescent="0.3">
      <c r="G898" s="3">
        <f t="shared" ca="1" si="140"/>
        <v>167</v>
      </c>
      <c r="H898" s="99">
        <f t="shared" ca="1" si="139"/>
        <v>46188</v>
      </c>
      <c r="I898" s="123">
        <f ca="1">HLOOKUP($H$4,'Met Data'!$A$2:$F$368,G898,FALSE)</f>
        <v>9.0291666666666597</v>
      </c>
      <c r="J898" s="121">
        <f ca="1">HLOOKUP($H$4,'Met Data'!$H$2:$M$368,G898,FALSE)*L898</f>
        <v>3.4849999999999994</v>
      </c>
      <c r="K898" s="100">
        <f ca="1">HLOOKUP($H$4,'Met Data'!$O$2:$T$368,G898,FALSE)</f>
        <v>0.76363291076582096</v>
      </c>
      <c r="L898">
        <f t="shared" ca="1" si="141"/>
        <v>1.7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5" t="e">
        <f t="shared" ca="1" si="146"/>
        <v>#N/A</v>
      </c>
      <c r="AH898" s="65" t="e">
        <f t="shared" ca="1" si="147"/>
        <v>#N/A</v>
      </c>
      <c r="AI898" s="3" t="e">
        <f t="shared" ca="1" si="148"/>
        <v>#N/A</v>
      </c>
    </row>
    <row r="899" spans="7:35" ht="15.75" thickBot="1" x14ac:dyDescent="0.3">
      <c r="G899" s="3">
        <f t="shared" ca="1" si="140"/>
        <v>168</v>
      </c>
      <c r="H899" s="99">
        <f t="shared" ca="1" si="139"/>
        <v>46189</v>
      </c>
      <c r="I899" s="123">
        <f ca="1">HLOOKUP($H$4,'Met Data'!$A$2:$F$368,G899,FALSE)</f>
        <v>10.125</v>
      </c>
      <c r="J899" s="121">
        <f ca="1">HLOOKUP($H$4,'Met Data'!$H$2:$M$368,G899,FALSE)*L899</f>
        <v>4.5616666666666612</v>
      </c>
      <c r="K899" s="100">
        <f ca="1">HLOOKUP($H$4,'Met Data'!$O$2:$T$368,G899,FALSE)</f>
        <v>0.84633721178312304</v>
      </c>
      <c r="L899">
        <f t="shared" ca="1" si="141"/>
        <v>1.7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5" t="e">
        <f t="shared" ca="1" si="146"/>
        <v>#N/A</v>
      </c>
      <c r="AH899" s="65" t="e">
        <f t="shared" ca="1" si="147"/>
        <v>#N/A</v>
      </c>
      <c r="AI899" s="3" t="e">
        <f t="shared" ca="1" si="148"/>
        <v>#N/A</v>
      </c>
    </row>
    <row r="900" spans="7:35" ht="15.75" thickBot="1" x14ac:dyDescent="0.3">
      <c r="G900" s="3">
        <f t="shared" ca="1" si="140"/>
        <v>169</v>
      </c>
      <c r="H900" s="99">
        <f t="shared" ca="1" si="139"/>
        <v>46190</v>
      </c>
      <c r="I900" s="123">
        <f ca="1">HLOOKUP($H$4,'Met Data'!$A$2:$F$368,G900,FALSE)</f>
        <v>10.2291666666666</v>
      </c>
      <c r="J900" s="121">
        <f ca="1">HLOOKUP($H$4,'Met Data'!$H$2:$M$368,G900,FALSE)*L900</f>
        <v>4.3066666666666613</v>
      </c>
      <c r="K900" s="100">
        <f ca="1">HLOOKUP($H$4,'Met Data'!$O$2:$T$368,G900,FALSE)</f>
        <v>0.91611783655738799</v>
      </c>
      <c r="L900">
        <f t="shared" ca="1" si="141"/>
        <v>1.7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5" t="e">
        <f t="shared" ca="1" si="146"/>
        <v>#N/A</v>
      </c>
      <c r="AH900" s="65" t="e">
        <f t="shared" ca="1" si="147"/>
        <v>#N/A</v>
      </c>
      <c r="AI900" s="3" t="e">
        <f t="shared" ca="1" si="148"/>
        <v>#N/A</v>
      </c>
    </row>
    <row r="901" spans="7:35" ht="15.75" thickBot="1" x14ac:dyDescent="0.3">
      <c r="G901" s="3">
        <f t="shared" ca="1" si="140"/>
        <v>170</v>
      </c>
      <c r="H901" s="99">
        <f t="shared" ca="1" si="139"/>
        <v>46191</v>
      </c>
      <c r="I901" s="123">
        <f ca="1">HLOOKUP($H$4,'Met Data'!$A$2:$F$368,G901,FALSE)</f>
        <v>10.316666666666601</v>
      </c>
      <c r="J901" s="121">
        <f ca="1">HLOOKUP($H$4,'Met Data'!$H$2:$M$368,G901,FALSE)*L901</f>
        <v>9.35</v>
      </c>
      <c r="K901" s="100">
        <f ca="1">HLOOKUP($H$4,'Met Data'!$O$2:$T$368,G901,FALSE)</f>
        <v>0.749895043982166</v>
      </c>
      <c r="L901">
        <f t="shared" ca="1" si="141"/>
        <v>1.7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5" t="e">
        <f t="shared" ca="1" si="146"/>
        <v>#N/A</v>
      </c>
      <c r="AH901" s="65" t="e">
        <f t="shared" ca="1" si="147"/>
        <v>#N/A</v>
      </c>
      <c r="AI901" s="3" t="e">
        <f t="shared" ca="1" si="148"/>
        <v>#N/A</v>
      </c>
    </row>
    <row r="902" spans="7:35" ht="15.75" thickBot="1" x14ac:dyDescent="0.3">
      <c r="G902" s="3">
        <f t="shared" ca="1" si="140"/>
        <v>171</v>
      </c>
      <c r="H902" s="99">
        <f t="shared" ca="1" si="139"/>
        <v>46192</v>
      </c>
      <c r="I902" s="123">
        <f ca="1">HLOOKUP($H$4,'Met Data'!$A$2:$F$368,G902,FALSE)</f>
        <v>10.6666666666666</v>
      </c>
      <c r="J902" s="121">
        <f ca="1">HLOOKUP($H$4,'Met Data'!$H$2:$M$368,G902,FALSE)*L902</f>
        <v>20.201666666666611</v>
      </c>
      <c r="K902" s="100">
        <f ca="1">HLOOKUP($H$4,'Met Data'!$O$2:$T$368,G902,FALSE)</f>
        <v>0.72031723210574305</v>
      </c>
      <c r="L902">
        <f t="shared" ca="1" si="141"/>
        <v>1.7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5" t="e">
        <f t="shared" ca="1" si="146"/>
        <v>#N/A</v>
      </c>
      <c r="AH902" s="65" t="e">
        <f t="shared" ca="1" si="147"/>
        <v>#N/A</v>
      </c>
      <c r="AI902" s="3" t="e">
        <f t="shared" ca="1" si="148"/>
        <v>#N/A</v>
      </c>
    </row>
    <row r="903" spans="7:35" ht="15.75" thickBot="1" x14ac:dyDescent="0.3">
      <c r="G903" s="3">
        <f t="shared" ca="1" si="140"/>
        <v>172</v>
      </c>
      <c r="H903" s="99">
        <f t="shared" ca="1" si="139"/>
        <v>46193</v>
      </c>
      <c r="I903" s="123">
        <f ca="1">HLOOKUP($H$4,'Met Data'!$A$2:$F$368,G903,FALSE)</f>
        <v>10.6181818181818</v>
      </c>
      <c r="J903" s="121">
        <f ca="1">HLOOKUP($H$4,'Met Data'!$H$2:$M$368,G903,FALSE)*L903</f>
        <v>15.330909090909078</v>
      </c>
      <c r="K903" s="100">
        <f ca="1">HLOOKUP($H$4,'Met Data'!$O$2:$T$368,G903,FALSE)</f>
        <v>0.829345309973199</v>
      </c>
      <c r="L903">
        <f t="shared" ca="1" si="141"/>
        <v>1.7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5" t="e">
        <f t="shared" ca="1" si="146"/>
        <v>#N/A</v>
      </c>
      <c r="AH903" s="65" t="e">
        <f t="shared" ca="1" si="147"/>
        <v>#N/A</v>
      </c>
      <c r="AI903" s="3" t="e">
        <f t="shared" ca="1" si="148"/>
        <v>#N/A</v>
      </c>
    </row>
    <row r="904" spans="7:35" ht="15.75" thickBot="1" x14ac:dyDescent="0.3">
      <c r="G904" s="3">
        <f t="shared" ca="1" si="140"/>
        <v>173</v>
      </c>
      <c r="H904" s="99">
        <f t="shared" ref="H904:H967" ca="1" si="149">H903+1</f>
        <v>46194</v>
      </c>
      <c r="I904" s="123">
        <f ca="1">HLOOKUP($H$4,'Met Data'!$A$2:$F$368,G904,FALSE)</f>
        <v>10.0318181818181</v>
      </c>
      <c r="J904" s="121">
        <f ca="1">HLOOKUP($H$4,'Met Data'!$H$2:$M$368,G904,FALSE)*L904</f>
        <v>3.24545454545453</v>
      </c>
      <c r="K904" s="100">
        <f ca="1">HLOOKUP($H$4,'Met Data'!$O$2:$T$368,G904,FALSE)</f>
        <v>0.90574236110997597</v>
      </c>
      <c r="L904">
        <f t="shared" ca="1" si="141"/>
        <v>1.7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5" t="e">
        <f t="shared" ca="1" si="146"/>
        <v>#N/A</v>
      </c>
      <c r="AH904" s="65" t="e">
        <f t="shared" ca="1" si="147"/>
        <v>#N/A</v>
      </c>
      <c r="AI904" s="3" t="e">
        <f t="shared" ca="1" si="148"/>
        <v>#N/A</v>
      </c>
    </row>
    <row r="905" spans="7:35" ht="15.75" thickBot="1" x14ac:dyDescent="0.3">
      <c r="G905" s="3">
        <f t="shared" ca="1" si="140"/>
        <v>174</v>
      </c>
      <c r="H905" s="99">
        <f t="shared" ca="1" si="149"/>
        <v>46195</v>
      </c>
      <c r="I905" s="123">
        <f ca="1">HLOOKUP($H$4,'Met Data'!$A$2:$F$368,G905,FALSE)</f>
        <v>8.9727272727272709</v>
      </c>
      <c r="J905" s="121">
        <f ca="1">HLOOKUP($H$4,'Met Data'!$H$2:$M$368,G905,FALSE)*L905</f>
        <v>3.3381818181818121</v>
      </c>
      <c r="K905" s="100">
        <f ca="1">HLOOKUP($H$4,'Met Data'!$O$2:$T$368,G905,FALSE)</f>
        <v>0.89904843691310898</v>
      </c>
      <c r="L905">
        <f t="shared" ca="1" si="141"/>
        <v>1.7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5" t="e">
        <f t="shared" ca="1" si="146"/>
        <v>#N/A</v>
      </c>
      <c r="AH905" s="65" t="e">
        <f t="shared" ca="1" si="147"/>
        <v>#N/A</v>
      </c>
      <c r="AI905" s="3" t="e">
        <f t="shared" ca="1" si="148"/>
        <v>#N/A</v>
      </c>
    </row>
    <row r="906" spans="7:35" ht="15.75" thickBot="1" x14ac:dyDescent="0.3">
      <c r="G906" s="3">
        <f t="shared" ca="1" si="140"/>
        <v>175</v>
      </c>
      <c r="H906" s="99">
        <f t="shared" ca="1" si="149"/>
        <v>46196</v>
      </c>
      <c r="I906" s="123">
        <f ca="1">HLOOKUP($H$4,'Met Data'!$A$2:$F$368,G906,FALSE)</f>
        <v>9.0227272727272698</v>
      </c>
      <c r="J906" s="121">
        <f ca="1">HLOOKUP($H$4,'Met Data'!$H$2:$M$368,G906,FALSE)*L906</f>
        <v>5.1309090909090767</v>
      </c>
      <c r="K906" s="100">
        <f ca="1">HLOOKUP($H$4,'Met Data'!$O$2:$T$368,G906,FALSE)</f>
        <v>0.82913615112138495</v>
      </c>
      <c r="L906">
        <f t="shared" ca="1" si="141"/>
        <v>1.7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5" t="e">
        <f t="shared" ca="1" si="146"/>
        <v>#N/A</v>
      </c>
      <c r="AH906" s="65" t="e">
        <f t="shared" ca="1" si="147"/>
        <v>#N/A</v>
      </c>
      <c r="AI906" s="3" t="e">
        <f t="shared" ca="1" si="148"/>
        <v>#N/A</v>
      </c>
    </row>
    <row r="907" spans="7:35" ht="15.75" thickBot="1" x14ac:dyDescent="0.3">
      <c r="G907" s="3">
        <f t="shared" ca="1" si="140"/>
        <v>176</v>
      </c>
      <c r="H907" s="99">
        <f t="shared" ca="1" si="149"/>
        <v>46197</v>
      </c>
      <c r="I907" s="123">
        <f ca="1">HLOOKUP($H$4,'Met Data'!$A$2:$F$368,G907,FALSE)</f>
        <v>10.3590909090909</v>
      </c>
      <c r="J907" s="121">
        <f ca="1">HLOOKUP($H$4,'Met Data'!$H$2:$M$368,G907,FALSE)*L907</f>
        <v>6.3672727272727174</v>
      </c>
      <c r="K907" s="100">
        <f ca="1">HLOOKUP($H$4,'Met Data'!$O$2:$T$368,G907,FALSE)</f>
        <v>0.88746237543267503</v>
      </c>
      <c r="L907">
        <f t="shared" ca="1" si="141"/>
        <v>1.7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5" t="e">
        <f t="shared" ca="1" si="146"/>
        <v>#N/A</v>
      </c>
      <c r="AH907" s="65" t="e">
        <f t="shared" ca="1" si="147"/>
        <v>#N/A</v>
      </c>
      <c r="AI907" s="3" t="e">
        <f t="shared" ca="1" si="148"/>
        <v>#N/A</v>
      </c>
    </row>
    <row r="908" spans="7:35" ht="15.75" thickBot="1" x14ac:dyDescent="0.3">
      <c r="G908" s="3">
        <f t="shared" ca="1" si="140"/>
        <v>177</v>
      </c>
      <c r="H908" s="99">
        <f t="shared" ca="1" si="149"/>
        <v>46198</v>
      </c>
      <c r="I908" s="123">
        <f ca="1">HLOOKUP($H$4,'Met Data'!$A$2:$F$368,G908,FALSE)</f>
        <v>9.5090909090909097</v>
      </c>
      <c r="J908" s="121">
        <f ca="1">HLOOKUP($H$4,'Met Data'!$H$2:$M$368,G908,FALSE)*L908</f>
        <v>5.2854545454545301</v>
      </c>
      <c r="K908" s="100">
        <f ca="1">HLOOKUP($H$4,'Met Data'!$O$2:$T$368,G908,FALSE)</f>
        <v>0.97866599470650895</v>
      </c>
      <c r="L908">
        <f t="shared" ca="1" si="141"/>
        <v>1.7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5" t="e">
        <f t="shared" ca="1" si="146"/>
        <v>#N/A</v>
      </c>
      <c r="AH908" s="65" t="e">
        <f t="shared" ca="1" si="147"/>
        <v>#N/A</v>
      </c>
      <c r="AI908" s="3" t="e">
        <f t="shared" ca="1" si="148"/>
        <v>#N/A</v>
      </c>
    </row>
    <row r="909" spans="7:35" ht="15.75" thickBot="1" x14ac:dyDescent="0.3">
      <c r="G909" s="3">
        <f t="shared" ca="1" si="140"/>
        <v>178</v>
      </c>
      <c r="H909" s="99">
        <f t="shared" ca="1" si="149"/>
        <v>46199</v>
      </c>
      <c r="I909" s="123">
        <f ca="1">HLOOKUP($H$4,'Met Data'!$A$2:$F$368,G909,FALSE)</f>
        <v>9.1272727272727199</v>
      </c>
      <c r="J909" s="121">
        <f ca="1">HLOOKUP($H$4,'Met Data'!$H$2:$M$368,G909,FALSE)*L909</f>
        <v>2.1327272727272648</v>
      </c>
      <c r="K909" s="100">
        <f ca="1">HLOOKUP($H$4,'Met Data'!$O$2:$T$368,G909,FALSE)</f>
        <v>1.0040569739087299</v>
      </c>
      <c r="L909">
        <f t="shared" ca="1" si="141"/>
        <v>1.7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5" t="e">
        <f t="shared" ca="1" si="146"/>
        <v>#N/A</v>
      </c>
      <c r="AH909" s="65" t="e">
        <f t="shared" ca="1" si="147"/>
        <v>#N/A</v>
      </c>
      <c r="AI909" s="3" t="e">
        <f t="shared" ca="1" si="148"/>
        <v>#N/A</v>
      </c>
    </row>
    <row r="910" spans="7:35" ht="15.75" thickBot="1" x14ac:dyDescent="0.3">
      <c r="G910" s="3">
        <f t="shared" ca="1" si="140"/>
        <v>179</v>
      </c>
      <c r="H910" s="99">
        <f t="shared" ca="1" si="149"/>
        <v>46200</v>
      </c>
      <c r="I910" s="123">
        <f ca="1">HLOOKUP($H$4,'Met Data'!$A$2:$F$368,G910,FALSE)</f>
        <v>8.7727272727272698</v>
      </c>
      <c r="J910" s="121">
        <f ca="1">HLOOKUP($H$4,'Met Data'!$H$2:$M$368,G910,FALSE)*L910</f>
        <v>5.0690909090909058</v>
      </c>
      <c r="K910" s="100">
        <f ca="1">HLOOKUP($H$4,'Met Data'!$O$2:$T$368,G910,FALSE)</f>
        <v>0.89055521132494797</v>
      </c>
      <c r="L910">
        <f t="shared" ca="1" si="141"/>
        <v>1.7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5" t="e">
        <f t="shared" ca="1" si="146"/>
        <v>#N/A</v>
      </c>
      <c r="AH910" s="65" t="e">
        <f t="shared" ca="1" si="147"/>
        <v>#N/A</v>
      </c>
      <c r="AI910" s="3" t="e">
        <f t="shared" ca="1" si="148"/>
        <v>#N/A</v>
      </c>
    </row>
    <row r="911" spans="7:35" ht="15.75" thickBot="1" x14ac:dyDescent="0.3">
      <c r="G911" s="3">
        <f t="shared" ca="1" si="140"/>
        <v>180</v>
      </c>
      <c r="H911" s="99">
        <f t="shared" ca="1" si="149"/>
        <v>46201</v>
      </c>
      <c r="I911" s="123">
        <f ca="1">HLOOKUP($H$4,'Met Data'!$A$2:$F$368,G911,FALSE)</f>
        <v>8.8363636363636306</v>
      </c>
      <c r="J911" s="121">
        <f ca="1">HLOOKUP($H$4,'Met Data'!$H$2:$M$368,G911,FALSE)*L911</f>
        <v>1.5454545454545452</v>
      </c>
      <c r="K911" s="100">
        <f ca="1">HLOOKUP($H$4,'Met Data'!$O$2:$T$368,G911,FALSE)</f>
        <v>0.949335994975394</v>
      </c>
      <c r="L911">
        <f t="shared" ca="1" si="141"/>
        <v>1.7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5" t="e">
        <f t="shared" ca="1" si="146"/>
        <v>#N/A</v>
      </c>
      <c r="AH911" s="65" t="e">
        <f t="shared" ca="1" si="147"/>
        <v>#N/A</v>
      </c>
      <c r="AI911" s="3" t="e">
        <f t="shared" ca="1" si="148"/>
        <v>#N/A</v>
      </c>
    </row>
    <row r="912" spans="7:35" ht="15.75" thickBot="1" x14ac:dyDescent="0.3">
      <c r="G912" s="3">
        <f t="shared" ca="1" si="140"/>
        <v>181</v>
      </c>
      <c r="H912" s="99">
        <f t="shared" ca="1" si="149"/>
        <v>46202</v>
      </c>
      <c r="I912" s="123">
        <f ca="1">HLOOKUP($H$4,'Met Data'!$A$2:$F$368,G912,FALSE)</f>
        <v>8.7136363636363594</v>
      </c>
      <c r="J912" s="121">
        <f ca="1">HLOOKUP($H$4,'Met Data'!$H$2:$M$368,G912,FALSE)*L912</f>
        <v>3.031666666666661</v>
      </c>
      <c r="K912" s="100">
        <f ca="1">HLOOKUP($H$4,'Met Data'!$O$2:$T$368,G912,FALSE)</f>
        <v>0.92539172734817898</v>
      </c>
      <c r="L912">
        <f t="shared" ca="1" si="141"/>
        <v>1.7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5" t="e">
        <f t="shared" ca="1" si="146"/>
        <v>#N/A</v>
      </c>
      <c r="AH912" s="65" t="e">
        <f t="shared" ca="1" si="147"/>
        <v>#N/A</v>
      </c>
      <c r="AI912" s="3" t="e">
        <f t="shared" ca="1" si="148"/>
        <v>#N/A</v>
      </c>
    </row>
    <row r="913" spans="7:35" ht="15.75" thickBot="1" x14ac:dyDescent="0.3">
      <c r="G913" s="3">
        <f t="shared" ca="1" si="140"/>
        <v>182</v>
      </c>
      <c r="H913" s="99">
        <f t="shared" ca="1" si="149"/>
        <v>46203</v>
      </c>
      <c r="I913" s="123">
        <f ca="1">HLOOKUP($H$4,'Met Data'!$A$2:$F$368,G913,FALSE)</f>
        <v>8.5291666666666597</v>
      </c>
      <c r="J913" s="121">
        <f ca="1">HLOOKUP($H$4,'Met Data'!$H$2:$M$368,G913,FALSE)*L913</f>
        <v>4.3916666666666604</v>
      </c>
      <c r="K913" s="100">
        <f ca="1">HLOOKUP($H$4,'Met Data'!$O$2:$T$368,G913,FALSE)</f>
        <v>0.82623977006466498</v>
      </c>
      <c r="L913">
        <f t="shared" ca="1" si="141"/>
        <v>1.7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5" t="e">
        <f t="shared" ca="1" si="146"/>
        <v>#N/A</v>
      </c>
      <c r="AH913" s="65" t="e">
        <f t="shared" ca="1" si="147"/>
        <v>#N/A</v>
      </c>
      <c r="AI913" s="3" t="e">
        <f t="shared" ca="1" si="148"/>
        <v>#N/A</v>
      </c>
    </row>
    <row r="914" spans="7:35" ht="15.75" thickBot="1" x14ac:dyDescent="0.3">
      <c r="G914" s="3">
        <f t="shared" ca="1" si="140"/>
        <v>183</v>
      </c>
      <c r="H914" s="99">
        <f t="shared" ca="1" si="149"/>
        <v>46204</v>
      </c>
      <c r="I914" s="123">
        <f ca="1">HLOOKUP($H$4,'Met Data'!$A$2:$F$368,G914,FALSE)</f>
        <v>8.8208333333333293</v>
      </c>
      <c r="J914" s="121">
        <f ca="1">HLOOKUP($H$4,'Met Data'!$H$2:$M$368,G914,FALSE)*L914</f>
        <v>3.6266666666666612</v>
      </c>
      <c r="K914" s="100">
        <f ca="1">HLOOKUP($H$4,'Met Data'!$O$2:$T$368,G914,FALSE)</f>
        <v>0.80690048817841498</v>
      </c>
      <c r="L914">
        <f t="shared" ca="1" si="141"/>
        <v>1.7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5" t="e">
        <f t="shared" ca="1" si="146"/>
        <v>#N/A</v>
      </c>
      <c r="AH914" s="65" t="e">
        <f t="shared" ca="1" si="147"/>
        <v>#N/A</v>
      </c>
      <c r="AI914" s="3" t="e">
        <f t="shared" ca="1" si="148"/>
        <v>#N/A</v>
      </c>
    </row>
    <row r="915" spans="7:35" ht="15.75" thickBot="1" x14ac:dyDescent="0.3">
      <c r="G915" s="3">
        <f t="shared" ca="1" si="140"/>
        <v>184</v>
      </c>
      <c r="H915" s="99">
        <f t="shared" ca="1" si="149"/>
        <v>46205</v>
      </c>
      <c r="I915" s="123">
        <f ca="1">HLOOKUP($H$4,'Met Data'!$A$2:$F$368,G915,FALSE)</f>
        <v>8.2249999999999996</v>
      </c>
      <c r="J915" s="121">
        <f ca="1">HLOOKUP($H$4,'Met Data'!$H$2:$M$368,G915,FALSE)*L915</f>
        <v>1.4166666666666661</v>
      </c>
      <c r="K915" s="100">
        <f ca="1">HLOOKUP($H$4,'Met Data'!$O$2:$T$368,G915,FALSE)</f>
        <v>1.0149186441071101</v>
      </c>
      <c r="L915">
        <f t="shared" ca="1" si="141"/>
        <v>1.7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5" t="e">
        <f t="shared" ca="1" si="146"/>
        <v>#N/A</v>
      </c>
      <c r="AH915" s="65" t="e">
        <f t="shared" ca="1" si="147"/>
        <v>#N/A</v>
      </c>
      <c r="AI915" s="3" t="e">
        <f t="shared" ca="1" si="148"/>
        <v>#N/A</v>
      </c>
    </row>
    <row r="916" spans="7:35" ht="15.75" thickBot="1" x14ac:dyDescent="0.3">
      <c r="G916" s="3">
        <f t="shared" ca="1" si="140"/>
        <v>185</v>
      </c>
      <c r="H916" s="99">
        <f t="shared" ca="1" si="149"/>
        <v>46206</v>
      </c>
      <c r="I916" s="123">
        <f ca="1">HLOOKUP($H$4,'Met Data'!$A$2:$F$368,G916,FALSE)</f>
        <v>8.8333333333333304</v>
      </c>
      <c r="J916" s="121">
        <f ca="1">HLOOKUP($H$4,'Met Data'!$H$2:$M$368,G916,FALSE)*L916</f>
        <v>6.0633333333333219</v>
      </c>
      <c r="K916" s="100">
        <f ca="1">HLOOKUP($H$4,'Met Data'!$O$2:$T$368,G916,FALSE)</f>
        <v>0.89125379504041602</v>
      </c>
      <c r="L916">
        <f t="shared" ca="1" si="141"/>
        <v>1.7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5" t="e">
        <f t="shared" ca="1" si="146"/>
        <v>#N/A</v>
      </c>
      <c r="AH916" s="65" t="e">
        <f t="shared" ca="1" si="147"/>
        <v>#N/A</v>
      </c>
      <c r="AI916" s="3" t="e">
        <f t="shared" ca="1" si="148"/>
        <v>#N/A</v>
      </c>
    </row>
    <row r="917" spans="7:35" ht="15.75" thickBot="1" x14ac:dyDescent="0.3">
      <c r="G917" s="3">
        <f t="shared" ca="1" si="140"/>
        <v>186</v>
      </c>
      <c r="H917" s="99">
        <f t="shared" ca="1" si="149"/>
        <v>46207</v>
      </c>
      <c r="I917" s="123">
        <f ca="1">HLOOKUP($H$4,'Met Data'!$A$2:$F$368,G917,FALSE)</f>
        <v>8.6</v>
      </c>
      <c r="J917" s="121">
        <f ca="1">HLOOKUP($H$4,'Met Data'!$H$2:$M$368,G917,FALSE)*L917</f>
        <v>1.2466666666666659</v>
      </c>
      <c r="K917" s="100">
        <f ca="1">HLOOKUP($H$4,'Met Data'!$O$2:$T$368,G917,FALSE)</f>
        <v>0.87224086772784204</v>
      </c>
      <c r="L917">
        <f t="shared" ca="1" si="141"/>
        <v>1.7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5" t="e">
        <f t="shared" ca="1" si="146"/>
        <v>#N/A</v>
      </c>
      <c r="AH917" s="65" t="e">
        <f t="shared" ca="1" si="147"/>
        <v>#N/A</v>
      </c>
      <c r="AI917" s="3" t="e">
        <f t="shared" ca="1" si="148"/>
        <v>#N/A</v>
      </c>
    </row>
    <row r="918" spans="7:35" ht="15.75" thickBot="1" x14ac:dyDescent="0.3">
      <c r="G918" s="3">
        <f t="shared" ca="1" si="140"/>
        <v>187</v>
      </c>
      <c r="H918" s="99">
        <f t="shared" ca="1" si="149"/>
        <v>46208</v>
      </c>
      <c r="I918" s="123">
        <f ca="1">HLOOKUP($H$4,'Met Data'!$A$2:$F$368,G918,FALSE)</f>
        <v>9.4</v>
      </c>
      <c r="J918" s="121">
        <f ca="1">HLOOKUP($H$4,'Met Data'!$H$2:$M$368,G918,FALSE)*L918</f>
        <v>0.16999999999999982</v>
      </c>
      <c r="K918" s="100">
        <f ca="1">HLOOKUP($H$4,'Met Data'!$O$2:$T$368,G918,FALSE)</f>
        <v>0.96939333533810901</v>
      </c>
      <c r="L918">
        <f t="shared" ca="1" si="141"/>
        <v>1.7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5" t="e">
        <f t="shared" ca="1" si="146"/>
        <v>#N/A</v>
      </c>
      <c r="AH918" s="65" t="e">
        <f t="shared" ca="1" si="147"/>
        <v>#N/A</v>
      </c>
      <c r="AI918" s="3" t="e">
        <f t="shared" ca="1" si="148"/>
        <v>#N/A</v>
      </c>
    </row>
    <row r="919" spans="7:35" ht="15.75" thickBot="1" x14ac:dyDescent="0.3">
      <c r="G919" s="3">
        <f t="shared" ca="1" si="140"/>
        <v>188</v>
      </c>
      <c r="H919" s="99">
        <f t="shared" ca="1" si="149"/>
        <v>46209</v>
      </c>
      <c r="I919" s="123">
        <f ca="1">HLOOKUP($H$4,'Met Data'!$A$2:$F$368,G919,FALSE)</f>
        <v>9.12083333333333</v>
      </c>
      <c r="J919" s="121">
        <f ca="1">HLOOKUP($H$4,'Met Data'!$H$2:$M$368,G919,FALSE)*L919</f>
        <v>3.7116666666666611</v>
      </c>
      <c r="K919" s="100">
        <f ca="1">HLOOKUP($H$4,'Met Data'!$O$2:$T$368,G919,FALSE)</f>
        <v>0.851628840058262</v>
      </c>
      <c r="L919">
        <f t="shared" ca="1" si="141"/>
        <v>1.7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5" t="e">
        <f t="shared" ca="1" si="146"/>
        <v>#N/A</v>
      </c>
      <c r="AH919" s="65" t="e">
        <f t="shared" ca="1" si="147"/>
        <v>#N/A</v>
      </c>
      <c r="AI919" s="3" t="e">
        <f t="shared" ca="1" si="148"/>
        <v>#N/A</v>
      </c>
    </row>
    <row r="920" spans="7:35" ht="15.75" thickBot="1" x14ac:dyDescent="0.3">
      <c r="G920" s="3">
        <f t="shared" ca="1" si="140"/>
        <v>189</v>
      </c>
      <c r="H920" s="99">
        <f t="shared" ca="1" si="149"/>
        <v>46210</v>
      </c>
      <c r="I920" s="123">
        <f ca="1">HLOOKUP($H$4,'Met Data'!$A$2:$F$368,G920,FALSE)</f>
        <v>9.6583333333333297</v>
      </c>
      <c r="J920" s="121">
        <f ca="1">HLOOKUP($H$4,'Met Data'!$H$2:$M$368,G920,FALSE)*L920</f>
        <v>7.7633333333333221</v>
      </c>
      <c r="K920" s="100">
        <f ca="1">HLOOKUP($H$4,'Met Data'!$O$2:$T$368,G920,FALSE)</f>
        <v>0.80851868655974801</v>
      </c>
      <c r="L920">
        <f t="shared" ca="1" si="141"/>
        <v>1.7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5" t="e">
        <f t="shared" ca="1" si="146"/>
        <v>#N/A</v>
      </c>
      <c r="AH920" s="65" t="e">
        <f t="shared" ca="1" si="147"/>
        <v>#N/A</v>
      </c>
      <c r="AI920" s="3" t="e">
        <f t="shared" ca="1" si="148"/>
        <v>#N/A</v>
      </c>
    </row>
    <row r="921" spans="7:35" ht="15.75" thickBot="1" x14ac:dyDescent="0.3">
      <c r="G921" s="3">
        <f t="shared" ca="1" si="140"/>
        <v>190</v>
      </c>
      <c r="H921" s="99">
        <f t="shared" ca="1" si="149"/>
        <v>46211</v>
      </c>
      <c r="I921" s="123">
        <f ca="1">HLOOKUP($H$4,'Met Data'!$A$2:$F$368,G921,FALSE)</f>
        <v>8.5291666666666597</v>
      </c>
      <c r="J921" s="121">
        <f ca="1">HLOOKUP($H$4,'Met Data'!$H$2:$M$368,G921,FALSE)*L921</f>
        <v>6.4316666666666613</v>
      </c>
      <c r="K921" s="100">
        <f ca="1">HLOOKUP($H$4,'Met Data'!$O$2:$T$368,G921,FALSE)</f>
        <v>1.09493770994468</v>
      </c>
      <c r="L921">
        <f t="shared" ca="1" si="141"/>
        <v>1.7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5" t="e">
        <f t="shared" ca="1" si="146"/>
        <v>#N/A</v>
      </c>
      <c r="AH921" s="65" t="e">
        <f t="shared" ca="1" si="147"/>
        <v>#N/A</v>
      </c>
      <c r="AI921" s="3" t="e">
        <f t="shared" ca="1" si="148"/>
        <v>#N/A</v>
      </c>
    </row>
    <row r="922" spans="7:35" ht="15.75" thickBot="1" x14ac:dyDescent="0.3">
      <c r="G922" s="3">
        <f t="shared" ca="1" si="140"/>
        <v>191</v>
      </c>
      <c r="H922" s="99">
        <f t="shared" ca="1" si="149"/>
        <v>46212</v>
      </c>
      <c r="I922" s="123">
        <f ca="1">HLOOKUP($H$4,'Met Data'!$A$2:$F$368,G922,FALSE)</f>
        <v>8.1583333333333297</v>
      </c>
      <c r="J922" s="121">
        <f ca="1">HLOOKUP($H$4,'Met Data'!$H$2:$M$368,G922,FALSE)*L922</f>
        <v>7.111666666666661</v>
      </c>
      <c r="K922" s="100">
        <f ca="1">HLOOKUP($H$4,'Met Data'!$O$2:$T$368,G922,FALSE)</f>
        <v>0.89025740200721304</v>
      </c>
      <c r="L922">
        <f t="shared" ca="1" si="141"/>
        <v>1.7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5" t="e">
        <f t="shared" ca="1" si="146"/>
        <v>#N/A</v>
      </c>
      <c r="AH922" s="65" t="e">
        <f t="shared" ca="1" si="147"/>
        <v>#N/A</v>
      </c>
      <c r="AI922" s="3" t="e">
        <f t="shared" ca="1" si="148"/>
        <v>#N/A</v>
      </c>
    </row>
    <row r="923" spans="7:35" ht="15.75" thickBot="1" x14ac:dyDescent="0.3">
      <c r="G923" s="3">
        <f t="shared" ca="1" si="140"/>
        <v>192</v>
      </c>
      <c r="H923" s="99">
        <f t="shared" ca="1" si="149"/>
        <v>46213</v>
      </c>
      <c r="I923" s="123">
        <f ca="1">HLOOKUP($H$4,'Met Data'!$A$2:$F$368,G923,FALSE)</f>
        <v>8.24166666666666</v>
      </c>
      <c r="J923" s="121">
        <f ca="1">HLOOKUP($H$4,'Met Data'!$H$2:$M$368,G923,FALSE)*L923</f>
        <v>3.853333333333322</v>
      </c>
      <c r="K923" s="100">
        <f ca="1">HLOOKUP($H$4,'Met Data'!$O$2:$T$368,G923,FALSE)</f>
        <v>1.06467045295546</v>
      </c>
      <c r="L923">
        <f t="shared" ca="1" si="141"/>
        <v>1.7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5" t="e">
        <f t="shared" ca="1" si="146"/>
        <v>#N/A</v>
      </c>
      <c r="AH923" s="65" t="e">
        <f t="shared" ca="1" si="147"/>
        <v>#N/A</v>
      </c>
      <c r="AI923" s="3" t="e">
        <f t="shared" ca="1" si="148"/>
        <v>#N/A</v>
      </c>
    </row>
    <row r="924" spans="7:35" ht="15.75" thickBot="1" x14ac:dyDescent="0.3">
      <c r="G924" s="3">
        <f t="shared" ca="1" si="140"/>
        <v>193</v>
      </c>
      <c r="H924" s="99">
        <f t="shared" ca="1" si="149"/>
        <v>46214</v>
      </c>
      <c r="I924" s="123">
        <f ca="1">HLOOKUP($H$4,'Met Data'!$A$2:$F$368,G924,FALSE)</f>
        <v>8.0333333333333297</v>
      </c>
      <c r="J924" s="121">
        <f ca="1">HLOOKUP($H$4,'Met Data'!$H$2:$M$368,G924,FALSE)*L924</f>
        <v>7.9050000000000002</v>
      </c>
      <c r="K924" s="100">
        <f ca="1">HLOOKUP($H$4,'Met Data'!$O$2:$T$368,G924,FALSE)</f>
        <v>1.03430816091664</v>
      </c>
      <c r="L924">
        <f t="shared" ca="1" si="141"/>
        <v>1.7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5" t="e">
        <f t="shared" ca="1" si="146"/>
        <v>#N/A</v>
      </c>
      <c r="AH924" s="65" t="e">
        <f t="shared" ca="1" si="147"/>
        <v>#N/A</v>
      </c>
      <c r="AI924" s="3" t="e">
        <f t="shared" ca="1" si="148"/>
        <v>#N/A</v>
      </c>
    </row>
    <row r="925" spans="7:35" ht="15.75" thickBot="1" x14ac:dyDescent="0.3">
      <c r="G925" s="3">
        <f t="shared" ca="1" si="140"/>
        <v>194</v>
      </c>
      <c r="H925" s="99">
        <f t="shared" ca="1" si="149"/>
        <v>46215</v>
      </c>
      <c r="I925" s="123">
        <f ca="1">HLOOKUP($H$4,'Met Data'!$A$2:$F$368,G925,FALSE)</f>
        <v>8.37083333333333</v>
      </c>
      <c r="J925" s="121">
        <f ca="1">HLOOKUP($H$4,'Met Data'!$H$2:$M$368,G925,FALSE)*L925</f>
        <v>2.748333333333322</v>
      </c>
      <c r="K925" s="100">
        <f ca="1">HLOOKUP($H$4,'Met Data'!$O$2:$T$368,G925,FALSE)</f>
        <v>1.0039262064680501</v>
      </c>
      <c r="L925">
        <f t="shared" ca="1" si="141"/>
        <v>1.7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5" t="e">
        <f t="shared" ca="1" si="146"/>
        <v>#N/A</v>
      </c>
      <c r="AH925" s="65" t="e">
        <f t="shared" ca="1" si="147"/>
        <v>#N/A</v>
      </c>
      <c r="AI925" s="3" t="e">
        <f t="shared" ca="1" si="148"/>
        <v>#N/A</v>
      </c>
    </row>
    <row r="926" spans="7:35" ht="15.75" thickBot="1" x14ac:dyDescent="0.3">
      <c r="G926" s="3">
        <f t="shared" ca="1" si="140"/>
        <v>195</v>
      </c>
      <c r="H926" s="99">
        <f t="shared" ca="1" si="149"/>
        <v>46216</v>
      </c>
      <c r="I926" s="123">
        <f ca="1">HLOOKUP($H$4,'Met Data'!$A$2:$F$368,G926,FALSE)</f>
        <v>8.0916666666666597</v>
      </c>
      <c r="J926" s="121">
        <f ca="1">HLOOKUP($H$4,'Met Data'!$H$2:$M$368,G926,FALSE)*L926</f>
        <v>8.6133333333333226</v>
      </c>
      <c r="K926" s="100">
        <f ca="1">HLOOKUP($H$4,'Met Data'!$O$2:$T$368,G926,FALSE)</f>
        <v>0.87492032925951801</v>
      </c>
      <c r="L926">
        <f t="shared" ca="1" si="141"/>
        <v>1.7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5" t="e">
        <f t="shared" ca="1" si="146"/>
        <v>#N/A</v>
      </c>
      <c r="AH926" s="65" t="e">
        <f t="shared" ca="1" si="147"/>
        <v>#N/A</v>
      </c>
      <c r="AI926" s="3" t="e">
        <f t="shared" ca="1" si="148"/>
        <v>#N/A</v>
      </c>
    </row>
    <row r="927" spans="7:35" ht="15.75" thickBot="1" x14ac:dyDescent="0.3">
      <c r="G927" s="3">
        <f t="shared" ca="1" si="140"/>
        <v>196</v>
      </c>
      <c r="H927" s="99">
        <f t="shared" ca="1" si="149"/>
        <v>46217</v>
      </c>
      <c r="I927" s="123">
        <f ca="1">HLOOKUP($H$4,'Met Data'!$A$2:$F$368,G927,FALSE)</f>
        <v>7.9156250000000004</v>
      </c>
      <c r="J927" s="121">
        <f ca="1">HLOOKUP($H$4,'Met Data'!$H$2:$M$368,G927,FALSE)*L927</f>
        <v>7.0833333333333215</v>
      </c>
      <c r="K927" s="100">
        <f ca="1">HLOOKUP($H$4,'Met Data'!$O$2:$T$368,G927,FALSE)</f>
        <v>0.80250527716076203</v>
      </c>
      <c r="L927">
        <f t="shared" ca="1" si="141"/>
        <v>1.7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5" t="e">
        <f t="shared" ca="1" si="146"/>
        <v>#N/A</v>
      </c>
      <c r="AH927" s="65" t="e">
        <f t="shared" ca="1" si="147"/>
        <v>#N/A</v>
      </c>
      <c r="AI927" s="3" t="e">
        <f t="shared" ca="1" si="148"/>
        <v>#N/A</v>
      </c>
    </row>
    <row r="928" spans="7:35" ht="15.75" thickBot="1" x14ac:dyDescent="0.3">
      <c r="G928" s="3">
        <f t="shared" ca="1" si="140"/>
        <v>197</v>
      </c>
      <c r="H928" s="99">
        <f t="shared" ca="1" si="149"/>
        <v>46218</v>
      </c>
      <c r="I928" s="123">
        <f ca="1">HLOOKUP($H$4,'Met Data'!$A$2:$F$368,G928,FALSE)</f>
        <v>8.8590909090909093</v>
      </c>
      <c r="J928" s="121">
        <f ca="1">HLOOKUP($H$4,'Met Data'!$H$2:$M$368,G928,FALSE)*L928</f>
        <v>3.5133333333333221</v>
      </c>
      <c r="K928" s="100">
        <f ca="1">HLOOKUP($H$4,'Met Data'!$O$2:$T$368,G928,FALSE)</f>
        <v>0.97822362204517799</v>
      </c>
      <c r="L928">
        <f t="shared" ca="1" si="141"/>
        <v>1.7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5" t="e">
        <f t="shared" ca="1" si="146"/>
        <v>#N/A</v>
      </c>
      <c r="AH928" s="65" t="e">
        <f t="shared" ca="1" si="147"/>
        <v>#N/A</v>
      </c>
      <c r="AI928" s="3" t="e">
        <f t="shared" ca="1" si="148"/>
        <v>#N/A</v>
      </c>
    </row>
    <row r="929" spans="7:35" ht="15.75" thickBot="1" x14ac:dyDescent="0.3">
      <c r="G929" s="3">
        <f t="shared" ca="1" si="140"/>
        <v>198</v>
      </c>
      <c r="H929" s="99">
        <f t="shared" ca="1" si="149"/>
        <v>46219</v>
      </c>
      <c r="I929" s="123">
        <f ca="1">HLOOKUP($H$4,'Met Data'!$A$2:$F$368,G929,FALSE)</f>
        <v>8.8590909090909093</v>
      </c>
      <c r="J929" s="121">
        <f ca="1">HLOOKUP($H$4,'Met Data'!$H$2:$M$368,G929,FALSE)*L929</f>
        <v>10.313333333333322</v>
      </c>
      <c r="K929" s="100">
        <f ca="1">HLOOKUP($H$4,'Met Data'!$O$2:$T$368,G929,FALSE)</f>
        <v>0.78802331007485205</v>
      </c>
      <c r="L929">
        <f t="shared" ca="1" si="141"/>
        <v>1.7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5" t="e">
        <f t="shared" ca="1" si="146"/>
        <v>#N/A</v>
      </c>
      <c r="AH929" s="65" t="e">
        <f t="shared" ca="1" si="147"/>
        <v>#N/A</v>
      </c>
      <c r="AI929" s="3" t="e">
        <f t="shared" ca="1" si="148"/>
        <v>#N/A</v>
      </c>
    </row>
    <row r="930" spans="7:35" ht="15.75" thickBot="1" x14ac:dyDescent="0.3">
      <c r="G930" s="3">
        <f t="shared" ca="1" si="140"/>
        <v>199</v>
      </c>
      <c r="H930" s="99">
        <f t="shared" ca="1" si="149"/>
        <v>46220</v>
      </c>
      <c r="I930" s="123">
        <f ca="1">HLOOKUP($H$4,'Met Data'!$A$2:$F$368,G930,FALSE)</f>
        <v>9.5909090909090899</v>
      </c>
      <c r="J930" s="121">
        <f ca="1">HLOOKUP($H$4,'Met Data'!$H$2:$M$368,G930,FALSE)*L930</f>
        <v>7.8199999999999994</v>
      </c>
      <c r="K930" s="100">
        <f ca="1">HLOOKUP($H$4,'Met Data'!$O$2:$T$368,G930,FALSE)</f>
        <v>0.944748845250029</v>
      </c>
      <c r="L930">
        <f t="shared" ca="1" si="141"/>
        <v>1.7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5" t="e">
        <f t="shared" ca="1" si="146"/>
        <v>#N/A</v>
      </c>
      <c r="AH930" s="65" t="e">
        <f t="shared" ca="1" si="147"/>
        <v>#N/A</v>
      </c>
      <c r="AI930" s="3" t="e">
        <f t="shared" ca="1" si="148"/>
        <v>#N/A</v>
      </c>
    </row>
    <row r="931" spans="7:35" ht="15.75" thickBot="1" x14ac:dyDescent="0.3">
      <c r="G931" s="3">
        <f t="shared" ca="1" si="140"/>
        <v>200</v>
      </c>
      <c r="H931" s="99">
        <f t="shared" ca="1" si="149"/>
        <v>46221</v>
      </c>
      <c r="I931" s="123">
        <f ca="1">HLOOKUP($H$4,'Met Data'!$A$2:$F$368,G931,FALSE)</f>
        <v>8.8450000000000006</v>
      </c>
      <c r="J931" s="121">
        <f ca="1">HLOOKUP($H$4,'Met Data'!$H$2:$M$368,G931,FALSE)*L931</f>
        <v>1.87</v>
      </c>
      <c r="K931" s="100">
        <f ca="1">HLOOKUP($H$4,'Met Data'!$O$2:$T$368,G931,FALSE)</f>
        <v>1.0240187106181899</v>
      </c>
      <c r="L931">
        <f t="shared" ca="1" si="141"/>
        <v>1.7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5" t="e">
        <f t="shared" ca="1" si="146"/>
        <v>#N/A</v>
      </c>
      <c r="AH931" s="65" t="e">
        <f t="shared" ca="1" si="147"/>
        <v>#N/A</v>
      </c>
      <c r="AI931" s="3" t="e">
        <f t="shared" ca="1" si="148"/>
        <v>#N/A</v>
      </c>
    </row>
    <row r="932" spans="7:35" ht="15.75" thickBot="1" x14ac:dyDescent="0.3">
      <c r="G932" s="3">
        <f t="shared" ca="1" si="140"/>
        <v>201</v>
      </c>
      <c r="H932" s="99">
        <f t="shared" ca="1" si="149"/>
        <v>46222</v>
      </c>
      <c r="I932" s="123">
        <f ca="1">HLOOKUP($H$4,'Met Data'!$A$2:$F$368,G932,FALSE)</f>
        <v>8.99166666666666</v>
      </c>
      <c r="J932" s="121">
        <f ca="1">HLOOKUP($H$4,'Met Data'!$H$2:$M$368,G932,FALSE)*L932</f>
        <v>2.2949999999999831</v>
      </c>
      <c r="K932" s="100">
        <f ca="1">HLOOKUP($H$4,'Met Data'!$O$2:$T$368,G932,FALSE)</f>
        <v>1.16174529470798</v>
      </c>
      <c r="L932">
        <f t="shared" ca="1" si="141"/>
        <v>1.7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5" t="e">
        <f t="shared" ca="1" si="146"/>
        <v>#N/A</v>
      </c>
      <c r="AH932" s="65" t="e">
        <f t="shared" ca="1" si="147"/>
        <v>#N/A</v>
      </c>
      <c r="AI932" s="3" t="e">
        <f t="shared" ca="1" si="148"/>
        <v>#N/A</v>
      </c>
    </row>
    <row r="933" spans="7:35" ht="15.75" thickBot="1" x14ac:dyDescent="0.3">
      <c r="G933" s="3">
        <f t="shared" ca="1" si="140"/>
        <v>202</v>
      </c>
      <c r="H933" s="99">
        <f t="shared" ca="1" si="149"/>
        <v>46223</v>
      </c>
      <c r="I933" s="123">
        <f ca="1">HLOOKUP($H$4,'Met Data'!$A$2:$F$368,G933,FALSE)</f>
        <v>9.5</v>
      </c>
      <c r="J933" s="121">
        <f ca="1">HLOOKUP($H$4,'Met Data'!$H$2:$M$368,G933,FALSE)*L933</f>
        <v>4.6749999999999998</v>
      </c>
      <c r="K933" s="100">
        <f ca="1">HLOOKUP($H$4,'Met Data'!$O$2:$T$368,G933,FALSE)</f>
        <v>0.94669865516537999</v>
      </c>
      <c r="L933">
        <f t="shared" ca="1" si="141"/>
        <v>1.7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5" t="e">
        <f t="shared" ca="1" si="146"/>
        <v>#N/A</v>
      </c>
      <c r="AH933" s="65" t="e">
        <f t="shared" ca="1" si="147"/>
        <v>#N/A</v>
      </c>
      <c r="AI933" s="3" t="e">
        <f t="shared" ca="1" si="148"/>
        <v>#N/A</v>
      </c>
    </row>
    <row r="934" spans="7:35" ht="15.75" thickBot="1" x14ac:dyDescent="0.3">
      <c r="G934" s="3">
        <f t="shared" ca="1" si="140"/>
        <v>203</v>
      </c>
      <c r="H934" s="99">
        <f t="shared" ca="1" si="149"/>
        <v>46224</v>
      </c>
      <c r="I934" s="123">
        <f ca="1">HLOOKUP($H$4,'Met Data'!$A$2:$F$368,G934,FALSE)</f>
        <v>9.8333333333333304</v>
      </c>
      <c r="J934" s="121">
        <f ca="1">HLOOKUP($H$4,'Met Data'!$H$2:$M$368,G934,FALSE)*L934</f>
        <v>6.1766666666666614</v>
      </c>
      <c r="K934" s="100">
        <f ca="1">HLOOKUP($H$4,'Met Data'!$O$2:$T$368,G934,FALSE)</f>
        <v>1.0815395194790001</v>
      </c>
      <c r="L934">
        <f t="shared" ca="1" si="141"/>
        <v>1.7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5" t="e">
        <f t="shared" ca="1" si="146"/>
        <v>#N/A</v>
      </c>
      <c r="AH934" s="65" t="e">
        <f t="shared" ca="1" si="147"/>
        <v>#N/A</v>
      </c>
      <c r="AI934" s="3" t="e">
        <f t="shared" ca="1" si="148"/>
        <v>#N/A</v>
      </c>
    </row>
    <row r="935" spans="7:35" ht="15.75" thickBot="1" x14ac:dyDescent="0.3">
      <c r="G935" s="3">
        <f t="shared" ca="1" si="140"/>
        <v>204</v>
      </c>
      <c r="H935" s="99">
        <f t="shared" ca="1" si="149"/>
        <v>46225</v>
      </c>
      <c r="I935" s="123">
        <f ca="1">HLOOKUP($H$4,'Met Data'!$A$2:$F$368,G935,FALSE)</f>
        <v>10.029166666666599</v>
      </c>
      <c r="J935" s="121">
        <f ca="1">HLOOKUP($H$4,'Met Data'!$H$2:$M$368,G935,FALSE)*L935</f>
        <v>7.9616666666666607</v>
      </c>
      <c r="K935" s="100">
        <f ca="1">HLOOKUP($H$4,'Met Data'!$O$2:$T$368,G935,FALSE)</f>
        <v>1.0771273773513399</v>
      </c>
      <c r="L935">
        <f t="shared" ca="1" si="141"/>
        <v>1.7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5" t="e">
        <f t="shared" ca="1" si="146"/>
        <v>#N/A</v>
      </c>
      <c r="AH935" s="65" t="e">
        <f t="shared" ca="1" si="147"/>
        <v>#N/A</v>
      </c>
      <c r="AI935" s="3" t="e">
        <f t="shared" ca="1" si="148"/>
        <v>#N/A</v>
      </c>
    </row>
    <row r="936" spans="7:35" ht="15.75" thickBot="1" x14ac:dyDescent="0.3">
      <c r="G936" s="3">
        <f t="shared" ca="1" si="140"/>
        <v>205</v>
      </c>
      <c r="H936" s="99">
        <f t="shared" ca="1" si="149"/>
        <v>46226</v>
      </c>
      <c r="I936" s="123">
        <f ca="1">HLOOKUP($H$4,'Met Data'!$A$2:$F$368,G936,FALSE)</f>
        <v>9.4250000000000007</v>
      </c>
      <c r="J936" s="121">
        <f ca="1">HLOOKUP($H$4,'Met Data'!$H$2:$M$368,G936,FALSE)*L936</f>
        <v>8.9533333333333225</v>
      </c>
      <c r="K936" s="100">
        <f ca="1">HLOOKUP($H$4,'Met Data'!$O$2:$T$368,G936,FALSE)</f>
        <v>0.87955885998233896</v>
      </c>
      <c r="L936">
        <f t="shared" ca="1" si="141"/>
        <v>1.7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5" t="e">
        <f t="shared" ca="1" si="146"/>
        <v>#N/A</v>
      </c>
      <c r="AH936" s="65" t="e">
        <f t="shared" ca="1" si="147"/>
        <v>#N/A</v>
      </c>
      <c r="AI936" s="3" t="e">
        <f t="shared" ca="1" si="148"/>
        <v>#N/A</v>
      </c>
    </row>
    <row r="937" spans="7:35" ht="15.75" thickBot="1" x14ac:dyDescent="0.3">
      <c r="G937" s="3">
        <f t="shared" ca="1" si="140"/>
        <v>206</v>
      </c>
      <c r="H937" s="99">
        <f t="shared" ca="1" si="149"/>
        <v>46227</v>
      </c>
      <c r="I937" s="123">
        <f ca="1">HLOOKUP($H$4,'Met Data'!$A$2:$F$368,G937,FALSE)</f>
        <v>9.4</v>
      </c>
      <c r="J937" s="121">
        <f ca="1">HLOOKUP($H$4,'Met Data'!$H$2:$M$368,G937,FALSE)*L937</f>
        <v>3.4849999999999994</v>
      </c>
      <c r="K937" s="100">
        <f ca="1">HLOOKUP($H$4,'Met Data'!$O$2:$T$368,G937,FALSE)</f>
        <v>0.953998897248024</v>
      </c>
      <c r="L937">
        <f t="shared" ca="1" si="141"/>
        <v>1.7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5" t="e">
        <f t="shared" ca="1" si="146"/>
        <v>#N/A</v>
      </c>
      <c r="AH937" s="65" t="e">
        <f t="shared" ca="1" si="147"/>
        <v>#N/A</v>
      </c>
      <c r="AI937" s="3" t="e">
        <f t="shared" ca="1" si="148"/>
        <v>#N/A</v>
      </c>
    </row>
    <row r="938" spans="7:35" ht="15.75" thickBot="1" x14ac:dyDescent="0.3">
      <c r="G938" s="3">
        <f t="shared" ca="1" si="140"/>
        <v>207</v>
      </c>
      <c r="H938" s="99">
        <f t="shared" ca="1" si="149"/>
        <v>46228</v>
      </c>
      <c r="I938" s="123">
        <f ca="1">HLOOKUP($H$4,'Met Data'!$A$2:$F$368,G938,FALSE)</f>
        <v>8.92916666666666</v>
      </c>
      <c r="J938" s="121">
        <f ca="1">HLOOKUP($H$4,'Met Data'!$H$2:$M$368,G938,FALSE)*L938</f>
        <v>1.9549999999999998</v>
      </c>
      <c r="K938" s="100">
        <f ca="1">HLOOKUP($H$4,'Met Data'!$O$2:$T$368,G938,FALSE)</f>
        <v>1.2467505566806001</v>
      </c>
      <c r="L938">
        <f t="shared" ca="1" si="141"/>
        <v>1.7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5" t="e">
        <f t="shared" ca="1" si="146"/>
        <v>#N/A</v>
      </c>
      <c r="AH938" s="65" t="e">
        <f t="shared" ca="1" si="147"/>
        <v>#N/A</v>
      </c>
      <c r="AI938" s="3" t="e">
        <f t="shared" ca="1" si="148"/>
        <v>#N/A</v>
      </c>
    </row>
    <row r="939" spans="7:35" ht="15.75" thickBot="1" x14ac:dyDescent="0.3">
      <c r="G939" s="3">
        <f t="shared" ca="1" si="140"/>
        <v>208</v>
      </c>
      <c r="H939" s="99">
        <f t="shared" ca="1" si="149"/>
        <v>46229</v>
      </c>
      <c r="I939" s="123">
        <f ca="1">HLOOKUP($H$4,'Met Data'!$A$2:$F$368,G939,FALSE)</f>
        <v>8.7624999999999993</v>
      </c>
      <c r="J939" s="121">
        <f ca="1">HLOOKUP($H$4,'Met Data'!$H$2:$M$368,G939,FALSE)*L939</f>
        <v>0.76500000000000001</v>
      </c>
      <c r="K939" s="100">
        <f ca="1">HLOOKUP($H$4,'Met Data'!$O$2:$T$368,G939,FALSE)</f>
        <v>1.3150067848265401</v>
      </c>
      <c r="L939">
        <f t="shared" ca="1" si="141"/>
        <v>1.7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5" t="e">
        <f t="shared" ca="1" si="146"/>
        <v>#N/A</v>
      </c>
      <c r="AH939" s="65" t="e">
        <f t="shared" ca="1" si="147"/>
        <v>#N/A</v>
      </c>
      <c r="AI939" s="3" t="e">
        <f t="shared" ca="1" si="148"/>
        <v>#N/A</v>
      </c>
    </row>
    <row r="940" spans="7:35" ht="15.75" thickBot="1" x14ac:dyDescent="0.3">
      <c r="G940" s="3">
        <f t="shared" ca="1" si="140"/>
        <v>209</v>
      </c>
      <c r="H940" s="99">
        <f t="shared" ca="1" si="149"/>
        <v>46230</v>
      </c>
      <c r="I940" s="123">
        <f ca="1">HLOOKUP($H$4,'Met Data'!$A$2:$F$368,G940,FALSE)</f>
        <v>9.3333333333333304</v>
      </c>
      <c r="J940" s="121">
        <f ca="1">HLOOKUP($H$4,'Met Data'!$H$2:$M$368,G940,FALSE)*L940</f>
        <v>3.4283333333333217</v>
      </c>
      <c r="K940" s="100">
        <f ca="1">HLOOKUP($H$4,'Met Data'!$O$2:$T$368,G940,FALSE)</f>
        <v>1.11956275252086</v>
      </c>
      <c r="L940">
        <f t="shared" ca="1" si="141"/>
        <v>1.7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5" t="e">
        <f t="shared" ca="1" si="146"/>
        <v>#N/A</v>
      </c>
      <c r="AH940" s="65" t="e">
        <f t="shared" ca="1" si="147"/>
        <v>#N/A</v>
      </c>
      <c r="AI940" s="3" t="e">
        <f t="shared" ca="1" si="148"/>
        <v>#N/A</v>
      </c>
    </row>
    <row r="941" spans="7:35" ht="15.75" thickBot="1" x14ac:dyDescent="0.3">
      <c r="G941" s="3">
        <f t="shared" ca="1" si="140"/>
        <v>210</v>
      </c>
      <c r="H941" s="99">
        <f t="shared" ca="1" si="149"/>
        <v>46231</v>
      </c>
      <c r="I941" s="123">
        <f ca="1">HLOOKUP($H$4,'Met Data'!$A$2:$F$368,G941,FALSE)</f>
        <v>8.9875000000000007</v>
      </c>
      <c r="J941" s="121">
        <f ca="1">HLOOKUP($H$4,'Met Data'!$H$2:$M$368,G941,FALSE)*L941</f>
        <v>2.1533333333333218</v>
      </c>
      <c r="K941" s="100">
        <f ca="1">HLOOKUP($H$4,'Met Data'!$O$2:$T$368,G941,FALSE)</f>
        <v>1.28515382274214</v>
      </c>
      <c r="L941">
        <f t="shared" ca="1" si="141"/>
        <v>1.7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5" t="e">
        <f t="shared" ca="1" si="146"/>
        <v>#N/A</v>
      </c>
      <c r="AH941" s="65" t="e">
        <f t="shared" ca="1" si="147"/>
        <v>#N/A</v>
      </c>
      <c r="AI941" s="3" t="e">
        <f t="shared" ca="1" si="148"/>
        <v>#N/A</v>
      </c>
    </row>
    <row r="942" spans="7:35" ht="15.75" thickBot="1" x14ac:dyDescent="0.3">
      <c r="G942" s="3">
        <f t="shared" ca="1" si="140"/>
        <v>211</v>
      </c>
      <c r="H942" s="99">
        <f t="shared" ca="1" si="149"/>
        <v>46232</v>
      </c>
      <c r="I942" s="123">
        <f ca="1">HLOOKUP($H$4,'Met Data'!$A$2:$F$368,G942,FALSE)</f>
        <v>9.0374999999999996</v>
      </c>
      <c r="J942" s="121">
        <f ca="1">HLOOKUP($H$4,'Met Data'!$H$2:$M$368,G942,FALSE)*L942</f>
        <v>4.7599999999999829</v>
      </c>
      <c r="K942" s="100">
        <f ca="1">HLOOKUP($H$4,'Met Data'!$O$2:$T$368,G942,FALSE)</f>
        <v>1.1959337492079301</v>
      </c>
      <c r="L942">
        <f t="shared" ca="1" si="141"/>
        <v>1.7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5" t="e">
        <f t="shared" ca="1" si="146"/>
        <v>#N/A</v>
      </c>
      <c r="AH942" s="65" t="e">
        <f t="shared" ca="1" si="147"/>
        <v>#N/A</v>
      </c>
      <c r="AI942" s="3" t="e">
        <f t="shared" ca="1" si="148"/>
        <v>#N/A</v>
      </c>
    </row>
    <row r="943" spans="7:35" ht="15.75" thickBot="1" x14ac:dyDescent="0.3">
      <c r="G943" s="3">
        <f t="shared" ca="1" si="140"/>
        <v>212</v>
      </c>
      <c r="H943" s="99">
        <f t="shared" ca="1" si="149"/>
        <v>46233</v>
      </c>
      <c r="I943" s="123">
        <f ca="1">HLOOKUP($H$4,'Met Data'!$A$2:$F$368,G943,FALSE)</f>
        <v>8.17916666666666</v>
      </c>
      <c r="J943" s="121">
        <f ca="1">HLOOKUP($H$4,'Met Data'!$H$2:$M$368,G943,FALSE)*L943</f>
        <v>2.6349999999999998</v>
      </c>
      <c r="K943" s="100">
        <f ca="1">HLOOKUP($H$4,'Met Data'!$O$2:$T$368,G943,FALSE)</f>
        <v>1.3658842309244701</v>
      </c>
      <c r="L943">
        <f t="shared" ca="1" si="141"/>
        <v>1.7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5" t="e">
        <f t="shared" ca="1" si="146"/>
        <v>#N/A</v>
      </c>
      <c r="AH943" s="65" t="e">
        <f t="shared" ca="1" si="147"/>
        <v>#N/A</v>
      </c>
      <c r="AI943" s="3" t="e">
        <f t="shared" ca="1" si="148"/>
        <v>#N/A</v>
      </c>
    </row>
    <row r="944" spans="7:35" ht="15.75" thickBot="1" x14ac:dyDescent="0.3">
      <c r="G944" s="3">
        <f t="shared" ref="G944:G999" ca="1" si="150">H944-DATE(YEAR(H944),1,0)+1</f>
        <v>213</v>
      </c>
      <c r="H944" s="99">
        <f t="shared" ca="1" si="149"/>
        <v>46234</v>
      </c>
      <c r="I944" s="123">
        <f ca="1">HLOOKUP($H$4,'Met Data'!$A$2:$F$368,G944,FALSE)</f>
        <v>8.75</v>
      </c>
      <c r="J944" s="121">
        <f ca="1">HLOOKUP($H$4,'Met Data'!$H$2:$M$368,G944,FALSE)*L944</f>
        <v>4.1649999999999832</v>
      </c>
      <c r="K944" s="100">
        <f ca="1">HLOOKUP($H$4,'Met Data'!$O$2:$T$368,G944,FALSE)</f>
        <v>0.89818915942500899</v>
      </c>
      <c r="L944">
        <f t="shared" ref="L944:L999" ca="1" si="151">IF(H944&lt;$B$31,$J$3,$J$4)</f>
        <v>1.7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5" t="e">
        <f t="shared" ref="AG944:AG999" ca="1" si="156">Q943+S944+T944+U944</f>
        <v>#N/A</v>
      </c>
      <c r="AH944" s="65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.75" thickBot="1" x14ac:dyDescent="0.3">
      <c r="G945" s="3">
        <f t="shared" ca="1" si="150"/>
        <v>214</v>
      </c>
      <c r="H945" s="99">
        <f t="shared" ca="1" si="149"/>
        <v>46235</v>
      </c>
      <c r="I945" s="123">
        <f ca="1">HLOOKUP($H$4,'Met Data'!$A$2:$F$368,G945,FALSE)</f>
        <v>10.3375</v>
      </c>
      <c r="J945" s="121">
        <f ca="1">HLOOKUP($H$4,'Met Data'!$H$2:$M$368,G945,FALSE)*L945</f>
        <v>8.9533333333333225</v>
      </c>
      <c r="K945" s="100">
        <f ca="1">HLOOKUP($H$4,'Met Data'!$O$2:$T$368,G945,FALSE)</f>
        <v>0.94454335980482496</v>
      </c>
      <c r="L945">
        <f t="shared" ca="1" si="151"/>
        <v>1.7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5" t="e">
        <f t="shared" ca="1" si="156"/>
        <v>#N/A</v>
      </c>
      <c r="AH945" s="65" t="e">
        <f t="shared" ca="1" si="157"/>
        <v>#N/A</v>
      </c>
      <c r="AI945" s="3" t="e">
        <f t="shared" ca="1" si="158"/>
        <v>#N/A</v>
      </c>
    </row>
    <row r="946" spans="7:35" ht="15.75" thickBot="1" x14ac:dyDescent="0.3">
      <c r="G946" s="3">
        <f t="shared" ca="1" si="150"/>
        <v>215</v>
      </c>
      <c r="H946" s="99">
        <f t="shared" ca="1" si="149"/>
        <v>46236</v>
      </c>
      <c r="I946" s="123">
        <f ca="1">HLOOKUP($H$4,'Met Data'!$A$2:$F$368,G946,FALSE)</f>
        <v>10.595454545454499</v>
      </c>
      <c r="J946" s="121">
        <f ca="1">HLOOKUP($H$4,'Met Data'!$H$2:$M$368,G946,FALSE)*L946</f>
        <v>7.5083333333333213</v>
      </c>
      <c r="K946" s="100">
        <f ca="1">HLOOKUP($H$4,'Met Data'!$O$2:$T$368,G946,FALSE)</f>
        <v>1.0832642567801201</v>
      </c>
      <c r="L946">
        <f t="shared" ca="1" si="151"/>
        <v>1.7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5" t="e">
        <f t="shared" ca="1" si="156"/>
        <v>#N/A</v>
      </c>
      <c r="AH946" s="65" t="e">
        <f t="shared" ca="1" si="157"/>
        <v>#N/A</v>
      </c>
      <c r="AI946" s="3" t="e">
        <f t="shared" ca="1" si="158"/>
        <v>#N/A</v>
      </c>
    </row>
    <row r="947" spans="7:35" ht="15.75" thickBot="1" x14ac:dyDescent="0.3">
      <c r="G947" s="3">
        <f t="shared" ca="1" si="150"/>
        <v>216</v>
      </c>
      <c r="H947" s="99">
        <f t="shared" ca="1" si="149"/>
        <v>46237</v>
      </c>
      <c r="I947" s="123">
        <f ca="1">HLOOKUP($H$4,'Met Data'!$A$2:$F$368,G947,FALSE)</f>
        <v>10.1041666666666</v>
      </c>
      <c r="J947" s="121">
        <f ca="1">HLOOKUP($H$4,'Met Data'!$H$2:$M$368,G947,FALSE)*L947</f>
        <v>3.5416666666666607</v>
      </c>
      <c r="K947" s="100">
        <f ca="1">HLOOKUP($H$4,'Met Data'!$O$2:$T$368,G947,FALSE)</f>
        <v>1.39183263100002</v>
      </c>
      <c r="L947">
        <f t="shared" ca="1" si="151"/>
        <v>1.7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5" t="e">
        <f t="shared" ca="1" si="156"/>
        <v>#N/A</v>
      </c>
      <c r="AH947" s="65" t="e">
        <f t="shared" ca="1" si="157"/>
        <v>#N/A</v>
      </c>
      <c r="AI947" s="3" t="e">
        <f t="shared" ca="1" si="158"/>
        <v>#N/A</v>
      </c>
    </row>
    <row r="948" spans="7:35" ht="15.75" thickBot="1" x14ac:dyDescent="0.3">
      <c r="G948" s="3">
        <f t="shared" ca="1" si="150"/>
        <v>217</v>
      </c>
      <c r="H948" s="99">
        <f t="shared" ca="1" si="149"/>
        <v>46238</v>
      </c>
      <c r="I948" s="123">
        <f ca="1">HLOOKUP($H$4,'Met Data'!$A$2:$F$368,G948,FALSE)</f>
        <v>10.1833333333333</v>
      </c>
      <c r="J948" s="121">
        <f ca="1">HLOOKUP($H$4,'Met Data'!$H$2:$M$368,G948,FALSE)*L948</f>
        <v>10.17166666666666</v>
      </c>
      <c r="K948" s="100">
        <f ca="1">HLOOKUP($H$4,'Met Data'!$O$2:$T$368,G948,FALSE)</f>
        <v>1.0301492818772899</v>
      </c>
      <c r="L948">
        <f t="shared" ca="1" si="151"/>
        <v>1.7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5" t="e">
        <f t="shared" ca="1" si="156"/>
        <v>#N/A</v>
      </c>
      <c r="AH948" s="65" t="e">
        <f t="shared" ca="1" si="157"/>
        <v>#N/A</v>
      </c>
      <c r="AI948" s="3" t="e">
        <f t="shared" ca="1" si="158"/>
        <v>#N/A</v>
      </c>
    </row>
    <row r="949" spans="7:35" ht="15.75" thickBot="1" x14ac:dyDescent="0.3">
      <c r="G949" s="3">
        <f t="shared" ca="1" si="150"/>
        <v>218</v>
      </c>
      <c r="H949" s="99">
        <f t="shared" ca="1" si="149"/>
        <v>46239</v>
      </c>
      <c r="I949" s="123">
        <f ca="1">HLOOKUP($H$4,'Met Data'!$A$2:$F$368,G949,FALSE)</f>
        <v>9.7708333333333304</v>
      </c>
      <c r="J949" s="121">
        <f ca="1">HLOOKUP($H$4,'Met Data'!$H$2:$M$368,G949,FALSE)*L949</f>
        <v>5.071666666666661</v>
      </c>
      <c r="K949" s="100">
        <f ca="1">HLOOKUP($H$4,'Met Data'!$O$2:$T$368,G949,FALSE)</f>
        <v>1.3432284560273799</v>
      </c>
      <c r="L949">
        <f t="shared" ca="1" si="151"/>
        <v>1.7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5" t="e">
        <f t="shared" ca="1" si="156"/>
        <v>#N/A</v>
      </c>
      <c r="AH949" s="65" t="e">
        <f t="shared" ca="1" si="157"/>
        <v>#N/A</v>
      </c>
      <c r="AI949" s="3" t="e">
        <f t="shared" ca="1" si="158"/>
        <v>#N/A</v>
      </c>
    </row>
    <row r="950" spans="7:35" ht="15.75" thickBot="1" x14ac:dyDescent="0.3">
      <c r="G950" s="3">
        <f t="shared" ca="1" si="150"/>
        <v>219</v>
      </c>
      <c r="H950" s="99">
        <f t="shared" ca="1" si="149"/>
        <v>46240</v>
      </c>
      <c r="I950" s="123">
        <f ca="1">HLOOKUP($H$4,'Met Data'!$A$2:$F$368,G950,FALSE)</f>
        <v>9.8791666666666593</v>
      </c>
      <c r="J950" s="121">
        <f ca="1">HLOOKUP($H$4,'Met Data'!$H$2:$M$368,G950,FALSE)*L950</f>
        <v>7.6216666666666608</v>
      </c>
      <c r="K950" s="100">
        <f ca="1">HLOOKUP($H$4,'Met Data'!$O$2:$T$368,G950,FALSE)</f>
        <v>1.0259838566514501</v>
      </c>
      <c r="L950">
        <f t="shared" ca="1" si="151"/>
        <v>1.7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5" t="e">
        <f t="shared" ca="1" si="156"/>
        <v>#N/A</v>
      </c>
      <c r="AH950" s="65" t="e">
        <f t="shared" ca="1" si="157"/>
        <v>#N/A</v>
      </c>
      <c r="AI950" s="3" t="e">
        <f t="shared" ca="1" si="158"/>
        <v>#N/A</v>
      </c>
    </row>
    <row r="951" spans="7:35" ht="15.75" thickBot="1" x14ac:dyDescent="0.3">
      <c r="G951" s="3">
        <f t="shared" ca="1" si="150"/>
        <v>220</v>
      </c>
      <c r="H951" s="99">
        <f t="shared" ca="1" si="149"/>
        <v>46241</v>
      </c>
      <c r="I951" s="123">
        <f ca="1">HLOOKUP($H$4,'Met Data'!$A$2:$F$368,G951,FALSE)</f>
        <v>9.9874999999999901</v>
      </c>
      <c r="J951" s="121">
        <f ca="1">HLOOKUP($H$4,'Met Data'!$H$2:$M$368,G951,FALSE)*L951</f>
        <v>3.74</v>
      </c>
      <c r="K951" s="100">
        <f ca="1">HLOOKUP($H$4,'Met Data'!$O$2:$T$368,G951,FALSE)</f>
        <v>1.1029484647982599</v>
      </c>
      <c r="L951">
        <f t="shared" ca="1" si="151"/>
        <v>1.7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5" t="e">
        <f t="shared" ca="1" si="156"/>
        <v>#N/A</v>
      </c>
      <c r="AH951" s="65" t="e">
        <f t="shared" ca="1" si="157"/>
        <v>#N/A</v>
      </c>
      <c r="AI951" s="3" t="e">
        <f t="shared" ca="1" si="158"/>
        <v>#N/A</v>
      </c>
    </row>
    <row r="952" spans="7:35" ht="15.75" thickBot="1" x14ac:dyDescent="0.3">
      <c r="G952" s="3">
        <f t="shared" ca="1" si="150"/>
        <v>221</v>
      </c>
      <c r="H952" s="99">
        <f t="shared" ca="1" si="149"/>
        <v>46242</v>
      </c>
      <c r="I952" s="123">
        <f ca="1">HLOOKUP($H$4,'Met Data'!$A$2:$F$368,G952,FALSE)</f>
        <v>9.4625000000000004</v>
      </c>
      <c r="J952" s="121">
        <f ca="1">HLOOKUP($H$4,'Met Data'!$H$2:$M$368,G952,FALSE)*L952</f>
        <v>6.1483333333333219</v>
      </c>
      <c r="K952" s="100">
        <f ca="1">HLOOKUP($H$4,'Met Data'!$O$2:$T$368,G952,FALSE)</f>
        <v>1.10790183862933</v>
      </c>
      <c r="L952">
        <f t="shared" ca="1" si="151"/>
        <v>1.7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5" t="e">
        <f t="shared" ca="1" si="156"/>
        <v>#N/A</v>
      </c>
      <c r="AH952" s="65" t="e">
        <f t="shared" ca="1" si="157"/>
        <v>#N/A</v>
      </c>
      <c r="AI952" s="3" t="e">
        <f t="shared" ca="1" si="158"/>
        <v>#N/A</v>
      </c>
    </row>
    <row r="953" spans="7:35" ht="15.75" thickBot="1" x14ac:dyDescent="0.3">
      <c r="G953" s="3">
        <f t="shared" ca="1" si="150"/>
        <v>222</v>
      </c>
      <c r="H953" s="99">
        <f t="shared" ca="1" si="149"/>
        <v>46243</v>
      </c>
      <c r="I953" s="123">
        <f ca="1">HLOOKUP($H$4,'Met Data'!$A$2:$F$368,G953,FALSE)</f>
        <v>8.42916666666666</v>
      </c>
      <c r="J953" s="121">
        <f ca="1">HLOOKUP($H$4,'Met Data'!$H$2:$M$368,G953,FALSE)*L953</f>
        <v>5.7799999999999994</v>
      </c>
      <c r="K953" s="100">
        <f ca="1">HLOOKUP($H$4,'Met Data'!$O$2:$T$368,G953,FALSE)</f>
        <v>1.32402542664303</v>
      </c>
      <c r="L953">
        <f t="shared" ca="1" si="151"/>
        <v>1.7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5" t="e">
        <f t="shared" ca="1" si="156"/>
        <v>#N/A</v>
      </c>
      <c r="AH953" s="65" t="e">
        <f t="shared" ca="1" si="157"/>
        <v>#N/A</v>
      </c>
      <c r="AI953" s="3" t="e">
        <f t="shared" ca="1" si="158"/>
        <v>#N/A</v>
      </c>
    </row>
    <row r="954" spans="7:35" ht="15.75" thickBot="1" x14ac:dyDescent="0.3">
      <c r="G954" s="3">
        <f t="shared" ca="1" si="150"/>
        <v>223</v>
      </c>
      <c r="H954" s="99">
        <f t="shared" ca="1" si="149"/>
        <v>46244</v>
      </c>
      <c r="I954" s="123">
        <f ca="1">HLOOKUP($H$4,'Met Data'!$A$2:$F$368,G954,FALSE)</f>
        <v>7.8416666666666597</v>
      </c>
      <c r="J954" s="121">
        <f ca="1">HLOOKUP($H$4,'Met Data'!$H$2:$M$368,G954,FALSE)*L954</f>
        <v>2.3516666666666608</v>
      </c>
      <c r="K954" s="100">
        <f ca="1">HLOOKUP($H$4,'Met Data'!$O$2:$T$368,G954,FALSE)</f>
        <v>1.2882274194230801</v>
      </c>
      <c r="L954">
        <f t="shared" ca="1" si="151"/>
        <v>1.7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5" t="e">
        <f t="shared" ca="1" si="156"/>
        <v>#N/A</v>
      </c>
      <c r="AH954" s="65" t="e">
        <f t="shared" ca="1" si="157"/>
        <v>#N/A</v>
      </c>
      <c r="AI954" s="3" t="e">
        <f t="shared" ca="1" si="158"/>
        <v>#N/A</v>
      </c>
    </row>
    <row r="955" spans="7:35" ht="15.75" thickBot="1" x14ac:dyDescent="0.3">
      <c r="G955" s="3">
        <f t="shared" ca="1" si="150"/>
        <v>224</v>
      </c>
      <c r="H955" s="99">
        <f t="shared" ca="1" si="149"/>
        <v>46245</v>
      </c>
      <c r="I955" s="123">
        <f ca="1">HLOOKUP($H$4,'Met Data'!$A$2:$F$368,G955,FALSE)</f>
        <v>8.7916666666666607</v>
      </c>
      <c r="J955" s="121">
        <f ca="1">HLOOKUP($H$4,'Met Data'!$H$2:$M$368,G955,FALSE)*L955</f>
        <v>7.99</v>
      </c>
      <c r="K955" s="100">
        <f ca="1">HLOOKUP($H$4,'Met Data'!$O$2:$T$368,G955,FALSE)</f>
        <v>1.2700812995642401</v>
      </c>
      <c r="L955">
        <f t="shared" ca="1" si="151"/>
        <v>1.7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5" t="e">
        <f t="shared" ca="1" si="156"/>
        <v>#N/A</v>
      </c>
      <c r="AH955" s="65" t="e">
        <f t="shared" ca="1" si="157"/>
        <v>#N/A</v>
      </c>
      <c r="AI955" s="3" t="e">
        <f t="shared" ca="1" si="158"/>
        <v>#N/A</v>
      </c>
    </row>
    <row r="956" spans="7:35" ht="15.75" thickBot="1" x14ac:dyDescent="0.3">
      <c r="G956" s="3">
        <f t="shared" ca="1" si="150"/>
        <v>225</v>
      </c>
      <c r="H956" s="99">
        <f t="shared" ca="1" si="149"/>
        <v>46246</v>
      </c>
      <c r="I956" s="123">
        <f ca="1">HLOOKUP($H$4,'Met Data'!$A$2:$F$368,G956,FALSE)</f>
        <v>9.2041666666666604</v>
      </c>
      <c r="J956" s="121">
        <f ca="1">HLOOKUP($H$4,'Met Data'!$H$2:$M$368,G956,FALSE)*L956</f>
        <v>8.4433333333333209</v>
      </c>
      <c r="K956" s="100">
        <f ca="1">HLOOKUP($H$4,'Met Data'!$O$2:$T$368,G956,FALSE)</f>
        <v>1.216678160996</v>
      </c>
      <c r="L956">
        <f t="shared" ca="1" si="151"/>
        <v>1.7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5" t="e">
        <f t="shared" ca="1" si="156"/>
        <v>#N/A</v>
      </c>
      <c r="AH956" s="65" t="e">
        <f t="shared" ca="1" si="157"/>
        <v>#N/A</v>
      </c>
      <c r="AI956" s="3" t="e">
        <f t="shared" ca="1" si="158"/>
        <v>#N/A</v>
      </c>
    </row>
    <row r="957" spans="7:35" ht="15.75" thickBot="1" x14ac:dyDescent="0.3">
      <c r="G957" s="3">
        <f t="shared" ca="1" si="150"/>
        <v>226</v>
      </c>
      <c r="H957" s="99">
        <f t="shared" ca="1" si="149"/>
        <v>46247</v>
      </c>
      <c r="I957" s="123">
        <f ca="1">HLOOKUP($H$4,'Met Data'!$A$2:$F$368,G957,FALSE)</f>
        <v>9.49583333333333</v>
      </c>
      <c r="J957" s="121">
        <f ca="1">HLOOKUP($H$4,'Met Data'!$H$2:$M$368,G957,FALSE)*L957</f>
        <v>5.2983333333333222</v>
      </c>
      <c r="K957" s="100">
        <f ca="1">HLOOKUP($H$4,'Met Data'!$O$2:$T$368,G957,FALSE)</f>
        <v>1.2041756804414001</v>
      </c>
      <c r="L957">
        <f t="shared" ca="1" si="151"/>
        <v>1.7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5" t="e">
        <f t="shared" ca="1" si="156"/>
        <v>#N/A</v>
      </c>
      <c r="AH957" s="65" t="e">
        <f t="shared" ca="1" si="157"/>
        <v>#N/A</v>
      </c>
      <c r="AI957" s="3" t="e">
        <f t="shared" ca="1" si="158"/>
        <v>#N/A</v>
      </c>
    </row>
    <row r="958" spans="7:35" ht="15.75" thickBot="1" x14ac:dyDescent="0.3">
      <c r="G958" s="3">
        <f t="shared" ca="1" si="150"/>
        <v>227</v>
      </c>
      <c r="H958" s="99">
        <f t="shared" ca="1" si="149"/>
        <v>46248</v>
      </c>
      <c r="I958" s="123">
        <f ca="1">HLOOKUP($H$4,'Met Data'!$A$2:$F$368,G958,FALSE)</f>
        <v>9.7791666666666597</v>
      </c>
      <c r="J958" s="121">
        <f ca="1">HLOOKUP($H$4,'Met Data'!$H$2:$M$368,G958,FALSE)*L958</f>
        <v>11.39</v>
      </c>
      <c r="K958" s="100">
        <f ca="1">HLOOKUP($H$4,'Met Data'!$O$2:$T$368,G958,FALSE)</f>
        <v>1.1357294741412001</v>
      </c>
      <c r="L958">
        <f t="shared" ca="1" si="151"/>
        <v>1.7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5" t="e">
        <f t="shared" ca="1" si="156"/>
        <v>#N/A</v>
      </c>
      <c r="AH958" s="65" t="e">
        <f t="shared" ca="1" si="157"/>
        <v>#N/A</v>
      </c>
      <c r="AI958" s="3" t="e">
        <f t="shared" ca="1" si="158"/>
        <v>#N/A</v>
      </c>
    </row>
    <row r="959" spans="7:35" ht="15.75" thickBot="1" x14ac:dyDescent="0.3">
      <c r="G959" s="3">
        <f t="shared" ca="1" si="150"/>
        <v>228</v>
      </c>
      <c r="H959" s="99">
        <f t="shared" ca="1" si="149"/>
        <v>46249</v>
      </c>
      <c r="I959" s="123">
        <f ca="1">HLOOKUP($H$4,'Met Data'!$A$2:$F$368,G959,FALSE)</f>
        <v>9.4375</v>
      </c>
      <c r="J959" s="121">
        <f ca="1">HLOOKUP($H$4,'Met Data'!$H$2:$M$368,G959,FALSE)*L959</f>
        <v>5.5816666666666608</v>
      </c>
      <c r="K959" s="100">
        <f ca="1">HLOOKUP($H$4,'Met Data'!$O$2:$T$368,G959,FALSE)</f>
        <v>1.2410385498851699</v>
      </c>
      <c r="L959">
        <f t="shared" ca="1" si="151"/>
        <v>1.7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5" t="e">
        <f t="shared" ca="1" si="156"/>
        <v>#N/A</v>
      </c>
      <c r="AH959" s="65" t="e">
        <f t="shared" ca="1" si="157"/>
        <v>#N/A</v>
      </c>
      <c r="AI959" s="3" t="e">
        <f t="shared" ca="1" si="158"/>
        <v>#N/A</v>
      </c>
    </row>
    <row r="960" spans="7:35" ht="15.75" thickBot="1" x14ac:dyDescent="0.3">
      <c r="G960" s="3">
        <f t="shared" ca="1" si="150"/>
        <v>229</v>
      </c>
      <c r="H960" s="99">
        <f t="shared" ca="1" si="149"/>
        <v>46250</v>
      </c>
      <c r="I960" s="123">
        <f ca="1">HLOOKUP($H$4,'Met Data'!$A$2:$F$368,G960,FALSE)</f>
        <v>9.6999999999999993</v>
      </c>
      <c r="J960" s="121">
        <f ca="1">HLOOKUP($H$4,'Met Data'!$H$2:$M$368,G960,FALSE)*L960</f>
        <v>2.7199999999999829</v>
      </c>
      <c r="K960" s="100">
        <f ca="1">HLOOKUP($H$4,'Met Data'!$O$2:$T$368,G960,FALSE)</f>
        <v>1.30158376837533</v>
      </c>
      <c r="L960">
        <f t="shared" ca="1" si="151"/>
        <v>1.7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5" t="e">
        <f t="shared" ca="1" si="156"/>
        <v>#N/A</v>
      </c>
      <c r="AH960" s="65" t="e">
        <f t="shared" ca="1" si="157"/>
        <v>#N/A</v>
      </c>
      <c r="AI960" s="3" t="e">
        <f t="shared" ca="1" si="158"/>
        <v>#N/A</v>
      </c>
    </row>
    <row r="961" spans="7:35" ht="15.75" thickBot="1" x14ac:dyDescent="0.3">
      <c r="G961" s="3">
        <f t="shared" ca="1" si="150"/>
        <v>230</v>
      </c>
      <c r="H961" s="99">
        <f t="shared" ca="1" si="149"/>
        <v>46251</v>
      </c>
      <c r="I961" s="123">
        <f ca="1">HLOOKUP($H$4,'Met Data'!$A$2:$F$368,G961,FALSE)</f>
        <v>9.61666666666666</v>
      </c>
      <c r="J961" s="121">
        <f ca="1">HLOOKUP($H$4,'Met Data'!$H$2:$M$368,G961,FALSE)*L961</f>
        <v>11.219999999999983</v>
      </c>
      <c r="K961" s="100">
        <f ca="1">HLOOKUP($H$4,'Met Data'!$O$2:$T$368,G961,FALSE)</f>
        <v>1.3713845776081399</v>
      </c>
      <c r="L961">
        <f t="shared" ca="1" si="151"/>
        <v>1.7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5" t="e">
        <f t="shared" ca="1" si="156"/>
        <v>#N/A</v>
      </c>
      <c r="AH961" s="65" t="e">
        <f t="shared" ca="1" si="157"/>
        <v>#N/A</v>
      </c>
      <c r="AI961" s="3" t="e">
        <f t="shared" ca="1" si="158"/>
        <v>#N/A</v>
      </c>
    </row>
    <row r="962" spans="7:35" ht="15.75" thickBot="1" x14ac:dyDescent="0.3">
      <c r="G962" s="3">
        <f t="shared" ca="1" si="150"/>
        <v>231</v>
      </c>
      <c r="H962" s="99">
        <f t="shared" ca="1" si="149"/>
        <v>46252</v>
      </c>
      <c r="I962" s="123">
        <f ca="1">HLOOKUP($H$4,'Met Data'!$A$2:$F$368,G962,FALSE)</f>
        <v>8.8333333333333304</v>
      </c>
      <c r="J962" s="121">
        <f ca="1">HLOOKUP($H$4,'Met Data'!$H$2:$M$368,G962,FALSE)*L962</f>
        <v>5.6099999999999994</v>
      </c>
      <c r="K962" s="100">
        <f ca="1">HLOOKUP($H$4,'Met Data'!$O$2:$T$368,G962,FALSE)</f>
        <v>1.38797998518043</v>
      </c>
      <c r="L962">
        <f t="shared" ca="1" si="151"/>
        <v>1.7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5" t="e">
        <f t="shared" ca="1" si="156"/>
        <v>#N/A</v>
      </c>
      <c r="AH962" s="65" t="e">
        <f t="shared" ca="1" si="157"/>
        <v>#N/A</v>
      </c>
      <c r="AI962" s="3" t="e">
        <f t="shared" ca="1" si="158"/>
        <v>#N/A</v>
      </c>
    </row>
    <row r="963" spans="7:35" ht="15.75" thickBot="1" x14ac:dyDescent="0.3">
      <c r="G963" s="3">
        <f t="shared" ca="1" si="150"/>
        <v>232</v>
      </c>
      <c r="H963" s="99">
        <f t="shared" ca="1" si="149"/>
        <v>46253</v>
      </c>
      <c r="I963" s="123">
        <f ca="1">HLOOKUP($H$4,'Met Data'!$A$2:$F$368,G963,FALSE)</f>
        <v>9.4833333333333307</v>
      </c>
      <c r="J963" s="121">
        <f ca="1">HLOOKUP($H$4,'Met Data'!$H$2:$M$368,G963,FALSE)*L963</f>
        <v>3.6266666666666612</v>
      </c>
      <c r="K963" s="100">
        <f ca="1">HLOOKUP($H$4,'Met Data'!$O$2:$T$368,G963,FALSE)</f>
        <v>1.56092628574794</v>
      </c>
      <c r="L963">
        <f t="shared" ca="1" si="151"/>
        <v>1.7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5" t="e">
        <f t="shared" ca="1" si="156"/>
        <v>#N/A</v>
      </c>
      <c r="AH963" s="65" t="e">
        <f t="shared" ca="1" si="157"/>
        <v>#N/A</v>
      </c>
      <c r="AI963" s="3" t="e">
        <f t="shared" ca="1" si="158"/>
        <v>#N/A</v>
      </c>
    </row>
    <row r="964" spans="7:35" ht="15.75" thickBot="1" x14ac:dyDescent="0.3">
      <c r="G964" s="3">
        <f t="shared" ca="1" si="150"/>
        <v>233</v>
      </c>
      <c r="H964" s="99">
        <f t="shared" ca="1" si="149"/>
        <v>46254</v>
      </c>
      <c r="I964" s="123">
        <f ca="1">HLOOKUP($H$4,'Met Data'!$A$2:$F$368,G964,FALSE)</f>
        <v>9.2583333333333293</v>
      </c>
      <c r="J964" s="121">
        <f ca="1">HLOOKUP($H$4,'Met Data'!$H$2:$M$368,G964,FALSE)*L964</f>
        <v>6.2050000000000001</v>
      </c>
      <c r="K964" s="100">
        <f ca="1">HLOOKUP($H$4,'Met Data'!$O$2:$T$368,G964,FALSE)</f>
        <v>1.4422774750484899</v>
      </c>
      <c r="L964">
        <f t="shared" ca="1" si="151"/>
        <v>1.7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5" t="e">
        <f t="shared" ca="1" si="156"/>
        <v>#N/A</v>
      </c>
      <c r="AH964" s="65" t="e">
        <f t="shared" ca="1" si="157"/>
        <v>#N/A</v>
      </c>
      <c r="AI964" s="3" t="e">
        <f t="shared" ca="1" si="158"/>
        <v>#N/A</v>
      </c>
    </row>
    <row r="965" spans="7:35" ht="15.75" thickBot="1" x14ac:dyDescent="0.3">
      <c r="G965" s="3">
        <f t="shared" ca="1" si="150"/>
        <v>234</v>
      </c>
      <c r="H965" s="99">
        <f t="shared" ca="1" si="149"/>
        <v>46255</v>
      </c>
      <c r="I965" s="123">
        <f ca="1">HLOOKUP($H$4,'Met Data'!$A$2:$F$368,G965,FALSE)</f>
        <v>9.7708333333333304</v>
      </c>
      <c r="J965" s="121">
        <f ca="1">HLOOKUP($H$4,'Met Data'!$H$2:$M$368,G965,FALSE)*L965</f>
        <v>4.0233333333333219</v>
      </c>
      <c r="K965" s="100">
        <f ca="1">HLOOKUP($H$4,'Met Data'!$O$2:$T$368,G965,FALSE)</f>
        <v>1.70464821639982</v>
      </c>
      <c r="L965">
        <f t="shared" ca="1" si="151"/>
        <v>1.7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5" t="e">
        <f t="shared" ca="1" si="156"/>
        <v>#N/A</v>
      </c>
      <c r="AH965" s="65" t="e">
        <f t="shared" ca="1" si="157"/>
        <v>#N/A</v>
      </c>
      <c r="AI965" s="3" t="e">
        <f t="shared" ca="1" si="158"/>
        <v>#N/A</v>
      </c>
    </row>
    <row r="966" spans="7:35" ht="15.75" thickBot="1" x14ac:dyDescent="0.3">
      <c r="G966" s="3">
        <f t="shared" ca="1" si="150"/>
        <v>235</v>
      </c>
      <c r="H966" s="99">
        <f t="shared" ca="1" si="149"/>
        <v>46256</v>
      </c>
      <c r="I966" s="123">
        <f ca="1">HLOOKUP($H$4,'Met Data'!$A$2:$F$368,G966,FALSE)</f>
        <v>9.5208333333333304</v>
      </c>
      <c r="J966" s="121">
        <f ca="1">HLOOKUP($H$4,'Met Data'!$H$2:$M$368,G966,FALSE)*L966</f>
        <v>7.5933333333333213</v>
      </c>
      <c r="K966" s="100">
        <f ca="1">HLOOKUP($H$4,'Met Data'!$O$2:$T$368,G966,FALSE)</f>
        <v>1.6762831823304301</v>
      </c>
      <c r="L966">
        <f t="shared" ca="1" si="151"/>
        <v>1.7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5" t="e">
        <f t="shared" ca="1" si="156"/>
        <v>#N/A</v>
      </c>
      <c r="AH966" s="65" t="e">
        <f t="shared" ca="1" si="157"/>
        <v>#N/A</v>
      </c>
      <c r="AI966" s="3" t="e">
        <f t="shared" ca="1" si="158"/>
        <v>#N/A</v>
      </c>
    </row>
    <row r="967" spans="7:35" ht="15.75" thickBot="1" x14ac:dyDescent="0.3">
      <c r="G967" s="3">
        <f t="shared" ca="1" si="150"/>
        <v>236</v>
      </c>
      <c r="H967" s="99">
        <f t="shared" ca="1" si="149"/>
        <v>46257</v>
      </c>
      <c r="I967" s="123">
        <f ca="1">HLOOKUP($H$4,'Met Data'!$A$2:$F$368,G967,FALSE)</f>
        <v>9.5791666666666604</v>
      </c>
      <c r="J967" s="121">
        <f ca="1">HLOOKUP($H$4,'Met Data'!$H$2:$M$368,G967,FALSE)*L967</f>
        <v>2.5216666666666612</v>
      </c>
      <c r="K967" s="100">
        <f ca="1">HLOOKUP($H$4,'Met Data'!$O$2:$T$368,G967,FALSE)</f>
        <v>1.44273965203753</v>
      </c>
      <c r="L967">
        <f t="shared" ca="1" si="151"/>
        <v>1.7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5" t="e">
        <f t="shared" ca="1" si="156"/>
        <v>#N/A</v>
      </c>
      <c r="AH967" s="65" t="e">
        <f t="shared" ca="1" si="157"/>
        <v>#N/A</v>
      </c>
      <c r="AI967" s="3" t="e">
        <f t="shared" ca="1" si="158"/>
        <v>#N/A</v>
      </c>
    </row>
    <row r="968" spans="7:35" ht="15.75" thickBot="1" x14ac:dyDescent="0.3">
      <c r="G968" s="3">
        <f t="shared" ca="1" si="150"/>
        <v>237</v>
      </c>
      <c r="H968" s="99">
        <f t="shared" ref="H968:H999" ca="1" si="159">H967+1</f>
        <v>46258</v>
      </c>
      <c r="I968" s="123">
        <f ca="1">HLOOKUP($H$4,'Met Data'!$A$2:$F$368,G968,FALSE)</f>
        <v>9.8874999999999993</v>
      </c>
      <c r="J968" s="121">
        <f ca="1">HLOOKUP($H$4,'Met Data'!$H$2:$M$368,G968,FALSE)*L968</f>
        <v>0.96333333333333215</v>
      </c>
      <c r="K968" s="100">
        <f ca="1">HLOOKUP($H$4,'Met Data'!$O$2:$T$368,G968,FALSE)</f>
        <v>1.7386735184612501</v>
      </c>
      <c r="L968">
        <f t="shared" ca="1" si="151"/>
        <v>1.7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5" t="e">
        <f t="shared" ca="1" si="156"/>
        <v>#N/A</v>
      </c>
      <c r="AH968" s="65" t="e">
        <f t="shared" ca="1" si="157"/>
        <v>#N/A</v>
      </c>
      <c r="AI968" s="3" t="e">
        <f t="shared" ca="1" si="158"/>
        <v>#N/A</v>
      </c>
    </row>
    <row r="969" spans="7:35" ht="15.75" thickBot="1" x14ac:dyDescent="0.3">
      <c r="G969" s="3">
        <f t="shared" ca="1" si="150"/>
        <v>238</v>
      </c>
      <c r="H969" s="99">
        <f t="shared" ca="1" si="159"/>
        <v>46259</v>
      </c>
      <c r="I969" s="123">
        <f ca="1">HLOOKUP($H$4,'Met Data'!$A$2:$F$368,G969,FALSE)</f>
        <v>9.7208333333333297</v>
      </c>
      <c r="J969" s="121">
        <f ca="1">HLOOKUP($H$4,'Met Data'!$H$2:$M$368,G969,FALSE)*L969</f>
        <v>4.1933333333333218</v>
      </c>
      <c r="K969" s="100">
        <f ca="1">HLOOKUP($H$4,'Met Data'!$O$2:$T$368,G969,FALSE)</f>
        <v>1.45538034550647</v>
      </c>
      <c r="L969">
        <f t="shared" ca="1" si="151"/>
        <v>1.7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5" t="e">
        <f t="shared" ca="1" si="156"/>
        <v>#N/A</v>
      </c>
      <c r="AH969" s="65" t="e">
        <f t="shared" ca="1" si="157"/>
        <v>#N/A</v>
      </c>
      <c r="AI969" s="3" t="e">
        <f t="shared" ca="1" si="158"/>
        <v>#N/A</v>
      </c>
    </row>
    <row r="970" spans="7:35" ht="15.75" thickBot="1" x14ac:dyDescent="0.3">
      <c r="G970" s="3">
        <f t="shared" ca="1" si="150"/>
        <v>239</v>
      </c>
      <c r="H970" s="99">
        <f t="shared" ca="1" si="159"/>
        <v>46260</v>
      </c>
      <c r="I970" s="123">
        <f ca="1">HLOOKUP($H$4,'Met Data'!$A$2:$F$368,G970,FALSE)</f>
        <v>10.716666666666599</v>
      </c>
      <c r="J970" s="121">
        <f ca="1">HLOOKUP($H$4,'Met Data'!$H$2:$M$368,G970,FALSE)*L970</f>
        <v>5.2133333333333223</v>
      </c>
      <c r="K970" s="100">
        <f ca="1">HLOOKUP($H$4,'Met Data'!$O$2:$T$368,G970,FALSE)</f>
        <v>1.4899612238642299</v>
      </c>
      <c r="L970">
        <f t="shared" ca="1" si="151"/>
        <v>1.7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5" t="e">
        <f t="shared" ca="1" si="156"/>
        <v>#N/A</v>
      </c>
      <c r="AH970" s="65" t="e">
        <f t="shared" ca="1" si="157"/>
        <v>#N/A</v>
      </c>
      <c r="AI970" s="3" t="e">
        <f t="shared" ca="1" si="158"/>
        <v>#N/A</v>
      </c>
    </row>
    <row r="971" spans="7:35" ht="15.75" thickBot="1" x14ac:dyDescent="0.3">
      <c r="G971" s="3">
        <f t="shared" ca="1" si="150"/>
        <v>240</v>
      </c>
      <c r="H971" s="99">
        <f t="shared" ca="1" si="159"/>
        <v>46261</v>
      </c>
      <c r="I971" s="123">
        <f ca="1">HLOOKUP($H$4,'Met Data'!$A$2:$F$368,G971,FALSE)</f>
        <v>10.754166666666601</v>
      </c>
      <c r="J971" s="121">
        <f ca="1">HLOOKUP($H$4,'Met Data'!$H$2:$M$368,G971,FALSE)*L971</f>
        <v>1.756666666666661</v>
      </c>
      <c r="K971" s="100">
        <f ca="1">HLOOKUP($H$4,'Met Data'!$O$2:$T$368,G971,FALSE)</f>
        <v>1.6543487023337</v>
      </c>
      <c r="L971">
        <f t="shared" ca="1" si="151"/>
        <v>1.7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5" t="e">
        <f t="shared" ca="1" si="156"/>
        <v>#N/A</v>
      </c>
      <c r="AH971" s="65" t="e">
        <f t="shared" ca="1" si="157"/>
        <v>#N/A</v>
      </c>
      <c r="AI971" s="3" t="e">
        <f t="shared" ca="1" si="158"/>
        <v>#N/A</v>
      </c>
    </row>
    <row r="972" spans="7:35" ht="15.75" thickBot="1" x14ac:dyDescent="0.3">
      <c r="G972" s="3">
        <f t="shared" ca="1" si="150"/>
        <v>241</v>
      </c>
      <c r="H972" s="99">
        <f t="shared" ca="1" si="159"/>
        <v>46262</v>
      </c>
      <c r="I972" s="123">
        <f ca="1">HLOOKUP($H$4,'Met Data'!$A$2:$F$368,G972,FALSE)</f>
        <v>11.0833333333333</v>
      </c>
      <c r="J972" s="121">
        <f ca="1">HLOOKUP($H$4,'Met Data'!$H$2:$M$368,G972,FALSE)*L972</f>
        <v>3.23</v>
      </c>
      <c r="K972" s="100">
        <f ca="1">HLOOKUP($H$4,'Met Data'!$O$2:$T$368,G972,FALSE)</f>
        <v>1.6425180639822501</v>
      </c>
      <c r="L972">
        <f t="shared" ca="1" si="151"/>
        <v>1.7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5" t="e">
        <f t="shared" ca="1" si="156"/>
        <v>#N/A</v>
      </c>
      <c r="AH972" s="65" t="e">
        <f t="shared" ca="1" si="157"/>
        <v>#N/A</v>
      </c>
      <c r="AI972" s="3" t="e">
        <f t="shared" ca="1" si="158"/>
        <v>#N/A</v>
      </c>
    </row>
    <row r="973" spans="7:35" ht="15.75" thickBot="1" x14ac:dyDescent="0.3">
      <c r="G973" s="3">
        <f t="shared" ca="1" si="150"/>
        <v>242</v>
      </c>
      <c r="H973" s="99">
        <f t="shared" ca="1" si="159"/>
        <v>46263</v>
      </c>
      <c r="I973" s="123">
        <f ca="1">HLOOKUP($H$4,'Met Data'!$A$2:$F$368,G973,FALSE)</f>
        <v>10.5791666666666</v>
      </c>
      <c r="J973" s="121">
        <f ca="1">HLOOKUP($H$4,'Met Data'!$H$2:$M$368,G973,FALSE)*L973</f>
        <v>5.1283333333333214</v>
      </c>
      <c r="K973" s="100">
        <f ca="1">HLOOKUP($H$4,'Met Data'!$O$2:$T$368,G973,FALSE)</f>
        <v>1.5065040723285099</v>
      </c>
      <c r="L973">
        <f t="shared" ca="1" si="151"/>
        <v>1.7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5" t="e">
        <f t="shared" ca="1" si="156"/>
        <v>#N/A</v>
      </c>
      <c r="AH973" s="65" t="e">
        <f t="shared" ca="1" si="157"/>
        <v>#N/A</v>
      </c>
      <c r="AI973" s="3" t="e">
        <f t="shared" ca="1" si="158"/>
        <v>#N/A</v>
      </c>
    </row>
    <row r="974" spans="7:35" ht="15.75" thickBot="1" x14ac:dyDescent="0.3">
      <c r="G974" s="3">
        <f t="shared" ca="1" si="150"/>
        <v>243</v>
      </c>
      <c r="H974" s="99">
        <f t="shared" ca="1" si="159"/>
        <v>46264</v>
      </c>
      <c r="I974" s="123">
        <f ca="1">HLOOKUP($H$4,'Met Data'!$A$2:$F$368,G974,FALSE)</f>
        <v>11.1208333333333</v>
      </c>
      <c r="J974" s="121">
        <f ca="1">HLOOKUP($H$4,'Met Data'!$H$2:$M$368,G974,FALSE)*L974</f>
        <v>2.663333333333322</v>
      </c>
      <c r="K974" s="100">
        <f ca="1">HLOOKUP($H$4,'Met Data'!$O$2:$T$368,G974,FALSE)</f>
        <v>1.7782422370636499</v>
      </c>
      <c r="L974">
        <f t="shared" ca="1" si="151"/>
        <v>1.7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5" t="e">
        <f t="shared" ca="1" si="156"/>
        <v>#N/A</v>
      </c>
      <c r="AH974" s="65" t="e">
        <f t="shared" ca="1" si="157"/>
        <v>#N/A</v>
      </c>
      <c r="AI974" s="3" t="e">
        <f t="shared" ca="1" si="158"/>
        <v>#N/A</v>
      </c>
    </row>
    <row r="975" spans="7:35" ht="15.75" thickBot="1" x14ac:dyDescent="0.3">
      <c r="G975" s="3">
        <f t="shared" ca="1" si="150"/>
        <v>244</v>
      </c>
      <c r="H975" s="99">
        <f t="shared" ca="1" si="159"/>
        <v>46265</v>
      </c>
      <c r="I975" s="123">
        <f ca="1">HLOOKUP($H$4,'Met Data'!$A$2:$F$368,G975,FALSE)</f>
        <v>10.6666666666666</v>
      </c>
      <c r="J975" s="121">
        <f ca="1">HLOOKUP($H$4,'Met Data'!$H$2:$M$368,G975,FALSE)*L975</f>
        <v>2.946666666666661</v>
      </c>
      <c r="K975" s="100">
        <f ca="1">HLOOKUP($H$4,'Met Data'!$O$2:$T$368,G975,FALSE)</f>
        <v>1.8075127039194601</v>
      </c>
      <c r="L975">
        <f t="shared" ca="1" si="151"/>
        <v>1.7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5" t="e">
        <f t="shared" ca="1" si="156"/>
        <v>#N/A</v>
      </c>
      <c r="AH975" s="65" t="e">
        <f t="shared" ca="1" si="157"/>
        <v>#N/A</v>
      </c>
      <c r="AI975" s="3" t="e">
        <f t="shared" ca="1" si="158"/>
        <v>#N/A</v>
      </c>
    </row>
    <row r="976" spans="7:35" ht="15.75" thickBot="1" x14ac:dyDescent="0.3">
      <c r="G976" s="3">
        <f t="shared" ca="1" si="150"/>
        <v>245</v>
      </c>
      <c r="H976" s="99">
        <f t="shared" ca="1" si="159"/>
        <v>46266</v>
      </c>
      <c r="I976" s="123">
        <f ca="1">HLOOKUP($H$4,'Met Data'!$A$2:$F$368,G976,FALSE)</f>
        <v>10.1208333333333</v>
      </c>
      <c r="J976" s="121">
        <f ca="1">HLOOKUP($H$4,'Met Data'!$H$2:$M$368,G976,FALSE)*L976</f>
        <v>1.36</v>
      </c>
      <c r="K976" s="100">
        <f ca="1">HLOOKUP($H$4,'Met Data'!$O$2:$T$368,G976,FALSE)</f>
        <v>1.80445161149383</v>
      </c>
      <c r="L976">
        <f t="shared" ca="1" si="151"/>
        <v>1.7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5" t="e">
        <f t="shared" ca="1" si="156"/>
        <v>#N/A</v>
      </c>
      <c r="AH976" s="65" t="e">
        <f t="shared" ca="1" si="157"/>
        <v>#N/A</v>
      </c>
      <c r="AI976" s="3" t="e">
        <f t="shared" ca="1" si="158"/>
        <v>#N/A</v>
      </c>
    </row>
    <row r="977" spans="7:35" ht="15.75" thickBot="1" x14ac:dyDescent="0.3">
      <c r="G977" s="3">
        <f t="shared" ca="1" si="150"/>
        <v>246</v>
      </c>
      <c r="H977" s="99">
        <f t="shared" ca="1" si="159"/>
        <v>46267</v>
      </c>
      <c r="I977" s="123">
        <f ca="1">HLOOKUP($H$4,'Met Data'!$A$2:$F$368,G977,FALSE)</f>
        <v>9.6624999999999996</v>
      </c>
      <c r="J977" s="121">
        <f ca="1">HLOOKUP($H$4,'Met Data'!$H$2:$M$368,G977,FALSE)*L977</f>
        <v>5.2416666666666609</v>
      </c>
      <c r="K977" s="100">
        <f ca="1">HLOOKUP($H$4,'Met Data'!$O$2:$T$368,G977,FALSE)</f>
        <v>1.4517482623371101</v>
      </c>
      <c r="L977">
        <f t="shared" ca="1" si="151"/>
        <v>1.7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5" t="e">
        <f t="shared" ca="1" si="156"/>
        <v>#N/A</v>
      </c>
      <c r="AH977" s="65" t="e">
        <f t="shared" ca="1" si="157"/>
        <v>#N/A</v>
      </c>
      <c r="AI977" s="3" t="e">
        <f t="shared" ca="1" si="158"/>
        <v>#N/A</v>
      </c>
    </row>
    <row r="978" spans="7:35" ht="15.75" thickBot="1" x14ac:dyDescent="0.3">
      <c r="G978" s="3">
        <f t="shared" ca="1" si="150"/>
        <v>247</v>
      </c>
      <c r="H978" s="99">
        <f t="shared" ca="1" si="159"/>
        <v>46268</v>
      </c>
      <c r="I978" s="123">
        <f ca="1">HLOOKUP($H$4,'Met Data'!$A$2:$F$368,G978,FALSE)</f>
        <v>9.7541666666666593</v>
      </c>
      <c r="J978" s="121">
        <f ca="1">HLOOKUP($H$4,'Met Data'!$H$2:$M$368,G978,FALSE)*L978</f>
        <v>1.8416666666666608</v>
      </c>
      <c r="K978" s="100">
        <f ca="1">HLOOKUP($H$4,'Met Data'!$O$2:$T$368,G978,FALSE)</f>
        <v>1.75831978881469</v>
      </c>
      <c r="L978">
        <f t="shared" ca="1" si="151"/>
        <v>1.7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5" t="e">
        <f t="shared" ca="1" si="156"/>
        <v>#N/A</v>
      </c>
      <c r="AH978" s="65" t="e">
        <f t="shared" ca="1" si="157"/>
        <v>#N/A</v>
      </c>
      <c r="AI978" s="3" t="e">
        <f t="shared" ca="1" si="158"/>
        <v>#N/A</v>
      </c>
    </row>
    <row r="979" spans="7:35" ht="15.75" thickBot="1" x14ac:dyDescent="0.3">
      <c r="G979" s="3">
        <f t="shared" ca="1" si="150"/>
        <v>248</v>
      </c>
      <c r="H979" s="99">
        <f t="shared" ca="1" si="159"/>
        <v>46269</v>
      </c>
      <c r="I979" s="123">
        <f ca="1">HLOOKUP($H$4,'Met Data'!$A$2:$F$368,G979,FALSE)</f>
        <v>10.0583333333333</v>
      </c>
      <c r="J979" s="121">
        <f ca="1">HLOOKUP($H$4,'Met Data'!$H$2:$M$368,G979,FALSE)*L979</f>
        <v>4.1649999999999832</v>
      </c>
      <c r="K979" s="100">
        <f ca="1">HLOOKUP($H$4,'Met Data'!$O$2:$T$368,G979,FALSE)</f>
        <v>1.8005069619965</v>
      </c>
      <c r="L979">
        <f t="shared" ca="1" si="151"/>
        <v>1.7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5" t="e">
        <f t="shared" ca="1" si="156"/>
        <v>#N/A</v>
      </c>
      <c r="AH979" s="65" t="e">
        <f t="shared" ca="1" si="157"/>
        <v>#N/A</v>
      </c>
      <c r="AI979" s="3" t="e">
        <f t="shared" ca="1" si="158"/>
        <v>#N/A</v>
      </c>
    </row>
    <row r="980" spans="7:35" ht="15.75" thickBot="1" x14ac:dyDescent="0.3">
      <c r="G980" s="3">
        <f t="shared" ca="1" si="150"/>
        <v>249</v>
      </c>
      <c r="H980" s="99">
        <f t="shared" ca="1" si="159"/>
        <v>46270</v>
      </c>
      <c r="I980" s="123">
        <f ca="1">HLOOKUP($H$4,'Met Data'!$A$2:$F$368,G980,FALSE)</f>
        <v>9.7750000000000004</v>
      </c>
      <c r="J980" s="121">
        <f ca="1">HLOOKUP($H$4,'Met Data'!$H$2:$M$368,G980,FALSE)*L980</f>
        <v>5.44</v>
      </c>
      <c r="K980" s="100">
        <f ca="1">HLOOKUP($H$4,'Met Data'!$O$2:$T$368,G980,FALSE)</f>
        <v>1.49919962363172</v>
      </c>
      <c r="L980">
        <f t="shared" ca="1" si="151"/>
        <v>1.7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5" t="e">
        <f t="shared" ca="1" si="156"/>
        <v>#N/A</v>
      </c>
      <c r="AH980" s="65" t="e">
        <f t="shared" ca="1" si="157"/>
        <v>#N/A</v>
      </c>
      <c r="AI980" s="3" t="e">
        <f t="shared" ca="1" si="158"/>
        <v>#N/A</v>
      </c>
    </row>
    <row r="981" spans="7:35" ht="15.75" thickBot="1" x14ac:dyDescent="0.3">
      <c r="G981" s="3">
        <f t="shared" ca="1" si="150"/>
        <v>250</v>
      </c>
      <c r="H981" s="99">
        <f t="shared" ca="1" si="159"/>
        <v>46271</v>
      </c>
      <c r="I981" s="123">
        <f ca="1">HLOOKUP($H$4,'Met Data'!$A$2:$F$368,G981,FALSE)</f>
        <v>10.3333333333333</v>
      </c>
      <c r="J981" s="121">
        <f ca="1">HLOOKUP($H$4,'Met Data'!$H$2:$M$368,G981,FALSE)*L981</f>
        <v>10.086666666666661</v>
      </c>
      <c r="K981" s="100">
        <f ca="1">HLOOKUP($H$4,'Met Data'!$O$2:$T$368,G981,FALSE)</f>
        <v>1.4735664157819599</v>
      </c>
      <c r="L981">
        <f t="shared" ca="1" si="151"/>
        <v>1.7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5" t="e">
        <f t="shared" ca="1" si="156"/>
        <v>#N/A</v>
      </c>
      <c r="AH981" s="65" t="e">
        <f t="shared" ca="1" si="157"/>
        <v>#N/A</v>
      </c>
      <c r="AI981" s="3" t="e">
        <f t="shared" ca="1" si="158"/>
        <v>#N/A</v>
      </c>
    </row>
    <row r="982" spans="7:35" ht="15.75" thickBot="1" x14ac:dyDescent="0.3">
      <c r="G982" s="3">
        <f t="shared" ca="1" si="150"/>
        <v>251</v>
      </c>
      <c r="H982" s="99">
        <f t="shared" ca="1" si="159"/>
        <v>46272</v>
      </c>
      <c r="I982" s="123">
        <f ca="1">HLOOKUP($H$4,'Met Data'!$A$2:$F$368,G982,FALSE)</f>
        <v>10.7708333333333</v>
      </c>
      <c r="J982" s="121">
        <f ca="1">HLOOKUP($H$4,'Met Data'!$H$2:$M$368,G982,FALSE)*L982</f>
        <v>2.04</v>
      </c>
      <c r="K982" s="100">
        <f ca="1">HLOOKUP($H$4,'Met Data'!$O$2:$T$368,G982,FALSE)</f>
        <v>1.8170202832795099</v>
      </c>
      <c r="L982">
        <f t="shared" ca="1" si="151"/>
        <v>1.7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5" t="e">
        <f t="shared" ca="1" si="156"/>
        <v>#N/A</v>
      </c>
      <c r="AH982" s="65" t="e">
        <f t="shared" ca="1" si="157"/>
        <v>#N/A</v>
      </c>
      <c r="AI982" s="3" t="e">
        <f t="shared" ca="1" si="158"/>
        <v>#N/A</v>
      </c>
    </row>
    <row r="983" spans="7:35" ht="15.75" thickBot="1" x14ac:dyDescent="0.3">
      <c r="G983" s="3">
        <f t="shared" ca="1" si="150"/>
        <v>252</v>
      </c>
      <c r="H983" s="99">
        <f t="shared" ca="1" si="159"/>
        <v>46273</v>
      </c>
      <c r="I983" s="123">
        <f ca="1">HLOOKUP($H$4,'Met Data'!$A$2:$F$368,G983,FALSE)</f>
        <v>10.5791666666666</v>
      </c>
      <c r="J983" s="121">
        <f ca="1">HLOOKUP($H$4,'Met Data'!$H$2:$M$368,G983,FALSE)*L983</f>
        <v>1.501666666666666</v>
      </c>
      <c r="K983" s="100">
        <f ca="1">HLOOKUP($H$4,'Met Data'!$O$2:$T$368,G983,FALSE)</f>
        <v>1.8773510693625799</v>
      </c>
      <c r="L983">
        <f t="shared" ca="1" si="151"/>
        <v>1.7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5" t="e">
        <f t="shared" ca="1" si="156"/>
        <v>#N/A</v>
      </c>
      <c r="AH983" s="65" t="e">
        <f t="shared" ca="1" si="157"/>
        <v>#N/A</v>
      </c>
      <c r="AI983" s="3" t="e">
        <f t="shared" ca="1" si="158"/>
        <v>#N/A</v>
      </c>
    </row>
    <row r="984" spans="7:35" ht="15.75" thickBot="1" x14ac:dyDescent="0.3">
      <c r="G984" s="3">
        <f t="shared" ca="1" si="150"/>
        <v>253</v>
      </c>
      <c r="H984" s="99">
        <f t="shared" ca="1" si="159"/>
        <v>46274</v>
      </c>
      <c r="I984" s="123">
        <f ca="1">HLOOKUP($H$4,'Met Data'!$A$2:$F$368,G984,FALSE)</f>
        <v>9.6125000000000007</v>
      </c>
      <c r="J984" s="121">
        <f ca="1">HLOOKUP($H$4,'Met Data'!$H$2:$M$368,G984,FALSE)*L984</f>
        <v>7.4233333333333222</v>
      </c>
      <c r="K984" s="100">
        <f ca="1">HLOOKUP($H$4,'Met Data'!$O$2:$T$368,G984,FALSE)</f>
        <v>1.8525160666589899</v>
      </c>
      <c r="L984">
        <f t="shared" ca="1" si="151"/>
        <v>1.7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5" t="e">
        <f t="shared" ca="1" si="156"/>
        <v>#N/A</v>
      </c>
      <c r="AH984" s="65" t="e">
        <f t="shared" ca="1" si="157"/>
        <v>#N/A</v>
      </c>
      <c r="AI984" s="3" t="e">
        <f t="shared" ca="1" si="158"/>
        <v>#N/A</v>
      </c>
    </row>
    <row r="985" spans="7:35" ht="15.75" thickBot="1" x14ac:dyDescent="0.3">
      <c r="G985" s="3">
        <f t="shared" ca="1" si="150"/>
        <v>254</v>
      </c>
      <c r="H985" s="99">
        <f t="shared" ca="1" si="159"/>
        <v>46275</v>
      </c>
      <c r="I985" s="123">
        <f ca="1">HLOOKUP($H$4,'Met Data'!$A$2:$F$368,G985,FALSE)</f>
        <v>10.0875</v>
      </c>
      <c r="J985" s="121">
        <f ca="1">HLOOKUP($H$4,'Met Data'!$H$2:$M$368,G985,FALSE)*L985</f>
        <v>5.8649999999999824</v>
      </c>
      <c r="K985" s="100">
        <f ca="1">HLOOKUP($H$4,'Met Data'!$O$2:$T$368,G985,FALSE)</f>
        <v>1.67590206119575</v>
      </c>
      <c r="L985">
        <f t="shared" ca="1" si="151"/>
        <v>1.7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5" t="e">
        <f t="shared" ca="1" si="156"/>
        <v>#N/A</v>
      </c>
      <c r="AH985" s="65" t="e">
        <f t="shared" ca="1" si="157"/>
        <v>#N/A</v>
      </c>
      <c r="AI985" s="3" t="e">
        <f t="shared" ca="1" si="158"/>
        <v>#N/A</v>
      </c>
    </row>
    <row r="986" spans="7:35" ht="15.75" thickBot="1" x14ac:dyDescent="0.3">
      <c r="G986" s="3">
        <f t="shared" ca="1" si="150"/>
        <v>255</v>
      </c>
      <c r="H986" s="99">
        <f t="shared" ca="1" si="159"/>
        <v>46276</v>
      </c>
      <c r="I986" s="123">
        <f ca="1">HLOOKUP($H$4,'Met Data'!$A$2:$F$368,G986,FALSE)</f>
        <v>10.6416666666666</v>
      </c>
      <c r="J986" s="121">
        <f ca="1">HLOOKUP($H$4,'Met Data'!$H$2:$M$368,G986,FALSE)*L986</f>
        <v>10.993333333333322</v>
      </c>
      <c r="K986" s="100">
        <f ca="1">HLOOKUP($H$4,'Met Data'!$O$2:$T$368,G986,FALSE)</f>
        <v>1.7070370554204599</v>
      </c>
      <c r="L986">
        <f t="shared" ca="1" si="151"/>
        <v>1.7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5" t="e">
        <f t="shared" ca="1" si="156"/>
        <v>#N/A</v>
      </c>
      <c r="AH986" s="65" t="e">
        <f t="shared" ca="1" si="157"/>
        <v>#N/A</v>
      </c>
      <c r="AI986" s="3" t="e">
        <f t="shared" ca="1" si="158"/>
        <v>#N/A</v>
      </c>
    </row>
    <row r="987" spans="7:35" ht="15.75" thickBot="1" x14ac:dyDescent="0.3">
      <c r="G987" s="3">
        <f t="shared" ca="1" si="150"/>
        <v>256</v>
      </c>
      <c r="H987" s="99">
        <f t="shared" ca="1" si="159"/>
        <v>46277</v>
      </c>
      <c r="I987" s="123">
        <f ca="1">HLOOKUP($H$4,'Met Data'!$A$2:$F$368,G987,FALSE)</f>
        <v>10.4541666666666</v>
      </c>
      <c r="J987" s="121">
        <f ca="1">HLOOKUP($H$4,'Met Data'!$H$2:$M$368,G987,FALSE)*L987</f>
        <v>3.4283333333333217</v>
      </c>
      <c r="K987" s="100">
        <f ca="1">HLOOKUP($H$4,'Met Data'!$O$2:$T$368,G987,FALSE)</f>
        <v>1.9219866027073</v>
      </c>
      <c r="L987">
        <f t="shared" ca="1" si="151"/>
        <v>1.7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5" t="e">
        <f t="shared" ca="1" si="156"/>
        <v>#N/A</v>
      </c>
      <c r="AH987" s="65" t="e">
        <f t="shared" ca="1" si="157"/>
        <v>#N/A</v>
      </c>
      <c r="AI987" s="3" t="e">
        <f t="shared" ca="1" si="158"/>
        <v>#N/A</v>
      </c>
    </row>
    <row r="988" spans="7:35" ht="15.75" thickBot="1" x14ac:dyDescent="0.3">
      <c r="G988" s="3">
        <f t="shared" ca="1" si="150"/>
        <v>257</v>
      </c>
      <c r="H988" s="99">
        <f t="shared" ca="1" si="159"/>
        <v>46278</v>
      </c>
      <c r="I988" s="123">
        <f ca="1">HLOOKUP($H$4,'Met Data'!$A$2:$F$368,G988,FALSE)</f>
        <v>11.216666666666599</v>
      </c>
      <c r="J988" s="121">
        <f ca="1">HLOOKUP($H$4,'Met Data'!$H$2:$M$368,G988,FALSE)*L988</f>
        <v>2.5216666666666612</v>
      </c>
      <c r="K988" s="100">
        <f ca="1">HLOOKUP($H$4,'Met Data'!$O$2:$T$368,G988,FALSE)</f>
        <v>1.86072433418519</v>
      </c>
      <c r="L988">
        <f t="shared" ca="1" si="151"/>
        <v>1.7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5" t="e">
        <f t="shared" ca="1" si="156"/>
        <v>#N/A</v>
      </c>
      <c r="AH988" s="65" t="e">
        <f t="shared" ca="1" si="157"/>
        <v>#N/A</v>
      </c>
      <c r="AI988" s="3" t="e">
        <f t="shared" ca="1" si="158"/>
        <v>#N/A</v>
      </c>
    </row>
    <row r="989" spans="7:35" ht="15.75" thickBot="1" x14ac:dyDescent="0.3">
      <c r="G989" s="3">
        <f t="shared" ca="1" si="150"/>
        <v>258</v>
      </c>
      <c r="H989" s="99">
        <f t="shared" ca="1" si="159"/>
        <v>46279</v>
      </c>
      <c r="I989" s="123">
        <f ca="1">HLOOKUP($H$4,'Met Data'!$A$2:$F$368,G989,FALSE)</f>
        <v>11.1</v>
      </c>
      <c r="J989" s="121">
        <f ca="1">HLOOKUP($H$4,'Met Data'!$H$2:$M$368,G989,FALSE)*L989</f>
        <v>4.1083333333333218</v>
      </c>
      <c r="K989" s="100">
        <f ca="1">HLOOKUP($H$4,'Met Data'!$O$2:$T$368,G989,FALSE)</f>
        <v>1.6515892534407901</v>
      </c>
      <c r="L989">
        <f t="shared" ca="1" si="151"/>
        <v>1.7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5" t="e">
        <f t="shared" ca="1" si="156"/>
        <v>#N/A</v>
      </c>
      <c r="AH989" s="65" t="e">
        <f t="shared" ca="1" si="157"/>
        <v>#N/A</v>
      </c>
      <c r="AI989" s="3" t="e">
        <f t="shared" ca="1" si="158"/>
        <v>#N/A</v>
      </c>
    </row>
    <row r="990" spans="7:35" ht="15.75" thickBot="1" x14ac:dyDescent="0.3">
      <c r="G990" s="3">
        <f t="shared" ca="1" si="150"/>
        <v>259</v>
      </c>
      <c r="H990" s="99">
        <f t="shared" ca="1" si="159"/>
        <v>46280</v>
      </c>
      <c r="I990" s="123">
        <f ca="1">HLOOKUP($H$4,'Met Data'!$A$2:$F$368,G990,FALSE)</f>
        <v>11.3708333333333</v>
      </c>
      <c r="J990" s="121">
        <f ca="1">HLOOKUP($H$4,'Met Data'!$H$2:$M$368,G990,FALSE)*L990</f>
        <v>2.21</v>
      </c>
      <c r="K990" s="100">
        <f ca="1">HLOOKUP($H$4,'Met Data'!$O$2:$T$368,G990,FALSE)</f>
        <v>1.8040111781852</v>
      </c>
      <c r="L990">
        <f t="shared" ca="1" si="151"/>
        <v>1.7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5" t="e">
        <f t="shared" ca="1" si="156"/>
        <v>#N/A</v>
      </c>
      <c r="AH990" s="65" t="e">
        <f t="shared" ca="1" si="157"/>
        <v>#N/A</v>
      </c>
      <c r="AI990" s="3" t="e">
        <f t="shared" ca="1" si="158"/>
        <v>#N/A</v>
      </c>
    </row>
    <row r="991" spans="7:35" ht="15.75" thickBot="1" x14ac:dyDescent="0.3">
      <c r="G991" s="3">
        <f t="shared" ca="1" si="150"/>
        <v>260</v>
      </c>
      <c r="H991" s="99">
        <f t="shared" ca="1" si="159"/>
        <v>46281</v>
      </c>
      <c r="I991" s="123">
        <f ca="1">HLOOKUP($H$4,'Met Data'!$A$2:$F$368,G991,FALSE)</f>
        <v>11.2916666666666</v>
      </c>
      <c r="J991" s="121">
        <f ca="1">HLOOKUP($H$4,'Met Data'!$H$2:$M$368,G991,FALSE)*L991</f>
        <v>4.42</v>
      </c>
      <c r="K991" s="100">
        <f ca="1">HLOOKUP($H$4,'Met Data'!$O$2:$T$368,G991,FALSE)</f>
        <v>1.8880733064353601</v>
      </c>
      <c r="L991">
        <f t="shared" ca="1" si="151"/>
        <v>1.7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5" t="e">
        <f t="shared" ca="1" si="156"/>
        <v>#N/A</v>
      </c>
      <c r="AH991" s="65" t="e">
        <f t="shared" ca="1" si="157"/>
        <v>#N/A</v>
      </c>
      <c r="AI991" s="3" t="e">
        <f t="shared" ca="1" si="158"/>
        <v>#N/A</v>
      </c>
    </row>
    <row r="992" spans="7:35" ht="15.75" thickBot="1" x14ac:dyDescent="0.3">
      <c r="G992" s="3">
        <f t="shared" ca="1" si="150"/>
        <v>261</v>
      </c>
      <c r="H992" s="99">
        <f t="shared" ca="1" si="159"/>
        <v>46282</v>
      </c>
      <c r="I992" s="123">
        <f ca="1">HLOOKUP($H$4,'Met Data'!$A$2:$F$368,G992,FALSE)</f>
        <v>12.2125</v>
      </c>
      <c r="J992" s="121">
        <f ca="1">HLOOKUP($H$4,'Met Data'!$H$2:$M$368,G992,FALSE)*L992</f>
        <v>7.8199999999999994</v>
      </c>
      <c r="K992" s="100">
        <f ca="1">HLOOKUP($H$4,'Met Data'!$O$2:$T$368,G992,FALSE)</f>
        <v>2.0382752192881299</v>
      </c>
      <c r="L992">
        <f t="shared" ca="1" si="151"/>
        <v>1.7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5" t="e">
        <f t="shared" ca="1" si="156"/>
        <v>#N/A</v>
      </c>
      <c r="AH992" s="65" t="e">
        <f t="shared" ca="1" si="157"/>
        <v>#N/A</v>
      </c>
      <c r="AI992" s="3" t="e">
        <f t="shared" ca="1" si="158"/>
        <v>#N/A</v>
      </c>
    </row>
    <row r="993" spans="7:35" ht="15.75" thickBot="1" x14ac:dyDescent="0.3">
      <c r="G993" s="3">
        <f t="shared" ca="1" si="150"/>
        <v>262</v>
      </c>
      <c r="H993" s="99">
        <f t="shared" ca="1" si="159"/>
        <v>46283</v>
      </c>
      <c r="I993" s="123">
        <f ca="1">HLOOKUP($H$4,'Met Data'!$A$2:$F$368,G993,FALSE)</f>
        <v>11.35</v>
      </c>
      <c r="J993" s="121">
        <f ca="1">HLOOKUP($H$4,'Met Data'!$H$2:$M$368,G993,FALSE)*L993</f>
        <v>6.6866666666666612</v>
      </c>
      <c r="K993" s="100">
        <f ca="1">HLOOKUP($H$4,'Met Data'!$O$2:$T$368,G993,FALSE)</f>
        <v>2.00744960029109</v>
      </c>
      <c r="L993">
        <f t="shared" ca="1" si="151"/>
        <v>1.7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5" t="e">
        <f t="shared" ca="1" si="156"/>
        <v>#N/A</v>
      </c>
      <c r="AH993" s="65" t="e">
        <f t="shared" ca="1" si="157"/>
        <v>#N/A</v>
      </c>
      <c r="AI993" s="3" t="e">
        <f t="shared" ca="1" si="158"/>
        <v>#N/A</v>
      </c>
    </row>
    <row r="994" spans="7:35" ht="15.75" thickBot="1" x14ac:dyDescent="0.3">
      <c r="G994" s="3">
        <f t="shared" ca="1" si="150"/>
        <v>263</v>
      </c>
      <c r="H994" s="99">
        <f t="shared" ca="1" si="159"/>
        <v>46284</v>
      </c>
      <c r="I994" s="123">
        <f ca="1">HLOOKUP($H$4,'Met Data'!$A$2:$F$368,G994,FALSE)</f>
        <v>10.504166666666601</v>
      </c>
      <c r="J994" s="121">
        <f ca="1">HLOOKUP($H$4,'Met Data'!$H$2:$M$368,G994,FALSE)*L994</f>
        <v>14.846666666666662</v>
      </c>
      <c r="K994" s="100">
        <f ca="1">HLOOKUP($H$4,'Met Data'!$O$2:$T$368,G994,FALSE)</f>
        <v>1.9387559167362001</v>
      </c>
      <c r="L994">
        <f t="shared" ca="1" si="151"/>
        <v>1.7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5" t="e">
        <f t="shared" ca="1" si="156"/>
        <v>#N/A</v>
      </c>
      <c r="AH994" s="65" t="e">
        <f t="shared" ca="1" si="157"/>
        <v>#N/A</v>
      </c>
      <c r="AI994" s="3" t="e">
        <f t="shared" ca="1" si="158"/>
        <v>#N/A</v>
      </c>
    </row>
    <row r="995" spans="7:35" ht="15.75" thickBot="1" x14ac:dyDescent="0.3">
      <c r="G995" s="3">
        <f t="shared" ca="1" si="150"/>
        <v>264</v>
      </c>
      <c r="H995" s="99">
        <f t="shared" ca="1" si="159"/>
        <v>46285</v>
      </c>
      <c r="I995" s="123">
        <f ca="1">HLOOKUP($H$4,'Met Data'!$A$2:$F$368,G995,FALSE)</f>
        <v>10.387499999999999</v>
      </c>
      <c r="J995" s="121">
        <f ca="1">HLOOKUP($H$4,'Met Data'!$H$2:$M$368,G995,FALSE)*L995</f>
        <v>6.5449999999999999</v>
      </c>
      <c r="K995" s="100">
        <f ca="1">HLOOKUP($H$4,'Met Data'!$O$2:$T$368,G995,FALSE)</f>
        <v>2.0861830094945102</v>
      </c>
      <c r="L995">
        <f t="shared" ca="1" si="151"/>
        <v>1.7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5" t="e">
        <f t="shared" ca="1" si="156"/>
        <v>#N/A</v>
      </c>
      <c r="AH995" s="65" t="e">
        <f t="shared" ca="1" si="157"/>
        <v>#N/A</v>
      </c>
      <c r="AI995" s="3" t="e">
        <f t="shared" ca="1" si="158"/>
        <v>#N/A</v>
      </c>
    </row>
    <row r="996" spans="7:35" ht="15.75" thickBot="1" x14ac:dyDescent="0.3">
      <c r="G996" s="3">
        <f t="shared" ca="1" si="150"/>
        <v>265</v>
      </c>
      <c r="H996" s="99">
        <f t="shared" ca="1" si="159"/>
        <v>46286</v>
      </c>
      <c r="I996" s="123">
        <f ca="1">HLOOKUP($H$4,'Met Data'!$A$2:$F$368,G996,FALSE)</f>
        <v>9.85</v>
      </c>
      <c r="J996" s="121">
        <f ca="1">HLOOKUP($H$4,'Met Data'!$H$2:$M$368,G996,FALSE)*L996</f>
        <v>3.0599999999999832</v>
      </c>
      <c r="K996" s="100">
        <f ca="1">HLOOKUP($H$4,'Met Data'!$O$2:$T$368,G996,FALSE)</f>
        <v>2.1398164486974101</v>
      </c>
      <c r="L996">
        <f t="shared" ca="1" si="151"/>
        <v>1.7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5" t="e">
        <f t="shared" ca="1" si="156"/>
        <v>#N/A</v>
      </c>
      <c r="AH996" s="65" t="e">
        <f t="shared" ca="1" si="157"/>
        <v>#N/A</v>
      </c>
      <c r="AI996" s="3" t="e">
        <f t="shared" ca="1" si="158"/>
        <v>#N/A</v>
      </c>
    </row>
    <row r="997" spans="7:35" ht="15.75" thickBot="1" x14ac:dyDescent="0.3">
      <c r="G997" s="3">
        <f t="shared" ca="1" si="150"/>
        <v>266</v>
      </c>
      <c r="H997" s="99">
        <f t="shared" ca="1" si="159"/>
        <v>46287</v>
      </c>
      <c r="I997" s="123">
        <f ca="1">HLOOKUP($H$4,'Met Data'!$A$2:$F$368,G997,FALSE)</f>
        <v>10.158333333333299</v>
      </c>
      <c r="J997" s="121">
        <f ca="1">HLOOKUP($H$4,'Met Data'!$H$2:$M$368,G997,FALSE)*L997</f>
        <v>6.6866666666666612</v>
      </c>
      <c r="K997" s="100">
        <f ca="1">HLOOKUP($H$4,'Met Data'!$O$2:$T$368,G997,FALSE)</f>
        <v>2.31412085445224</v>
      </c>
      <c r="L997">
        <f t="shared" ca="1" si="151"/>
        <v>1.7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5" t="e">
        <f t="shared" ca="1" si="156"/>
        <v>#N/A</v>
      </c>
      <c r="AH997" s="65" t="e">
        <f t="shared" ca="1" si="157"/>
        <v>#N/A</v>
      </c>
      <c r="AI997" s="3" t="e">
        <f t="shared" ca="1" si="158"/>
        <v>#N/A</v>
      </c>
    </row>
    <row r="998" spans="7:35" ht="15.75" thickBot="1" x14ac:dyDescent="0.3">
      <c r="G998" s="3">
        <f t="shared" ca="1" si="150"/>
        <v>267</v>
      </c>
      <c r="H998" s="99">
        <f t="shared" ca="1" si="159"/>
        <v>46288</v>
      </c>
      <c r="I998" s="123">
        <f ca="1">HLOOKUP($H$4,'Met Data'!$A$2:$F$368,G998,FALSE)</f>
        <v>10.9625</v>
      </c>
      <c r="J998" s="121">
        <f ca="1">HLOOKUP($H$4,'Met Data'!$H$2:$M$368,G998,FALSE)*L998</f>
        <v>3.1733333333333218</v>
      </c>
      <c r="K998" s="100">
        <f ca="1">HLOOKUP($H$4,'Met Data'!$O$2:$T$368,G998,FALSE)</f>
        <v>2.2059606634486699</v>
      </c>
      <c r="L998">
        <f t="shared" ca="1" si="151"/>
        <v>1.7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5" t="e">
        <f t="shared" ca="1" si="156"/>
        <v>#N/A</v>
      </c>
      <c r="AH998" s="65" t="e">
        <f t="shared" ca="1" si="157"/>
        <v>#N/A</v>
      </c>
      <c r="AI998" s="3" t="e">
        <f t="shared" ca="1" si="158"/>
        <v>#N/A</v>
      </c>
    </row>
    <row r="999" spans="7:35" ht="15.75" thickBot="1" x14ac:dyDescent="0.3">
      <c r="G999" s="3">
        <f t="shared" ca="1" si="150"/>
        <v>268</v>
      </c>
      <c r="H999" s="99">
        <f t="shared" ca="1" si="159"/>
        <v>46289</v>
      </c>
      <c r="I999" s="123">
        <f ca="1">HLOOKUP($H$4,'Met Data'!$A$2:$F$368,G999,FALSE)</f>
        <v>11.6458333333333</v>
      </c>
      <c r="J999" s="121">
        <f ca="1">HLOOKUP($H$4,'Met Data'!$H$2:$M$368,G999,FALSE)*L999</f>
        <v>9.3783333333333232</v>
      </c>
      <c r="K999" s="100">
        <f ca="1">HLOOKUP($H$4,'Met Data'!$O$2:$T$368,G999,FALSE)</f>
        <v>1.6755097599300399</v>
      </c>
      <c r="L999">
        <f t="shared" ca="1" si="151"/>
        <v>1.7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5" t="e">
        <f t="shared" ca="1" si="156"/>
        <v>#N/A</v>
      </c>
      <c r="AH999" s="65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 x14ac:dyDescent="0.25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25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 x14ac:dyDescent="0.25">
      <c r="A4" s="14"/>
      <c r="AC4" t="s">
        <v>73</v>
      </c>
      <c r="AZ4" s="15"/>
    </row>
    <row r="5" spans="1:53" ht="15.75" thickBot="1" x14ac:dyDescent="0.3">
      <c r="A5" s="1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47" t="s">
        <v>31</v>
      </c>
      <c r="B7" s="48" t="s">
        <v>34</v>
      </c>
      <c r="C7" s="48" t="s">
        <v>36</v>
      </c>
      <c r="D7" s="48" t="s">
        <v>50</v>
      </c>
      <c r="E7" s="48" t="s">
        <v>241</v>
      </c>
      <c r="F7" s="48" t="s">
        <v>20</v>
      </c>
      <c r="G7" s="49" t="s">
        <v>69</v>
      </c>
      <c r="J7" s="32" t="s">
        <v>106</v>
      </c>
      <c r="L7" s="46" t="s">
        <v>107</v>
      </c>
      <c r="N7" s="43" t="s">
        <v>171</v>
      </c>
      <c r="P7" s="43" t="s">
        <v>172</v>
      </c>
      <c r="R7" s="43" t="s">
        <v>1</v>
      </c>
      <c r="U7" s="43" t="s">
        <v>3</v>
      </c>
      <c r="X7" s="119" t="s">
        <v>198</v>
      </c>
      <c r="Z7" s="119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50" t="s">
        <v>32</v>
      </c>
      <c r="B8" s="51" t="s">
        <v>35</v>
      </c>
      <c r="C8" s="51" t="s">
        <v>45</v>
      </c>
      <c r="D8" s="51" t="s">
        <v>44</v>
      </c>
      <c r="E8" s="51" t="s">
        <v>58</v>
      </c>
      <c r="F8" s="51" t="s">
        <v>64</v>
      </c>
      <c r="G8" s="52" t="s">
        <v>56</v>
      </c>
      <c r="J8" s="14" t="s">
        <v>20</v>
      </c>
      <c r="L8" s="44" t="s">
        <v>21</v>
      </c>
      <c r="N8" s="44" t="s">
        <v>170</v>
      </c>
      <c r="P8" s="44" t="s">
        <v>179</v>
      </c>
      <c r="R8" s="44" t="s">
        <v>2</v>
      </c>
      <c r="S8">
        <v>1000</v>
      </c>
      <c r="U8" s="44" t="s">
        <v>191</v>
      </c>
      <c r="V8">
        <v>1</v>
      </c>
      <c r="X8" s="44" t="s">
        <v>199</v>
      </c>
      <c r="Z8" s="44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C9" s="51" t="s">
        <v>44</v>
      </c>
      <c r="D9" s="51" t="s">
        <v>56</v>
      </c>
      <c r="E9" s="51" t="s">
        <v>60</v>
      </c>
      <c r="F9" s="51" t="s">
        <v>63</v>
      </c>
      <c r="G9" s="52" t="s">
        <v>97</v>
      </c>
      <c r="J9" s="16" t="s">
        <v>22</v>
      </c>
      <c r="L9" s="44" t="s">
        <v>23</v>
      </c>
      <c r="N9" s="44" t="s">
        <v>108</v>
      </c>
      <c r="P9" s="44" t="s">
        <v>181</v>
      </c>
      <c r="R9" s="44" t="s">
        <v>109</v>
      </c>
      <c r="S9">
        <v>1</v>
      </c>
      <c r="U9" s="44" t="s">
        <v>192</v>
      </c>
      <c r="V9">
        <v>2</v>
      </c>
      <c r="X9" s="44" t="s">
        <v>201</v>
      </c>
      <c r="Z9" s="44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C10" s="51" t="s">
        <v>38</v>
      </c>
      <c r="D10" s="51" t="s">
        <v>51</v>
      </c>
      <c r="E10" s="51" t="s">
        <v>59</v>
      </c>
      <c r="F10" s="51" t="s">
        <v>62</v>
      </c>
      <c r="G10" s="52" t="s">
        <v>80</v>
      </c>
      <c r="L10" s="44" t="s">
        <v>24</v>
      </c>
      <c r="N10" s="44" t="s">
        <v>110</v>
      </c>
      <c r="P10" s="45" t="s">
        <v>180</v>
      </c>
      <c r="R10" s="45" t="s">
        <v>16</v>
      </c>
      <c r="S10">
        <v>1</v>
      </c>
      <c r="U10" s="45" t="s">
        <v>193</v>
      </c>
      <c r="V10">
        <v>3</v>
      </c>
      <c r="X10" s="45" t="s">
        <v>200</v>
      </c>
      <c r="Z10" s="44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C11" s="51" t="s">
        <v>41</v>
      </c>
      <c r="D11" s="51" t="s">
        <v>52</v>
      </c>
      <c r="E11" s="51" t="s">
        <v>40</v>
      </c>
      <c r="F11" s="51" t="s">
        <v>66</v>
      </c>
      <c r="G11" s="52" t="s">
        <v>79</v>
      </c>
      <c r="L11" s="44" t="s">
        <v>25</v>
      </c>
      <c r="N11" s="44" t="s">
        <v>111</v>
      </c>
      <c r="Z11" s="45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C12" s="51" t="s">
        <v>49</v>
      </c>
      <c r="D12" s="51" t="s">
        <v>35</v>
      </c>
      <c r="E12" s="51" t="s">
        <v>42</v>
      </c>
      <c r="F12" s="51" t="s">
        <v>40</v>
      </c>
      <c r="G12" s="52" t="s">
        <v>78</v>
      </c>
      <c r="L12" s="44" t="s">
        <v>26</v>
      </c>
      <c r="N12" s="44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C13" s="51" t="s">
        <v>37</v>
      </c>
      <c r="D13" s="51" t="s">
        <v>54</v>
      </c>
      <c r="F13" s="51" t="s">
        <v>61</v>
      </c>
      <c r="G13" s="52" t="s">
        <v>64</v>
      </c>
      <c r="L13" s="45" t="s">
        <v>112</v>
      </c>
      <c r="N13" s="45"/>
      <c r="AH13" t="s">
        <v>239</v>
      </c>
    </row>
    <row r="14" spans="1:53" x14ac:dyDescent="0.25">
      <c r="A14" s="14"/>
      <c r="C14" s="51" t="s">
        <v>40</v>
      </c>
      <c r="D14" s="51" t="s">
        <v>55</v>
      </c>
      <c r="F14" s="51" t="s">
        <v>65</v>
      </c>
      <c r="G14" s="52" t="s">
        <v>11</v>
      </c>
    </row>
    <row r="15" spans="1:53" x14ac:dyDescent="0.25">
      <c r="A15" s="14"/>
      <c r="C15" s="51" t="s">
        <v>46</v>
      </c>
      <c r="D15" s="51" t="s">
        <v>49</v>
      </c>
      <c r="F15" s="51" t="s">
        <v>68</v>
      </c>
      <c r="G15" s="52" t="s">
        <v>76</v>
      </c>
    </row>
    <row r="16" spans="1:53" x14ac:dyDescent="0.25">
      <c r="A16" s="14"/>
      <c r="C16" s="51" t="s">
        <v>39</v>
      </c>
      <c r="D16" s="51" t="s">
        <v>37</v>
      </c>
      <c r="G16" s="52" t="s">
        <v>83</v>
      </c>
    </row>
    <row r="17" spans="1:7" x14ac:dyDescent="0.25">
      <c r="A17" s="14"/>
      <c r="C17" s="51" t="s">
        <v>48</v>
      </c>
      <c r="D17" s="51" t="s">
        <v>57</v>
      </c>
      <c r="G17" s="52" t="s">
        <v>85</v>
      </c>
    </row>
    <row r="18" spans="1:7" x14ac:dyDescent="0.25">
      <c r="A18" s="14"/>
      <c r="C18" s="51" t="s">
        <v>42</v>
      </c>
      <c r="D18" s="51" t="s">
        <v>53</v>
      </c>
      <c r="G18" s="52" t="s">
        <v>75</v>
      </c>
    </row>
    <row r="19" spans="1:7" x14ac:dyDescent="0.25">
      <c r="A19" s="14"/>
      <c r="C19" s="51" t="s">
        <v>47</v>
      </c>
      <c r="D19" s="51" t="s">
        <v>47</v>
      </c>
      <c r="G19" s="52" t="s">
        <v>91</v>
      </c>
    </row>
    <row r="20" spans="1:7" x14ac:dyDescent="0.25">
      <c r="A20" s="14"/>
      <c r="G20" s="52" t="s">
        <v>70</v>
      </c>
    </row>
    <row r="21" spans="1:7" x14ac:dyDescent="0.25">
      <c r="A21" s="14"/>
      <c r="G21" s="52" t="s">
        <v>6</v>
      </c>
    </row>
    <row r="22" spans="1:7" x14ac:dyDescent="0.25">
      <c r="A22" s="14"/>
      <c r="G22" s="52" t="s">
        <v>7</v>
      </c>
    </row>
    <row r="23" spans="1:7" x14ac:dyDescent="0.25">
      <c r="A23" s="14"/>
      <c r="G23" s="52" t="s">
        <v>62</v>
      </c>
    </row>
    <row r="24" spans="1:7" x14ac:dyDescent="0.25">
      <c r="A24" s="14"/>
      <c r="G24" s="52" t="s">
        <v>94</v>
      </c>
    </row>
    <row r="25" spans="1:7" x14ac:dyDescent="0.25">
      <c r="A25" s="14"/>
      <c r="G25" s="52" t="s">
        <v>57</v>
      </c>
    </row>
    <row r="26" spans="1:7" x14ac:dyDescent="0.25">
      <c r="A26" s="14"/>
      <c r="G26" s="52" t="s">
        <v>8</v>
      </c>
    </row>
    <row r="27" spans="1:7" x14ac:dyDescent="0.25">
      <c r="A27" s="14"/>
      <c r="G27" s="52" t="s">
        <v>89</v>
      </c>
    </row>
    <row r="28" spans="1:7" x14ac:dyDescent="0.25">
      <c r="A28" s="14"/>
      <c r="G28" s="52" t="s">
        <v>61</v>
      </c>
    </row>
    <row r="29" spans="1:7" x14ac:dyDescent="0.25">
      <c r="A29" s="14"/>
      <c r="G29" s="52" t="s">
        <v>87</v>
      </c>
    </row>
    <row r="30" spans="1:7" x14ac:dyDescent="0.25">
      <c r="A30" s="14"/>
      <c r="G30" s="52" t="s">
        <v>77</v>
      </c>
    </row>
    <row r="31" spans="1:7" x14ac:dyDescent="0.25">
      <c r="A31" s="14"/>
      <c r="G31" s="52" t="s">
        <v>96</v>
      </c>
    </row>
    <row r="32" spans="1:7" x14ac:dyDescent="0.25">
      <c r="A32" s="14"/>
      <c r="G32" s="52" t="s">
        <v>74</v>
      </c>
    </row>
    <row r="33" spans="1:7" x14ac:dyDescent="0.25">
      <c r="A33" s="14"/>
      <c r="G33" s="52" t="s">
        <v>88</v>
      </c>
    </row>
    <row r="34" spans="1:7" x14ac:dyDescent="0.25">
      <c r="A34" s="14"/>
      <c r="G34" s="52" t="s">
        <v>98</v>
      </c>
    </row>
    <row r="35" spans="1:7" x14ac:dyDescent="0.25">
      <c r="A35" s="14"/>
      <c r="G35" s="52" t="s">
        <v>95</v>
      </c>
    </row>
    <row r="36" spans="1:7" x14ac:dyDescent="0.25">
      <c r="A36" s="14"/>
      <c r="G36" s="52" t="s">
        <v>86</v>
      </c>
    </row>
    <row r="37" spans="1:7" x14ac:dyDescent="0.25">
      <c r="A37" s="14"/>
      <c r="G37" s="52" t="s">
        <v>84</v>
      </c>
    </row>
    <row r="38" spans="1:7" ht="15.75" thickBot="1" x14ac:dyDescent="0.3">
      <c r="A38" s="16"/>
      <c r="B38" s="27"/>
      <c r="C38" s="27"/>
      <c r="D38" s="27"/>
      <c r="E38" s="27"/>
      <c r="F38" s="27"/>
      <c r="G38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48" t="s">
        <v>207</v>
      </c>
      <c r="B1" s="148"/>
      <c r="C1" s="148"/>
      <c r="D1" s="148"/>
      <c r="E1" s="148"/>
      <c r="F1" s="148"/>
      <c r="H1" s="148" t="s">
        <v>208</v>
      </c>
      <c r="I1" s="148"/>
      <c r="J1" s="148"/>
      <c r="K1" s="148"/>
      <c r="L1" s="148"/>
      <c r="M1" s="148"/>
      <c r="O1" s="148" t="s">
        <v>209</v>
      </c>
      <c r="P1" s="148"/>
      <c r="Q1" s="148"/>
      <c r="R1" s="148"/>
      <c r="S1" s="148"/>
      <c r="T1" s="148"/>
      <c r="V1" s="148"/>
      <c r="W1" s="148"/>
      <c r="X1" s="148"/>
      <c r="Y1" s="148"/>
      <c r="Z1" s="148"/>
      <c r="AA1" s="148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2024-03-06T02:25:23Z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